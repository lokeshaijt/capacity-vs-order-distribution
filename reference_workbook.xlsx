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6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hidden" r:id="rId6"/>
    <sheet name="AFR" sheetId="7" state="visible" r:id="rId7"/>
    <sheet name="AUS&amp;EU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22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  <fill>
      <patternFill patternType="solid">
        <fgColor theme="4" tint="0.3999755851924192"/>
        <bgColor rgb="FFFFE082"/>
      </patternFill>
    </fill>
    <fill>
      <patternFill patternType="solid">
        <fgColor theme="4" tint="0.3999755851924192"/>
        <bgColor rgb="FFD9D9D9"/>
      </patternFill>
    </fill>
    <fill>
      <patternFill patternType="solid">
        <fgColor theme="4" tint="0.3999755851924192"/>
        <bgColor rgb="FFFFF8E1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rgb="FFBFBFBF"/>
      </patternFill>
    </fill>
    <fill>
      <patternFill patternType="solid">
        <fgColor theme="5" tint="0.3999755851924192"/>
        <bgColor rgb="FFD9D9D9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3999755851924192"/>
        <bgColor rgb="FFBFBFBF"/>
      </patternFill>
    </fill>
  </fills>
  <borders count="15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129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7" fillId="5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4" fillId="0" borderId="0" pivotButton="0" quotePrefix="0" xfId="0"/>
    <xf numFmtId="0" fontId="20" fillId="13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14" fillId="0" borderId="2" pivotButton="0" quotePrefix="0" xfId="0"/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/>
    </xf>
    <xf numFmtId="0" fontId="19" fillId="14" borderId="2" applyAlignment="1" pivotButton="0" quotePrefix="0" xfId="0">
      <alignment horizontal="left" vertical="center"/>
    </xf>
    <xf numFmtId="0" fontId="15" fillId="15" borderId="2" pivotButton="0" quotePrefix="0" xfId="0"/>
    <xf numFmtId="168" fontId="16" fillId="15" borderId="2" pivotButton="0" quotePrefix="0" xfId="0"/>
    <xf numFmtId="168" fontId="16" fillId="14" borderId="2" pivotButton="0" quotePrefix="0" xfId="0"/>
    <xf numFmtId="0" fontId="15" fillId="14" borderId="2" pivotButton="0" quotePrefix="0" xfId="0"/>
    <xf numFmtId="0" fontId="15" fillId="0" borderId="2" applyAlignment="1" pivotButton="0" quotePrefix="0" xfId="0">
      <alignment horizontal="center"/>
    </xf>
    <xf numFmtId="0" fontId="16" fillId="16" borderId="2" pivotButton="0" quotePrefix="0" xfId="0"/>
    <xf numFmtId="168" fontId="16" fillId="17" borderId="2" pivotButton="0" quotePrefix="0" xfId="0"/>
    <xf numFmtId="0" fontId="14" fillId="0" borderId="2" applyAlignment="1" pivotButton="0" quotePrefix="0" xfId="0">
      <alignment horizontal="center"/>
    </xf>
    <xf numFmtId="0" fontId="14" fillId="17" borderId="2" pivotButton="0" quotePrefix="0" xfId="0"/>
    <xf numFmtId="0" fontId="15" fillId="0" borderId="2" applyAlignment="1" pivotButton="0" quotePrefix="0" xfId="0">
      <alignment horizontal="center" vertical="center" wrapText="1"/>
    </xf>
    <xf numFmtId="0" fontId="14" fillId="0" borderId="9" pivotButton="0" quotePrefix="0" xfId="0"/>
    <xf numFmtId="0" fontId="14" fillId="0" borderId="6" pivotButton="0" quotePrefix="0" xfId="0"/>
    <xf numFmtId="0" fontId="14" fillId="0" borderId="13" pivotButton="0" quotePrefix="0" xfId="0"/>
    <xf numFmtId="0" fontId="17" fillId="5" borderId="14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14" fillId="0" borderId="10" pivotButton="0" quotePrefix="0" xfId="0"/>
    <xf numFmtId="0" fontId="19" fillId="19" borderId="2" pivotButton="0" quotePrefix="0" xfId="0"/>
    <xf numFmtId="0" fontId="14" fillId="20" borderId="2" pivotButton="0" quotePrefix="0" xfId="0"/>
    <xf numFmtId="168" fontId="16" fillId="19" borderId="2" pivotButton="0" quotePrefix="0" xfId="0"/>
    <xf numFmtId="0" fontId="20" fillId="21" borderId="2" applyAlignment="1" pivotButton="0" quotePrefix="0" xfId="0">
      <alignment horizontal="center" vertical="center"/>
    </xf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C250 AF</t>
        </is>
      </c>
      <c r="B3" s="17" t="n"/>
      <c r="C3" s="18" t="n"/>
      <c r="D3" s="18" t="n"/>
      <c r="E3" s="19" t="n">
        <v>5</v>
      </c>
      <c r="F3" s="19" t="n">
        <v>2</v>
      </c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>
        <v>3340</v>
      </c>
      <c r="Q3" s="73" t="n"/>
      <c r="R3" s="73" t="n">
        <v>0.176497005988024</v>
      </c>
    </row>
    <row r="4" ht="15" customHeight="1" s="5">
      <c r="A4" s="16" t="inlineStr">
        <is>
          <t>CONSTANTA ENV (FLAVOUR &amp; BLACK TEA)</t>
        </is>
      </c>
      <c r="B4" s="17" t="n"/>
      <c r="C4" s="18" t="n"/>
      <c r="D4" s="18" t="n"/>
      <c r="E4" s="19" t="n">
        <v>23</v>
      </c>
      <c r="F4" s="19" t="n">
        <v>2</v>
      </c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>
        <v>6375</v>
      </c>
      <c r="Q4" s="73" t="n"/>
      <c r="R4" s="73" t="n">
        <v>0.09758823529411764</v>
      </c>
    </row>
    <row r="5" ht="15" customHeight="1" s="5">
      <c r="A5" s="16" t="inlineStr">
        <is>
          <t>CONSTANTA ENV (HERBAL)</t>
        </is>
      </c>
      <c r="B5" s="17" t="n"/>
      <c r="C5" s="18" t="n"/>
      <c r="D5" s="18" t="n"/>
      <c r="E5" s="19" t="n">
        <v>9</v>
      </c>
      <c r="F5" s="19" t="n">
        <v>2</v>
      </c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>
        <v>3340</v>
      </c>
      <c r="Q5" s="73" t="n"/>
      <c r="R5" s="73" t="n">
        <v>0.09382235528942116</v>
      </c>
    </row>
    <row r="6" ht="15" customHeight="1" s="5">
      <c r="A6" s="16" t="inlineStr">
        <is>
          <t>MD20 ENV</t>
        </is>
      </c>
      <c r="B6" s="17" t="n"/>
      <c r="C6" s="18" t="n"/>
      <c r="D6" s="18" t="n"/>
      <c r="E6" s="19" t="n">
        <v>4</v>
      </c>
      <c r="F6" s="19" t="n">
        <v>2</v>
      </c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>
        <v>3340</v>
      </c>
      <c r="Q6" s="73" t="n"/>
      <c r="R6" s="73" t="n">
        <v>0.1389161676646707</v>
      </c>
    </row>
    <row r="7" ht="15" customHeight="1" s="5">
      <c r="A7" s="16" t="inlineStr">
        <is>
          <t>PERFECTA ENV</t>
        </is>
      </c>
      <c r="B7" s="17" t="n"/>
      <c r="C7" s="18" t="n"/>
      <c r="D7" s="18" t="n"/>
      <c r="E7" s="19" t="n">
        <v>3</v>
      </c>
      <c r="F7" s="19" t="n">
        <v>2</v>
      </c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>
        <v>3340</v>
      </c>
      <c r="Q7" s="73" t="n"/>
      <c r="R7" s="73" t="n">
        <v>0.2082604790419162</v>
      </c>
    </row>
    <row r="8" ht="15" customHeight="1" s="5">
      <c r="A8" s="16" t="inlineStr">
        <is>
          <t>CONSTANTA TAG</t>
        </is>
      </c>
      <c r="B8" s="17" t="n"/>
      <c r="C8" s="18" t="n"/>
      <c r="D8" s="18" t="n"/>
      <c r="E8" s="19" t="n">
        <v>6</v>
      </c>
      <c r="F8" s="19" t="n">
        <v>1</v>
      </c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>
        <v>2688</v>
      </c>
      <c r="Q8" s="73" t="n"/>
      <c r="R8" s="73" t="n">
        <v>0.1151450892857143</v>
      </c>
    </row>
    <row r="9" ht="15" customHeight="1" s="5">
      <c r="A9" s="16" t="inlineStr">
        <is>
          <t>C250</t>
        </is>
      </c>
      <c r="B9" s="17" t="n"/>
      <c r="C9" s="18" t="n"/>
      <c r="D9" s="18" t="n"/>
      <c r="E9" s="19" t="n">
        <v>3</v>
      </c>
      <c r="F9" s="19" t="n">
        <v>2</v>
      </c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>
        <v>7200</v>
      </c>
      <c r="Q9" s="73" t="n"/>
      <c r="R9" s="73" t="n">
        <v>0.2046875</v>
      </c>
    </row>
    <row r="10" ht="15" customHeight="1" s="5">
      <c r="A10" s="16" t="inlineStr">
        <is>
          <t>VARIETIES PACK</t>
        </is>
      </c>
      <c r="B10" s="17" t="n"/>
      <c r="C10" s="18" t="n"/>
      <c r="D10" s="18" t="n"/>
      <c r="E10" s="19" t="n">
        <v>1</v>
      </c>
      <c r="F10" s="19" t="n">
        <v>2</v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>
        <v>7200</v>
      </c>
      <c r="Q10" s="73" t="n"/>
      <c r="R10" s="73" t="n">
        <v>0.2046875</v>
      </c>
    </row>
    <row r="11" ht="15" customHeight="1" s="5">
      <c r="A11" s="16" t="inlineStr">
        <is>
          <t>MD20 4GM TAG</t>
        </is>
      </c>
      <c r="B11" s="17" t="n"/>
      <c r="C11" s="18" t="n"/>
      <c r="D11" s="18" t="n"/>
      <c r="E11" s="19" t="n">
        <v>1</v>
      </c>
      <c r="F11" s="19" t="n">
        <v>1</v>
      </c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>
        <v>4032</v>
      </c>
      <c r="Q11" s="73" t="n"/>
      <c r="R11" s="73" t="n">
        <v>0.2017454117063492</v>
      </c>
    </row>
    <row r="12" ht="15" customHeight="1" s="5">
      <c r="A12" s="17" t="inlineStr">
        <is>
          <t>PERFECTA  K 45 TAG</t>
        </is>
      </c>
      <c r="B12" s="17" t="n"/>
      <c r="C12" s="18" t="n"/>
      <c r="D12" s="18" t="n"/>
      <c r="E12" s="19" t="n">
        <v>1</v>
      </c>
      <c r="F12" s="19" t="n">
        <v>1</v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>
        <v>5040</v>
      </c>
      <c r="Q12" s="73" t="n"/>
      <c r="R12" s="73" t="n">
        <v>0.2379464285714286</v>
      </c>
    </row>
    <row r="13" ht="15" customHeight="1" s="5">
      <c r="A13" s="16" t="inlineStr">
        <is>
          <t>MD20 HS</t>
        </is>
      </c>
      <c r="B13" s="17" t="n"/>
      <c r="C13" s="18" t="n"/>
      <c r="D13" s="18" t="n"/>
      <c r="E13" s="19" t="n">
        <v>2</v>
      </c>
      <c r="F13" s="19" t="n">
        <v>1</v>
      </c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>
        <v>6500</v>
      </c>
      <c r="Q13" s="73" t="n"/>
      <c r="R13" s="73" t="n">
        <v>0.2338676923076923</v>
      </c>
    </row>
    <row r="14" ht="15" customHeight="1" s="5">
      <c r="A14" s="16" t="inlineStr">
        <is>
          <t>CONSTANTA FAMILY SIZE</t>
        </is>
      </c>
      <c r="B14" s="17" t="n"/>
      <c r="C14" s="18" t="n"/>
      <c r="D14" s="18" t="n"/>
      <c r="E14" s="19" t="n">
        <v>2</v>
      </c>
      <c r="F14" s="19" t="n">
        <v>0</v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>
        <v>5720</v>
      </c>
      <c r="Q14" s="73" t="n"/>
      <c r="R14" s="73" t="n">
        <v>0</v>
      </c>
    </row>
    <row r="15" ht="15" customHeight="1" s="5">
      <c r="A15" s="16" t="inlineStr">
        <is>
          <t>PERFACTA TAG</t>
        </is>
      </c>
      <c r="B15" s="17" t="n"/>
      <c r="C15" s="18" t="n"/>
      <c r="D15" s="18" t="n"/>
      <c r="E15" s="19" t="n">
        <v>2</v>
      </c>
      <c r="F15" s="19" t="n">
        <v>1</v>
      </c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>
        <v>4620</v>
      </c>
      <c r="Q15" s="73" t="n"/>
      <c r="R15" s="73" t="n">
        <v>0.3238636363636364</v>
      </c>
    </row>
    <row r="16" ht="15" customHeight="1" s="5">
      <c r="A16" s="16" t="inlineStr">
        <is>
          <t>MAISA TAGLESS</t>
        </is>
      </c>
      <c r="B16" s="17" t="n"/>
      <c r="C16" s="18" t="n"/>
      <c r="D16" s="18" t="n"/>
      <c r="E16" s="19" t="n">
        <v>7</v>
      </c>
      <c r="F16" s="19" t="n">
        <v>1</v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>
        <v>2800</v>
      </c>
      <c r="Q16" s="73" t="n"/>
      <c r="R16" s="73" t="n">
        <v>0.05649107142857142</v>
      </c>
    </row>
    <row r="17" ht="15" customHeight="1" s="5">
      <c r="A17" s="16" t="inlineStr">
        <is>
          <t>UNIVERSAL POT BAG</t>
        </is>
      </c>
      <c r="B17" s="17" t="n"/>
      <c r="C17" s="18" t="n"/>
      <c r="D17" s="18" t="n"/>
      <c r="E17" s="19" t="n">
        <v>1</v>
      </c>
      <c r="F17" s="19" t="n">
        <v>0</v>
      </c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>
        <v>3220</v>
      </c>
      <c r="Q17" s="73" t="n"/>
      <c r="R17" s="73" t="n">
        <v>0</v>
      </c>
    </row>
    <row r="18" ht="15" customHeight="1" s="5">
      <c r="A18" s="16" t="inlineStr">
        <is>
          <t>UNIVERSAL TWIN BAG</t>
        </is>
      </c>
      <c r="B18" s="17" t="n"/>
      <c r="C18" s="18" t="n"/>
      <c r="D18" s="18" t="n"/>
      <c r="E18" s="19" t="n">
        <v>1</v>
      </c>
      <c r="F18" s="19" t="n">
        <v>1</v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>
        <v>3320</v>
      </c>
      <c r="Q18" s="73" t="n"/>
      <c r="R18" s="73" t="n">
        <v>0.4063610692771085</v>
      </c>
    </row>
    <row r="19" ht="15" customHeight="1" s="5">
      <c r="A19" s="16" t="inlineStr">
        <is>
          <t>BREW MAGIC</t>
        </is>
      </c>
      <c r="B19" s="17" t="n"/>
      <c r="C19" s="18" t="n"/>
      <c r="D19" s="18" t="n"/>
      <c r="E19" s="19" t="n">
        <v>1</v>
      </c>
      <c r="F19" s="19" t="n">
        <v>1</v>
      </c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>
        <v>3600</v>
      </c>
      <c r="Q19" s="73" t="n"/>
      <c r="R19" s="73" t="n">
        <v>0.2025</v>
      </c>
    </row>
    <row r="20" ht="15" customHeight="1" s="5">
      <c r="A20" s="16" t="inlineStr">
        <is>
          <t>MAISA ENV</t>
        </is>
      </c>
      <c r="B20" s="17" t="n"/>
      <c r="C20" s="18" t="n"/>
      <c r="D20" s="18" t="n"/>
      <c r="E20" s="19" t="n">
        <v>2</v>
      </c>
      <c r="F20" s="19" t="n">
        <v>1</v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>
        <v>1656</v>
      </c>
      <c r="Q20" s="73" t="n"/>
      <c r="R20" s="73" t="n">
        <v>0.1560386473429952</v>
      </c>
    </row>
    <row r="21" ht="15" customHeight="1" s="5">
      <c r="A21" s="16" t="inlineStr">
        <is>
          <t>INSTANT COFFEE STICK PACK</t>
        </is>
      </c>
      <c r="B21" s="17" t="n"/>
      <c r="C21" s="18" t="n"/>
      <c r="D21" s="18" t="n"/>
      <c r="E21" s="19" t="n">
        <v>1</v>
      </c>
      <c r="F21" s="19" t="n">
        <v>1</v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>
        <v>3000</v>
      </c>
      <c r="Q21" s="73" t="n"/>
      <c r="R21" s="73" t="n">
        <v>0.0288</v>
      </c>
    </row>
    <row r="22" ht="15" customHeight="1" s="5">
      <c r="A22" s="16" t="inlineStr">
        <is>
          <t>PEARL PACK-PREMIX</t>
        </is>
      </c>
      <c r="B22" s="17" t="n"/>
      <c r="C22" s="18" t="n"/>
      <c r="D22" s="18" t="n"/>
      <c r="E22" s="19" t="n">
        <v>1</v>
      </c>
      <c r="F22" s="19" t="n">
        <v>1</v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>
        <v>6000</v>
      </c>
      <c r="Q22" s="73" t="n"/>
      <c r="R22" s="73" t="n">
        <v>0.12375</v>
      </c>
    </row>
    <row r="23" ht="15" customHeight="1" s="5">
      <c r="A23" s="16" t="inlineStr">
        <is>
          <t>PEARL PACK-PREMIX - cappuccino</t>
        </is>
      </c>
      <c r="B23" s="17" t="n"/>
      <c r="C23" s="18" t="n"/>
      <c r="D23" s="18" t="n"/>
      <c r="E23" s="19" t="n">
        <v>2</v>
      </c>
      <c r="F23" s="19" t="n">
        <v>1</v>
      </c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>
        <v>4800</v>
      </c>
      <c r="Q23" s="73" t="n"/>
      <c r="R23" s="73" t="n">
        <v>0.1546875</v>
      </c>
    </row>
    <row r="24" ht="15" customHeight="1" s="5">
      <c r="A24" s="16" t="inlineStr">
        <is>
          <t>Instant Tea</t>
        </is>
      </c>
      <c r="B24" s="17" t="n"/>
      <c r="C24" s="18" t="n"/>
      <c r="D24" s="18" t="n"/>
      <c r="E24" s="19" t="n">
        <v>1</v>
      </c>
      <c r="F24" s="19" t="n">
        <v>0</v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>
        <v>15120</v>
      </c>
      <c r="Q24" s="73" t="n"/>
      <c r="R24" s="73" t="n">
        <v>0</v>
      </c>
    </row>
    <row r="25" ht="15" customHeight="1" s="5">
      <c r="A25" s="16" t="inlineStr">
        <is>
          <t>VIKING-MULTITRACK</t>
        </is>
      </c>
      <c r="B25" s="17" t="n"/>
      <c r="C25" s="18" t="n"/>
      <c r="D25" s="18" t="n"/>
      <c r="E25" s="19" t="n">
        <v>1</v>
      </c>
      <c r="F25" s="19" t="n">
        <v>0</v>
      </c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>
        <v>15120</v>
      </c>
      <c r="Q25" s="73" t="n"/>
      <c r="R25" s="73" t="n">
        <v>0</v>
      </c>
    </row>
    <row r="26" ht="15" customHeight="1" s="5">
      <c r="A26" s="16" t="inlineStr">
        <is>
          <t>Shubam-FFS POUCH</t>
        </is>
      </c>
      <c r="B26" s="17" t="n"/>
      <c r="C26" s="18" t="n"/>
      <c r="D26" s="18" t="n"/>
      <c r="E26" s="19" t="n">
        <v>1</v>
      </c>
      <c r="F26" s="19" t="n">
        <v>1</v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>
        <v>0</v>
      </c>
      <c r="Q26" s="73" t="n"/>
      <c r="R26" s="73" t="n">
        <v>0</v>
      </c>
    </row>
    <row r="27" ht="15" customHeight="1" s="5">
      <c r="A27" s="16" t="inlineStr">
        <is>
          <t>Pearl Pack-FFS POUCH</t>
        </is>
      </c>
      <c r="B27" s="17" t="n"/>
      <c r="C27" s="18" t="n"/>
      <c r="D27" s="18" t="n"/>
      <c r="E27" s="19" t="n">
        <v>0.5</v>
      </c>
      <c r="F27" s="19" t="n">
        <v>1</v>
      </c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>
        <v>1200</v>
      </c>
      <c r="Q27" s="73" t="n"/>
      <c r="R27" s="73" t="n">
        <v>1.03125</v>
      </c>
    </row>
    <row r="28" ht="15" customHeight="1" s="5">
      <c r="A28" s="16" t="n"/>
      <c r="B28" s="17" t="n"/>
      <c r="C28" s="18" t="n"/>
      <c r="D28" s="18" t="n"/>
      <c r="E28" s="19" t="n"/>
      <c r="F28" s="19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73" t="n"/>
      <c r="R28" s="73" t="n"/>
    </row>
    <row r="29" ht="15" customHeight="1" s="5">
      <c r="A29" s="16" t="n"/>
      <c r="B29" s="17" t="n"/>
      <c r="C29" s="18" t="n"/>
      <c r="D29" s="18" t="n"/>
      <c r="E29" s="19" t="n"/>
      <c r="F29" s="19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73" t="n"/>
      <c r="R29" s="73" t="n"/>
    </row>
    <row r="30" ht="15" customHeight="1" s="5">
      <c r="A30" s="16" t="n"/>
      <c r="B30" s="17" t="n"/>
      <c r="C30" s="18" t="n"/>
      <c r="D30" s="18" t="n"/>
      <c r="E30" s="19" t="n"/>
      <c r="F30" s="19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73" t="n"/>
      <c r="R30" s="73" t="n"/>
    </row>
    <row r="31" ht="15" customHeight="1" s="5">
      <c r="A31" s="16" t="n"/>
      <c r="B31" s="17" t="n"/>
      <c r="C31" s="18" t="n"/>
      <c r="D31" s="18" t="n"/>
      <c r="E31" s="19" t="n"/>
      <c r="F31" s="19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73" t="n"/>
      <c r="R31" s="73" t="n"/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501"/>
  <sheetViews>
    <sheetView showGridLines="0" tabSelected="0" zoomScaleNormal="100" workbookViewId="0">
      <pane ySplit="2" topLeftCell="A3" activePane="bottomLeft" state="frozen"/>
      <selection pane="bottomLeft" activeCell="D16" sqref="D16"/>
    </sheetView>
  </sheetViews>
  <sheetFormatPr baseColWidth="8" defaultColWidth="8.5546875" defaultRowHeight="14.4"/>
  <cols>
    <col width="8" customWidth="1" style="70" min="1" max="1"/>
    <col width="9" customWidth="1" style="5" min="2" max="2"/>
    <col width="9" customWidth="1" style="5" min="3" max="3"/>
    <col width="26" customWidth="1" style="5" min="4" max="4"/>
    <col width="7" customWidth="1" style="5" min="5" max="5"/>
    <col width="7" customWidth="1" style="5" min="6" max="6"/>
    <col width="9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  <col width="7" customWidth="1" style="5" min="21" max="21"/>
    <col hidden="1" width="7" customWidth="1" style="5" min="22" max="22"/>
    <col width="7" customWidth="1" style="5" min="23" max="23"/>
    <col width="7" customWidth="1" style="5" min="24" max="24"/>
    <col width="7" customWidth="1" style="5" min="25" max="25"/>
    <col width="7" customWidth="1" style="5" min="26" max="26"/>
    <col width="7" customWidth="1" style="5" min="27" max="27"/>
    <col width="7" customWidth="1" style="5" min="28" max="28"/>
    <col width="7" customWidth="1" style="5" min="29" max="29"/>
    <col width="7" customWidth="1" style="5" min="30" max="30"/>
    <col width="7" customWidth="1" style="5" min="31" max="31"/>
    <col width="7" customWidth="1" style="5" min="32" max="32"/>
    <col width="13" customWidth="1" style="5" min="33" max="33"/>
    <col width="13" customWidth="1" style="5" min="34" max="34"/>
    <col width="13" customWidth="1" style="5" min="35" max="35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2" t="inlineStr">
        <is>
          <t>Based on Pending Production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T1" s="23" t="n"/>
      <c r="U1" s="122" t="inlineStr">
        <is>
          <t>Based on Order Qty</t>
        </is>
      </c>
      <c r="V1" s="84" t="n"/>
      <c r="W1" s="84" t="n"/>
      <c r="X1" s="84" t="n"/>
      <c r="Y1" s="84" t="n"/>
      <c r="Z1" s="84" t="n"/>
      <c r="AA1" s="84" t="n"/>
      <c r="AB1" s="84" t="n"/>
      <c r="AC1" s="84" t="n"/>
      <c r="AD1" s="84" t="n"/>
      <c r="AE1" s="84" t="n"/>
      <c r="AF1" s="84" t="n"/>
      <c r="AH1" s="23" t="inlineStr">
        <is>
          <t>Routing Line</t>
        </is>
      </c>
      <c r="AI1" s="10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7" t="inlineStr">
        <is>
          <t>W #41</t>
        </is>
      </c>
      <c r="I2" s="67" t="inlineStr">
        <is>
          <t>W #42</t>
        </is>
      </c>
      <c r="J2" s="67" t="inlineStr">
        <is>
          <t>W #43</t>
        </is>
      </c>
      <c r="K2" s="67" t="inlineStr">
        <is>
          <t>W #44</t>
        </is>
      </c>
      <c r="L2" s="67" t="inlineStr">
        <is>
          <t>W #45</t>
        </is>
      </c>
      <c r="M2" s="67" t="inlineStr">
        <is>
          <t>W #46</t>
        </is>
      </c>
      <c r="N2" s="67" t="inlineStr">
        <is>
          <t>W #47</t>
        </is>
      </c>
      <c r="O2" s="67" t="inlineStr">
        <is>
          <t>W #48</t>
        </is>
      </c>
      <c r="P2" s="67" t="inlineStr">
        <is>
          <t>W #49</t>
        </is>
      </c>
      <c r="Q2" s="67" t="inlineStr">
        <is>
          <t>W #50</t>
        </is>
      </c>
      <c r="R2" s="67" t="inlineStr">
        <is>
          <t>W #51</t>
        </is>
      </c>
      <c r="S2" s="67" t="inlineStr">
        <is>
          <t>W #52</t>
        </is>
      </c>
      <c r="T2" s="23" t="n"/>
      <c r="U2" s="67">
        <f>H2</f>
        <v/>
      </c>
      <c r="V2" s="67">
        <f>I2</f>
        <v/>
      </c>
      <c r="W2" s="67">
        <f>J2</f>
        <v/>
      </c>
      <c r="X2" s="67">
        <f>K2</f>
        <v/>
      </c>
      <c r="Y2" s="67">
        <f>L2</f>
        <v/>
      </c>
      <c r="Z2" s="67">
        <f>M2</f>
        <v/>
      </c>
      <c r="AA2" s="67">
        <f>N2</f>
        <v/>
      </c>
      <c r="AB2" s="67">
        <f>O2</f>
        <v/>
      </c>
      <c r="AC2" s="67">
        <f>P2</f>
        <v/>
      </c>
      <c r="AD2" s="67">
        <f>Q2</f>
        <v/>
      </c>
      <c r="AE2" s="67">
        <f>R2</f>
        <v/>
      </c>
      <c r="AF2" s="67">
        <f>S2</f>
        <v/>
      </c>
      <c r="AH2" s="23" t="inlineStr">
        <is>
          <t>CONSTANTA ENV</t>
        </is>
      </c>
      <c r="AI2" s="101" t="inlineStr">
        <is>
          <t>CONSTANTA ENV (FLAVOUR &amp; BLACK TEA)</t>
        </is>
      </c>
    </row>
    <row r="3" ht="15" customHeight="1" s="5">
      <c r="A3" s="123" t="inlineStr">
        <is>
          <t>Zone 1</t>
        </is>
      </c>
      <c r="B3" s="103" t="inlineStr">
        <is>
          <t>AFRICA</t>
        </is>
      </c>
      <c r="C3" s="65" t="inlineStr">
        <is>
          <t>DC</t>
        </is>
      </c>
      <c r="D3" s="52" t="inlineStr">
        <is>
          <t>C250 AF</t>
        </is>
      </c>
      <c r="E3" s="53" t="n">
        <v>5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75">
        <f>IFERROR(SUMIFS(WORKING!$Z:$Z,WORKING!$X:$X,$D3,WORKING!$W:$W,H$500),"")</f>
        <v/>
      </c>
      <c r="V3" s="75">
        <f>IFERROR(SUMIFS(WORKING!$Z:$Z,WORKING!$X:$X,$D3,WORKING!$W:$W,I$500),"")</f>
        <v/>
      </c>
      <c r="W3" s="75">
        <f>IFERROR(SUMIFS(WORKING!$Z:$Z,WORKING!$X:$X,$D3,WORKING!$W:$W,J$500),"")</f>
        <v/>
      </c>
      <c r="X3" s="75">
        <f>IFERROR(SUMIFS(WORKING!$Z:$Z,WORKING!$X:$X,$D3,WORKING!$W:$W,K$500),"")</f>
        <v/>
      </c>
      <c r="Y3" s="75">
        <f>IFERROR(SUMIFS(WORKING!$Z:$Z,WORKING!$X:$X,$D3,WORKING!$W:$W,L$500),"")</f>
        <v/>
      </c>
      <c r="Z3" s="75">
        <f>IFERROR(SUMIFS(WORKING!$Z:$Z,WORKING!$X:$X,$D3,WORKING!$W:$W,M$500),"")</f>
        <v/>
      </c>
      <c r="AA3" s="75">
        <f>IFERROR(SUMIFS(WORKING!$Z:$Z,WORKING!$X:$X,$D3,WORKING!$W:$W,N$500),"")</f>
        <v/>
      </c>
      <c r="AB3" s="75">
        <f>IFERROR(SUMIFS(WORKING!$Z:$Z,WORKING!$X:$X,$D3,WORKING!$W:$W,O$500),"")</f>
        <v/>
      </c>
      <c r="AC3" s="75">
        <f>IFERROR(SUMIFS(WORKING!$Z:$Z,WORKING!$X:$X,$D3,WORKING!$W:$W,P$500),"")</f>
        <v/>
      </c>
      <c r="AD3" s="75">
        <f>IFERROR(SUMIFS(WORKING!$Z:$Z,WORKING!$X:$X,$D3,WORKING!$W:$W,Q$500),"")</f>
        <v/>
      </c>
      <c r="AE3" s="75">
        <f>IFERROR(SUMIFS(WORKING!$Z:$Z,WORKING!$X:$X,$D3,WORKING!$W:$W,R$500),"")</f>
        <v/>
      </c>
      <c r="AF3" s="75">
        <f>IFERROR(SUMIFS(WORKING!$Z:$Z,WORKING!$X:$X,$D3,WORKING!$W:$W,S$500),"")</f>
        <v/>
      </c>
      <c r="AH3" s="23" t="inlineStr">
        <is>
          <t>CONSTANTA ENV BT</t>
        </is>
      </c>
      <c r="AI3" s="101" t="inlineStr">
        <is>
          <t>CONSTANTA ENV (FLAVOUR &amp; BLACK TEA)</t>
        </is>
      </c>
    </row>
    <row r="4" ht="15" customHeight="1" s="5">
      <c r="A4" s="104" t="n"/>
      <c r="B4" s="104" t="n"/>
      <c r="C4" s="104" t="n"/>
      <c r="D4" s="52" t="inlineStr">
        <is>
          <t>CONSTANTA ENV (FLAVOUR &amp; BLACK TEA)</t>
        </is>
      </c>
      <c r="E4" s="53" t="n">
        <v>23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75">
        <f>IFERROR(SUMIFS(WORKING!$Z:$Z,WORKING!$X:$X,$D4,WORKING!$W:$W,H$500),"")</f>
        <v/>
      </c>
      <c r="V4" s="75">
        <f>IFERROR(SUMIFS(WORKING!$Z:$Z,WORKING!$X:$X,$D4,WORKING!$W:$W,I$500),"")</f>
        <v/>
      </c>
      <c r="W4" s="75">
        <f>IFERROR(SUMIFS(WORKING!$Z:$Z,WORKING!$X:$X,$D4,WORKING!$W:$W,J$500),"")</f>
        <v/>
      </c>
      <c r="X4" s="75">
        <f>IFERROR(SUMIFS(WORKING!$Z:$Z,WORKING!$X:$X,$D4,WORKING!$W:$W,K$500),"")</f>
        <v/>
      </c>
      <c r="Y4" s="75">
        <f>IFERROR(SUMIFS(WORKING!$Z:$Z,WORKING!$X:$X,$D4,WORKING!$W:$W,L$500),"")</f>
        <v/>
      </c>
      <c r="Z4" s="75">
        <f>IFERROR(SUMIFS(WORKING!$Z:$Z,WORKING!$X:$X,$D4,WORKING!$W:$W,M$500),"")</f>
        <v/>
      </c>
      <c r="AA4" s="75">
        <f>IFERROR(SUMIFS(WORKING!$Z:$Z,WORKING!$X:$X,$D4,WORKING!$W:$W,N$500),"")</f>
        <v/>
      </c>
      <c r="AB4" s="75">
        <f>IFERROR(SUMIFS(WORKING!$Z:$Z,WORKING!$X:$X,$D4,WORKING!$W:$W,O$500),"")</f>
        <v/>
      </c>
      <c r="AC4" s="75">
        <f>IFERROR(SUMIFS(WORKING!$Z:$Z,WORKING!$X:$X,$D4,WORKING!$W:$W,P$500),"")</f>
        <v/>
      </c>
      <c r="AD4" s="75">
        <f>IFERROR(SUMIFS(WORKING!$Z:$Z,WORKING!$X:$X,$D4,WORKING!$W:$W,Q$500),"")</f>
        <v/>
      </c>
      <c r="AE4" s="75">
        <f>IFERROR(SUMIFS(WORKING!$Z:$Z,WORKING!$X:$X,$D4,WORKING!$W:$W,R$500),"")</f>
        <v/>
      </c>
      <c r="AF4" s="75">
        <f>IFERROR(SUMIFS(WORKING!$Z:$Z,WORKING!$X:$X,$D4,WORKING!$W:$W,S$500),"")</f>
        <v/>
      </c>
      <c r="AH4" s="23" t="inlineStr">
        <is>
          <t>CONSTANTA ENV BT 25</t>
        </is>
      </c>
      <c r="AI4" s="101" t="inlineStr">
        <is>
          <t>CONSTANTA ENV (FLAVOUR &amp; BLACK TEA)</t>
        </is>
      </c>
    </row>
    <row r="5" ht="15" customHeight="1" s="5">
      <c r="A5" s="104" t="n"/>
      <c r="B5" s="104" t="n"/>
      <c r="C5" s="104" t="n"/>
      <c r="D5" s="52" t="inlineStr">
        <is>
          <t>CONSTANTA ENV (HERBAL)</t>
        </is>
      </c>
      <c r="E5" s="53" t="n">
        <v>9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75">
        <f>IFERROR(SUMIFS(WORKING!$Z:$Z,WORKING!$X:$X,$D5,WORKING!$W:$W,H$500),"")</f>
        <v/>
      </c>
      <c r="V5" s="75">
        <f>IFERROR(SUMIFS(WORKING!$Z:$Z,WORKING!$X:$X,$D5,WORKING!$W:$W,I$500),"")</f>
        <v/>
      </c>
      <c r="W5" s="75">
        <f>IFERROR(SUMIFS(WORKING!$Z:$Z,WORKING!$X:$X,$D5,WORKING!$W:$W,J$500),"")</f>
        <v/>
      </c>
      <c r="X5" s="75">
        <f>IFERROR(SUMIFS(WORKING!$Z:$Z,WORKING!$X:$X,$D5,WORKING!$W:$W,K$500),"")</f>
        <v/>
      </c>
      <c r="Y5" s="75">
        <f>IFERROR(SUMIFS(WORKING!$Z:$Z,WORKING!$X:$X,$D5,WORKING!$W:$W,L$500),"")</f>
        <v/>
      </c>
      <c r="Z5" s="75">
        <f>IFERROR(SUMIFS(WORKING!$Z:$Z,WORKING!$X:$X,$D5,WORKING!$W:$W,M$500),"")</f>
        <v/>
      </c>
      <c r="AA5" s="75">
        <f>IFERROR(SUMIFS(WORKING!$Z:$Z,WORKING!$X:$X,$D5,WORKING!$W:$W,N$500),"")</f>
        <v/>
      </c>
      <c r="AB5" s="75">
        <f>IFERROR(SUMIFS(WORKING!$Z:$Z,WORKING!$X:$X,$D5,WORKING!$W:$W,O$500),"")</f>
        <v/>
      </c>
      <c r="AC5" s="75">
        <f>IFERROR(SUMIFS(WORKING!$Z:$Z,WORKING!$X:$X,$D5,WORKING!$W:$W,P$500),"")</f>
        <v/>
      </c>
      <c r="AD5" s="75">
        <f>IFERROR(SUMIFS(WORKING!$Z:$Z,WORKING!$X:$X,$D5,WORKING!$W:$W,Q$500),"")</f>
        <v/>
      </c>
      <c r="AE5" s="75">
        <f>IFERROR(SUMIFS(WORKING!$Z:$Z,WORKING!$X:$X,$D5,WORKING!$W:$W,R$500),"")</f>
        <v/>
      </c>
      <c r="AF5" s="75">
        <f>IFERROR(SUMIFS(WORKING!$Z:$Z,WORKING!$X:$X,$D5,WORKING!$W:$W,S$500),"")</f>
        <v/>
      </c>
      <c r="AH5" s="23" t="inlineStr">
        <is>
          <t>CONSTANTA ENV F</t>
        </is>
      </c>
      <c r="AI5" s="101" t="inlineStr">
        <is>
          <t>CONSTANTA ENV (FLAVOUR &amp; BLACK TEA)</t>
        </is>
      </c>
    </row>
    <row r="6" ht="15" customHeight="1" s="5">
      <c r="A6" s="104" t="n"/>
      <c r="B6" s="104" t="n"/>
      <c r="C6" s="104" t="n"/>
      <c r="D6" s="52" t="inlineStr">
        <is>
          <t>MD20 ENV</t>
        </is>
      </c>
      <c r="E6" s="53" t="n">
        <v>4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75">
        <f>IFERROR(SUMIFS(WORKING!$Z:$Z,WORKING!$X:$X,$D6,WORKING!$W:$W,H$500),"")</f>
        <v/>
      </c>
      <c r="V6" s="75">
        <f>IFERROR(SUMIFS(WORKING!$Z:$Z,WORKING!$X:$X,$D6,WORKING!$W:$W,I$500),"")</f>
        <v/>
      </c>
      <c r="W6" s="75">
        <f>IFERROR(SUMIFS(WORKING!$Z:$Z,WORKING!$X:$X,$D6,WORKING!$W:$W,J$500),"")</f>
        <v/>
      </c>
      <c r="X6" s="75">
        <f>IFERROR(SUMIFS(WORKING!$Z:$Z,WORKING!$X:$X,$D6,WORKING!$W:$W,K$500),"")</f>
        <v/>
      </c>
      <c r="Y6" s="75">
        <f>IFERROR(SUMIFS(WORKING!$Z:$Z,WORKING!$X:$X,$D6,WORKING!$W:$W,L$500),"")</f>
        <v/>
      </c>
      <c r="Z6" s="75">
        <f>IFERROR(SUMIFS(WORKING!$Z:$Z,WORKING!$X:$X,$D6,WORKING!$W:$W,M$500),"")</f>
        <v/>
      </c>
      <c r="AA6" s="75">
        <f>IFERROR(SUMIFS(WORKING!$Z:$Z,WORKING!$X:$X,$D6,WORKING!$W:$W,N$500),"")</f>
        <v/>
      </c>
      <c r="AB6" s="75">
        <f>IFERROR(SUMIFS(WORKING!$Z:$Z,WORKING!$X:$X,$D6,WORKING!$W:$W,O$500),"")</f>
        <v/>
      </c>
      <c r="AC6" s="75">
        <f>IFERROR(SUMIFS(WORKING!$Z:$Z,WORKING!$X:$X,$D6,WORKING!$W:$W,P$500),"")</f>
        <v/>
      </c>
      <c r="AD6" s="75">
        <f>IFERROR(SUMIFS(WORKING!$Z:$Z,WORKING!$X:$X,$D6,WORKING!$W:$W,Q$500),"")</f>
        <v/>
      </c>
      <c r="AE6" s="75">
        <f>IFERROR(SUMIFS(WORKING!$Z:$Z,WORKING!$X:$X,$D6,WORKING!$W:$W,R$500),"")</f>
        <v/>
      </c>
      <c r="AF6" s="75">
        <f>IFERROR(SUMIFS(WORKING!$Z:$Z,WORKING!$X:$X,$D6,WORKING!$W:$W,S$500),"")</f>
        <v/>
      </c>
      <c r="AH6" s="23" t="inlineStr">
        <is>
          <t>CONSTANTA ENV G</t>
        </is>
      </c>
      <c r="AI6" s="101" t="inlineStr">
        <is>
          <t>CONSTANTA ENV (FLAVOUR &amp; BLACK TEA)</t>
        </is>
      </c>
    </row>
    <row r="7" ht="15" customHeight="1" s="5">
      <c r="A7" s="104" t="n"/>
      <c r="B7" s="104" t="n"/>
      <c r="C7" s="86" t="n"/>
      <c r="D7" s="52" t="inlineStr">
        <is>
          <t>PERFECTA ENV</t>
        </is>
      </c>
      <c r="E7" s="53" t="n">
        <v>3</v>
      </c>
      <c r="F7" s="53" t="n">
        <v>2</v>
      </c>
      <c r="G7" s="75">
        <f>IFERROR(IF(OR($F7=0,VLOOKUP($D7,'MC MASTER'!$A:$R,18,0)=0),"-",ROUND(VLOOKUP($D7,'MC MASTER'!$A:$R,18,0)*$E7*$F7,3)),"-")</f>
        <v/>
      </c>
      <c r="H7" s="75">
        <f>IFERROR(SUMIFS(WORKING!$Y:$Y,WORKING!$X:$X,$D7,WORKING!$W:$W,H$500),"")</f>
        <v/>
      </c>
      <c r="I7" s="75">
        <f>IFERROR(SUMIFS(WORKING!$Y:$Y,WORKING!$X:$X,$D7,WORKING!$W:$W,I$500),"")</f>
        <v/>
      </c>
      <c r="J7" s="75">
        <f>IFERROR(SUMIFS(WORKING!$Y:$Y,WORKING!$X:$X,$D7,WORKING!$W:$W,J$500),"")</f>
        <v/>
      </c>
      <c r="K7" s="75">
        <f>IFERROR(SUMIFS(WORKING!$Y:$Y,WORKING!$X:$X,$D7,WORKING!$W:$W,K$500),"")</f>
        <v/>
      </c>
      <c r="L7" s="75">
        <f>IFERROR(SUMIFS(WORKING!$Y:$Y,WORKING!$X:$X,$D7,WORKING!$W:$W,L$500),"")</f>
        <v/>
      </c>
      <c r="M7" s="75">
        <f>IFERROR(SUMIFS(WORKING!$Y:$Y,WORKING!$X:$X,$D7,WORKING!$W:$W,M$500),"")</f>
        <v/>
      </c>
      <c r="N7" s="75">
        <f>IFERROR(SUMIFS(WORKING!$Y:$Y,WORKING!$X:$X,$D7,WORKING!$W:$W,N$500),"")</f>
        <v/>
      </c>
      <c r="O7" s="75">
        <f>IFERROR(SUMIFS(WORKING!$Y:$Y,WORKING!$X:$X,$D7,WORKING!$W:$W,O$500),"")</f>
        <v/>
      </c>
      <c r="P7" s="75">
        <f>IFERROR(SUMIFS(WORKING!$Y:$Y,WORKING!$X:$X,$D7,WORKING!$W:$W,P$500),"")</f>
        <v/>
      </c>
      <c r="Q7" s="75">
        <f>IFERROR(SUMIFS(WORKING!$Y:$Y,WORKING!$X:$X,$D7,WORKING!$W:$W,Q$500),"")</f>
        <v/>
      </c>
      <c r="R7" s="75">
        <f>IFERROR(SUMIFS(WORKING!$Y:$Y,WORKING!$X:$X,$D7,WORKING!$W:$W,R$500),"")</f>
        <v/>
      </c>
      <c r="S7" s="75">
        <f>IFERROR(SUMIFS(WORKING!$Y:$Y,WORKING!$X:$X,$D7,WORKING!$W:$W,S$500),"")</f>
        <v/>
      </c>
      <c r="T7" s="23" t="n"/>
      <c r="U7" s="75">
        <f>IFERROR(SUMIFS(WORKING!$Z:$Z,WORKING!$X:$X,$D7,WORKING!$W:$W,H$500),"")</f>
        <v/>
      </c>
      <c r="V7" s="75">
        <f>IFERROR(SUMIFS(WORKING!$Z:$Z,WORKING!$X:$X,$D7,WORKING!$W:$W,I$500),"")</f>
        <v/>
      </c>
      <c r="W7" s="75">
        <f>IFERROR(SUMIFS(WORKING!$Z:$Z,WORKING!$X:$X,$D7,WORKING!$W:$W,J$500),"")</f>
        <v/>
      </c>
      <c r="X7" s="75">
        <f>IFERROR(SUMIFS(WORKING!$Z:$Z,WORKING!$X:$X,$D7,WORKING!$W:$W,K$500),"")</f>
        <v/>
      </c>
      <c r="Y7" s="75">
        <f>IFERROR(SUMIFS(WORKING!$Z:$Z,WORKING!$X:$X,$D7,WORKING!$W:$W,L$500),"")</f>
        <v/>
      </c>
      <c r="Z7" s="75">
        <f>IFERROR(SUMIFS(WORKING!$Z:$Z,WORKING!$X:$X,$D7,WORKING!$W:$W,M$500),"")</f>
        <v/>
      </c>
      <c r="AA7" s="75">
        <f>IFERROR(SUMIFS(WORKING!$Z:$Z,WORKING!$X:$X,$D7,WORKING!$W:$W,N$500),"")</f>
        <v/>
      </c>
      <c r="AB7" s="75">
        <f>IFERROR(SUMIFS(WORKING!$Z:$Z,WORKING!$X:$X,$D7,WORKING!$W:$W,O$500),"")</f>
        <v/>
      </c>
      <c r="AC7" s="75">
        <f>IFERROR(SUMIFS(WORKING!$Z:$Z,WORKING!$X:$X,$D7,WORKING!$W:$W,P$500),"")</f>
        <v/>
      </c>
      <c r="AD7" s="75">
        <f>IFERROR(SUMIFS(WORKING!$Z:$Z,WORKING!$X:$X,$D7,WORKING!$W:$W,Q$500),"")</f>
        <v/>
      </c>
      <c r="AE7" s="75">
        <f>IFERROR(SUMIFS(WORKING!$Z:$Z,WORKING!$X:$X,$D7,WORKING!$W:$W,R$500),"")</f>
        <v/>
      </c>
      <c r="AF7" s="75">
        <f>IFERROR(SUMIFS(WORKING!$Z:$Z,WORKING!$X:$X,$D7,WORKING!$W:$W,S$500),"")</f>
        <v/>
      </c>
      <c r="AH7" s="23" t="inlineStr">
        <is>
          <t>CONSTANTA ENV H</t>
        </is>
      </c>
      <c r="AI7" s="101" t="inlineStr">
        <is>
          <t>CONSTANTA ENV (FLAVOUR &amp; BLACK TEA)</t>
        </is>
      </c>
    </row>
    <row r="8" ht="15" customHeight="1" s="5">
      <c r="A8" s="104" t="n"/>
      <c r="B8" s="104" t="n"/>
      <c r="C8" s="105" t="n"/>
      <c r="D8" s="125" t="inlineStr">
        <is>
          <t>TOTAL</t>
        </is>
      </c>
      <c r="E8" s="126" t="n"/>
      <c r="F8" s="126" t="n"/>
      <c r="G8" s="127">
        <f>SUM(G3:G7)</f>
        <v/>
      </c>
      <c r="H8" s="127">
        <f>SUM(H3:H7)</f>
        <v/>
      </c>
      <c r="I8" s="127">
        <f>SUM(I3:I7)</f>
        <v/>
      </c>
      <c r="J8" s="127">
        <f>SUM(J3:J7)</f>
        <v/>
      </c>
      <c r="K8" s="127">
        <f>SUM(K3:K7)</f>
        <v/>
      </c>
      <c r="L8" s="127">
        <f>SUM(L3:L7)</f>
        <v/>
      </c>
      <c r="M8" s="127">
        <f>SUM(M3:M7)</f>
        <v/>
      </c>
      <c r="N8" s="127">
        <f>SUM(N3:N7)</f>
        <v/>
      </c>
      <c r="O8" s="127">
        <f>SUM(O3:O7)</f>
        <v/>
      </c>
      <c r="P8" s="127">
        <f>SUM(P3:P7)</f>
        <v/>
      </c>
      <c r="Q8" s="127">
        <f>SUM(Q3:Q7)</f>
        <v/>
      </c>
      <c r="R8" s="127">
        <f>SUM(R3:R7)</f>
        <v/>
      </c>
      <c r="S8" s="127">
        <f>SUM(S3:S7)</f>
        <v/>
      </c>
      <c r="T8" s="23" t="n"/>
      <c r="U8" s="127">
        <f>SUM(U3:U7)</f>
        <v/>
      </c>
      <c r="V8" s="127">
        <f>SUM(V3:V7)</f>
        <v/>
      </c>
      <c r="W8" s="127">
        <f>SUM(W3:W7)</f>
        <v/>
      </c>
      <c r="X8" s="127">
        <f>SUM(X3:X7)</f>
        <v/>
      </c>
      <c r="Y8" s="127">
        <f>SUM(Y3:Y7)</f>
        <v/>
      </c>
      <c r="Z8" s="127">
        <f>SUM(Z3:Z7)</f>
        <v/>
      </c>
      <c r="AA8" s="127">
        <f>SUM(AA3:AA7)</f>
        <v/>
      </c>
      <c r="AB8" s="127">
        <f>SUM(AB3:AB7)</f>
        <v/>
      </c>
      <c r="AC8" s="127">
        <f>SUM(AC3:AC7)</f>
        <v/>
      </c>
      <c r="AD8" s="127">
        <f>SUM(AD3:AD7)</f>
        <v/>
      </c>
      <c r="AE8" s="127">
        <f>SUM(AE3:AE7)</f>
        <v/>
      </c>
      <c r="AF8" s="127">
        <f>SUM(AF3:AF7)</f>
        <v/>
      </c>
      <c r="AH8" s="23" t="inlineStr">
        <is>
          <t>CONSTANTA ENV HF</t>
        </is>
      </c>
      <c r="AI8" s="101" t="inlineStr">
        <is>
          <t>CONSTANTA ENV (FLAVOUR &amp; BLACK TEA)</t>
        </is>
      </c>
    </row>
    <row r="9" ht="15" customHeight="1" s="5">
      <c r="A9" s="104" t="n"/>
      <c r="B9" s="104" t="n"/>
      <c r="C9" s="116" t="n"/>
      <c r="D9" s="108" t="inlineStr">
        <is>
          <t>Excess Order</t>
        </is>
      </c>
      <c r="E9" s="112" t="n"/>
      <c r="F9" s="111" t="n"/>
      <c r="G9" s="111" t="n"/>
      <c r="H9" s="111">
        <f>IFERROR(IF(ROUND(H8-$G8,3)&gt;0,ROUND(H8-$G8,3),""),"")</f>
        <v/>
      </c>
      <c r="I9" s="111">
        <f>IFERROR(IF(ROUND(I8-$G8,3)&gt;0,ROUND(I8-$G8,3),""),"")</f>
        <v/>
      </c>
      <c r="J9" s="111">
        <f>IFERROR(IF(ROUND(J8-$G8,3)&gt;0,ROUND(J8-$G8,3),""),"")</f>
        <v/>
      </c>
      <c r="K9" s="111">
        <f>IFERROR(IF(ROUND(K8-$G8,3)&gt;0,ROUND(K8-$G8,3),""),"")</f>
        <v/>
      </c>
      <c r="L9" s="111">
        <f>IFERROR(IF(ROUND(L8-$G8,3)&gt;0,ROUND(L8-$G8,3),""),"")</f>
        <v/>
      </c>
      <c r="M9" s="111">
        <f>IFERROR(IF(ROUND(M8-$G8,3)&gt;0,ROUND(M8-$G8,3),""),"")</f>
        <v/>
      </c>
      <c r="N9" s="111">
        <f>IFERROR(IF(ROUND(N8-$G8,3)&gt;0,ROUND(N8-$G8,3),""),"")</f>
        <v/>
      </c>
      <c r="O9" s="111">
        <f>IFERROR(IF(ROUND(O8-$G8,3)&gt;0,ROUND(O8-$G8,3),""),"")</f>
        <v/>
      </c>
      <c r="P9" s="111">
        <f>IFERROR(IF(ROUND(P8-$G8,3)&gt;0,ROUND(P8-$G8,3),""),"")</f>
        <v/>
      </c>
      <c r="Q9" s="111">
        <f>IFERROR(IF(ROUND(Q8-$G8,3)&gt;0,ROUND(Q8-$G8,3),""),"")</f>
        <v/>
      </c>
      <c r="R9" s="111">
        <f>IFERROR(IF(ROUND(R8-$G8,3)&gt;0,ROUND(R8-$G8,3),""),"")</f>
        <v/>
      </c>
      <c r="S9" s="111">
        <f>IFERROR(IF(ROUND(S8-$G8,3)&gt;0,ROUND(S8-$G8,3),""),"")</f>
        <v/>
      </c>
      <c r="T9" s="23" t="n"/>
      <c r="U9" s="111">
        <f>IFERROR(IF(ROUND(U8-$G8,3)&gt;0,ROUND(U8-$G8,3),""),"")</f>
        <v/>
      </c>
      <c r="V9" s="111">
        <f>IFERROR(IF(ROUND(V8-$G8,3)&gt;0,ROUND(V8-$G8,3),""),"")</f>
        <v/>
      </c>
      <c r="W9" s="111">
        <f>IFERROR(IF(ROUND(W8-$G8,3)&gt;0,ROUND(W8-$G8,3),""),"")</f>
        <v/>
      </c>
      <c r="X9" s="111">
        <f>IFERROR(IF(ROUND(X8-$G8,3)&gt;0,ROUND(X8-$G8,3),""),"")</f>
        <v/>
      </c>
      <c r="Y9" s="111">
        <f>IFERROR(IF(ROUND(Y8-$G8,3)&gt;0,ROUND(Y8-$G8,3),""),"")</f>
        <v/>
      </c>
      <c r="Z9" s="111">
        <f>IFERROR(IF(ROUND(Z8-$G8,3)&gt;0,ROUND(Z8-$G8,3),""),"")</f>
        <v/>
      </c>
      <c r="AA9" s="111">
        <f>IFERROR(IF(ROUND(AA8-$G8,3)&gt;0,ROUND(AA8-$G8,3),""),"")</f>
        <v/>
      </c>
      <c r="AB9" s="111">
        <f>IFERROR(IF(ROUND(AB8-$G8,3)&gt;0,ROUND(AB8-$G8,3),""),"")</f>
        <v/>
      </c>
      <c r="AC9" s="111">
        <f>IFERROR(IF(ROUND(AC8-$G8,3)&gt;0,ROUND(AC8-$G8,3),""),"")</f>
        <v/>
      </c>
      <c r="AD9" s="111">
        <f>IFERROR(IF(ROUND(AD8-$G8,3)&gt;0,ROUND(AD8-$G8,3),""),"")</f>
        <v/>
      </c>
      <c r="AE9" s="111">
        <f>IFERROR(IF(ROUND(AE8-$G8,3)&gt;0,ROUND(AE8-$G8,3),""),"")</f>
        <v/>
      </c>
      <c r="AF9" s="111">
        <f>IFERROR(IF(ROUND(AF8-$G8,3)&gt;0,ROUND(AF8-$G8,3),""),"")</f>
        <v/>
      </c>
      <c r="AH9" s="23" t="inlineStr">
        <is>
          <t>CONSTANTA ENV M</t>
        </is>
      </c>
      <c r="AI9" s="101" t="inlineStr">
        <is>
          <t>CONSTANTA ENV (FLAVOUR &amp; BLACK TEA)</t>
        </is>
      </c>
    </row>
    <row r="10" ht="15" customHeight="1" s="5">
      <c r="A10" s="104" t="n"/>
      <c r="B10" s="86" t="n"/>
      <c r="C10" s="86" t="n"/>
      <c r="D10" s="108" t="inlineStr">
        <is>
          <t>Short Order</t>
        </is>
      </c>
      <c r="E10" s="114" t="n"/>
      <c r="F10" s="114" t="n"/>
      <c r="G10" s="115" t="n"/>
      <c r="H10" s="111">
        <f>IFERROR(IF(ROUND($G8-H8,3)&gt;0,ROUND($G8-H8,3),""),"")</f>
        <v/>
      </c>
      <c r="I10" s="111">
        <f>IFERROR(IF(ROUND($G8-I8,3)&gt;0,ROUND($G8-I8,3),""),"")</f>
        <v/>
      </c>
      <c r="J10" s="111">
        <f>IFERROR(IF(ROUND($G8-J8,3)&gt;0,ROUND($G8-J8,3),""),"")</f>
        <v/>
      </c>
      <c r="K10" s="111">
        <f>IFERROR(IF(ROUND($G8-K8,3)&gt;0,ROUND($G8-K8,3),""),"")</f>
        <v/>
      </c>
      <c r="L10" s="111">
        <f>IFERROR(IF(ROUND($G8-L8,3)&gt;0,ROUND($G8-L8,3),""),"")</f>
        <v/>
      </c>
      <c r="M10" s="111">
        <f>IFERROR(IF(ROUND($G8-M8,3)&gt;0,ROUND($G8-M8,3),""),"")</f>
        <v/>
      </c>
      <c r="N10" s="111">
        <f>IFERROR(IF(ROUND($G8-N8,3)&gt;0,ROUND($G8-N8,3),""),"")</f>
        <v/>
      </c>
      <c r="O10" s="111">
        <f>IFERROR(IF(ROUND($G8-O8,3)&gt;0,ROUND($G8-O8,3),""),"")</f>
        <v/>
      </c>
      <c r="P10" s="111">
        <f>IFERROR(IF(ROUND($G8-P8,3)&gt;0,ROUND($G8-P8,3),""),"")</f>
        <v/>
      </c>
      <c r="Q10" s="111">
        <f>IFERROR(IF(ROUND($G8-Q8,3)&gt;0,ROUND($G8-Q8,3),""),"")</f>
        <v/>
      </c>
      <c r="R10" s="111">
        <f>IFERROR(IF(ROUND($G8-R8,3)&gt;0,ROUND($G8-R8,3),""),"")</f>
        <v/>
      </c>
      <c r="S10" s="111">
        <f>IFERROR(IF(ROUND($G8-S8,3)&gt;0,ROUND($G8-S8,3),""),"")</f>
        <v/>
      </c>
      <c r="T10" s="23" t="n"/>
      <c r="U10" s="111">
        <f>IFERROR(IF(ROUND($G8-U8,3)&gt;0,ROUND($G8-U8,3),""),"")</f>
        <v/>
      </c>
      <c r="V10" s="111">
        <f>IFERROR(IF(ROUND($G8-V8,3)&gt;0,ROUND($G8-V8,3),""),"")</f>
        <v/>
      </c>
      <c r="W10" s="111">
        <f>IFERROR(IF(ROUND($G8-W8,3)&gt;0,ROUND($G8-W8,3),""),"")</f>
        <v/>
      </c>
      <c r="X10" s="111">
        <f>IFERROR(IF(ROUND($G8-X8,3)&gt;0,ROUND($G8-X8,3),""),"")</f>
        <v/>
      </c>
      <c r="Y10" s="111">
        <f>IFERROR(IF(ROUND($G8-Y8,3)&gt;0,ROUND($G8-Y8,3),""),"")</f>
        <v/>
      </c>
      <c r="Z10" s="111">
        <f>IFERROR(IF(ROUND($G8-Z8,3)&gt;0,ROUND($G8-Z8,3),""),"")</f>
        <v/>
      </c>
      <c r="AA10" s="111">
        <f>IFERROR(IF(ROUND($G8-AA8,3)&gt;0,ROUND($G8-AA8,3),""),"")</f>
        <v/>
      </c>
      <c r="AB10" s="111">
        <f>IFERROR(IF(ROUND($G8-AB8,3)&gt;0,ROUND($G8-AB8,3),""),"")</f>
        <v/>
      </c>
      <c r="AC10" s="111">
        <f>IFERROR(IF(ROUND($G8-AC8,3)&gt;0,ROUND($G8-AC8,3),""),"")</f>
        <v/>
      </c>
      <c r="AD10" s="111">
        <f>IFERROR(IF(ROUND($G8-AD8,3)&gt;0,ROUND($G8-AD8,3),""),"")</f>
        <v/>
      </c>
      <c r="AE10" s="111">
        <f>IFERROR(IF(ROUND($G8-AE8,3)&gt;0,ROUND($G8-AE8,3),""),"")</f>
        <v/>
      </c>
      <c r="AF10" s="111">
        <f>IFERROR(IF(ROUND($G8-AF8,3)&gt;0,ROUND($G8-AF8,3),""),"")</f>
        <v/>
      </c>
      <c r="AH10" s="23" t="inlineStr">
        <is>
          <t>C250</t>
        </is>
      </c>
      <c r="AI10" s="101" t="inlineStr">
        <is>
          <t>C250</t>
        </is>
      </c>
    </row>
    <row r="11" ht="15" customHeight="1" s="5">
      <c r="A11" s="104" t="n"/>
      <c r="B11" s="103" t="inlineStr">
        <is>
          <t>AUSTRALIA</t>
        </is>
      </c>
      <c r="C11" s="65" t="inlineStr">
        <is>
          <t>DC TAG</t>
        </is>
      </c>
      <c r="D11" s="52" t="inlineStr">
        <is>
          <t>CONSTANTA TAG</t>
        </is>
      </c>
      <c r="E11" s="53" t="n">
        <v>6</v>
      </c>
      <c r="F11" s="53" t="n">
        <v>1</v>
      </c>
      <c r="G11" s="75">
        <f>IFERROR(IF(OR($F11=0,VLOOKUP($D11,'MC MASTER'!$A:$R,18,0)=0),"-",ROUND(VLOOKUP($D11,'MC MASTER'!$A:$R,18,0)*$E11*$F11,3)),"-")</f>
        <v/>
      </c>
      <c r="H11" s="75">
        <f>IFERROR(SUMIFS(WORKING!$Y:$Y,WORKING!$X:$X,$D11,WORKING!$W:$W,H$500),"")</f>
        <v/>
      </c>
      <c r="I11" s="75">
        <f>IFERROR(SUMIFS(WORKING!$Y:$Y,WORKING!$X:$X,$D11,WORKING!$W:$W,I$500),"")</f>
        <v/>
      </c>
      <c r="J11" s="75">
        <f>IFERROR(SUMIFS(WORKING!$Y:$Y,WORKING!$X:$X,$D11,WORKING!$W:$W,J$500),"")</f>
        <v/>
      </c>
      <c r="K11" s="75">
        <f>IFERROR(SUMIFS(WORKING!$Y:$Y,WORKING!$X:$X,$D11,WORKING!$W:$W,K$500),"")</f>
        <v/>
      </c>
      <c r="L11" s="75">
        <f>IFERROR(SUMIFS(WORKING!$Y:$Y,WORKING!$X:$X,$D11,WORKING!$W:$W,L$500),"")</f>
        <v/>
      </c>
      <c r="M11" s="75">
        <f>IFERROR(SUMIFS(WORKING!$Y:$Y,WORKING!$X:$X,$D11,WORKING!$W:$W,M$500),"")</f>
        <v/>
      </c>
      <c r="N11" s="75">
        <f>IFERROR(SUMIFS(WORKING!$Y:$Y,WORKING!$X:$X,$D11,WORKING!$W:$W,N$500),"")</f>
        <v/>
      </c>
      <c r="O11" s="75">
        <f>IFERROR(SUMIFS(WORKING!$Y:$Y,WORKING!$X:$X,$D11,WORKING!$W:$W,O$500),"")</f>
        <v/>
      </c>
      <c r="P11" s="75">
        <f>IFERROR(SUMIFS(WORKING!$Y:$Y,WORKING!$X:$X,$D11,WORKING!$W:$W,P$500),"")</f>
        <v/>
      </c>
      <c r="Q11" s="75">
        <f>IFERROR(SUMIFS(WORKING!$Y:$Y,WORKING!$X:$X,$D11,WORKING!$W:$W,Q$500),"")</f>
        <v/>
      </c>
      <c r="R11" s="75">
        <f>IFERROR(SUMIFS(WORKING!$Y:$Y,WORKING!$X:$X,$D11,WORKING!$W:$W,R$500),"")</f>
        <v/>
      </c>
      <c r="S11" s="75">
        <f>IFERROR(SUMIFS(WORKING!$Y:$Y,WORKING!$X:$X,$D11,WORKING!$W:$W,S$500),"")</f>
        <v/>
      </c>
      <c r="T11" s="23" t="n"/>
      <c r="U11" s="75">
        <f>IFERROR(SUMIFS(WORKING!$Z:$Z,WORKING!$X:$X,$D11,WORKING!$W:$W,H$500),"")</f>
        <v/>
      </c>
      <c r="V11" s="75">
        <f>IFERROR(SUMIFS(WORKING!$Z:$Z,WORKING!$X:$X,$D11,WORKING!$W:$W,I$500),"")</f>
        <v/>
      </c>
      <c r="W11" s="75">
        <f>IFERROR(SUMIFS(WORKING!$Z:$Z,WORKING!$X:$X,$D11,WORKING!$W:$W,J$500),"")</f>
        <v/>
      </c>
      <c r="X11" s="75">
        <f>IFERROR(SUMIFS(WORKING!$Z:$Z,WORKING!$X:$X,$D11,WORKING!$W:$W,K$500),"")</f>
        <v/>
      </c>
      <c r="Y11" s="75">
        <f>IFERROR(SUMIFS(WORKING!$Z:$Z,WORKING!$X:$X,$D11,WORKING!$W:$W,L$500),"")</f>
        <v/>
      </c>
      <c r="Z11" s="75">
        <f>IFERROR(SUMIFS(WORKING!$Z:$Z,WORKING!$X:$X,$D11,WORKING!$W:$W,M$500),"")</f>
        <v/>
      </c>
      <c r="AA11" s="75">
        <f>IFERROR(SUMIFS(WORKING!$Z:$Z,WORKING!$X:$X,$D11,WORKING!$W:$W,N$500),"")</f>
        <v/>
      </c>
      <c r="AB11" s="75">
        <f>IFERROR(SUMIFS(WORKING!$Z:$Z,WORKING!$X:$X,$D11,WORKING!$W:$W,O$500),"")</f>
        <v/>
      </c>
      <c r="AC11" s="75">
        <f>IFERROR(SUMIFS(WORKING!$Z:$Z,WORKING!$X:$X,$D11,WORKING!$W:$W,P$500),"")</f>
        <v/>
      </c>
      <c r="AD11" s="75">
        <f>IFERROR(SUMIFS(WORKING!$Z:$Z,WORKING!$X:$X,$D11,WORKING!$W:$W,Q$500),"")</f>
        <v/>
      </c>
      <c r="AE11" s="75">
        <f>IFERROR(SUMIFS(WORKING!$Z:$Z,WORKING!$X:$X,$D11,WORKING!$W:$W,R$500),"")</f>
        <v/>
      </c>
      <c r="AF11" s="75">
        <f>IFERROR(SUMIFS(WORKING!$Z:$Z,WORKING!$X:$X,$D11,WORKING!$W:$W,S$500),"")</f>
        <v/>
      </c>
      <c r="AH11" s="23" t="inlineStr">
        <is>
          <t>C250 AF</t>
        </is>
      </c>
      <c r="AI11" s="101" t="inlineStr">
        <is>
          <t>C250 AF</t>
        </is>
      </c>
    </row>
    <row r="12" ht="15" customHeight="1" s="5">
      <c r="A12" s="104" t="n"/>
      <c r="B12" s="104" t="n"/>
      <c r="C12" s="105" t="n"/>
      <c r="D12" s="125" t="inlineStr">
        <is>
          <t>TOTAL</t>
        </is>
      </c>
      <c r="E12" s="126" t="n"/>
      <c r="F12" s="126" t="n"/>
      <c r="G12" s="127">
        <f>SUM(G11:G11)</f>
        <v/>
      </c>
      <c r="H12" s="127">
        <f>SUM(H11:H11)</f>
        <v/>
      </c>
      <c r="I12" s="127">
        <f>SUM(I11:I11)</f>
        <v/>
      </c>
      <c r="J12" s="127">
        <f>SUM(J11:J11)</f>
        <v/>
      </c>
      <c r="K12" s="127">
        <f>SUM(K11:K11)</f>
        <v/>
      </c>
      <c r="L12" s="127">
        <f>SUM(L11:L11)</f>
        <v/>
      </c>
      <c r="M12" s="127">
        <f>SUM(M11:M11)</f>
        <v/>
      </c>
      <c r="N12" s="127">
        <f>SUM(N11:N11)</f>
        <v/>
      </c>
      <c r="O12" s="127">
        <f>SUM(O11:O11)</f>
        <v/>
      </c>
      <c r="P12" s="127">
        <f>SUM(P11:P11)</f>
        <v/>
      </c>
      <c r="Q12" s="127">
        <f>SUM(Q11:Q11)</f>
        <v/>
      </c>
      <c r="R12" s="127">
        <f>SUM(R11:R11)</f>
        <v/>
      </c>
      <c r="S12" s="127">
        <f>SUM(S11:S11)</f>
        <v/>
      </c>
      <c r="T12" s="23" t="n"/>
      <c r="U12" s="127">
        <f>SUM(U11:U11)</f>
        <v/>
      </c>
      <c r="V12" s="127">
        <f>SUM(V11:V11)</f>
        <v/>
      </c>
      <c r="W12" s="127">
        <f>SUM(W11:W11)</f>
        <v/>
      </c>
      <c r="X12" s="127">
        <f>SUM(X11:X11)</f>
        <v/>
      </c>
      <c r="Y12" s="127">
        <f>SUM(Y11:Y11)</f>
        <v/>
      </c>
      <c r="Z12" s="127">
        <f>SUM(Z11:Z11)</f>
        <v/>
      </c>
      <c r="AA12" s="127">
        <f>SUM(AA11:AA11)</f>
        <v/>
      </c>
      <c r="AB12" s="127">
        <f>SUM(AB11:AB11)</f>
        <v/>
      </c>
      <c r="AC12" s="127">
        <f>SUM(AC11:AC11)</f>
        <v/>
      </c>
      <c r="AD12" s="127">
        <f>SUM(AD11:AD11)</f>
        <v/>
      </c>
      <c r="AE12" s="127">
        <f>SUM(AE11:AE11)</f>
        <v/>
      </c>
      <c r="AF12" s="127">
        <f>SUM(AF11:AF11)</f>
        <v/>
      </c>
      <c r="AH12" s="23" t="inlineStr">
        <is>
          <t>C250-A</t>
        </is>
      </c>
      <c r="AI12" s="101" t="inlineStr">
        <is>
          <t>C250-A</t>
        </is>
      </c>
    </row>
    <row r="13" ht="15" customHeight="1" s="5">
      <c r="A13" s="104" t="n"/>
      <c r="B13" s="104" t="n"/>
      <c r="C13" s="116" t="n"/>
      <c r="D13" s="108" t="inlineStr">
        <is>
          <t>Excess Order</t>
        </is>
      </c>
      <c r="E13" s="112" t="n"/>
      <c r="F13" s="111" t="n"/>
      <c r="G13" s="111" t="n"/>
      <c r="H13" s="111">
        <f>IFERROR(IF(ROUND(H12-$G12,3)&gt;0,ROUND(H12-$G12,3),""),"")</f>
        <v/>
      </c>
      <c r="I13" s="111">
        <f>IFERROR(IF(ROUND(I12-$G12,3)&gt;0,ROUND(I12-$G12,3),""),"")</f>
        <v/>
      </c>
      <c r="J13" s="111">
        <f>IFERROR(IF(ROUND(J12-$G12,3)&gt;0,ROUND(J12-$G12,3),""),"")</f>
        <v/>
      </c>
      <c r="K13" s="111">
        <f>IFERROR(IF(ROUND(K12-$G12,3)&gt;0,ROUND(K12-$G12,3),""),"")</f>
        <v/>
      </c>
      <c r="L13" s="111">
        <f>IFERROR(IF(ROUND(L12-$G12,3)&gt;0,ROUND(L12-$G12,3),""),"")</f>
        <v/>
      </c>
      <c r="M13" s="111">
        <f>IFERROR(IF(ROUND(M12-$G12,3)&gt;0,ROUND(M12-$G12,3),""),"")</f>
        <v/>
      </c>
      <c r="N13" s="111">
        <f>IFERROR(IF(ROUND(N12-$G12,3)&gt;0,ROUND(N12-$G12,3),""),"")</f>
        <v/>
      </c>
      <c r="O13" s="111">
        <f>IFERROR(IF(ROUND(O12-$G12,3)&gt;0,ROUND(O12-$G12,3),""),"")</f>
        <v/>
      </c>
      <c r="P13" s="111">
        <f>IFERROR(IF(ROUND(P12-$G12,3)&gt;0,ROUND(P12-$G12,3),""),"")</f>
        <v/>
      </c>
      <c r="Q13" s="111">
        <f>IFERROR(IF(ROUND(Q12-$G12,3)&gt;0,ROUND(Q12-$G12,3),""),"")</f>
        <v/>
      </c>
      <c r="R13" s="111">
        <f>IFERROR(IF(ROUND(R12-$G12,3)&gt;0,ROUND(R12-$G12,3),""),"")</f>
        <v/>
      </c>
      <c r="S13" s="111">
        <f>IFERROR(IF(ROUND(S12-$G12,3)&gt;0,ROUND(S12-$G12,3),""),"")</f>
        <v/>
      </c>
      <c r="T13" s="23" t="n"/>
      <c r="U13" s="111">
        <f>IFERROR(IF(ROUND(U12-$G12,3)&gt;0,ROUND(U12-$G12,3),""),"")</f>
        <v/>
      </c>
      <c r="V13" s="111">
        <f>IFERROR(IF(ROUND(V12-$G12,3)&gt;0,ROUND(V12-$G12,3),""),"")</f>
        <v/>
      </c>
      <c r="W13" s="111">
        <f>IFERROR(IF(ROUND(W12-$G12,3)&gt;0,ROUND(W12-$G12,3),""),"")</f>
        <v/>
      </c>
      <c r="X13" s="111">
        <f>IFERROR(IF(ROUND(X12-$G12,3)&gt;0,ROUND(X12-$G12,3),""),"")</f>
        <v/>
      </c>
      <c r="Y13" s="111">
        <f>IFERROR(IF(ROUND(Y12-$G12,3)&gt;0,ROUND(Y12-$G12,3),""),"")</f>
        <v/>
      </c>
      <c r="Z13" s="111">
        <f>IFERROR(IF(ROUND(Z12-$G12,3)&gt;0,ROUND(Z12-$G12,3),""),"")</f>
        <v/>
      </c>
      <c r="AA13" s="111">
        <f>IFERROR(IF(ROUND(AA12-$G12,3)&gt;0,ROUND(AA12-$G12,3),""),"")</f>
        <v/>
      </c>
      <c r="AB13" s="111">
        <f>IFERROR(IF(ROUND(AB12-$G12,3)&gt;0,ROUND(AB12-$G12,3),""),"")</f>
        <v/>
      </c>
      <c r="AC13" s="111">
        <f>IFERROR(IF(ROUND(AC12-$G12,3)&gt;0,ROUND(AC12-$G12,3),""),"")</f>
        <v/>
      </c>
      <c r="AD13" s="111">
        <f>IFERROR(IF(ROUND(AD12-$G12,3)&gt;0,ROUND(AD12-$G12,3),""),"")</f>
        <v/>
      </c>
      <c r="AE13" s="111">
        <f>IFERROR(IF(ROUND(AE12-$G12,3)&gt;0,ROUND(AE12-$G12,3),""),"")</f>
        <v/>
      </c>
      <c r="AF13" s="111">
        <f>IFERROR(IF(ROUND(AF12-$G12,3)&gt;0,ROUND(AF12-$G12,3),""),"")</f>
        <v/>
      </c>
      <c r="AH13" s="23" t="inlineStr">
        <is>
          <t>C250F3 ENV</t>
        </is>
      </c>
      <c r="AI13" s="101" t="inlineStr">
        <is>
          <t>C250F3 ENV</t>
        </is>
      </c>
    </row>
    <row r="14" ht="15" customHeight="1" s="5">
      <c r="A14" s="104" t="n"/>
      <c r="B14" s="86" t="n"/>
      <c r="C14" s="86" t="n"/>
      <c r="D14" s="108" t="inlineStr">
        <is>
          <t>Short Order</t>
        </is>
      </c>
      <c r="E14" s="114" t="n"/>
      <c r="F14" s="114" t="n"/>
      <c r="G14" s="115" t="n"/>
      <c r="H14" s="111">
        <f>IFERROR(IF(ROUND($G12-H12,3)&gt;0,ROUND($G12-H12,3),""),"")</f>
        <v/>
      </c>
      <c r="I14" s="111">
        <f>IFERROR(IF(ROUND($G12-I12,3)&gt;0,ROUND($G12-I12,3),""),"")</f>
        <v/>
      </c>
      <c r="J14" s="111">
        <f>IFERROR(IF(ROUND($G12-J12,3)&gt;0,ROUND($G12-J12,3),""),"")</f>
        <v/>
      </c>
      <c r="K14" s="111">
        <f>IFERROR(IF(ROUND($G12-K12,3)&gt;0,ROUND($G12-K12,3),""),"")</f>
        <v/>
      </c>
      <c r="L14" s="111">
        <f>IFERROR(IF(ROUND($G12-L12,3)&gt;0,ROUND($G12-L12,3),""),"")</f>
        <v/>
      </c>
      <c r="M14" s="111">
        <f>IFERROR(IF(ROUND($G12-M12,3)&gt;0,ROUND($G12-M12,3),""),"")</f>
        <v/>
      </c>
      <c r="N14" s="111">
        <f>IFERROR(IF(ROUND($G12-N12,3)&gt;0,ROUND($G12-N12,3),""),"")</f>
        <v/>
      </c>
      <c r="O14" s="111">
        <f>IFERROR(IF(ROUND($G12-O12,3)&gt;0,ROUND($G12-O12,3),""),"")</f>
        <v/>
      </c>
      <c r="P14" s="111">
        <f>IFERROR(IF(ROUND($G12-P12,3)&gt;0,ROUND($G12-P12,3),""),"")</f>
        <v/>
      </c>
      <c r="Q14" s="111">
        <f>IFERROR(IF(ROUND($G12-Q12,3)&gt;0,ROUND($G12-Q12,3),""),"")</f>
        <v/>
      </c>
      <c r="R14" s="111">
        <f>IFERROR(IF(ROUND($G12-R12,3)&gt;0,ROUND($G12-R12,3),""),"")</f>
        <v/>
      </c>
      <c r="S14" s="111">
        <f>IFERROR(IF(ROUND($G12-S12,3)&gt;0,ROUND($G12-S12,3),""),"")</f>
        <v/>
      </c>
      <c r="T14" s="23" t="n"/>
      <c r="U14" s="111">
        <f>IFERROR(IF(ROUND($G12-U12,3)&gt;0,ROUND($G12-U12,3),""),"")</f>
        <v/>
      </c>
      <c r="V14" s="111">
        <f>IFERROR(IF(ROUND($G12-V12,3)&gt;0,ROUND($G12-V12,3),""),"")</f>
        <v/>
      </c>
      <c r="W14" s="111">
        <f>IFERROR(IF(ROUND($G12-W12,3)&gt;0,ROUND($G12-W12,3),""),"")</f>
        <v/>
      </c>
      <c r="X14" s="111">
        <f>IFERROR(IF(ROUND($G12-X12,3)&gt;0,ROUND($G12-X12,3),""),"")</f>
        <v/>
      </c>
      <c r="Y14" s="111">
        <f>IFERROR(IF(ROUND($G12-Y12,3)&gt;0,ROUND($G12-Y12,3),""),"")</f>
        <v/>
      </c>
      <c r="Z14" s="111">
        <f>IFERROR(IF(ROUND($G12-Z12,3)&gt;0,ROUND($G12-Z12,3),""),"")</f>
        <v/>
      </c>
      <c r="AA14" s="111">
        <f>IFERROR(IF(ROUND($G12-AA12,3)&gt;0,ROUND($G12-AA12,3),""),"")</f>
        <v/>
      </c>
      <c r="AB14" s="111">
        <f>IFERROR(IF(ROUND($G12-AB12,3)&gt;0,ROUND($G12-AB12,3),""),"")</f>
        <v/>
      </c>
      <c r="AC14" s="111">
        <f>IFERROR(IF(ROUND($G12-AC12,3)&gt;0,ROUND($G12-AC12,3),""),"")</f>
        <v/>
      </c>
      <c r="AD14" s="111">
        <f>IFERROR(IF(ROUND($G12-AD12,3)&gt;0,ROUND($G12-AD12,3),""),"")</f>
        <v/>
      </c>
      <c r="AE14" s="111">
        <f>IFERROR(IF(ROUND($G12-AE12,3)&gt;0,ROUND($G12-AE12,3),""),"")</f>
        <v/>
      </c>
      <c r="AF14" s="111">
        <f>IFERROR(IF(ROUND($G12-AF12,3)&gt;0,ROUND($G12-AF12,3),""),"")</f>
        <v/>
      </c>
      <c r="AH14" s="23" t="inlineStr">
        <is>
          <t>C250F3 HS</t>
        </is>
      </c>
      <c r="AI14" s="101" t="inlineStr">
        <is>
          <t>C250F3 HS</t>
        </is>
      </c>
    </row>
    <row r="15" ht="15" customHeight="1" s="5">
      <c r="A15" s="104" t="n"/>
      <c r="B15" s="103" t="inlineStr">
        <is>
          <t>EUROPE</t>
        </is>
      </c>
      <c r="C15" s="65" t="inlineStr">
        <is>
          <t>DC SF CRIMP</t>
        </is>
      </c>
      <c r="D15" s="52" t="inlineStr">
        <is>
          <t>C250</t>
        </is>
      </c>
      <c r="E15" s="53" t="n">
        <v>3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75">
        <f>IFERROR(SUMIFS(WORKING!$Z:$Z,WORKING!$X:$X,$D15,WORKING!$W:$W,H$500),"")</f>
        <v/>
      </c>
      <c r="V15" s="75">
        <f>IFERROR(SUMIFS(WORKING!$Z:$Z,WORKING!$X:$X,$D15,WORKING!$W:$W,I$500),"")</f>
        <v/>
      </c>
      <c r="W15" s="75">
        <f>IFERROR(SUMIFS(WORKING!$Z:$Z,WORKING!$X:$X,$D15,WORKING!$W:$W,J$500),"")</f>
        <v/>
      </c>
      <c r="X15" s="75">
        <f>IFERROR(SUMIFS(WORKING!$Z:$Z,WORKING!$X:$X,$D15,WORKING!$W:$W,K$500),"")</f>
        <v/>
      </c>
      <c r="Y15" s="75">
        <f>IFERROR(SUMIFS(WORKING!$Z:$Z,WORKING!$X:$X,$D15,WORKING!$W:$W,L$500),"")</f>
        <v/>
      </c>
      <c r="Z15" s="75">
        <f>IFERROR(SUMIFS(WORKING!$Z:$Z,WORKING!$X:$X,$D15,WORKING!$W:$W,M$500),"")</f>
        <v/>
      </c>
      <c r="AA15" s="75">
        <f>IFERROR(SUMIFS(WORKING!$Z:$Z,WORKING!$X:$X,$D15,WORKING!$W:$W,N$500),"")</f>
        <v/>
      </c>
      <c r="AB15" s="75">
        <f>IFERROR(SUMIFS(WORKING!$Z:$Z,WORKING!$X:$X,$D15,WORKING!$W:$W,O$500),"")</f>
        <v/>
      </c>
      <c r="AC15" s="75">
        <f>IFERROR(SUMIFS(WORKING!$Z:$Z,WORKING!$X:$X,$D15,WORKING!$W:$W,P$500),"")</f>
        <v/>
      </c>
      <c r="AD15" s="75">
        <f>IFERROR(SUMIFS(WORKING!$Z:$Z,WORKING!$X:$X,$D15,WORKING!$W:$W,Q$500),"")</f>
        <v/>
      </c>
      <c r="AE15" s="75">
        <f>IFERROR(SUMIFS(WORKING!$Z:$Z,WORKING!$X:$X,$D15,WORKING!$W:$W,R$500),"")</f>
        <v/>
      </c>
      <c r="AF15" s="75">
        <f>IFERROR(SUMIFS(WORKING!$Z:$Z,WORKING!$X:$X,$D15,WORKING!$W:$W,S$500),"")</f>
        <v/>
      </c>
      <c r="AH15" s="23" t="inlineStr">
        <is>
          <t>MD20 4GM TAG</t>
        </is>
      </c>
      <c r="AI15" s="101" t="inlineStr">
        <is>
          <t>MD20 4GM TAG</t>
        </is>
      </c>
    </row>
    <row r="16" ht="15" customHeight="1" s="5">
      <c r="A16" s="104" t="n"/>
      <c r="B16" s="104" t="n"/>
      <c r="C16" s="86" t="n"/>
      <c r="D16" s="52" t="inlineStr">
        <is>
          <t>VARIETIES PACK</t>
        </is>
      </c>
      <c r="E16" s="53" t="n">
        <v>1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75">
        <f>IFERROR(SUMIFS(WORKING!$Z:$Z,WORKING!$X:$X,$D16,WORKING!$W:$W,H$500),"")</f>
        <v/>
      </c>
      <c r="V16" s="75">
        <f>IFERROR(SUMIFS(WORKING!$Z:$Z,WORKING!$X:$X,$D16,WORKING!$W:$W,I$500),"")</f>
        <v/>
      </c>
      <c r="W16" s="75">
        <f>IFERROR(SUMIFS(WORKING!$Z:$Z,WORKING!$X:$X,$D16,WORKING!$W:$W,J$500),"")</f>
        <v/>
      </c>
      <c r="X16" s="75">
        <f>IFERROR(SUMIFS(WORKING!$Z:$Z,WORKING!$X:$X,$D16,WORKING!$W:$W,K$500),"")</f>
        <v/>
      </c>
      <c r="Y16" s="75">
        <f>IFERROR(SUMIFS(WORKING!$Z:$Z,WORKING!$X:$X,$D16,WORKING!$W:$W,L$500),"")</f>
        <v/>
      </c>
      <c r="Z16" s="75">
        <f>IFERROR(SUMIFS(WORKING!$Z:$Z,WORKING!$X:$X,$D16,WORKING!$W:$W,M$500),"")</f>
        <v/>
      </c>
      <c r="AA16" s="75">
        <f>IFERROR(SUMIFS(WORKING!$Z:$Z,WORKING!$X:$X,$D16,WORKING!$W:$W,N$500),"")</f>
        <v/>
      </c>
      <c r="AB16" s="75">
        <f>IFERROR(SUMIFS(WORKING!$Z:$Z,WORKING!$X:$X,$D16,WORKING!$W:$W,O$500),"")</f>
        <v/>
      </c>
      <c r="AC16" s="75">
        <f>IFERROR(SUMIFS(WORKING!$Z:$Z,WORKING!$X:$X,$D16,WORKING!$W:$W,P$500),"")</f>
        <v/>
      </c>
      <c r="AD16" s="75">
        <f>IFERROR(SUMIFS(WORKING!$Z:$Z,WORKING!$X:$X,$D16,WORKING!$W:$W,Q$500),"")</f>
        <v/>
      </c>
      <c r="AE16" s="75">
        <f>IFERROR(SUMIFS(WORKING!$Z:$Z,WORKING!$X:$X,$D16,WORKING!$W:$W,R$500),"")</f>
        <v/>
      </c>
      <c r="AF16" s="75">
        <f>IFERROR(SUMIFS(WORKING!$Z:$Z,WORKING!$X:$X,$D16,WORKING!$W:$W,S$500),"")</f>
        <v/>
      </c>
      <c r="AH16" s="23" t="inlineStr">
        <is>
          <t>MD20 ENV</t>
        </is>
      </c>
      <c r="AI16" s="101" t="inlineStr">
        <is>
          <t>MD20 ENV</t>
        </is>
      </c>
    </row>
    <row r="17" ht="15" customHeight="1" s="5">
      <c r="A17" s="104" t="n"/>
      <c r="B17" s="104" t="n"/>
      <c r="C17" s="105" t="n"/>
      <c r="D17" s="125" t="inlineStr">
        <is>
          <t>TOTAL</t>
        </is>
      </c>
      <c r="E17" s="126" t="n"/>
      <c r="F17" s="126" t="n"/>
      <c r="G17" s="127">
        <f>SUM(G15:G16)</f>
        <v/>
      </c>
      <c r="H17" s="127">
        <f>SUM(H15:H16)</f>
        <v/>
      </c>
      <c r="I17" s="127">
        <f>SUM(I15:I16)</f>
        <v/>
      </c>
      <c r="J17" s="127">
        <f>SUM(J15:J16)</f>
        <v/>
      </c>
      <c r="K17" s="127">
        <f>SUM(K15:K16)</f>
        <v/>
      </c>
      <c r="L17" s="127">
        <f>SUM(L15:L16)</f>
        <v/>
      </c>
      <c r="M17" s="127">
        <f>SUM(M15:M16)</f>
        <v/>
      </c>
      <c r="N17" s="127">
        <f>SUM(N15:N16)</f>
        <v/>
      </c>
      <c r="O17" s="127">
        <f>SUM(O15:O16)</f>
        <v/>
      </c>
      <c r="P17" s="127">
        <f>SUM(P15:P16)</f>
        <v/>
      </c>
      <c r="Q17" s="127">
        <f>SUM(Q15:Q16)</f>
        <v/>
      </c>
      <c r="R17" s="127">
        <f>SUM(R15:R16)</f>
        <v/>
      </c>
      <c r="S17" s="127">
        <f>SUM(S15:S16)</f>
        <v/>
      </c>
      <c r="T17" s="23" t="n"/>
      <c r="U17" s="127">
        <f>SUM(U15:U16)</f>
        <v/>
      </c>
      <c r="V17" s="127">
        <f>SUM(V15:V16)</f>
        <v/>
      </c>
      <c r="W17" s="127">
        <f>SUM(W15:W16)</f>
        <v/>
      </c>
      <c r="X17" s="127">
        <f>SUM(X15:X16)</f>
        <v/>
      </c>
      <c r="Y17" s="127">
        <f>SUM(Y15:Y16)</f>
        <v/>
      </c>
      <c r="Z17" s="127">
        <f>SUM(Z15:Z16)</f>
        <v/>
      </c>
      <c r="AA17" s="127">
        <f>SUM(AA15:AA16)</f>
        <v/>
      </c>
      <c r="AB17" s="127">
        <f>SUM(AB15:AB16)</f>
        <v/>
      </c>
      <c r="AC17" s="127">
        <f>SUM(AC15:AC16)</f>
        <v/>
      </c>
      <c r="AD17" s="127">
        <f>SUM(AD15:AD16)</f>
        <v/>
      </c>
      <c r="AE17" s="127">
        <f>SUM(AE15:AE16)</f>
        <v/>
      </c>
      <c r="AF17" s="127">
        <f>SUM(AF15:AF16)</f>
        <v/>
      </c>
      <c r="AH17" s="23" t="inlineStr">
        <is>
          <t>MD20 HS</t>
        </is>
      </c>
      <c r="AI17" s="101" t="inlineStr">
        <is>
          <t>MD20 HS</t>
        </is>
      </c>
    </row>
    <row r="18" ht="15" customHeight="1" s="5">
      <c r="A18" s="104" t="n"/>
      <c r="B18" s="104" t="n"/>
      <c r="C18" s="107" t="n"/>
      <c r="D18" s="108" t="inlineStr">
        <is>
          <t>Excess Order</t>
        </is>
      </c>
      <c r="E18" s="109" t="n"/>
      <c r="F18" s="110" t="n"/>
      <c r="G18" s="110" t="n"/>
      <c r="H18" s="111">
        <f>IFERROR(IF(ROUND(H17-$G17,3)&gt;0,ROUND(H17-$G17,3),""),"")</f>
        <v/>
      </c>
      <c r="I18" s="111">
        <f>IFERROR(IF(ROUND(I17-$G17,3)&gt;0,ROUND(I17-$G17,3),""),"")</f>
        <v/>
      </c>
      <c r="J18" s="111">
        <f>IFERROR(IF(ROUND(J17-$G17,3)&gt;0,ROUND(J17-$G17,3),""),"")</f>
        <v/>
      </c>
      <c r="K18" s="111">
        <f>IFERROR(IF(ROUND(K17-$G17,3)&gt;0,ROUND(K17-$G17,3),""),"")</f>
        <v/>
      </c>
      <c r="L18" s="111">
        <f>IFERROR(IF(ROUND(L17-$G17,3)&gt;0,ROUND(L17-$G17,3),""),"")</f>
        <v/>
      </c>
      <c r="M18" s="111">
        <f>IFERROR(IF(ROUND(M17-$G17,3)&gt;0,ROUND(M17-$G17,3),""),"")</f>
        <v/>
      </c>
      <c r="N18" s="111">
        <f>IFERROR(IF(ROUND(N17-$G17,3)&gt;0,ROUND(N17-$G17,3),""),"")</f>
        <v/>
      </c>
      <c r="O18" s="111">
        <f>IFERROR(IF(ROUND(O17-$G17,3)&gt;0,ROUND(O17-$G17,3),""),"")</f>
        <v/>
      </c>
      <c r="P18" s="111">
        <f>IFERROR(IF(ROUND(P17-$G17,3)&gt;0,ROUND(P17-$G17,3),""),"")</f>
        <v/>
      </c>
      <c r="Q18" s="111">
        <f>IFERROR(IF(ROUND(Q17-$G17,3)&gt;0,ROUND(Q17-$G17,3),""),"")</f>
        <v/>
      </c>
      <c r="R18" s="111">
        <f>IFERROR(IF(ROUND(R17-$G17,3)&gt;0,ROUND(R17-$G17,3),""),"")</f>
        <v/>
      </c>
      <c r="S18" s="111">
        <f>IFERROR(IF(ROUND(S17-$G17,3)&gt;0,ROUND(S17-$G17,3),""),"")</f>
        <v/>
      </c>
      <c r="T18" s="23" t="n"/>
      <c r="U18" s="111">
        <f>IFERROR(IF(ROUND(U17-$G17,3)&gt;0,ROUND(U17-$G17,3),""),"")</f>
        <v/>
      </c>
      <c r="V18" s="111">
        <f>IFERROR(IF(ROUND(V17-$G17,3)&gt;0,ROUND(V17-$G17,3),""),"")</f>
        <v/>
      </c>
      <c r="W18" s="111">
        <f>IFERROR(IF(ROUND(W17-$G17,3)&gt;0,ROUND(W17-$G17,3),""),"")</f>
        <v/>
      </c>
      <c r="X18" s="111">
        <f>IFERROR(IF(ROUND(X17-$G17,3)&gt;0,ROUND(X17-$G17,3),""),"")</f>
        <v/>
      </c>
      <c r="Y18" s="111">
        <f>IFERROR(IF(ROUND(Y17-$G17,3)&gt;0,ROUND(Y17-$G17,3),""),"")</f>
        <v/>
      </c>
      <c r="Z18" s="111">
        <f>IFERROR(IF(ROUND(Z17-$G17,3)&gt;0,ROUND(Z17-$G17,3),""),"")</f>
        <v/>
      </c>
      <c r="AA18" s="111">
        <f>IFERROR(IF(ROUND(AA17-$G17,3)&gt;0,ROUND(AA17-$G17,3),""),"")</f>
        <v/>
      </c>
      <c r="AB18" s="111">
        <f>IFERROR(IF(ROUND(AB17-$G17,3)&gt;0,ROUND(AB17-$G17,3),""),"")</f>
        <v/>
      </c>
      <c r="AC18" s="111">
        <f>IFERROR(IF(ROUND(AC17-$G17,3)&gt;0,ROUND(AC17-$G17,3),""),"")</f>
        <v/>
      </c>
      <c r="AD18" s="111">
        <f>IFERROR(IF(ROUND(AD17-$G17,3)&gt;0,ROUND(AD17-$G17,3),""),"")</f>
        <v/>
      </c>
      <c r="AE18" s="111">
        <f>IFERROR(IF(ROUND(AE17-$G17,3)&gt;0,ROUND(AE17-$G17,3),""),"")</f>
        <v/>
      </c>
      <c r="AF18" s="111">
        <f>IFERROR(IF(ROUND(AF17-$G17,3)&gt;0,ROUND(AF17-$G17,3),""),"")</f>
        <v/>
      </c>
      <c r="AH18" s="23" t="inlineStr">
        <is>
          <t>MAISA ENV</t>
        </is>
      </c>
      <c r="AI18" s="101" t="inlineStr">
        <is>
          <t>MAISA ENV</t>
        </is>
      </c>
    </row>
    <row r="19" ht="15" customHeight="1" s="5">
      <c r="A19" s="104" t="n"/>
      <c r="B19" s="104" t="n"/>
      <c r="C19" s="86" t="n"/>
      <c r="D19" s="108" t="inlineStr">
        <is>
          <t>Short Order</t>
        </is>
      </c>
      <c r="E19" s="112" t="n"/>
      <c r="F19" s="111" t="n"/>
      <c r="G19" s="111" t="n"/>
      <c r="H19" s="111">
        <f>IFERROR(IF(ROUND($G17-H17,3)&gt;0,ROUND($G17-H17,3),""),"")</f>
        <v/>
      </c>
      <c r="I19" s="111">
        <f>IFERROR(IF(ROUND($G17-I17,3)&gt;0,ROUND($G17-I17,3),""),"")</f>
        <v/>
      </c>
      <c r="J19" s="111">
        <f>IFERROR(IF(ROUND($G17-J17,3)&gt;0,ROUND($G17-J17,3),""),"")</f>
        <v/>
      </c>
      <c r="K19" s="111">
        <f>IFERROR(IF(ROUND($G17-K17,3)&gt;0,ROUND($G17-K17,3),""),"")</f>
        <v/>
      </c>
      <c r="L19" s="111">
        <f>IFERROR(IF(ROUND($G17-L17,3)&gt;0,ROUND($G17-L17,3),""),"")</f>
        <v/>
      </c>
      <c r="M19" s="111">
        <f>IFERROR(IF(ROUND($G17-M17,3)&gt;0,ROUND($G17-M17,3),""),"")</f>
        <v/>
      </c>
      <c r="N19" s="111">
        <f>IFERROR(IF(ROUND($G17-N17,3)&gt;0,ROUND($G17-N17,3),""),"")</f>
        <v/>
      </c>
      <c r="O19" s="111">
        <f>IFERROR(IF(ROUND($G17-O17,3)&gt;0,ROUND($G17-O17,3),""),"")</f>
        <v/>
      </c>
      <c r="P19" s="111">
        <f>IFERROR(IF(ROUND($G17-P17,3)&gt;0,ROUND($G17-P17,3),""),"")</f>
        <v/>
      </c>
      <c r="Q19" s="111">
        <f>IFERROR(IF(ROUND($G17-Q17,3)&gt;0,ROUND($G17-Q17,3),""),"")</f>
        <v/>
      </c>
      <c r="R19" s="111">
        <f>IFERROR(IF(ROUND($G17-R17,3)&gt;0,ROUND($G17-R17,3),""),"")</f>
        <v/>
      </c>
      <c r="S19" s="111">
        <f>IFERROR(IF(ROUND($G17-S17,3)&gt;0,ROUND($G17-S17,3),""),"")</f>
        <v/>
      </c>
      <c r="T19" s="23" t="n"/>
      <c r="U19" s="111">
        <f>IFERROR(IF(ROUND($G17-U17,3)&gt;0,ROUND($G17-U17,3),""),"")</f>
        <v/>
      </c>
      <c r="V19" s="111">
        <f>IFERROR(IF(ROUND($G17-V17,3)&gt;0,ROUND($G17-V17,3),""),"")</f>
        <v/>
      </c>
      <c r="W19" s="111">
        <f>IFERROR(IF(ROUND($G17-W17,3)&gt;0,ROUND($G17-W17,3),""),"")</f>
        <v/>
      </c>
      <c r="X19" s="111">
        <f>IFERROR(IF(ROUND($G17-X17,3)&gt;0,ROUND($G17-X17,3),""),"")</f>
        <v/>
      </c>
      <c r="Y19" s="111">
        <f>IFERROR(IF(ROUND($G17-Y17,3)&gt;0,ROUND($G17-Y17,3),""),"")</f>
        <v/>
      </c>
      <c r="Z19" s="111">
        <f>IFERROR(IF(ROUND($G17-Z17,3)&gt;0,ROUND($G17-Z17,3),""),"")</f>
        <v/>
      </c>
      <c r="AA19" s="111">
        <f>IFERROR(IF(ROUND($G17-AA17,3)&gt;0,ROUND($G17-AA17,3),""),"")</f>
        <v/>
      </c>
      <c r="AB19" s="111">
        <f>IFERROR(IF(ROUND($G17-AB17,3)&gt;0,ROUND($G17-AB17,3),""),"")</f>
        <v/>
      </c>
      <c r="AC19" s="111">
        <f>IFERROR(IF(ROUND($G17-AC17,3)&gt;0,ROUND($G17-AC17,3),""),"")</f>
        <v/>
      </c>
      <c r="AD19" s="111">
        <f>IFERROR(IF(ROUND($G17-AD17,3)&gt;0,ROUND($G17-AD17,3),""),"")</f>
        <v/>
      </c>
      <c r="AE19" s="111">
        <f>IFERROR(IF(ROUND($G17-AE17,3)&gt;0,ROUND($G17-AE17,3),""),"")</f>
        <v/>
      </c>
      <c r="AF19" s="111">
        <f>IFERROR(IF(ROUND($G17-AF17,3)&gt;0,ROUND($G17-AF17,3),""),"")</f>
        <v/>
      </c>
      <c r="AH19" s="23" t="inlineStr">
        <is>
          <t>MD20 ENV GARANT</t>
        </is>
      </c>
      <c r="AI19" s="101" t="inlineStr">
        <is>
          <t>MD20 ENV GARANT</t>
        </is>
      </c>
    </row>
    <row r="20" ht="15" customHeight="1" s="5">
      <c r="A20" s="104" t="n"/>
      <c r="B20" s="104" t="n"/>
      <c r="C20" s="65" t="inlineStr">
        <is>
          <t>DC TAG</t>
        </is>
      </c>
      <c r="D20" s="52" t="inlineStr">
        <is>
          <t>MD20 4GM TAG</t>
        </is>
      </c>
      <c r="E20" s="53" t="n">
        <v>1</v>
      </c>
      <c r="F20" s="53" t="n">
        <v>1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75">
        <f>IFERROR(SUMIFS(WORKING!$Z:$Z,WORKING!$X:$X,$D20,WORKING!$W:$W,H$500),"")</f>
        <v/>
      </c>
      <c r="V20" s="75">
        <f>IFERROR(SUMIFS(WORKING!$Z:$Z,WORKING!$X:$X,$D20,WORKING!$W:$W,I$500),"")</f>
        <v/>
      </c>
      <c r="W20" s="75">
        <f>IFERROR(SUMIFS(WORKING!$Z:$Z,WORKING!$X:$X,$D20,WORKING!$W:$W,J$500),"")</f>
        <v/>
      </c>
      <c r="X20" s="75">
        <f>IFERROR(SUMIFS(WORKING!$Z:$Z,WORKING!$X:$X,$D20,WORKING!$W:$W,K$500),"")</f>
        <v/>
      </c>
      <c r="Y20" s="75">
        <f>IFERROR(SUMIFS(WORKING!$Z:$Z,WORKING!$X:$X,$D20,WORKING!$W:$W,L$500),"")</f>
        <v/>
      </c>
      <c r="Z20" s="75">
        <f>IFERROR(SUMIFS(WORKING!$Z:$Z,WORKING!$X:$X,$D20,WORKING!$W:$W,M$500),"")</f>
        <v/>
      </c>
      <c r="AA20" s="75">
        <f>IFERROR(SUMIFS(WORKING!$Z:$Z,WORKING!$X:$X,$D20,WORKING!$W:$W,N$500),"")</f>
        <v/>
      </c>
      <c r="AB20" s="75">
        <f>IFERROR(SUMIFS(WORKING!$Z:$Z,WORKING!$X:$X,$D20,WORKING!$W:$W,O$500),"")</f>
        <v/>
      </c>
      <c r="AC20" s="75">
        <f>IFERROR(SUMIFS(WORKING!$Z:$Z,WORKING!$X:$X,$D20,WORKING!$W:$W,P$500),"")</f>
        <v/>
      </c>
      <c r="AD20" s="75">
        <f>IFERROR(SUMIFS(WORKING!$Z:$Z,WORKING!$X:$X,$D20,WORKING!$W:$W,Q$500),"")</f>
        <v/>
      </c>
      <c r="AE20" s="75">
        <f>IFERROR(SUMIFS(WORKING!$Z:$Z,WORKING!$X:$X,$D20,WORKING!$W:$W,R$500),"")</f>
        <v/>
      </c>
      <c r="AF20" s="75">
        <f>IFERROR(SUMIFS(WORKING!$Z:$Z,WORKING!$X:$X,$D20,WORKING!$W:$W,S$500),"")</f>
        <v/>
      </c>
      <c r="AH20" s="23" t="inlineStr">
        <is>
          <t>MAISA TAGLESS</t>
        </is>
      </c>
      <c r="AI20" s="101" t="inlineStr">
        <is>
          <t>MAISA TAGLESS</t>
        </is>
      </c>
    </row>
    <row r="21" ht="15" customHeight="1" s="5">
      <c r="A21" s="104" t="n"/>
      <c r="B21" s="104" t="n"/>
      <c r="C21" s="86" t="n"/>
      <c r="D21" s="52" t="inlineStr">
        <is>
          <t>PERFECTA  K 45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75">
        <f>IFERROR(SUMIFS(WORKING!$Z:$Z,WORKING!$X:$X,$D21,WORKING!$W:$W,H$500),"")</f>
        <v/>
      </c>
      <c r="V21" s="75">
        <f>IFERROR(SUMIFS(WORKING!$Z:$Z,WORKING!$X:$X,$D21,WORKING!$W:$W,I$500),"")</f>
        <v/>
      </c>
      <c r="W21" s="75">
        <f>IFERROR(SUMIFS(WORKING!$Z:$Z,WORKING!$X:$X,$D21,WORKING!$W:$W,J$500),"")</f>
        <v/>
      </c>
      <c r="X21" s="75">
        <f>IFERROR(SUMIFS(WORKING!$Z:$Z,WORKING!$X:$X,$D21,WORKING!$W:$W,K$500),"")</f>
        <v/>
      </c>
      <c r="Y21" s="75">
        <f>IFERROR(SUMIFS(WORKING!$Z:$Z,WORKING!$X:$X,$D21,WORKING!$W:$W,L$500),"")</f>
        <v/>
      </c>
      <c r="Z21" s="75">
        <f>IFERROR(SUMIFS(WORKING!$Z:$Z,WORKING!$X:$X,$D21,WORKING!$W:$W,M$500),"")</f>
        <v/>
      </c>
      <c r="AA21" s="75">
        <f>IFERROR(SUMIFS(WORKING!$Z:$Z,WORKING!$X:$X,$D21,WORKING!$W:$W,N$500),"")</f>
        <v/>
      </c>
      <c r="AB21" s="75">
        <f>IFERROR(SUMIFS(WORKING!$Z:$Z,WORKING!$X:$X,$D21,WORKING!$W:$W,O$500),"")</f>
        <v/>
      </c>
      <c r="AC21" s="75">
        <f>IFERROR(SUMIFS(WORKING!$Z:$Z,WORKING!$X:$X,$D21,WORKING!$W:$W,P$500),"")</f>
        <v/>
      </c>
      <c r="AD21" s="75">
        <f>IFERROR(SUMIFS(WORKING!$Z:$Z,WORKING!$X:$X,$D21,WORKING!$W:$W,Q$500),"")</f>
        <v/>
      </c>
      <c r="AE21" s="75">
        <f>IFERROR(SUMIFS(WORKING!$Z:$Z,WORKING!$X:$X,$D21,WORKING!$W:$W,R$500),"")</f>
        <v/>
      </c>
      <c r="AF21" s="75">
        <f>IFERROR(SUMIFS(WORKING!$Z:$Z,WORKING!$X:$X,$D21,WORKING!$W:$W,S$500),"")</f>
        <v/>
      </c>
      <c r="AH21" s="23" t="inlineStr">
        <is>
          <t>CONSTANTA TAG</t>
        </is>
      </c>
      <c r="AI21" s="101" t="inlineStr">
        <is>
          <t>CONSTANTA TAG</t>
        </is>
      </c>
    </row>
    <row r="22" ht="15" customHeight="1" s="5">
      <c r="A22" s="104" t="n"/>
      <c r="B22" s="104" t="n"/>
      <c r="C22" s="105" t="n"/>
      <c r="D22" s="125" t="inlineStr">
        <is>
          <t>TOTAL</t>
        </is>
      </c>
      <c r="E22" s="126" t="n"/>
      <c r="F22" s="126" t="n"/>
      <c r="G22" s="127">
        <f>SUM(G20:G21)</f>
        <v/>
      </c>
      <c r="H22" s="127">
        <f>SUM(H20:H21)</f>
        <v/>
      </c>
      <c r="I22" s="127">
        <f>SUM(I20:I21)</f>
        <v/>
      </c>
      <c r="J22" s="127">
        <f>SUM(J20:J21)</f>
        <v/>
      </c>
      <c r="K22" s="127">
        <f>SUM(K20:K21)</f>
        <v/>
      </c>
      <c r="L22" s="127">
        <f>SUM(L20:L21)</f>
        <v/>
      </c>
      <c r="M22" s="127">
        <f>SUM(M20:M21)</f>
        <v/>
      </c>
      <c r="N22" s="127">
        <f>SUM(N20:N21)</f>
        <v/>
      </c>
      <c r="O22" s="127">
        <f>SUM(O20:O21)</f>
        <v/>
      </c>
      <c r="P22" s="127">
        <f>SUM(P20:P21)</f>
        <v/>
      </c>
      <c r="Q22" s="127">
        <f>SUM(Q20:Q21)</f>
        <v/>
      </c>
      <c r="R22" s="127">
        <f>SUM(R20:R21)</f>
        <v/>
      </c>
      <c r="S22" s="127">
        <f>SUM(S20:S21)</f>
        <v/>
      </c>
      <c r="T22" s="23" t="n"/>
      <c r="U22" s="127">
        <f>SUM(U20:U21)</f>
        <v/>
      </c>
      <c r="V22" s="127">
        <f>SUM(V20:V21)</f>
        <v/>
      </c>
      <c r="W22" s="127">
        <f>SUM(W20:W21)</f>
        <v/>
      </c>
      <c r="X22" s="127">
        <f>SUM(X20:X21)</f>
        <v/>
      </c>
      <c r="Y22" s="127">
        <f>SUM(Y20:Y21)</f>
        <v/>
      </c>
      <c r="Z22" s="127">
        <f>SUM(Z20:Z21)</f>
        <v/>
      </c>
      <c r="AA22" s="127">
        <f>SUM(AA20:AA21)</f>
        <v/>
      </c>
      <c r="AB22" s="127">
        <f>SUM(AB20:AB21)</f>
        <v/>
      </c>
      <c r="AC22" s="127">
        <f>SUM(AC20:AC21)</f>
        <v/>
      </c>
      <c r="AD22" s="127">
        <f>SUM(AD20:AD21)</f>
        <v/>
      </c>
      <c r="AE22" s="127">
        <f>SUM(AE20:AE21)</f>
        <v/>
      </c>
      <c r="AF22" s="127">
        <f>SUM(AF20:AF21)</f>
        <v/>
      </c>
      <c r="AH22" s="23" t="inlineStr">
        <is>
          <t>CONSTANTA TAG (D)</t>
        </is>
      </c>
      <c r="AI22" s="101" t="inlineStr">
        <is>
          <t>CONSTANTA TAG</t>
        </is>
      </c>
    </row>
    <row r="23" ht="15" customHeight="1" s="5">
      <c r="A23" s="104" t="n"/>
      <c r="B23" s="104" t="n"/>
      <c r="C23" s="106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79">
        <f>IFERROR(IF(ROUND(U22-$G22,3)&gt;0,ROUND(U22-$G22,3),""),"")</f>
        <v/>
      </c>
      <c r="V23" s="79">
        <f>IFERROR(IF(ROUND(V22-$G22,3)&gt;0,ROUND(V22-$G22,3),""),"")</f>
        <v/>
      </c>
      <c r="W23" s="79">
        <f>IFERROR(IF(ROUND(W22-$G22,3)&gt;0,ROUND(W22-$G22,3),""),"")</f>
        <v/>
      </c>
      <c r="X23" s="79">
        <f>IFERROR(IF(ROUND(X22-$G22,3)&gt;0,ROUND(X22-$G22,3),""),"")</f>
        <v/>
      </c>
      <c r="Y23" s="79">
        <f>IFERROR(IF(ROUND(Y22-$G22,3)&gt;0,ROUND(Y22-$G22,3),""),"")</f>
        <v/>
      </c>
      <c r="Z23" s="79">
        <f>IFERROR(IF(ROUND(Z22-$G22,3)&gt;0,ROUND(Z22-$G22,3),""),"")</f>
        <v/>
      </c>
      <c r="AA23" s="79">
        <f>IFERROR(IF(ROUND(AA22-$G22,3)&gt;0,ROUND(AA22-$G22,3),""),"")</f>
        <v/>
      </c>
      <c r="AB23" s="79">
        <f>IFERROR(IF(ROUND(AB22-$G22,3)&gt;0,ROUND(AB22-$G22,3),""),"")</f>
        <v/>
      </c>
      <c r="AC23" s="79">
        <f>IFERROR(IF(ROUND(AC22-$G22,3)&gt;0,ROUND(AC22-$G22,3),""),"")</f>
        <v/>
      </c>
      <c r="AD23" s="79">
        <f>IFERROR(IF(ROUND(AD22-$G22,3)&gt;0,ROUND(AD22-$G22,3),""),"")</f>
        <v/>
      </c>
      <c r="AE23" s="79">
        <f>IFERROR(IF(ROUND(AE22-$G22,3)&gt;0,ROUND(AE22-$G22,3),""),"")</f>
        <v/>
      </c>
      <c r="AF23" s="79">
        <f>IFERROR(IF(ROUND(AF22-$G22,3)&gt;0,ROUND(AF22-$G22,3),""),"")</f>
        <v/>
      </c>
      <c r="AH23" s="23" t="inlineStr">
        <is>
          <t>PERFACTA TAG</t>
        </is>
      </c>
      <c r="AI23" s="101" t="inlineStr">
        <is>
          <t>PERFACTA TAG</t>
        </is>
      </c>
    </row>
    <row r="24" ht="15" customHeight="1" s="5">
      <c r="A24" s="104" t="n"/>
      <c r="B24" s="86" t="n"/>
      <c r="C24" s="86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79">
        <f>IFERROR(IF(ROUND($G22-U22,3)&gt;0,ROUND($G22-U22,3),""),"")</f>
        <v/>
      </c>
      <c r="V24" s="79">
        <f>IFERROR(IF(ROUND($G22-V22,3)&gt;0,ROUND($G22-V22,3),""),"")</f>
        <v/>
      </c>
      <c r="W24" s="79">
        <f>IFERROR(IF(ROUND($G22-W22,3)&gt;0,ROUND($G22-W22,3),""),"")</f>
        <v/>
      </c>
      <c r="X24" s="79">
        <f>IFERROR(IF(ROUND($G22-X22,3)&gt;0,ROUND($G22-X22,3),""),"")</f>
        <v/>
      </c>
      <c r="Y24" s="79">
        <f>IFERROR(IF(ROUND($G22-Y22,3)&gt;0,ROUND($G22-Y22,3),""),"")</f>
        <v/>
      </c>
      <c r="Z24" s="79">
        <f>IFERROR(IF(ROUND($G22-Z22,3)&gt;0,ROUND($G22-Z22,3),""),"")</f>
        <v/>
      </c>
      <c r="AA24" s="79">
        <f>IFERROR(IF(ROUND($G22-AA22,3)&gt;0,ROUND($G22-AA22,3),""),"")</f>
        <v/>
      </c>
      <c r="AB24" s="79">
        <f>IFERROR(IF(ROUND($G22-AB22,3)&gt;0,ROUND($G22-AB22,3),""),"")</f>
        <v/>
      </c>
      <c r="AC24" s="79">
        <f>IFERROR(IF(ROUND($G22-AC22,3)&gt;0,ROUND($G22-AC22,3),""),"")</f>
        <v/>
      </c>
      <c r="AD24" s="79">
        <f>IFERROR(IF(ROUND($G22-AD22,3)&gt;0,ROUND($G22-AD22,3),""),"")</f>
        <v/>
      </c>
      <c r="AE24" s="79">
        <f>IFERROR(IF(ROUND($G22-AE22,3)&gt;0,ROUND($G22-AE22,3),""),"")</f>
        <v/>
      </c>
      <c r="AF24" s="79">
        <f>IFERROR(IF(ROUND($G22-AF22,3)&gt;0,ROUND($G22-AF22,3),""),"")</f>
        <v/>
      </c>
      <c r="AH24" s="23" t="inlineStr">
        <is>
          <t>PERFECTA  K 45 TAG</t>
        </is>
      </c>
      <c r="AI24" s="101" t="inlineStr">
        <is>
          <t>PERFECTA  K 45 TAG</t>
        </is>
      </c>
    </row>
    <row r="25" ht="15" customHeight="1" s="5">
      <c r="A25" s="104" t="n"/>
      <c r="B25" s="103" t="inlineStr">
        <is>
          <t>RUSSIA</t>
        </is>
      </c>
      <c r="C25" s="65" t="inlineStr">
        <is>
          <t>DC TAG</t>
        </is>
      </c>
      <c r="D25" s="52" t="inlineStr">
        <is>
          <t>MD20 HS</t>
        </is>
      </c>
      <c r="E25" s="53" t="n">
        <v>2</v>
      </c>
      <c r="F25" s="53" t="n">
        <v>1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75">
        <f>IFERROR(SUMIFS(WORKING!$Z:$Z,WORKING!$X:$X,$D25,WORKING!$W:$W,H$500),"")</f>
        <v/>
      </c>
      <c r="V25" s="75">
        <f>IFERROR(SUMIFS(WORKING!$Z:$Z,WORKING!$X:$X,$D25,WORKING!$W:$W,I$500),"")</f>
        <v/>
      </c>
      <c r="W25" s="75">
        <f>IFERROR(SUMIFS(WORKING!$Z:$Z,WORKING!$X:$X,$D25,WORKING!$W:$W,J$500),"")</f>
        <v/>
      </c>
      <c r="X25" s="75">
        <f>IFERROR(SUMIFS(WORKING!$Z:$Z,WORKING!$X:$X,$D25,WORKING!$W:$W,K$500),"")</f>
        <v/>
      </c>
      <c r="Y25" s="75">
        <f>IFERROR(SUMIFS(WORKING!$Z:$Z,WORKING!$X:$X,$D25,WORKING!$W:$W,L$500),"")</f>
        <v/>
      </c>
      <c r="Z25" s="75">
        <f>IFERROR(SUMIFS(WORKING!$Z:$Z,WORKING!$X:$X,$D25,WORKING!$W:$W,M$500),"")</f>
        <v/>
      </c>
      <c r="AA25" s="75">
        <f>IFERROR(SUMIFS(WORKING!$Z:$Z,WORKING!$X:$X,$D25,WORKING!$W:$W,N$500),"")</f>
        <v/>
      </c>
      <c r="AB25" s="75">
        <f>IFERROR(SUMIFS(WORKING!$Z:$Z,WORKING!$X:$X,$D25,WORKING!$W:$W,O$500),"")</f>
        <v/>
      </c>
      <c r="AC25" s="75">
        <f>IFERROR(SUMIFS(WORKING!$Z:$Z,WORKING!$X:$X,$D25,WORKING!$W:$W,P$500),"")</f>
        <v/>
      </c>
      <c r="AD25" s="75">
        <f>IFERROR(SUMIFS(WORKING!$Z:$Z,WORKING!$X:$X,$D25,WORKING!$W:$W,Q$500),"")</f>
        <v/>
      </c>
      <c r="AE25" s="75">
        <f>IFERROR(SUMIFS(WORKING!$Z:$Z,WORKING!$X:$X,$D25,WORKING!$W:$W,R$500),"")</f>
        <v/>
      </c>
      <c r="AF25" s="75">
        <f>IFERROR(SUMIFS(WORKING!$Z:$Z,WORKING!$X:$X,$D25,WORKING!$W:$W,S$500),"")</f>
        <v/>
      </c>
      <c r="AH25" s="23" t="inlineStr">
        <is>
          <t>CONSTANTA FAMILY SIZE</t>
        </is>
      </c>
      <c r="AI25" s="101" t="inlineStr">
        <is>
          <t>CONSTANTA FAMILY SIZE</t>
        </is>
      </c>
    </row>
    <row r="26" ht="15" customHeight="1" s="5">
      <c r="A26" s="104" t="n"/>
      <c r="B26" s="104" t="n"/>
      <c r="C26" s="105" t="n"/>
      <c r="D26" s="125" t="inlineStr">
        <is>
          <t>TOTAL</t>
        </is>
      </c>
      <c r="E26" s="126" t="n"/>
      <c r="F26" s="126" t="n"/>
      <c r="G26" s="127">
        <f>SUM(G25:G25)</f>
        <v/>
      </c>
      <c r="H26" s="127">
        <f>SUM(H25:H25)</f>
        <v/>
      </c>
      <c r="I26" s="127">
        <f>SUM(I25:I25)</f>
        <v/>
      </c>
      <c r="J26" s="127">
        <f>SUM(J25:J25)</f>
        <v/>
      </c>
      <c r="K26" s="127">
        <f>SUM(K25:K25)</f>
        <v/>
      </c>
      <c r="L26" s="127">
        <f>SUM(L25:L25)</f>
        <v/>
      </c>
      <c r="M26" s="127">
        <f>SUM(M25:M25)</f>
        <v/>
      </c>
      <c r="N26" s="127">
        <f>SUM(N25:N25)</f>
        <v/>
      </c>
      <c r="O26" s="127">
        <f>SUM(O25:O25)</f>
        <v/>
      </c>
      <c r="P26" s="127">
        <f>SUM(P25:P25)</f>
        <v/>
      </c>
      <c r="Q26" s="127">
        <f>SUM(Q25:Q25)</f>
        <v/>
      </c>
      <c r="R26" s="127">
        <f>SUM(R25:R25)</f>
        <v/>
      </c>
      <c r="S26" s="127">
        <f>SUM(S25:S25)</f>
        <v/>
      </c>
      <c r="T26" s="23" t="n"/>
      <c r="U26" s="127">
        <f>SUM(U25:U25)</f>
        <v/>
      </c>
      <c r="V26" s="127">
        <f>SUM(V25:V25)</f>
        <v/>
      </c>
      <c r="W26" s="127">
        <f>SUM(W25:W25)</f>
        <v/>
      </c>
      <c r="X26" s="127">
        <f>SUM(X25:X25)</f>
        <v/>
      </c>
      <c r="Y26" s="127">
        <f>SUM(Y25:Y25)</f>
        <v/>
      </c>
      <c r="Z26" s="127">
        <f>SUM(Z25:Z25)</f>
        <v/>
      </c>
      <c r="AA26" s="127">
        <f>SUM(AA25:AA25)</f>
        <v/>
      </c>
      <c r="AB26" s="127">
        <f>SUM(AB25:AB25)</f>
        <v/>
      </c>
      <c r="AC26" s="127">
        <f>SUM(AC25:AC25)</f>
        <v/>
      </c>
      <c r="AD26" s="127">
        <f>SUM(AD25:AD25)</f>
        <v/>
      </c>
      <c r="AE26" s="127">
        <f>SUM(AE25:AE25)</f>
        <v/>
      </c>
      <c r="AF26" s="127">
        <f>SUM(AF25:AF25)</f>
        <v/>
      </c>
      <c r="AH26" s="23" t="inlineStr">
        <is>
          <t>BREW MAGIC</t>
        </is>
      </c>
      <c r="AI26" s="101" t="inlineStr">
        <is>
          <t>BREW MAGIC</t>
        </is>
      </c>
    </row>
    <row r="27" ht="18" customHeight="1" s="5">
      <c r="A27" s="104" t="n"/>
      <c r="B27" s="104" t="n"/>
      <c r="C27" s="116" t="n"/>
      <c r="D27" s="108" t="inlineStr">
        <is>
          <t>Excess Order</t>
        </is>
      </c>
      <c r="E27" s="114" t="n"/>
      <c r="F27" s="114" t="n"/>
      <c r="G27" s="115" t="n"/>
      <c r="H27" s="111">
        <f>IFERROR(IF(ROUND(H26-$G26,3)&gt;0,ROUND(H26-$G26,3),""),"")</f>
        <v/>
      </c>
      <c r="I27" s="111">
        <f>IFERROR(IF(ROUND(I26-$G26,3)&gt;0,ROUND(I26-$G26,3),""),"")</f>
        <v/>
      </c>
      <c r="J27" s="111">
        <f>IFERROR(IF(ROUND(J26-$G26,3)&gt;0,ROUND(J26-$G26,3),""),"")</f>
        <v/>
      </c>
      <c r="K27" s="111">
        <f>IFERROR(IF(ROUND(K26-$G26,3)&gt;0,ROUND(K26-$G26,3),""),"")</f>
        <v/>
      </c>
      <c r="L27" s="111">
        <f>IFERROR(IF(ROUND(L26-$G26,3)&gt;0,ROUND(L26-$G26,3),""),"")</f>
        <v/>
      </c>
      <c r="M27" s="111">
        <f>IFERROR(IF(ROUND(M26-$G26,3)&gt;0,ROUND(M26-$G26,3),""),"")</f>
        <v/>
      </c>
      <c r="N27" s="111">
        <f>IFERROR(IF(ROUND(N26-$G26,3)&gt;0,ROUND(N26-$G26,3),""),"")</f>
        <v/>
      </c>
      <c r="O27" s="111">
        <f>IFERROR(IF(ROUND(O26-$G26,3)&gt;0,ROUND(O26-$G26,3),""),"")</f>
        <v/>
      </c>
      <c r="P27" s="111">
        <f>IFERROR(IF(ROUND(P26-$G26,3)&gt;0,ROUND(P26-$G26,3),""),"")</f>
        <v/>
      </c>
      <c r="Q27" s="111">
        <f>IFERROR(IF(ROUND(Q26-$G26,3)&gt;0,ROUND(Q26-$G26,3),""),"")</f>
        <v/>
      </c>
      <c r="R27" s="111">
        <f>IFERROR(IF(ROUND(R26-$G26,3)&gt;0,ROUND(R26-$G26,3),""),"")</f>
        <v/>
      </c>
      <c r="S27" s="111">
        <f>IFERROR(IF(ROUND(S26-$G26,3)&gt;0,ROUND(S26-$G26,3),""),"")</f>
        <v/>
      </c>
      <c r="T27" s="23" t="n"/>
      <c r="U27" s="111">
        <f>IFERROR(IF(ROUND(U26-$G26,3)&gt;0,ROUND(U26-$G26,3),""),"")</f>
        <v/>
      </c>
      <c r="V27" s="111">
        <f>IFERROR(IF(ROUND(V26-$G26,3)&gt;0,ROUND(V26-$G26,3),""),"")</f>
        <v/>
      </c>
      <c r="W27" s="111">
        <f>IFERROR(IF(ROUND(W26-$G26,3)&gt;0,ROUND(W26-$G26,3),""),"")</f>
        <v/>
      </c>
      <c r="X27" s="111">
        <f>IFERROR(IF(ROUND(X26-$G26,3)&gt;0,ROUND(X26-$G26,3),""),"")</f>
        <v/>
      </c>
      <c r="Y27" s="111">
        <f>IFERROR(IF(ROUND(Y26-$G26,3)&gt;0,ROUND(Y26-$G26,3),""),"")</f>
        <v/>
      </c>
      <c r="Z27" s="111">
        <f>IFERROR(IF(ROUND(Z26-$G26,3)&gt;0,ROUND(Z26-$G26,3),""),"")</f>
        <v/>
      </c>
      <c r="AA27" s="111">
        <f>IFERROR(IF(ROUND(AA26-$G26,3)&gt;0,ROUND(AA26-$G26,3),""),"")</f>
        <v/>
      </c>
      <c r="AB27" s="111">
        <f>IFERROR(IF(ROUND(AB26-$G26,3)&gt;0,ROUND(AB26-$G26,3),""),"")</f>
        <v/>
      </c>
      <c r="AC27" s="111">
        <f>IFERROR(IF(ROUND(AC26-$G26,3)&gt;0,ROUND(AC26-$G26,3),""),"")</f>
        <v/>
      </c>
      <c r="AD27" s="111">
        <f>IFERROR(IF(ROUND(AD26-$G26,3)&gt;0,ROUND(AD26-$G26,3),""),"")</f>
        <v/>
      </c>
      <c r="AE27" s="111">
        <f>IFERROR(IF(ROUND(AE26-$G26,3)&gt;0,ROUND(AE26-$G26,3),""),"")</f>
        <v/>
      </c>
      <c r="AF27" s="111">
        <f>IFERROR(IF(ROUND(AF26-$G26,3)&gt;0,ROUND(AF26-$G26,3),""),"")</f>
        <v/>
      </c>
      <c r="AH27" s="23" t="inlineStr">
        <is>
          <t>UNIVERSAL POT BAG</t>
        </is>
      </c>
      <c r="AI27" s="101" t="inlineStr">
        <is>
          <t>UNIVERSAL POT BAG</t>
        </is>
      </c>
    </row>
    <row r="28" ht="15" customHeight="1" s="5">
      <c r="A28" s="104" t="n"/>
      <c r="B28" s="86" t="n"/>
      <c r="C28" s="86" t="n"/>
      <c r="D28" s="108" t="inlineStr">
        <is>
          <t>Short Order</t>
        </is>
      </c>
      <c r="E28" s="117" t="n"/>
      <c r="F28" s="117" t="n"/>
      <c r="G28" s="110" t="n"/>
      <c r="H28" s="111">
        <f>IFERROR(IF(ROUND($G26-H26,3)&gt;0,ROUND($G26-H26,3),""),"")</f>
        <v/>
      </c>
      <c r="I28" s="111">
        <f>IFERROR(IF(ROUND($G26-I26,3)&gt;0,ROUND($G26-I26,3),""),"")</f>
        <v/>
      </c>
      <c r="J28" s="111">
        <f>IFERROR(IF(ROUND($G26-J26,3)&gt;0,ROUND($G26-J26,3),""),"")</f>
        <v/>
      </c>
      <c r="K28" s="111">
        <f>IFERROR(IF(ROUND($G26-K26,3)&gt;0,ROUND($G26-K26,3),""),"")</f>
        <v/>
      </c>
      <c r="L28" s="111">
        <f>IFERROR(IF(ROUND($G26-L26,3)&gt;0,ROUND($G26-L26,3),""),"")</f>
        <v/>
      </c>
      <c r="M28" s="111">
        <f>IFERROR(IF(ROUND($G26-M26,3)&gt;0,ROUND($G26-M26,3),""),"")</f>
        <v/>
      </c>
      <c r="N28" s="111">
        <f>IFERROR(IF(ROUND($G26-N26,3)&gt;0,ROUND($G26-N26,3),""),"")</f>
        <v/>
      </c>
      <c r="O28" s="111">
        <f>IFERROR(IF(ROUND($G26-O26,3)&gt;0,ROUND($G26-O26,3),""),"")</f>
        <v/>
      </c>
      <c r="P28" s="111">
        <f>IFERROR(IF(ROUND($G26-P26,3)&gt;0,ROUND($G26-P26,3),""),"")</f>
        <v/>
      </c>
      <c r="Q28" s="111">
        <f>IFERROR(IF(ROUND($G26-Q26,3)&gt;0,ROUND($G26-Q26,3),""),"")</f>
        <v/>
      </c>
      <c r="R28" s="111">
        <f>IFERROR(IF(ROUND($G26-R26,3)&gt;0,ROUND($G26-R26,3),""),"")</f>
        <v/>
      </c>
      <c r="S28" s="111">
        <f>IFERROR(IF(ROUND($G26-S26,3)&gt;0,ROUND($G26-S26,3),""),"")</f>
        <v/>
      </c>
      <c r="T28" s="23" t="n"/>
      <c r="U28" s="111">
        <f>IFERROR(IF(ROUND($G26-U26,3)&gt;0,ROUND($G26-U26,3),""),"")</f>
        <v/>
      </c>
      <c r="V28" s="111">
        <f>IFERROR(IF(ROUND($G26-V26,3)&gt;0,ROUND($G26-V26,3),""),"")</f>
        <v/>
      </c>
      <c r="W28" s="111">
        <f>IFERROR(IF(ROUND($G26-W26,3)&gt;0,ROUND($G26-W26,3),""),"")</f>
        <v/>
      </c>
      <c r="X28" s="111">
        <f>IFERROR(IF(ROUND($G26-X26,3)&gt;0,ROUND($G26-X26,3),""),"")</f>
        <v/>
      </c>
      <c r="Y28" s="111">
        <f>IFERROR(IF(ROUND($G26-Y26,3)&gt;0,ROUND($G26-Y26,3),""),"")</f>
        <v/>
      </c>
      <c r="Z28" s="111">
        <f>IFERROR(IF(ROUND($G26-Z26,3)&gt;0,ROUND($G26-Z26,3),""),"")</f>
        <v/>
      </c>
      <c r="AA28" s="111">
        <f>IFERROR(IF(ROUND($G26-AA26,3)&gt;0,ROUND($G26-AA26,3),""),"")</f>
        <v/>
      </c>
      <c r="AB28" s="111">
        <f>IFERROR(IF(ROUND($G26-AB26,3)&gt;0,ROUND($G26-AB26,3),""),"")</f>
        <v/>
      </c>
      <c r="AC28" s="111">
        <f>IFERROR(IF(ROUND($G26-AC26,3)&gt;0,ROUND($G26-AC26,3),""),"")</f>
        <v/>
      </c>
      <c r="AD28" s="111">
        <f>IFERROR(IF(ROUND($G26-AD26,3)&gt;0,ROUND($G26-AD26,3),""),"")</f>
        <v/>
      </c>
      <c r="AE28" s="111">
        <f>IFERROR(IF(ROUND($G26-AE26,3)&gt;0,ROUND($G26-AE26,3),""),"")</f>
        <v/>
      </c>
      <c r="AF28" s="111">
        <f>IFERROR(IF(ROUND($G26-AF26,3)&gt;0,ROUND($G26-AF26,3),""),"")</f>
        <v/>
      </c>
      <c r="AH28" s="23" t="inlineStr">
        <is>
          <t>UNIVERSAL TWIN BAG</t>
        </is>
      </c>
      <c r="AI28" s="101" t="inlineStr">
        <is>
          <t>UNIVERSAL TWIN BAG</t>
        </is>
      </c>
    </row>
    <row r="29" ht="15" customHeight="1" s="5">
      <c r="A29" s="104" t="n"/>
      <c r="B29" s="103" t="inlineStr">
        <is>
          <t>USA</t>
        </is>
      </c>
      <c r="C29" s="65" t="inlineStr">
        <is>
          <t>TREE HOUSE</t>
        </is>
      </c>
      <c r="D29" s="52" t="inlineStr">
        <is>
          <t>CONSTANTA FAMILY SIZE</t>
        </is>
      </c>
      <c r="E29" s="53" t="n">
        <v>2</v>
      </c>
      <c r="F29" s="53" t="n">
        <v>0</v>
      </c>
      <c r="G29" s="75">
        <f>IFERROR(IF(OR($F29=0,VLOOKUP($D29,'MC MASTER'!$A:$R,18,0)=0),"-",ROUND(VLOOKUP($D29,'MC MASTER'!$A:$R,18,0)*$E29*$F29,3)),"-")</f>
        <v/>
      </c>
      <c r="H29" s="75">
        <f>IFERROR(SUMIFS(WORKING!$Y:$Y,WORKING!$X:$X,$D29,WORKING!$W:$W,H$500),"")</f>
        <v/>
      </c>
      <c r="I29" s="75">
        <f>IFERROR(SUMIFS(WORKING!$Y:$Y,WORKING!$X:$X,$D29,WORKING!$W:$W,I$500),"")</f>
        <v/>
      </c>
      <c r="J29" s="75">
        <f>IFERROR(SUMIFS(WORKING!$Y:$Y,WORKING!$X:$X,$D29,WORKING!$W:$W,J$500),"")</f>
        <v/>
      </c>
      <c r="K29" s="75">
        <f>IFERROR(SUMIFS(WORKING!$Y:$Y,WORKING!$X:$X,$D29,WORKING!$W:$W,K$500),"")</f>
        <v/>
      </c>
      <c r="L29" s="75">
        <f>IFERROR(SUMIFS(WORKING!$Y:$Y,WORKING!$X:$X,$D29,WORKING!$W:$W,L$500),"")</f>
        <v/>
      </c>
      <c r="M29" s="75">
        <f>IFERROR(SUMIFS(WORKING!$Y:$Y,WORKING!$X:$X,$D29,WORKING!$W:$W,M$500),"")</f>
        <v/>
      </c>
      <c r="N29" s="75">
        <f>IFERROR(SUMIFS(WORKING!$Y:$Y,WORKING!$X:$X,$D29,WORKING!$W:$W,N$500),"")</f>
        <v/>
      </c>
      <c r="O29" s="75">
        <f>IFERROR(SUMIFS(WORKING!$Y:$Y,WORKING!$X:$X,$D29,WORKING!$W:$W,O$500),"")</f>
        <v/>
      </c>
      <c r="P29" s="75">
        <f>IFERROR(SUMIFS(WORKING!$Y:$Y,WORKING!$X:$X,$D29,WORKING!$W:$W,P$500),"")</f>
        <v/>
      </c>
      <c r="Q29" s="75">
        <f>IFERROR(SUMIFS(WORKING!$Y:$Y,WORKING!$X:$X,$D29,WORKING!$W:$W,Q$500),"")</f>
        <v/>
      </c>
      <c r="R29" s="75">
        <f>IFERROR(SUMIFS(WORKING!$Y:$Y,WORKING!$X:$X,$D29,WORKING!$W:$W,R$500),"")</f>
        <v/>
      </c>
      <c r="S29" s="75">
        <f>IFERROR(SUMIFS(WORKING!$Y:$Y,WORKING!$X:$X,$D29,WORKING!$W:$W,S$500),"")</f>
        <v/>
      </c>
      <c r="T29" s="23" t="n"/>
      <c r="U29" s="75">
        <f>IFERROR(SUMIFS(WORKING!$Z:$Z,WORKING!$X:$X,$D29,WORKING!$W:$W,H$500),"")</f>
        <v/>
      </c>
      <c r="V29" s="75">
        <f>IFERROR(SUMIFS(WORKING!$Z:$Z,WORKING!$X:$X,$D29,WORKING!$W:$W,I$500),"")</f>
        <v/>
      </c>
      <c r="W29" s="75">
        <f>IFERROR(SUMIFS(WORKING!$Z:$Z,WORKING!$X:$X,$D29,WORKING!$W:$W,J$500),"")</f>
        <v/>
      </c>
      <c r="X29" s="75">
        <f>IFERROR(SUMIFS(WORKING!$Z:$Z,WORKING!$X:$X,$D29,WORKING!$W:$W,K$500),"")</f>
        <v/>
      </c>
      <c r="Y29" s="75">
        <f>IFERROR(SUMIFS(WORKING!$Z:$Z,WORKING!$X:$X,$D29,WORKING!$W:$W,L$500),"")</f>
        <v/>
      </c>
      <c r="Z29" s="75">
        <f>IFERROR(SUMIFS(WORKING!$Z:$Z,WORKING!$X:$X,$D29,WORKING!$W:$W,M$500),"")</f>
        <v/>
      </c>
      <c r="AA29" s="75">
        <f>IFERROR(SUMIFS(WORKING!$Z:$Z,WORKING!$X:$X,$D29,WORKING!$W:$W,N$500),"")</f>
        <v/>
      </c>
      <c r="AB29" s="75">
        <f>IFERROR(SUMIFS(WORKING!$Z:$Z,WORKING!$X:$X,$D29,WORKING!$W:$W,O$500),"")</f>
        <v/>
      </c>
      <c r="AC29" s="75">
        <f>IFERROR(SUMIFS(WORKING!$Z:$Z,WORKING!$X:$X,$D29,WORKING!$W:$W,P$500),"")</f>
        <v/>
      </c>
      <c r="AD29" s="75">
        <f>IFERROR(SUMIFS(WORKING!$Z:$Z,WORKING!$X:$X,$D29,WORKING!$W:$W,Q$500),"")</f>
        <v/>
      </c>
      <c r="AE29" s="75">
        <f>IFERROR(SUMIFS(WORKING!$Z:$Z,WORKING!$X:$X,$D29,WORKING!$W:$W,R$500),"")</f>
        <v/>
      </c>
      <c r="AF29" s="75">
        <f>IFERROR(SUMIFS(WORKING!$Z:$Z,WORKING!$X:$X,$D29,WORKING!$W:$W,S$500),"")</f>
        <v/>
      </c>
      <c r="AH29" s="23" t="inlineStr">
        <is>
          <t>PEARL PACK-PREMIX</t>
        </is>
      </c>
      <c r="AI29" s="101" t="inlineStr">
        <is>
          <t>PEARL PACK-PREMIX</t>
        </is>
      </c>
    </row>
    <row r="30" ht="15" customHeight="1" s="5">
      <c r="A30" s="104" t="n"/>
      <c r="B30" s="104" t="n"/>
      <c r="C30" s="86" t="n"/>
      <c r="D30" s="52" t="inlineStr">
        <is>
          <t>PERFACTA TAG</t>
        </is>
      </c>
      <c r="E30" s="53" t="n">
        <v>2</v>
      </c>
      <c r="F30" s="53" t="n">
        <v>1</v>
      </c>
      <c r="G30" s="75">
        <f>IFERROR(IF(OR($F30=0,VLOOKUP($D30,'MC MASTER'!$A:$R,18,0)=0),"-",ROUND(VLOOKUP($D30,'MC MASTER'!$A:$R,18,0)*$E30*$F30,3)),"-")</f>
        <v/>
      </c>
      <c r="H30" s="75">
        <f>IFERROR(SUMIFS(WORKING!$Y:$Y,WORKING!$X:$X,$D30,WORKING!$W:$W,H$500),"")</f>
        <v/>
      </c>
      <c r="I30" s="75">
        <f>IFERROR(SUMIFS(WORKING!$Y:$Y,WORKING!$X:$X,$D30,WORKING!$W:$W,I$500),"")</f>
        <v/>
      </c>
      <c r="J30" s="75">
        <f>IFERROR(SUMIFS(WORKING!$Y:$Y,WORKING!$X:$X,$D30,WORKING!$W:$W,J$500),"")</f>
        <v/>
      </c>
      <c r="K30" s="75">
        <f>IFERROR(SUMIFS(WORKING!$Y:$Y,WORKING!$X:$X,$D30,WORKING!$W:$W,K$500),"")</f>
        <v/>
      </c>
      <c r="L30" s="75">
        <f>IFERROR(SUMIFS(WORKING!$Y:$Y,WORKING!$X:$X,$D30,WORKING!$W:$W,L$500),"")</f>
        <v/>
      </c>
      <c r="M30" s="75">
        <f>IFERROR(SUMIFS(WORKING!$Y:$Y,WORKING!$X:$X,$D30,WORKING!$W:$W,M$500),"")</f>
        <v/>
      </c>
      <c r="N30" s="75">
        <f>IFERROR(SUMIFS(WORKING!$Y:$Y,WORKING!$X:$X,$D30,WORKING!$W:$W,N$500),"")</f>
        <v/>
      </c>
      <c r="O30" s="75">
        <f>IFERROR(SUMIFS(WORKING!$Y:$Y,WORKING!$X:$X,$D30,WORKING!$W:$W,O$500),"")</f>
        <v/>
      </c>
      <c r="P30" s="75">
        <f>IFERROR(SUMIFS(WORKING!$Y:$Y,WORKING!$X:$X,$D30,WORKING!$W:$W,P$500),"")</f>
        <v/>
      </c>
      <c r="Q30" s="75">
        <f>IFERROR(SUMIFS(WORKING!$Y:$Y,WORKING!$X:$X,$D30,WORKING!$W:$W,Q$500),"")</f>
        <v/>
      </c>
      <c r="R30" s="75">
        <f>IFERROR(SUMIFS(WORKING!$Y:$Y,WORKING!$X:$X,$D30,WORKING!$W:$W,R$500),"")</f>
        <v/>
      </c>
      <c r="S30" s="75">
        <f>IFERROR(SUMIFS(WORKING!$Y:$Y,WORKING!$X:$X,$D30,WORKING!$W:$W,S$500),"")</f>
        <v/>
      </c>
      <c r="T30" s="23" t="n"/>
      <c r="U30" s="75">
        <f>IFERROR(SUMIFS(WORKING!$Z:$Z,WORKING!$X:$X,$D30,WORKING!$W:$W,H$500),"")</f>
        <v/>
      </c>
      <c r="V30" s="75">
        <f>IFERROR(SUMIFS(WORKING!$Z:$Z,WORKING!$X:$X,$D30,WORKING!$W:$W,I$500),"")</f>
        <v/>
      </c>
      <c r="W30" s="75">
        <f>IFERROR(SUMIFS(WORKING!$Z:$Z,WORKING!$X:$X,$D30,WORKING!$W:$W,J$500),"")</f>
        <v/>
      </c>
      <c r="X30" s="75">
        <f>IFERROR(SUMIFS(WORKING!$Z:$Z,WORKING!$X:$X,$D30,WORKING!$W:$W,K$500),"")</f>
        <v/>
      </c>
      <c r="Y30" s="75">
        <f>IFERROR(SUMIFS(WORKING!$Z:$Z,WORKING!$X:$X,$D30,WORKING!$W:$W,L$500),"")</f>
        <v/>
      </c>
      <c r="Z30" s="75">
        <f>IFERROR(SUMIFS(WORKING!$Z:$Z,WORKING!$X:$X,$D30,WORKING!$W:$W,M$500),"")</f>
        <v/>
      </c>
      <c r="AA30" s="75">
        <f>IFERROR(SUMIFS(WORKING!$Z:$Z,WORKING!$X:$X,$D30,WORKING!$W:$W,N$500),"")</f>
        <v/>
      </c>
      <c r="AB30" s="75">
        <f>IFERROR(SUMIFS(WORKING!$Z:$Z,WORKING!$X:$X,$D30,WORKING!$W:$W,O$500),"")</f>
        <v/>
      </c>
      <c r="AC30" s="75">
        <f>IFERROR(SUMIFS(WORKING!$Z:$Z,WORKING!$X:$X,$D30,WORKING!$W:$W,P$500),"")</f>
        <v/>
      </c>
      <c r="AD30" s="75">
        <f>IFERROR(SUMIFS(WORKING!$Z:$Z,WORKING!$X:$X,$D30,WORKING!$W:$W,Q$500),"")</f>
        <v/>
      </c>
      <c r="AE30" s="75">
        <f>IFERROR(SUMIFS(WORKING!$Z:$Z,WORKING!$X:$X,$D30,WORKING!$W:$W,R$500),"")</f>
        <v/>
      </c>
      <c r="AF30" s="75">
        <f>IFERROR(SUMIFS(WORKING!$Z:$Z,WORKING!$X:$X,$D30,WORKING!$W:$W,S$500),"")</f>
        <v/>
      </c>
      <c r="AH30" s="23" t="inlineStr">
        <is>
          <t>PEARL PACK-PREMIX 2</t>
        </is>
      </c>
      <c r="AI30" s="101" t="inlineStr">
        <is>
          <t>PEARL PACK-PREMIX</t>
        </is>
      </c>
    </row>
    <row r="31" ht="15" customHeight="1" s="5">
      <c r="A31" s="104" t="n"/>
      <c r="B31" s="104" t="n"/>
      <c r="C31" s="105" t="n"/>
      <c r="D31" s="125" t="inlineStr">
        <is>
          <t>TOTAL</t>
        </is>
      </c>
      <c r="E31" s="126" t="n"/>
      <c r="F31" s="126" t="n"/>
      <c r="G31" s="127">
        <f>SUM(G29:G30)</f>
        <v/>
      </c>
      <c r="H31" s="127">
        <f>SUM(H29:H30)</f>
        <v/>
      </c>
      <c r="I31" s="127">
        <f>SUM(I29:I30)</f>
        <v/>
      </c>
      <c r="J31" s="127">
        <f>SUM(J29:J30)</f>
        <v/>
      </c>
      <c r="K31" s="127">
        <f>SUM(K29:K30)</f>
        <v/>
      </c>
      <c r="L31" s="127">
        <f>SUM(L29:L30)</f>
        <v/>
      </c>
      <c r="M31" s="127">
        <f>SUM(M29:M30)</f>
        <v/>
      </c>
      <c r="N31" s="127">
        <f>SUM(N29:N30)</f>
        <v/>
      </c>
      <c r="O31" s="127">
        <f>SUM(O29:O30)</f>
        <v/>
      </c>
      <c r="P31" s="127">
        <f>SUM(P29:P30)</f>
        <v/>
      </c>
      <c r="Q31" s="127">
        <f>SUM(Q29:Q30)</f>
        <v/>
      </c>
      <c r="R31" s="127">
        <f>SUM(R29:R30)</f>
        <v/>
      </c>
      <c r="S31" s="127">
        <f>SUM(S29:S30)</f>
        <v/>
      </c>
      <c r="T31" s="23" t="n"/>
      <c r="U31" s="127">
        <f>SUM(U29:U30)</f>
        <v/>
      </c>
      <c r="V31" s="127">
        <f>SUM(V29:V30)</f>
        <v/>
      </c>
      <c r="W31" s="127">
        <f>SUM(W29:W30)</f>
        <v/>
      </c>
      <c r="X31" s="127">
        <f>SUM(X29:X30)</f>
        <v/>
      </c>
      <c r="Y31" s="127">
        <f>SUM(Y29:Y30)</f>
        <v/>
      </c>
      <c r="Z31" s="127">
        <f>SUM(Z29:Z30)</f>
        <v/>
      </c>
      <c r="AA31" s="127">
        <f>SUM(AA29:AA30)</f>
        <v/>
      </c>
      <c r="AB31" s="127">
        <f>SUM(AB29:AB30)</f>
        <v/>
      </c>
      <c r="AC31" s="127">
        <f>SUM(AC29:AC30)</f>
        <v/>
      </c>
      <c r="AD31" s="127">
        <f>SUM(AD29:AD30)</f>
        <v/>
      </c>
      <c r="AE31" s="127">
        <f>SUM(AE29:AE30)</f>
        <v/>
      </c>
      <c r="AF31" s="127">
        <f>SUM(AF29:AF30)</f>
        <v/>
      </c>
      <c r="AH31" s="23" t="inlineStr">
        <is>
          <t>INSTANT COFFEE STICK PACK</t>
        </is>
      </c>
      <c r="AI31" s="101" t="inlineStr">
        <is>
          <t>INSTANT COFFEE STICK PACK</t>
        </is>
      </c>
    </row>
    <row r="32" ht="15" customHeight="1" s="5">
      <c r="A32" s="104" t="n"/>
      <c r="B32" s="104" t="n"/>
      <c r="C32" s="116" t="n"/>
      <c r="D32" s="108" t="inlineStr">
        <is>
          <t>Excess Order</t>
        </is>
      </c>
      <c r="E32" s="117" t="n"/>
      <c r="F32" s="117" t="n"/>
      <c r="G32" s="110" t="n"/>
      <c r="H32" s="111">
        <f>IFERROR(IF(ROUND(H31-$G31,3)&gt;0,ROUND(H31-$G31,3),""),"")</f>
        <v/>
      </c>
      <c r="I32" s="111">
        <f>IFERROR(IF(ROUND(I31-$G31,3)&gt;0,ROUND(I31-$G31,3),""),"")</f>
        <v/>
      </c>
      <c r="J32" s="111">
        <f>IFERROR(IF(ROUND(J31-$G31,3)&gt;0,ROUND(J31-$G31,3),""),"")</f>
        <v/>
      </c>
      <c r="K32" s="111">
        <f>IFERROR(IF(ROUND(K31-$G31,3)&gt;0,ROUND(K31-$G31,3),""),"")</f>
        <v/>
      </c>
      <c r="L32" s="111">
        <f>IFERROR(IF(ROUND(L31-$G31,3)&gt;0,ROUND(L31-$G31,3),""),"")</f>
        <v/>
      </c>
      <c r="M32" s="111">
        <f>IFERROR(IF(ROUND(M31-$G31,3)&gt;0,ROUND(M31-$G31,3),""),"")</f>
        <v/>
      </c>
      <c r="N32" s="111">
        <f>IFERROR(IF(ROUND(N31-$G31,3)&gt;0,ROUND(N31-$G31,3),""),"")</f>
        <v/>
      </c>
      <c r="O32" s="111">
        <f>IFERROR(IF(ROUND(O31-$G31,3)&gt;0,ROUND(O31-$G31,3),""),"")</f>
        <v/>
      </c>
      <c r="P32" s="111">
        <f>IFERROR(IF(ROUND(P31-$G31,3)&gt;0,ROUND(P31-$G31,3),""),"")</f>
        <v/>
      </c>
      <c r="Q32" s="111">
        <f>IFERROR(IF(ROUND(Q31-$G31,3)&gt;0,ROUND(Q31-$G31,3),""),"")</f>
        <v/>
      </c>
      <c r="R32" s="111">
        <f>IFERROR(IF(ROUND(R31-$G31,3)&gt;0,ROUND(R31-$G31,3),""),"")</f>
        <v/>
      </c>
      <c r="S32" s="111">
        <f>IFERROR(IF(ROUND(S31-$G31,3)&gt;0,ROUND(S31-$G31,3),""),"")</f>
        <v/>
      </c>
      <c r="T32" s="23" t="n"/>
      <c r="U32" s="111">
        <f>IFERROR(IF(ROUND(U31-$G31,3)&gt;0,ROUND(U31-$G31,3),""),"")</f>
        <v/>
      </c>
      <c r="V32" s="111">
        <f>IFERROR(IF(ROUND(V31-$G31,3)&gt;0,ROUND(V31-$G31,3),""),"")</f>
        <v/>
      </c>
      <c r="W32" s="111">
        <f>IFERROR(IF(ROUND(W31-$G31,3)&gt;0,ROUND(W31-$G31,3),""),"")</f>
        <v/>
      </c>
      <c r="X32" s="111">
        <f>IFERROR(IF(ROUND(X31-$G31,3)&gt;0,ROUND(X31-$G31,3),""),"")</f>
        <v/>
      </c>
      <c r="Y32" s="111">
        <f>IFERROR(IF(ROUND(Y31-$G31,3)&gt;0,ROUND(Y31-$G31,3),""),"")</f>
        <v/>
      </c>
      <c r="Z32" s="111">
        <f>IFERROR(IF(ROUND(Z31-$G31,3)&gt;0,ROUND(Z31-$G31,3),""),"")</f>
        <v/>
      </c>
      <c r="AA32" s="111">
        <f>IFERROR(IF(ROUND(AA31-$G31,3)&gt;0,ROUND(AA31-$G31,3),""),"")</f>
        <v/>
      </c>
      <c r="AB32" s="111">
        <f>IFERROR(IF(ROUND(AB31-$G31,3)&gt;0,ROUND(AB31-$G31,3),""),"")</f>
        <v/>
      </c>
      <c r="AC32" s="111">
        <f>IFERROR(IF(ROUND(AC31-$G31,3)&gt;0,ROUND(AC31-$G31,3),""),"")</f>
        <v/>
      </c>
      <c r="AD32" s="111">
        <f>IFERROR(IF(ROUND(AD31-$G31,3)&gt;0,ROUND(AD31-$G31,3),""),"")</f>
        <v/>
      </c>
      <c r="AE32" s="111">
        <f>IFERROR(IF(ROUND(AE31-$G31,3)&gt;0,ROUND(AE31-$G31,3),""),"")</f>
        <v/>
      </c>
      <c r="AF32" s="111">
        <f>IFERROR(IF(ROUND(AF31-$G31,3)&gt;0,ROUND(AF31-$G31,3),""),"")</f>
        <v/>
      </c>
      <c r="AH32" s="23" t="inlineStr">
        <is>
          <t>Instant Tea</t>
        </is>
      </c>
      <c r="AI32" s="101" t="inlineStr">
        <is>
          <t>Instant Tea</t>
        </is>
      </c>
    </row>
    <row r="33" ht="15" customHeight="1" s="5">
      <c r="A33" s="86" t="n"/>
      <c r="B33" s="86" t="n"/>
      <c r="C33" s="86" t="n"/>
      <c r="D33" s="108" t="inlineStr">
        <is>
          <t>Short Order</t>
        </is>
      </c>
      <c r="E33" s="109" t="n"/>
      <c r="F33" s="110" t="n"/>
      <c r="G33" s="110" t="n"/>
      <c r="H33" s="111">
        <f>IFERROR(IF(ROUND($G31-H31,3)&gt;0,ROUND($G31-H31,3),""),"")</f>
        <v/>
      </c>
      <c r="I33" s="111">
        <f>IFERROR(IF(ROUND($G31-I31,3)&gt;0,ROUND($G31-I31,3),""),"")</f>
        <v/>
      </c>
      <c r="J33" s="111">
        <f>IFERROR(IF(ROUND($G31-J31,3)&gt;0,ROUND($G31-J31,3),""),"")</f>
        <v/>
      </c>
      <c r="K33" s="111">
        <f>IFERROR(IF(ROUND($G31-K31,3)&gt;0,ROUND($G31-K31,3),""),"")</f>
        <v/>
      </c>
      <c r="L33" s="111">
        <f>IFERROR(IF(ROUND($G31-L31,3)&gt;0,ROUND($G31-L31,3),""),"")</f>
        <v/>
      </c>
      <c r="M33" s="111">
        <f>IFERROR(IF(ROUND($G31-M31,3)&gt;0,ROUND($G31-M31,3),""),"")</f>
        <v/>
      </c>
      <c r="N33" s="111">
        <f>IFERROR(IF(ROUND($G31-N31,3)&gt;0,ROUND($G31-N31,3),""),"")</f>
        <v/>
      </c>
      <c r="O33" s="111">
        <f>IFERROR(IF(ROUND($G31-O31,3)&gt;0,ROUND($G31-O31,3),""),"")</f>
        <v/>
      </c>
      <c r="P33" s="111">
        <f>IFERROR(IF(ROUND($G31-P31,3)&gt;0,ROUND($G31-P31,3),""),"")</f>
        <v/>
      </c>
      <c r="Q33" s="111">
        <f>IFERROR(IF(ROUND($G31-Q31,3)&gt;0,ROUND($G31-Q31,3),""),"")</f>
        <v/>
      </c>
      <c r="R33" s="111">
        <f>IFERROR(IF(ROUND($G31-R31,3)&gt;0,ROUND($G31-R31,3),""),"")</f>
        <v/>
      </c>
      <c r="S33" s="111">
        <f>IFERROR(IF(ROUND($G31-S31,3)&gt;0,ROUND($G31-S31,3),""),"")</f>
        <v/>
      </c>
      <c r="T33" s="23" t="n"/>
      <c r="U33" s="111">
        <f>IFERROR(IF(ROUND($G31-U31,3)&gt;0,ROUND($G31-U31,3),""),"")</f>
        <v/>
      </c>
      <c r="V33" s="111">
        <f>IFERROR(IF(ROUND($G31-V31,3)&gt;0,ROUND($G31-V31,3),""),"")</f>
        <v/>
      </c>
      <c r="W33" s="111">
        <f>IFERROR(IF(ROUND($G31-W31,3)&gt;0,ROUND($G31-W31,3),""),"")</f>
        <v/>
      </c>
      <c r="X33" s="111">
        <f>IFERROR(IF(ROUND($G31-X31,3)&gt;0,ROUND($G31-X31,3),""),"")</f>
        <v/>
      </c>
      <c r="Y33" s="111">
        <f>IFERROR(IF(ROUND($G31-Y31,3)&gt;0,ROUND($G31-Y31,3),""),"")</f>
        <v/>
      </c>
      <c r="Z33" s="111">
        <f>IFERROR(IF(ROUND($G31-Z31,3)&gt;0,ROUND($G31-Z31,3),""),"")</f>
        <v/>
      </c>
      <c r="AA33" s="111">
        <f>IFERROR(IF(ROUND($G31-AA31,3)&gt;0,ROUND($G31-AA31,3),""),"")</f>
        <v/>
      </c>
      <c r="AB33" s="111">
        <f>IFERROR(IF(ROUND($G31-AB31,3)&gt;0,ROUND($G31-AB31,3),""),"")</f>
        <v/>
      </c>
      <c r="AC33" s="111">
        <f>IFERROR(IF(ROUND($G31-AC31,3)&gt;0,ROUND($G31-AC31,3),""),"")</f>
        <v/>
      </c>
      <c r="AD33" s="111">
        <f>IFERROR(IF(ROUND($G31-AD31,3)&gt;0,ROUND($G31-AD31,3),""),"")</f>
        <v/>
      </c>
      <c r="AE33" s="111">
        <f>IFERROR(IF(ROUND($G31-AE31,3)&gt;0,ROUND($G31-AE31,3),""),"")</f>
        <v/>
      </c>
      <c r="AF33" s="111">
        <f>IFERROR(IF(ROUND($G31-AF31,3)&gt;0,ROUND($G31-AF31,3),""),"")</f>
        <v/>
      </c>
      <c r="AH33" s="23" t="inlineStr">
        <is>
          <t>VIKING-MULTITRACK</t>
        </is>
      </c>
      <c r="AI33" s="101" t="inlineStr">
        <is>
          <t>VIKING-MULTITRACK</t>
        </is>
      </c>
    </row>
    <row r="34" ht="15" customHeight="1" s="5">
      <c r="A34" s="128" t="inlineStr">
        <is>
          <t>Zone 2</t>
        </is>
      </c>
      <c r="B34" s="103" t="inlineStr">
        <is>
          <t>AFRICA</t>
        </is>
      </c>
      <c r="C34" s="65" t="inlineStr">
        <is>
          <t>SC</t>
        </is>
      </c>
      <c r="D34" s="52" t="inlineStr">
        <is>
          <t>MAISA TAGLESS</t>
        </is>
      </c>
      <c r="E34" s="53" t="n">
        <v>7</v>
      </c>
      <c r="F34" s="53" t="n">
        <v>1</v>
      </c>
      <c r="G34" s="75">
        <f>IFERROR(IF(OR($F34=0,VLOOKUP($D34,'MC MASTER'!$A:$R,18,0)=0),"-",ROUND(VLOOKUP($D34,'MC MASTER'!$A:$R,18,0)*$E34*$F34,3)),"-")</f>
        <v/>
      </c>
      <c r="H34" s="75">
        <f>IFERROR(SUMIFS(WORKING!$Y:$Y,WORKING!$X:$X,$D34,WORKING!$W:$W,H$500),"")</f>
        <v/>
      </c>
      <c r="I34" s="75">
        <f>IFERROR(SUMIFS(WORKING!$Y:$Y,WORKING!$X:$X,$D34,WORKING!$W:$W,I$500),"")</f>
        <v/>
      </c>
      <c r="J34" s="75">
        <f>IFERROR(SUMIFS(WORKING!$Y:$Y,WORKING!$X:$X,$D34,WORKING!$W:$W,J$500),"")</f>
        <v/>
      </c>
      <c r="K34" s="75">
        <f>IFERROR(SUMIFS(WORKING!$Y:$Y,WORKING!$X:$X,$D34,WORKING!$W:$W,K$500),"")</f>
        <v/>
      </c>
      <c r="L34" s="75">
        <f>IFERROR(SUMIFS(WORKING!$Y:$Y,WORKING!$X:$X,$D34,WORKING!$W:$W,L$500),"")</f>
        <v/>
      </c>
      <c r="M34" s="75">
        <f>IFERROR(SUMIFS(WORKING!$Y:$Y,WORKING!$X:$X,$D34,WORKING!$W:$W,M$500),"")</f>
        <v/>
      </c>
      <c r="N34" s="75">
        <f>IFERROR(SUMIFS(WORKING!$Y:$Y,WORKING!$X:$X,$D34,WORKING!$W:$W,N$500),"")</f>
        <v/>
      </c>
      <c r="O34" s="75">
        <f>IFERROR(SUMIFS(WORKING!$Y:$Y,WORKING!$X:$X,$D34,WORKING!$W:$W,O$500),"")</f>
        <v/>
      </c>
      <c r="P34" s="75">
        <f>IFERROR(SUMIFS(WORKING!$Y:$Y,WORKING!$X:$X,$D34,WORKING!$W:$W,P$500),"")</f>
        <v/>
      </c>
      <c r="Q34" s="75">
        <f>IFERROR(SUMIFS(WORKING!$Y:$Y,WORKING!$X:$X,$D34,WORKING!$W:$W,Q$500),"")</f>
        <v/>
      </c>
      <c r="R34" s="75">
        <f>IFERROR(SUMIFS(WORKING!$Y:$Y,WORKING!$X:$X,$D34,WORKING!$W:$W,R$500),"")</f>
        <v/>
      </c>
      <c r="S34" s="75">
        <f>IFERROR(SUMIFS(WORKING!$Y:$Y,WORKING!$X:$X,$D34,WORKING!$W:$W,S$500),"")</f>
        <v/>
      </c>
      <c r="T34" s="23" t="n"/>
      <c r="U34" s="75">
        <f>IFERROR(SUMIFS(WORKING!$Z:$Z,WORKING!$X:$X,$D34,WORKING!$W:$W,H$500),"")</f>
        <v/>
      </c>
      <c r="V34" s="75">
        <f>IFERROR(SUMIFS(WORKING!$Z:$Z,WORKING!$X:$X,$D34,WORKING!$W:$W,I$500),"")</f>
        <v/>
      </c>
      <c r="W34" s="75">
        <f>IFERROR(SUMIFS(WORKING!$Z:$Z,WORKING!$X:$X,$D34,WORKING!$W:$W,J$500),"")</f>
        <v/>
      </c>
      <c r="X34" s="75">
        <f>IFERROR(SUMIFS(WORKING!$Z:$Z,WORKING!$X:$X,$D34,WORKING!$W:$W,K$500),"")</f>
        <v/>
      </c>
      <c r="Y34" s="75">
        <f>IFERROR(SUMIFS(WORKING!$Z:$Z,WORKING!$X:$X,$D34,WORKING!$W:$W,L$500),"")</f>
        <v/>
      </c>
      <c r="Z34" s="75">
        <f>IFERROR(SUMIFS(WORKING!$Z:$Z,WORKING!$X:$X,$D34,WORKING!$W:$W,M$500),"")</f>
        <v/>
      </c>
      <c r="AA34" s="75">
        <f>IFERROR(SUMIFS(WORKING!$Z:$Z,WORKING!$X:$X,$D34,WORKING!$W:$W,N$500),"")</f>
        <v/>
      </c>
      <c r="AB34" s="75">
        <f>IFERROR(SUMIFS(WORKING!$Z:$Z,WORKING!$X:$X,$D34,WORKING!$W:$W,O$500),"")</f>
        <v/>
      </c>
      <c r="AC34" s="75">
        <f>IFERROR(SUMIFS(WORKING!$Z:$Z,WORKING!$X:$X,$D34,WORKING!$W:$W,P$500),"")</f>
        <v/>
      </c>
      <c r="AD34" s="75">
        <f>IFERROR(SUMIFS(WORKING!$Z:$Z,WORKING!$X:$X,$D34,WORKING!$W:$W,Q$500),"")</f>
        <v/>
      </c>
      <c r="AE34" s="75">
        <f>IFERROR(SUMIFS(WORKING!$Z:$Z,WORKING!$X:$X,$D34,WORKING!$W:$W,R$500),"")</f>
        <v/>
      </c>
      <c r="AF34" s="75">
        <f>IFERROR(SUMIFS(WORKING!$Z:$Z,WORKING!$X:$X,$D34,WORKING!$W:$W,S$500),"")</f>
        <v/>
      </c>
      <c r="AH34" s="23" t="inlineStr">
        <is>
          <t>Pearl Pack-FFS POUCH</t>
        </is>
      </c>
      <c r="AI34" s="101" t="inlineStr">
        <is>
          <t>Pearl Pack-FFS POUCH</t>
        </is>
      </c>
    </row>
    <row r="35" ht="15" customHeight="1" s="5">
      <c r="A35" s="104" t="n"/>
      <c r="B35" s="104" t="n"/>
      <c r="C35" s="105" t="n"/>
      <c r="D35" s="71" t="inlineStr">
        <is>
          <t>TOTAL</t>
        </is>
      </c>
      <c r="E35" s="105" t="n"/>
      <c r="F35" s="105" t="n"/>
      <c r="G35" s="78">
        <f>SUM(G34:G34)</f>
        <v/>
      </c>
      <c r="H35" s="78">
        <f>SUM(H34:H34)</f>
        <v/>
      </c>
      <c r="I35" s="78">
        <f>SUM(I34:I34)</f>
        <v/>
      </c>
      <c r="J35" s="78">
        <f>SUM(J34:J34)</f>
        <v/>
      </c>
      <c r="K35" s="78">
        <f>SUM(K34:K34)</f>
        <v/>
      </c>
      <c r="L35" s="78">
        <f>SUM(L34:L34)</f>
        <v/>
      </c>
      <c r="M35" s="78">
        <f>SUM(M34:M34)</f>
        <v/>
      </c>
      <c r="N35" s="78">
        <f>SUM(N34:N34)</f>
        <v/>
      </c>
      <c r="O35" s="78">
        <f>SUM(O34:O34)</f>
        <v/>
      </c>
      <c r="P35" s="78">
        <f>SUM(P34:P34)</f>
        <v/>
      </c>
      <c r="Q35" s="78">
        <f>SUM(Q34:Q34)</f>
        <v/>
      </c>
      <c r="R35" s="78">
        <f>SUM(R34:R34)</f>
        <v/>
      </c>
      <c r="S35" s="78">
        <f>SUM(S34:S34)</f>
        <v/>
      </c>
      <c r="T35" s="23" t="n"/>
      <c r="U35" s="78">
        <f>SUM(U34:U34)</f>
        <v/>
      </c>
      <c r="V35" s="78">
        <f>SUM(V34:V34)</f>
        <v/>
      </c>
      <c r="W35" s="78">
        <f>SUM(W34:W34)</f>
        <v/>
      </c>
      <c r="X35" s="78">
        <f>SUM(X34:X34)</f>
        <v/>
      </c>
      <c r="Y35" s="78">
        <f>SUM(Y34:Y34)</f>
        <v/>
      </c>
      <c r="Z35" s="78">
        <f>SUM(Z34:Z34)</f>
        <v/>
      </c>
      <c r="AA35" s="78">
        <f>SUM(AA34:AA34)</f>
        <v/>
      </c>
      <c r="AB35" s="78">
        <f>SUM(AB34:AB34)</f>
        <v/>
      </c>
      <c r="AC35" s="78">
        <f>SUM(AC34:AC34)</f>
        <v/>
      </c>
      <c r="AD35" s="78">
        <f>SUM(AD34:AD34)</f>
        <v/>
      </c>
      <c r="AE35" s="78">
        <f>SUM(AE34:AE34)</f>
        <v/>
      </c>
      <c r="AF35" s="78">
        <f>SUM(AF34:AF34)</f>
        <v/>
      </c>
      <c r="AH35" s="23" t="inlineStr">
        <is>
          <t>PEARL PACK-NANO</t>
        </is>
      </c>
      <c r="AI35" s="101" t="inlineStr">
        <is>
          <t>PEARL PACK-NANO</t>
        </is>
      </c>
    </row>
    <row r="36" ht="15" customHeight="1" s="5">
      <c r="A36" s="104" t="n"/>
      <c r="B36" s="104" t="n"/>
      <c r="C36" s="116" t="n"/>
      <c r="D36" s="108" t="inlineStr">
        <is>
          <t>Excess Order</t>
        </is>
      </c>
      <c r="E36" s="114" t="n"/>
      <c r="F36" s="114" t="n"/>
      <c r="G36" s="115" t="n"/>
      <c r="H36" s="111">
        <f>IFERROR(IF(ROUND(H35-$G35,3)&gt;0,ROUND(H35-$G35,3),""),"")</f>
        <v/>
      </c>
      <c r="I36" s="111">
        <f>IFERROR(IF(ROUND(I35-$G35,3)&gt;0,ROUND(I35-$G35,3),""),"")</f>
        <v/>
      </c>
      <c r="J36" s="111">
        <f>IFERROR(IF(ROUND(J35-$G35,3)&gt;0,ROUND(J35-$G35,3),""),"")</f>
        <v/>
      </c>
      <c r="K36" s="111">
        <f>IFERROR(IF(ROUND(K35-$G35,3)&gt;0,ROUND(K35-$G35,3),""),"")</f>
        <v/>
      </c>
      <c r="L36" s="111">
        <f>IFERROR(IF(ROUND(L35-$G35,3)&gt;0,ROUND(L35-$G35,3),""),"")</f>
        <v/>
      </c>
      <c r="M36" s="111">
        <f>IFERROR(IF(ROUND(M35-$G35,3)&gt;0,ROUND(M35-$G35,3),""),"")</f>
        <v/>
      </c>
      <c r="N36" s="111">
        <f>IFERROR(IF(ROUND(N35-$G35,3)&gt;0,ROUND(N35-$G35,3),""),"")</f>
        <v/>
      </c>
      <c r="O36" s="111">
        <f>IFERROR(IF(ROUND(O35-$G35,3)&gt;0,ROUND(O35-$G35,3),""),"")</f>
        <v/>
      </c>
      <c r="P36" s="111">
        <f>IFERROR(IF(ROUND(P35-$G35,3)&gt;0,ROUND(P35-$G35,3),""),"")</f>
        <v/>
      </c>
      <c r="Q36" s="111">
        <f>IFERROR(IF(ROUND(Q35-$G35,3)&gt;0,ROUND(Q35-$G35,3),""),"")</f>
        <v/>
      </c>
      <c r="R36" s="111">
        <f>IFERROR(IF(ROUND(R35-$G35,3)&gt;0,ROUND(R35-$G35,3),""),"")</f>
        <v/>
      </c>
      <c r="S36" s="111">
        <f>IFERROR(IF(ROUND(S35-$G35,3)&gt;0,ROUND(S35-$G35,3),""),"")</f>
        <v/>
      </c>
      <c r="T36" s="23" t="n"/>
      <c r="U36" s="111">
        <f>IFERROR(IF(ROUND(U35-$G35,3)&gt;0,ROUND(U35-$G35,3),""),"")</f>
        <v/>
      </c>
      <c r="V36" s="111">
        <f>IFERROR(IF(ROUND(V35-$G35,3)&gt;0,ROUND(V35-$G35,3),""),"")</f>
        <v/>
      </c>
      <c r="W36" s="111">
        <f>IFERROR(IF(ROUND(W35-$G35,3)&gt;0,ROUND(W35-$G35,3),""),"")</f>
        <v/>
      </c>
      <c r="X36" s="111">
        <f>IFERROR(IF(ROUND(X35-$G35,3)&gt;0,ROUND(X35-$G35,3),""),"")</f>
        <v/>
      </c>
      <c r="Y36" s="111">
        <f>IFERROR(IF(ROUND(Y35-$G35,3)&gt;0,ROUND(Y35-$G35,3),""),"")</f>
        <v/>
      </c>
      <c r="Z36" s="111">
        <f>IFERROR(IF(ROUND(Z35-$G35,3)&gt;0,ROUND(Z35-$G35,3),""),"")</f>
        <v/>
      </c>
      <c r="AA36" s="111">
        <f>IFERROR(IF(ROUND(AA35-$G35,3)&gt;0,ROUND(AA35-$G35,3),""),"")</f>
        <v/>
      </c>
      <c r="AB36" s="111">
        <f>IFERROR(IF(ROUND(AB35-$G35,3)&gt;0,ROUND(AB35-$G35,3),""),"")</f>
        <v/>
      </c>
      <c r="AC36" s="111">
        <f>IFERROR(IF(ROUND(AC35-$G35,3)&gt;0,ROUND(AC35-$G35,3),""),"")</f>
        <v/>
      </c>
      <c r="AD36" s="111">
        <f>IFERROR(IF(ROUND(AD35-$G35,3)&gt;0,ROUND(AD35-$G35,3),""),"")</f>
        <v/>
      </c>
      <c r="AE36" s="111">
        <f>IFERROR(IF(ROUND(AE35-$G35,3)&gt;0,ROUND(AE35-$G35,3),""),"")</f>
        <v/>
      </c>
      <c r="AF36" s="111">
        <f>IFERROR(IF(ROUND(AF35-$G35,3)&gt;0,ROUND(AF35-$G35,3),""),"")</f>
        <v/>
      </c>
      <c r="AH36" s="23" t="inlineStr">
        <is>
          <t>VARIETIES PACK</t>
        </is>
      </c>
      <c r="AI36" s="101" t="inlineStr">
        <is>
          <t>VARIETIES PACK</t>
        </is>
      </c>
    </row>
    <row r="37" ht="15" customHeight="1" s="5">
      <c r="A37" s="104" t="n"/>
      <c r="B37" s="86" t="n"/>
      <c r="C37" s="86" t="n"/>
      <c r="D37" s="108" t="inlineStr">
        <is>
          <t>Short Order</t>
        </is>
      </c>
      <c r="E37" s="114" t="n"/>
      <c r="F37" s="114" t="n"/>
      <c r="G37" s="115" t="n"/>
      <c r="H37" s="111">
        <f>IFERROR(IF(ROUND($G35-H35,3)&gt;0,ROUND($G35-H35,3),""),"")</f>
        <v/>
      </c>
      <c r="I37" s="111">
        <f>IFERROR(IF(ROUND($G35-I35,3)&gt;0,ROUND($G35-I35,3),""),"")</f>
        <v/>
      </c>
      <c r="J37" s="111">
        <f>IFERROR(IF(ROUND($G35-J35,3)&gt;0,ROUND($G35-J35,3),""),"")</f>
        <v/>
      </c>
      <c r="K37" s="111">
        <f>IFERROR(IF(ROUND($G35-K35,3)&gt;0,ROUND($G35-K35,3),""),"")</f>
        <v/>
      </c>
      <c r="L37" s="111">
        <f>IFERROR(IF(ROUND($G35-L35,3)&gt;0,ROUND($G35-L35,3),""),"")</f>
        <v/>
      </c>
      <c r="M37" s="111">
        <f>IFERROR(IF(ROUND($G35-M35,3)&gt;0,ROUND($G35-M35,3),""),"")</f>
        <v/>
      </c>
      <c r="N37" s="111">
        <f>IFERROR(IF(ROUND($G35-N35,3)&gt;0,ROUND($G35-N35,3),""),"")</f>
        <v/>
      </c>
      <c r="O37" s="111">
        <f>IFERROR(IF(ROUND($G35-O35,3)&gt;0,ROUND($G35-O35,3),""),"")</f>
        <v/>
      </c>
      <c r="P37" s="111">
        <f>IFERROR(IF(ROUND($G35-P35,3)&gt;0,ROUND($G35-P35,3),""),"")</f>
        <v/>
      </c>
      <c r="Q37" s="111">
        <f>IFERROR(IF(ROUND($G35-Q35,3)&gt;0,ROUND($G35-Q35,3),""),"")</f>
        <v/>
      </c>
      <c r="R37" s="111">
        <f>IFERROR(IF(ROUND($G35-R35,3)&gt;0,ROUND($G35-R35,3),""),"")</f>
        <v/>
      </c>
      <c r="S37" s="111">
        <f>IFERROR(IF(ROUND($G35-S35,3)&gt;0,ROUND($G35-S35,3),""),"")</f>
        <v/>
      </c>
      <c r="T37" s="23" t="n"/>
      <c r="U37" s="111">
        <f>IFERROR(IF(ROUND($G35-U35,3)&gt;0,ROUND($G35-U35,3),""),"")</f>
        <v/>
      </c>
      <c r="V37" s="111">
        <f>IFERROR(IF(ROUND($G35-V35,3)&gt;0,ROUND($G35-V35,3),""),"")</f>
        <v/>
      </c>
      <c r="W37" s="111">
        <f>IFERROR(IF(ROUND($G35-W35,3)&gt;0,ROUND($G35-W35,3),""),"")</f>
        <v/>
      </c>
      <c r="X37" s="111">
        <f>IFERROR(IF(ROUND($G35-X35,3)&gt;0,ROUND($G35-X35,3),""),"")</f>
        <v/>
      </c>
      <c r="Y37" s="111">
        <f>IFERROR(IF(ROUND($G35-Y35,3)&gt;0,ROUND($G35-Y35,3),""),"")</f>
        <v/>
      </c>
      <c r="Z37" s="111">
        <f>IFERROR(IF(ROUND($G35-Z35,3)&gt;0,ROUND($G35-Z35,3),""),"")</f>
        <v/>
      </c>
      <c r="AA37" s="111">
        <f>IFERROR(IF(ROUND($G35-AA35,3)&gt;0,ROUND($G35-AA35,3),""),"")</f>
        <v/>
      </c>
      <c r="AB37" s="111">
        <f>IFERROR(IF(ROUND($G35-AB35,3)&gt;0,ROUND($G35-AB35,3),""),"")</f>
        <v/>
      </c>
      <c r="AC37" s="111">
        <f>IFERROR(IF(ROUND($G35-AC35,3)&gt;0,ROUND($G35-AC35,3),""),"")</f>
        <v/>
      </c>
      <c r="AD37" s="111">
        <f>IFERROR(IF(ROUND($G35-AD35,3)&gt;0,ROUND($G35-AD35,3),""),"")</f>
        <v/>
      </c>
      <c r="AE37" s="111">
        <f>IFERROR(IF(ROUND($G35-AE35,3)&gt;0,ROUND($G35-AE35,3),""),"")</f>
        <v/>
      </c>
      <c r="AF37" s="111">
        <f>IFERROR(IF(ROUND($G35-AF35,3)&gt;0,ROUND($G35-AF35,3),""),"")</f>
        <v/>
      </c>
      <c r="AH37" s="23" t="inlineStr">
        <is>
          <t>PERFECTA ENV</t>
        </is>
      </c>
      <c r="AI37" s="101" t="inlineStr">
        <is>
          <t>PERFECTA ENV</t>
        </is>
      </c>
    </row>
    <row r="38" ht="15" customHeight="1" s="5">
      <c r="A38" s="104" t="n"/>
      <c r="B38" s="103" t="inlineStr">
        <is>
          <t>EUROPE</t>
        </is>
      </c>
      <c r="C38" s="65" t="inlineStr">
        <is>
          <t>SC</t>
        </is>
      </c>
      <c r="D38" s="52" t="inlineStr">
        <is>
          <t>UNIVERSAL POT BAG</t>
        </is>
      </c>
      <c r="E38" s="53" t="n">
        <v>1</v>
      </c>
      <c r="F38" s="53" t="n">
        <v>0</v>
      </c>
      <c r="G38" s="75">
        <f>IFERROR(IF(OR($F38=0,VLOOKUP($D38,'MC MASTER'!$A:$R,18,0)=0),"-",ROUND(VLOOKUP($D38,'MC MASTER'!$A:$R,18,0)*$E38*$F38,3)),"-")</f>
        <v/>
      </c>
      <c r="H38" s="75">
        <f>IFERROR(SUMIFS(WORKING!$Y:$Y,WORKING!$X:$X,$D38,WORKING!$W:$W,H$500),"")</f>
        <v/>
      </c>
      <c r="I38" s="75">
        <f>IFERROR(SUMIFS(WORKING!$Y:$Y,WORKING!$X:$X,$D38,WORKING!$W:$W,I$500),"")</f>
        <v/>
      </c>
      <c r="J38" s="75">
        <f>IFERROR(SUMIFS(WORKING!$Y:$Y,WORKING!$X:$X,$D38,WORKING!$W:$W,J$500),"")</f>
        <v/>
      </c>
      <c r="K38" s="75">
        <f>IFERROR(SUMIFS(WORKING!$Y:$Y,WORKING!$X:$X,$D38,WORKING!$W:$W,K$500),"")</f>
        <v/>
      </c>
      <c r="L38" s="75">
        <f>IFERROR(SUMIFS(WORKING!$Y:$Y,WORKING!$X:$X,$D38,WORKING!$W:$W,L$500),"")</f>
        <v/>
      </c>
      <c r="M38" s="75">
        <f>IFERROR(SUMIFS(WORKING!$Y:$Y,WORKING!$X:$X,$D38,WORKING!$W:$W,M$500),"")</f>
        <v/>
      </c>
      <c r="N38" s="75">
        <f>IFERROR(SUMIFS(WORKING!$Y:$Y,WORKING!$X:$X,$D38,WORKING!$W:$W,N$500),"")</f>
        <v/>
      </c>
      <c r="O38" s="75">
        <f>IFERROR(SUMIFS(WORKING!$Y:$Y,WORKING!$X:$X,$D38,WORKING!$W:$W,O$500),"")</f>
        <v/>
      </c>
      <c r="P38" s="75">
        <f>IFERROR(SUMIFS(WORKING!$Y:$Y,WORKING!$X:$X,$D38,WORKING!$W:$W,P$500),"")</f>
        <v/>
      </c>
      <c r="Q38" s="75">
        <f>IFERROR(SUMIFS(WORKING!$Y:$Y,WORKING!$X:$X,$D38,WORKING!$W:$W,Q$500),"")</f>
        <v/>
      </c>
      <c r="R38" s="75">
        <f>IFERROR(SUMIFS(WORKING!$Y:$Y,WORKING!$X:$X,$D38,WORKING!$W:$W,R$500),"")</f>
        <v/>
      </c>
      <c r="S38" s="75">
        <f>IFERROR(SUMIFS(WORKING!$Y:$Y,WORKING!$X:$X,$D38,WORKING!$W:$W,S$500),"")</f>
        <v/>
      </c>
      <c r="T38" s="23" t="n"/>
      <c r="U38" s="75">
        <f>IFERROR(SUMIFS(WORKING!$Z:$Z,WORKING!$X:$X,$D38,WORKING!$W:$W,H$500),"")</f>
        <v/>
      </c>
      <c r="V38" s="75">
        <f>IFERROR(SUMIFS(WORKING!$Z:$Z,WORKING!$X:$X,$D38,WORKING!$W:$W,I$500),"")</f>
        <v/>
      </c>
      <c r="W38" s="75">
        <f>IFERROR(SUMIFS(WORKING!$Z:$Z,WORKING!$X:$X,$D38,WORKING!$W:$W,J$500),"")</f>
        <v/>
      </c>
      <c r="X38" s="75">
        <f>IFERROR(SUMIFS(WORKING!$Z:$Z,WORKING!$X:$X,$D38,WORKING!$W:$W,K$500),"")</f>
        <v/>
      </c>
      <c r="Y38" s="75">
        <f>IFERROR(SUMIFS(WORKING!$Z:$Z,WORKING!$X:$X,$D38,WORKING!$W:$W,L$500),"")</f>
        <v/>
      </c>
      <c r="Z38" s="75">
        <f>IFERROR(SUMIFS(WORKING!$Z:$Z,WORKING!$X:$X,$D38,WORKING!$W:$W,M$500),"")</f>
        <v/>
      </c>
      <c r="AA38" s="75">
        <f>IFERROR(SUMIFS(WORKING!$Z:$Z,WORKING!$X:$X,$D38,WORKING!$W:$W,N$500),"")</f>
        <v/>
      </c>
      <c r="AB38" s="75">
        <f>IFERROR(SUMIFS(WORKING!$Z:$Z,WORKING!$X:$X,$D38,WORKING!$W:$W,O$500),"")</f>
        <v/>
      </c>
      <c r="AC38" s="75">
        <f>IFERROR(SUMIFS(WORKING!$Z:$Z,WORKING!$X:$X,$D38,WORKING!$W:$W,P$500),"")</f>
        <v/>
      </c>
      <c r="AD38" s="75">
        <f>IFERROR(SUMIFS(WORKING!$Z:$Z,WORKING!$X:$X,$D38,WORKING!$W:$W,Q$500),"")</f>
        <v/>
      </c>
      <c r="AE38" s="75">
        <f>IFERROR(SUMIFS(WORKING!$Z:$Z,WORKING!$X:$X,$D38,WORKING!$W:$W,R$500),"")</f>
        <v/>
      </c>
      <c r="AF38" s="75">
        <f>IFERROR(SUMIFS(WORKING!$Z:$Z,WORKING!$X:$X,$D38,WORKING!$W:$W,S$500),"")</f>
        <v/>
      </c>
      <c r="AH38" s="23" t="inlineStr">
        <is>
          <t>CONSTANTA TAG D</t>
        </is>
      </c>
      <c r="AI38" s="101" t="inlineStr">
        <is>
          <t>CONSTANTA TAG</t>
        </is>
      </c>
    </row>
    <row r="39" ht="15" customHeight="1" s="5">
      <c r="A39" s="104" t="n"/>
      <c r="B39" s="104" t="n"/>
      <c r="C39" s="86" t="n"/>
      <c r="D39" s="52" t="inlineStr">
        <is>
          <t>UNIVERSAL TWIN BAG</t>
        </is>
      </c>
      <c r="E39" s="53" t="n">
        <v>1</v>
      </c>
      <c r="F39" s="53" t="n">
        <v>1</v>
      </c>
      <c r="G39" s="75">
        <f>IFERROR(IF(OR($F39=0,VLOOKUP($D39,'MC MASTER'!$A:$R,18,0)=0),"-",ROUND(VLOOKUP($D39,'MC MASTER'!$A:$R,18,0)*$E39*$F39,3)),"-")</f>
        <v/>
      </c>
      <c r="H39" s="75">
        <f>IFERROR(SUMIFS(WORKING!$Y:$Y,WORKING!$X:$X,$D39,WORKING!$W:$W,H$500),"")</f>
        <v/>
      </c>
      <c r="I39" s="75">
        <f>IFERROR(SUMIFS(WORKING!$Y:$Y,WORKING!$X:$X,$D39,WORKING!$W:$W,I$500),"")</f>
        <v/>
      </c>
      <c r="J39" s="75">
        <f>IFERROR(SUMIFS(WORKING!$Y:$Y,WORKING!$X:$X,$D39,WORKING!$W:$W,J$500),"")</f>
        <v/>
      </c>
      <c r="K39" s="75">
        <f>IFERROR(SUMIFS(WORKING!$Y:$Y,WORKING!$X:$X,$D39,WORKING!$W:$W,K$500),"")</f>
        <v/>
      </c>
      <c r="L39" s="75">
        <f>IFERROR(SUMIFS(WORKING!$Y:$Y,WORKING!$X:$X,$D39,WORKING!$W:$W,L$500),"")</f>
        <v/>
      </c>
      <c r="M39" s="75">
        <f>IFERROR(SUMIFS(WORKING!$Y:$Y,WORKING!$X:$X,$D39,WORKING!$W:$W,M$500),"")</f>
        <v/>
      </c>
      <c r="N39" s="75">
        <f>IFERROR(SUMIFS(WORKING!$Y:$Y,WORKING!$X:$X,$D39,WORKING!$W:$W,N$500),"")</f>
        <v/>
      </c>
      <c r="O39" s="75">
        <f>IFERROR(SUMIFS(WORKING!$Y:$Y,WORKING!$X:$X,$D39,WORKING!$W:$W,O$500),"")</f>
        <v/>
      </c>
      <c r="P39" s="75">
        <f>IFERROR(SUMIFS(WORKING!$Y:$Y,WORKING!$X:$X,$D39,WORKING!$W:$W,P$500),"")</f>
        <v/>
      </c>
      <c r="Q39" s="75">
        <f>IFERROR(SUMIFS(WORKING!$Y:$Y,WORKING!$X:$X,$D39,WORKING!$W:$W,Q$500),"")</f>
        <v/>
      </c>
      <c r="R39" s="75">
        <f>IFERROR(SUMIFS(WORKING!$Y:$Y,WORKING!$X:$X,$D39,WORKING!$W:$W,R$500),"")</f>
        <v/>
      </c>
      <c r="S39" s="75">
        <f>IFERROR(SUMIFS(WORKING!$Y:$Y,WORKING!$X:$X,$D39,WORKING!$W:$W,S$500),"")</f>
        <v/>
      </c>
      <c r="T39" s="23" t="n"/>
      <c r="U39" s="75">
        <f>IFERROR(SUMIFS(WORKING!$Z:$Z,WORKING!$X:$X,$D39,WORKING!$W:$W,H$500),"")</f>
        <v/>
      </c>
      <c r="V39" s="75">
        <f>IFERROR(SUMIFS(WORKING!$Z:$Z,WORKING!$X:$X,$D39,WORKING!$W:$W,I$500),"")</f>
        <v/>
      </c>
      <c r="W39" s="75">
        <f>IFERROR(SUMIFS(WORKING!$Z:$Z,WORKING!$X:$X,$D39,WORKING!$W:$W,J$500),"")</f>
        <v/>
      </c>
      <c r="X39" s="75">
        <f>IFERROR(SUMIFS(WORKING!$Z:$Z,WORKING!$X:$X,$D39,WORKING!$W:$W,K$500),"")</f>
        <v/>
      </c>
      <c r="Y39" s="75">
        <f>IFERROR(SUMIFS(WORKING!$Z:$Z,WORKING!$X:$X,$D39,WORKING!$W:$W,L$500),"")</f>
        <v/>
      </c>
      <c r="Z39" s="75">
        <f>IFERROR(SUMIFS(WORKING!$Z:$Z,WORKING!$X:$X,$D39,WORKING!$W:$W,M$500),"")</f>
        <v/>
      </c>
      <c r="AA39" s="75">
        <f>IFERROR(SUMIFS(WORKING!$Z:$Z,WORKING!$X:$X,$D39,WORKING!$W:$W,N$500),"")</f>
        <v/>
      </c>
      <c r="AB39" s="75">
        <f>IFERROR(SUMIFS(WORKING!$Z:$Z,WORKING!$X:$X,$D39,WORKING!$W:$W,O$500),"")</f>
        <v/>
      </c>
      <c r="AC39" s="75">
        <f>IFERROR(SUMIFS(WORKING!$Z:$Z,WORKING!$X:$X,$D39,WORKING!$W:$W,P$500),"")</f>
        <v/>
      </c>
      <c r="AD39" s="75">
        <f>IFERROR(SUMIFS(WORKING!$Z:$Z,WORKING!$X:$X,$D39,WORKING!$W:$W,Q$500),"")</f>
        <v/>
      </c>
      <c r="AE39" s="75">
        <f>IFERROR(SUMIFS(WORKING!$Z:$Z,WORKING!$X:$X,$D39,WORKING!$W:$W,R$500),"")</f>
        <v/>
      </c>
      <c r="AF39" s="75">
        <f>IFERROR(SUMIFS(WORKING!$Z:$Z,WORKING!$X:$X,$D39,WORKING!$W:$W,S$500),"")</f>
        <v/>
      </c>
      <c r="AH39" s="23" t="inlineStr">
        <is>
          <t>MD 20 4GM</t>
        </is>
      </c>
      <c r="AI39" s="101" t="inlineStr">
        <is>
          <t>MD20 4GM TAG</t>
        </is>
      </c>
    </row>
    <row r="40" ht="15" customHeight="1" s="5">
      <c r="A40" s="104" t="n"/>
      <c r="B40" s="104" t="n"/>
      <c r="C40" s="105" t="n"/>
      <c r="D40" s="125" t="inlineStr">
        <is>
          <t>TOTAL</t>
        </is>
      </c>
      <c r="E40" s="126" t="n"/>
      <c r="F40" s="126" t="n"/>
      <c r="G40" s="127">
        <f>SUM(G38:G39)</f>
        <v/>
      </c>
      <c r="H40" s="127">
        <f>SUM(H38:H39)</f>
        <v/>
      </c>
      <c r="I40" s="127">
        <f>SUM(I38:I39)</f>
        <v/>
      </c>
      <c r="J40" s="127">
        <f>SUM(J38:J39)</f>
        <v/>
      </c>
      <c r="K40" s="127">
        <f>SUM(K38:K39)</f>
        <v/>
      </c>
      <c r="L40" s="127">
        <f>SUM(L38:L39)</f>
        <v/>
      </c>
      <c r="M40" s="127">
        <f>SUM(M38:M39)</f>
        <v/>
      </c>
      <c r="N40" s="127">
        <f>SUM(N38:N39)</f>
        <v/>
      </c>
      <c r="O40" s="127">
        <f>SUM(O38:O39)</f>
        <v/>
      </c>
      <c r="P40" s="127">
        <f>SUM(P38:P39)</f>
        <v/>
      </c>
      <c r="Q40" s="127">
        <f>SUM(Q38:Q39)</f>
        <v/>
      </c>
      <c r="R40" s="127">
        <f>SUM(R38:R39)</f>
        <v/>
      </c>
      <c r="S40" s="127">
        <f>SUM(S38:S39)</f>
        <v/>
      </c>
      <c r="T40" s="23" t="n"/>
      <c r="U40" s="127">
        <f>SUM(U38:U39)</f>
        <v/>
      </c>
      <c r="V40" s="127">
        <f>SUM(V38:V39)</f>
        <v/>
      </c>
      <c r="W40" s="127">
        <f>SUM(W38:W39)</f>
        <v/>
      </c>
      <c r="X40" s="127">
        <f>SUM(X38:X39)</f>
        <v/>
      </c>
      <c r="Y40" s="127">
        <f>SUM(Y38:Y39)</f>
        <v/>
      </c>
      <c r="Z40" s="127">
        <f>SUM(Z38:Z39)</f>
        <v/>
      </c>
      <c r="AA40" s="127">
        <f>SUM(AA38:AA39)</f>
        <v/>
      </c>
      <c r="AB40" s="127">
        <f>SUM(AB38:AB39)</f>
        <v/>
      </c>
      <c r="AC40" s="127">
        <f>SUM(AC38:AC39)</f>
        <v/>
      </c>
      <c r="AD40" s="127">
        <f>SUM(AD38:AD39)</f>
        <v/>
      </c>
      <c r="AE40" s="127">
        <f>SUM(AE38:AE39)</f>
        <v/>
      </c>
      <c r="AF40" s="127">
        <f>SUM(AF38:AF39)</f>
        <v/>
      </c>
      <c r="AH40" s="23" t="inlineStr">
        <is>
          <t>Pearl Pack Premix</t>
        </is>
      </c>
      <c r="AI40" s="101" t="inlineStr">
        <is>
          <t>PEARL PACK-PREMIX</t>
        </is>
      </c>
    </row>
    <row r="41" ht="15" customHeight="1" s="5">
      <c r="A41" s="104" t="n"/>
      <c r="B41" s="104" t="n"/>
      <c r="C41" s="65" t="n"/>
      <c r="D41" s="108" t="inlineStr">
        <is>
          <t>Excess Order</t>
        </is>
      </c>
      <c r="E41" s="114" t="n"/>
      <c r="F41" s="114" t="n"/>
      <c r="G41" s="115" t="n"/>
      <c r="H41" s="111">
        <f>IFERROR(IF(ROUND(H40-$G40,3)&gt;0,ROUND(H40-$G40,3),""),"")</f>
        <v/>
      </c>
      <c r="I41" s="111">
        <f>IFERROR(IF(ROUND(I40-$G40,3)&gt;0,ROUND(I40-$G40,3),""),"")</f>
        <v/>
      </c>
      <c r="J41" s="111">
        <f>IFERROR(IF(ROUND(J40-$G40,3)&gt;0,ROUND(J40-$G40,3),""),"")</f>
        <v/>
      </c>
      <c r="K41" s="111">
        <f>IFERROR(IF(ROUND(K40-$G40,3)&gt;0,ROUND(K40-$G40,3),""),"")</f>
        <v/>
      </c>
      <c r="L41" s="111">
        <f>IFERROR(IF(ROUND(L40-$G40,3)&gt;0,ROUND(L40-$G40,3),""),"")</f>
        <v/>
      </c>
      <c r="M41" s="111">
        <f>IFERROR(IF(ROUND(M40-$G40,3)&gt;0,ROUND(M40-$G40,3),""),"")</f>
        <v/>
      </c>
      <c r="N41" s="111">
        <f>IFERROR(IF(ROUND(N40-$G40,3)&gt;0,ROUND(N40-$G40,3),""),"")</f>
        <v/>
      </c>
      <c r="O41" s="111">
        <f>IFERROR(IF(ROUND(O40-$G40,3)&gt;0,ROUND(O40-$G40,3),""),"")</f>
        <v/>
      </c>
      <c r="P41" s="111">
        <f>IFERROR(IF(ROUND(P40-$G40,3)&gt;0,ROUND(P40-$G40,3),""),"")</f>
        <v/>
      </c>
      <c r="Q41" s="111">
        <f>IFERROR(IF(ROUND(Q40-$G40,3)&gt;0,ROUND(Q40-$G40,3),""),"")</f>
        <v/>
      </c>
      <c r="R41" s="111">
        <f>IFERROR(IF(ROUND(R40-$G40,3)&gt;0,ROUND(R40-$G40,3),""),"")</f>
        <v/>
      </c>
      <c r="S41" s="111">
        <f>IFERROR(IF(ROUND(S40-$G40,3)&gt;0,ROUND(S40-$G40,3),""),"")</f>
        <v/>
      </c>
      <c r="T41" s="101" t="n"/>
      <c r="U41" s="111">
        <f>IFERROR(IF(ROUND(U40-$G40,3)&gt;0,ROUND(U40-$G40,3),""),"")</f>
        <v/>
      </c>
      <c r="V41" s="111">
        <f>IFERROR(IF(ROUND(V40-$G40,3)&gt;0,ROUND(V40-$G40,3),""),"")</f>
        <v/>
      </c>
      <c r="W41" s="111">
        <f>IFERROR(IF(ROUND(W40-$G40,3)&gt;0,ROUND(W40-$G40,3),""),"")</f>
        <v/>
      </c>
      <c r="X41" s="111">
        <f>IFERROR(IF(ROUND(X40-$G40,3)&gt;0,ROUND(X40-$G40,3),""),"")</f>
        <v/>
      </c>
      <c r="Y41" s="111">
        <f>IFERROR(IF(ROUND(Y40-$G40,3)&gt;0,ROUND(Y40-$G40,3),""),"")</f>
        <v/>
      </c>
      <c r="Z41" s="111">
        <f>IFERROR(IF(ROUND(Z40-$G40,3)&gt;0,ROUND(Z40-$G40,3),""),"")</f>
        <v/>
      </c>
      <c r="AA41" s="111">
        <f>IFERROR(IF(ROUND(AA40-$G40,3)&gt;0,ROUND(AA40-$G40,3),""),"")</f>
        <v/>
      </c>
      <c r="AB41" s="111">
        <f>IFERROR(IF(ROUND(AB40-$G40,3)&gt;0,ROUND(AB40-$G40,3),""),"")</f>
        <v/>
      </c>
      <c r="AC41" s="111">
        <f>IFERROR(IF(ROUND(AC40-$G40,3)&gt;0,ROUND(AC40-$G40,3),""),"")</f>
        <v/>
      </c>
      <c r="AD41" s="111">
        <f>IFERROR(IF(ROUND(AD40-$G40,3)&gt;0,ROUND(AD40-$G40,3),""),"")</f>
        <v/>
      </c>
      <c r="AE41" s="111">
        <f>IFERROR(IF(ROUND(AE40-$G40,3)&gt;0,ROUND(AE40-$G40,3),""),"")</f>
        <v/>
      </c>
      <c r="AF41" s="111">
        <f>IFERROR(IF(ROUND(AF40-$G40,3)&gt;0,ROUND(AF40-$G40,3),""),"")</f>
        <v/>
      </c>
    </row>
    <row r="42" ht="15" customHeight="1" s="5">
      <c r="A42" s="104" t="n"/>
      <c r="B42" s="86" t="n"/>
      <c r="C42" s="86" t="n"/>
      <c r="D42" s="108" t="inlineStr">
        <is>
          <t>Short Order</t>
        </is>
      </c>
      <c r="E42" s="117" t="n"/>
      <c r="F42" s="117" t="n"/>
      <c r="G42" s="110" t="n"/>
      <c r="H42" s="111">
        <f>IFERROR(IF(ROUND($G40-H40,3)&gt;0,ROUND($G40-H40,3),""),"")</f>
        <v/>
      </c>
      <c r="I42" s="111">
        <f>IFERROR(IF(ROUND($G40-I40,3)&gt;0,ROUND($G40-I40,3),""),"")</f>
        <v/>
      </c>
      <c r="J42" s="111">
        <f>IFERROR(IF(ROUND($G40-J40,3)&gt;0,ROUND($G40-J40,3),""),"")</f>
        <v/>
      </c>
      <c r="K42" s="111">
        <f>IFERROR(IF(ROUND($G40-K40,3)&gt;0,ROUND($G40-K40,3),""),"")</f>
        <v/>
      </c>
      <c r="L42" s="111">
        <f>IFERROR(IF(ROUND($G40-L40,3)&gt;0,ROUND($G40-L40,3),""),"")</f>
        <v/>
      </c>
      <c r="M42" s="111">
        <f>IFERROR(IF(ROUND($G40-M40,3)&gt;0,ROUND($G40-M40,3),""),"")</f>
        <v/>
      </c>
      <c r="N42" s="111">
        <f>IFERROR(IF(ROUND($G40-N40,3)&gt;0,ROUND($G40-N40,3),""),"")</f>
        <v/>
      </c>
      <c r="O42" s="111">
        <f>IFERROR(IF(ROUND($G40-O40,3)&gt;0,ROUND($G40-O40,3),""),"")</f>
        <v/>
      </c>
      <c r="P42" s="111">
        <f>IFERROR(IF(ROUND($G40-P40,3)&gt;0,ROUND($G40-P40,3),""),"")</f>
        <v/>
      </c>
      <c r="Q42" s="111">
        <f>IFERROR(IF(ROUND($G40-Q40,3)&gt;0,ROUND($G40-Q40,3),""),"")</f>
        <v/>
      </c>
      <c r="R42" s="111">
        <f>IFERROR(IF(ROUND($G40-R40,3)&gt;0,ROUND($G40-R40,3),""),"")</f>
        <v/>
      </c>
      <c r="S42" s="111">
        <f>IFERROR(IF(ROUND($G40-S40,3)&gt;0,ROUND($G40-S40,3),""),"")</f>
        <v/>
      </c>
      <c r="T42" s="101" t="n"/>
      <c r="U42" s="111">
        <f>IFERROR(IF(ROUND($G40-U40,3)&gt;0,ROUND($G40-U40,3),""),"")</f>
        <v/>
      </c>
      <c r="V42" s="111">
        <f>IFERROR(IF(ROUND($G40-V40,3)&gt;0,ROUND($G40-V40,3),""),"")</f>
        <v/>
      </c>
      <c r="W42" s="111">
        <f>IFERROR(IF(ROUND($G40-W40,3)&gt;0,ROUND($G40-W40,3),""),"")</f>
        <v/>
      </c>
      <c r="X42" s="111">
        <f>IFERROR(IF(ROUND($G40-X40,3)&gt;0,ROUND($G40-X40,3),""),"")</f>
        <v/>
      </c>
      <c r="Y42" s="111">
        <f>IFERROR(IF(ROUND($G40-Y40,3)&gt;0,ROUND($G40-Y40,3),""),"")</f>
        <v/>
      </c>
      <c r="Z42" s="111">
        <f>IFERROR(IF(ROUND($G40-Z40,3)&gt;0,ROUND($G40-Z40,3),""),"")</f>
        <v/>
      </c>
      <c r="AA42" s="111">
        <f>IFERROR(IF(ROUND($G40-AA40,3)&gt;0,ROUND($G40-AA40,3),""),"")</f>
        <v/>
      </c>
      <c r="AB42" s="111">
        <f>IFERROR(IF(ROUND($G40-AB40,3)&gt;0,ROUND($G40-AB40,3),""),"")</f>
        <v/>
      </c>
      <c r="AC42" s="111">
        <f>IFERROR(IF(ROUND($G40-AC40,3)&gt;0,ROUND($G40-AC40,3),""),"")</f>
        <v/>
      </c>
      <c r="AD42" s="111">
        <f>IFERROR(IF(ROUND($G40-AD40,3)&gt;0,ROUND($G40-AD40,3),""),"")</f>
        <v/>
      </c>
      <c r="AE42" s="111">
        <f>IFERROR(IF(ROUND($G40-AE40,3)&gt;0,ROUND($G40-AE40,3),""),"")</f>
        <v/>
      </c>
      <c r="AF42" s="111">
        <f>IFERROR(IF(ROUND($G40-AF40,3)&gt;0,ROUND($G40-AF40,3),""),"")</f>
        <v/>
      </c>
    </row>
    <row r="43" ht="15" customHeight="1" s="5">
      <c r="A43" s="104" t="n"/>
      <c r="B43" s="103" t="inlineStr">
        <is>
          <t>USA</t>
        </is>
      </c>
      <c r="C43" s="65" t="inlineStr">
        <is>
          <t>TREE HOUSE</t>
        </is>
      </c>
      <c r="D43" s="52" t="inlineStr">
        <is>
          <t>BREW MAGIC</t>
        </is>
      </c>
      <c r="E43" s="53" t="n">
        <v>1</v>
      </c>
      <c r="F43" s="53" t="n">
        <v>1</v>
      </c>
      <c r="G43" s="75">
        <f>IFERROR(IF(OR($F43=0,VLOOKUP($D43,'MC MASTER'!$A:$R,18,0)=0),"-",ROUND(VLOOKUP($D43,'MC MASTER'!$A:$R,18,0)*$E43*$F43,3)),"-")</f>
        <v/>
      </c>
      <c r="H43" s="75">
        <f>IFERROR(SUMIFS(WORKING!$Y:$Y,WORKING!$X:$X,$D43,WORKING!$W:$W,H$500),"")</f>
        <v/>
      </c>
      <c r="I43" s="75">
        <f>IFERROR(SUMIFS(WORKING!$Y:$Y,WORKING!$X:$X,$D43,WORKING!$W:$W,I$500),"")</f>
        <v/>
      </c>
      <c r="J43" s="75">
        <f>IFERROR(SUMIFS(WORKING!$Y:$Y,WORKING!$X:$X,$D43,WORKING!$W:$W,J$500),"")</f>
        <v/>
      </c>
      <c r="K43" s="75">
        <f>IFERROR(SUMIFS(WORKING!$Y:$Y,WORKING!$X:$X,$D43,WORKING!$W:$W,K$500),"")</f>
        <v/>
      </c>
      <c r="L43" s="75">
        <f>IFERROR(SUMIFS(WORKING!$Y:$Y,WORKING!$X:$X,$D43,WORKING!$W:$W,L$500),"")</f>
        <v/>
      </c>
      <c r="M43" s="75">
        <f>IFERROR(SUMIFS(WORKING!$Y:$Y,WORKING!$X:$X,$D43,WORKING!$W:$W,M$500),"")</f>
        <v/>
      </c>
      <c r="N43" s="75">
        <f>IFERROR(SUMIFS(WORKING!$Y:$Y,WORKING!$X:$X,$D43,WORKING!$W:$W,N$500),"")</f>
        <v/>
      </c>
      <c r="O43" s="75">
        <f>IFERROR(SUMIFS(WORKING!$Y:$Y,WORKING!$X:$X,$D43,WORKING!$W:$W,O$500),"")</f>
        <v/>
      </c>
      <c r="P43" s="75">
        <f>IFERROR(SUMIFS(WORKING!$Y:$Y,WORKING!$X:$X,$D43,WORKING!$W:$W,P$500),"")</f>
        <v/>
      </c>
      <c r="Q43" s="75">
        <f>IFERROR(SUMIFS(WORKING!$Y:$Y,WORKING!$X:$X,$D43,WORKING!$W:$W,Q$500),"")</f>
        <v/>
      </c>
      <c r="R43" s="75">
        <f>IFERROR(SUMIFS(WORKING!$Y:$Y,WORKING!$X:$X,$D43,WORKING!$W:$W,R$500),"")</f>
        <v/>
      </c>
      <c r="S43" s="75">
        <f>IFERROR(SUMIFS(WORKING!$Y:$Y,WORKING!$X:$X,$D43,WORKING!$W:$W,S$500),"")</f>
        <v/>
      </c>
      <c r="T43" s="101" t="n"/>
      <c r="U43" s="75">
        <f>IFERROR(SUMIFS(WORKING!$Z:$Z,WORKING!$X:$X,$D43,WORKING!$W:$W,H$500),"")</f>
        <v/>
      </c>
      <c r="V43" s="75">
        <f>IFERROR(SUMIFS(WORKING!$Z:$Z,WORKING!$X:$X,$D43,WORKING!$W:$W,I$500),"")</f>
        <v/>
      </c>
      <c r="W43" s="75">
        <f>IFERROR(SUMIFS(WORKING!$Z:$Z,WORKING!$X:$X,$D43,WORKING!$W:$W,J$500),"")</f>
        <v/>
      </c>
      <c r="X43" s="75">
        <f>IFERROR(SUMIFS(WORKING!$Z:$Z,WORKING!$X:$X,$D43,WORKING!$W:$W,K$500),"")</f>
        <v/>
      </c>
      <c r="Y43" s="75">
        <f>IFERROR(SUMIFS(WORKING!$Z:$Z,WORKING!$X:$X,$D43,WORKING!$W:$W,L$500),"")</f>
        <v/>
      </c>
      <c r="Z43" s="75">
        <f>IFERROR(SUMIFS(WORKING!$Z:$Z,WORKING!$X:$X,$D43,WORKING!$W:$W,M$500),"")</f>
        <v/>
      </c>
      <c r="AA43" s="75">
        <f>IFERROR(SUMIFS(WORKING!$Z:$Z,WORKING!$X:$X,$D43,WORKING!$W:$W,N$500),"")</f>
        <v/>
      </c>
      <c r="AB43" s="75">
        <f>IFERROR(SUMIFS(WORKING!$Z:$Z,WORKING!$X:$X,$D43,WORKING!$W:$W,O$500),"")</f>
        <v/>
      </c>
      <c r="AC43" s="75">
        <f>IFERROR(SUMIFS(WORKING!$Z:$Z,WORKING!$X:$X,$D43,WORKING!$W:$W,P$500),"")</f>
        <v/>
      </c>
      <c r="AD43" s="75">
        <f>IFERROR(SUMIFS(WORKING!$Z:$Z,WORKING!$X:$X,$D43,WORKING!$W:$W,Q$500),"")</f>
        <v/>
      </c>
      <c r="AE43" s="75">
        <f>IFERROR(SUMIFS(WORKING!$Z:$Z,WORKING!$X:$X,$D43,WORKING!$W:$W,R$500),"")</f>
        <v/>
      </c>
      <c r="AF43" s="75">
        <f>IFERROR(SUMIFS(WORKING!$Z:$Z,WORKING!$X:$X,$D43,WORKING!$W:$W,S$500),"")</f>
        <v/>
      </c>
    </row>
    <row r="44" ht="15" customHeight="1" s="5">
      <c r="A44" s="104" t="n"/>
      <c r="B44" s="104" t="n"/>
      <c r="C44" s="86" t="n"/>
      <c r="D44" s="52" t="inlineStr">
        <is>
          <t>MAISA ENV</t>
        </is>
      </c>
      <c r="E44" s="53" t="n">
        <v>2</v>
      </c>
      <c r="F44" s="53" t="n">
        <v>1</v>
      </c>
      <c r="G44" s="75">
        <f>IFERROR(IF(OR($F44=0,VLOOKUP($D44,'MC MASTER'!$A:$R,18,0)=0),"-",ROUND(VLOOKUP($D44,'MC MASTER'!$A:$R,18,0)*$E44*$F44,3)),"-")</f>
        <v/>
      </c>
      <c r="H44" s="75">
        <f>IFERROR(SUMIFS(WORKING!$Y:$Y,WORKING!$X:$X,$D44,WORKING!$W:$W,H$500),"")</f>
        <v/>
      </c>
      <c r="I44" s="75">
        <f>IFERROR(SUMIFS(WORKING!$Y:$Y,WORKING!$X:$X,$D44,WORKING!$W:$W,I$500),"")</f>
        <v/>
      </c>
      <c r="J44" s="75">
        <f>IFERROR(SUMIFS(WORKING!$Y:$Y,WORKING!$X:$X,$D44,WORKING!$W:$W,J$500),"")</f>
        <v/>
      </c>
      <c r="K44" s="75">
        <f>IFERROR(SUMIFS(WORKING!$Y:$Y,WORKING!$X:$X,$D44,WORKING!$W:$W,K$500),"")</f>
        <v/>
      </c>
      <c r="L44" s="75">
        <f>IFERROR(SUMIFS(WORKING!$Y:$Y,WORKING!$X:$X,$D44,WORKING!$W:$W,L$500),"")</f>
        <v/>
      </c>
      <c r="M44" s="75">
        <f>IFERROR(SUMIFS(WORKING!$Y:$Y,WORKING!$X:$X,$D44,WORKING!$W:$W,M$500),"")</f>
        <v/>
      </c>
      <c r="N44" s="75">
        <f>IFERROR(SUMIFS(WORKING!$Y:$Y,WORKING!$X:$X,$D44,WORKING!$W:$W,N$500),"")</f>
        <v/>
      </c>
      <c r="O44" s="75">
        <f>IFERROR(SUMIFS(WORKING!$Y:$Y,WORKING!$X:$X,$D44,WORKING!$W:$W,O$500),"")</f>
        <v/>
      </c>
      <c r="P44" s="75">
        <f>IFERROR(SUMIFS(WORKING!$Y:$Y,WORKING!$X:$X,$D44,WORKING!$W:$W,P$500),"")</f>
        <v/>
      </c>
      <c r="Q44" s="75">
        <f>IFERROR(SUMIFS(WORKING!$Y:$Y,WORKING!$X:$X,$D44,WORKING!$W:$W,Q$500),"")</f>
        <v/>
      </c>
      <c r="R44" s="75">
        <f>IFERROR(SUMIFS(WORKING!$Y:$Y,WORKING!$X:$X,$D44,WORKING!$W:$W,R$500),"")</f>
        <v/>
      </c>
      <c r="S44" s="75">
        <f>IFERROR(SUMIFS(WORKING!$Y:$Y,WORKING!$X:$X,$D44,WORKING!$W:$W,S$500),"")</f>
        <v/>
      </c>
      <c r="T44" s="101" t="n"/>
      <c r="U44" s="75">
        <f>IFERROR(SUMIFS(WORKING!$Z:$Z,WORKING!$X:$X,$D44,WORKING!$W:$W,H$500),"")</f>
        <v/>
      </c>
      <c r="V44" s="75">
        <f>IFERROR(SUMIFS(WORKING!$Z:$Z,WORKING!$X:$X,$D44,WORKING!$W:$W,I$500),"")</f>
        <v/>
      </c>
      <c r="W44" s="75">
        <f>IFERROR(SUMIFS(WORKING!$Z:$Z,WORKING!$X:$X,$D44,WORKING!$W:$W,J$500),"")</f>
        <v/>
      </c>
      <c r="X44" s="75">
        <f>IFERROR(SUMIFS(WORKING!$Z:$Z,WORKING!$X:$X,$D44,WORKING!$W:$W,K$500),"")</f>
        <v/>
      </c>
      <c r="Y44" s="75">
        <f>IFERROR(SUMIFS(WORKING!$Z:$Z,WORKING!$X:$X,$D44,WORKING!$W:$W,L$500),"")</f>
        <v/>
      </c>
      <c r="Z44" s="75">
        <f>IFERROR(SUMIFS(WORKING!$Z:$Z,WORKING!$X:$X,$D44,WORKING!$W:$W,M$500),"")</f>
        <v/>
      </c>
      <c r="AA44" s="75">
        <f>IFERROR(SUMIFS(WORKING!$Z:$Z,WORKING!$X:$X,$D44,WORKING!$W:$W,N$500),"")</f>
        <v/>
      </c>
      <c r="AB44" s="75">
        <f>IFERROR(SUMIFS(WORKING!$Z:$Z,WORKING!$X:$X,$D44,WORKING!$W:$W,O$500),"")</f>
        <v/>
      </c>
      <c r="AC44" s="75">
        <f>IFERROR(SUMIFS(WORKING!$Z:$Z,WORKING!$X:$X,$D44,WORKING!$W:$W,P$500),"")</f>
        <v/>
      </c>
      <c r="AD44" s="75">
        <f>IFERROR(SUMIFS(WORKING!$Z:$Z,WORKING!$X:$X,$D44,WORKING!$W:$W,Q$500),"")</f>
        <v/>
      </c>
      <c r="AE44" s="75">
        <f>IFERROR(SUMIFS(WORKING!$Z:$Z,WORKING!$X:$X,$D44,WORKING!$W:$W,R$500),"")</f>
        <v/>
      </c>
      <c r="AF44" s="75">
        <f>IFERROR(SUMIFS(WORKING!$Z:$Z,WORKING!$X:$X,$D44,WORKING!$W:$W,S$500),"")</f>
        <v/>
      </c>
    </row>
    <row r="45" ht="15" customHeight="1" s="5">
      <c r="A45" s="104" t="n"/>
      <c r="B45" s="104" t="n"/>
      <c r="C45" s="105" t="n"/>
      <c r="D45" s="125" t="inlineStr">
        <is>
          <t>TOTAL</t>
        </is>
      </c>
      <c r="E45" s="126" t="n"/>
      <c r="F45" s="126" t="n"/>
      <c r="G45" s="127">
        <f>SUM(G43:G44)</f>
        <v/>
      </c>
      <c r="H45" s="127">
        <f>SUM(H43:H44)</f>
        <v/>
      </c>
      <c r="I45" s="127">
        <f>SUM(I43:I44)</f>
        <v/>
      </c>
      <c r="J45" s="127">
        <f>SUM(J43:J44)</f>
        <v/>
      </c>
      <c r="K45" s="127">
        <f>SUM(K43:K44)</f>
        <v/>
      </c>
      <c r="L45" s="127">
        <f>SUM(L43:L44)</f>
        <v/>
      </c>
      <c r="M45" s="127">
        <f>SUM(M43:M44)</f>
        <v/>
      </c>
      <c r="N45" s="127">
        <f>SUM(N43:N44)</f>
        <v/>
      </c>
      <c r="O45" s="127">
        <f>SUM(O43:O44)</f>
        <v/>
      </c>
      <c r="P45" s="127">
        <f>SUM(P43:P44)</f>
        <v/>
      </c>
      <c r="Q45" s="127">
        <f>SUM(Q43:Q44)</f>
        <v/>
      </c>
      <c r="R45" s="127">
        <f>SUM(R43:R44)</f>
        <v/>
      </c>
      <c r="S45" s="127">
        <f>SUM(S43:S44)</f>
        <v/>
      </c>
      <c r="T45" s="101" t="n"/>
      <c r="U45" s="127">
        <f>SUM(U43:U44)</f>
        <v/>
      </c>
      <c r="V45" s="127">
        <f>SUM(V43:V44)</f>
        <v/>
      </c>
      <c r="W45" s="127">
        <f>SUM(W43:W44)</f>
        <v/>
      </c>
      <c r="X45" s="127">
        <f>SUM(X43:X44)</f>
        <v/>
      </c>
      <c r="Y45" s="127">
        <f>SUM(Y43:Y44)</f>
        <v/>
      </c>
      <c r="Z45" s="127">
        <f>SUM(Z43:Z44)</f>
        <v/>
      </c>
      <c r="AA45" s="127">
        <f>SUM(AA43:AA44)</f>
        <v/>
      </c>
      <c r="AB45" s="127">
        <f>SUM(AB43:AB44)</f>
        <v/>
      </c>
      <c r="AC45" s="127">
        <f>SUM(AC43:AC44)</f>
        <v/>
      </c>
      <c r="AD45" s="127">
        <f>SUM(AD43:AD44)</f>
        <v/>
      </c>
      <c r="AE45" s="127">
        <f>SUM(AE43:AE44)</f>
        <v/>
      </c>
      <c r="AF45" s="127">
        <f>SUM(AF43:AF44)</f>
        <v/>
      </c>
    </row>
    <row r="46" ht="15" customHeight="1" s="5">
      <c r="A46" s="104" t="n"/>
      <c r="B46" s="104" t="n"/>
      <c r="C46" s="116" t="n"/>
      <c r="D46" s="108" t="inlineStr">
        <is>
          <t>Excess Order</t>
        </is>
      </c>
      <c r="E46" s="114" t="n"/>
      <c r="F46" s="114" t="n"/>
      <c r="G46" s="115" t="n"/>
      <c r="H46" s="111">
        <f>IFERROR(IF(ROUND(H45-$G45,3)&gt;0,ROUND(H45-$G45,3),""),"")</f>
        <v/>
      </c>
      <c r="I46" s="111">
        <f>IFERROR(IF(ROUND(I45-$G45,3)&gt;0,ROUND(I45-$G45,3),""),"")</f>
        <v/>
      </c>
      <c r="J46" s="111">
        <f>IFERROR(IF(ROUND(J45-$G45,3)&gt;0,ROUND(J45-$G45,3),""),"")</f>
        <v/>
      </c>
      <c r="K46" s="111">
        <f>IFERROR(IF(ROUND(K45-$G45,3)&gt;0,ROUND(K45-$G45,3),""),"")</f>
        <v/>
      </c>
      <c r="L46" s="111">
        <f>IFERROR(IF(ROUND(L45-$G45,3)&gt;0,ROUND(L45-$G45,3),""),"")</f>
        <v/>
      </c>
      <c r="M46" s="111">
        <f>IFERROR(IF(ROUND(M45-$G45,3)&gt;0,ROUND(M45-$G45,3),""),"")</f>
        <v/>
      </c>
      <c r="N46" s="111">
        <f>IFERROR(IF(ROUND(N45-$G45,3)&gt;0,ROUND(N45-$G45,3),""),"")</f>
        <v/>
      </c>
      <c r="O46" s="111">
        <f>IFERROR(IF(ROUND(O45-$G45,3)&gt;0,ROUND(O45-$G45,3),""),"")</f>
        <v/>
      </c>
      <c r="P46" s="111">
        <f>IFERROR(IF(ROUND(P45-$G45,3)&gt;0,ROUND(P45-$G45,3),""),"")</f>
        <v/>
      </c>
      <c r="Q46" s="111">
        <f>IFERROR(IF(ROUND(Q45-$G45,3)&gt;0,ROUND(Q45-$G45,3),""),"")</f>
        <v/>
      </c>
      <c r="R46" s="111">
        <f>IFERROR(IF(ROUND(R45-$G45,3)&gt;0,ROUND(R45-$G45,3),""),"")</f>
        <v/>
      </c>
      <c r="S46" s="111">
        <f>IFERROR(IF(ROUND(S45-$G45,3)&gt;0,ROUND(S45-$G45,3),""),"")</f>
        <v/>
      </c>
      <c r="T46" s="101" t="n"/>
      <c r="U46" s="111">
        <f>IFERROR(IF(ROUND(U45-$G45,3)&gt;0,ROUND(U45-$G45,3),""),"")</f>
        <v/>
      </c>
      <c r="V46" s="111">
        <f>IFERROR(IF(ROUND(V45-$G45,3)&gt;0,ROUND(V45-$G45,3),""),"")</f>
        <v/>
      </c>
      <c r="W46" s="111">
        <f>IFERROR(IF(ROUND(W45-$G45,3)&gt;0,ROUND(W45-$G45,3),""),"")</f>
        <v/>
      </c>
      <c r="X46" s="111">
        <f>IFERROR(IF(ROUND(X45-$G45,3)&gt;0,ROUND(X45-$G45,3),""),"")</f>
        <v/>
      </c>
      <c r="Y46" s="111">
        <f>IFERROR(IF(ROUND(Y45-$G45,3)&gt;0,ROUND(Y45-$G45,3),""),"")</f>
        <v/>
      </c>
      <c r="Z46" s="111">
        <f>IFERROR(IF(ROUND(Z45-$G45,3)&gt;0,ROUND(Z45-$G45,3),""),"")</f>
        <v/>
      </c>
      <c r="AA46" s="111">
        <f>IFERROR(IF(ROUND(AA45-$G45,3)&gt;0,ROUND(AA45-$G45,3),""),"")</f>
        <v/>
      </c>
      <c r="AB46" s="111">
        <f>IFERROR(IF(ROUND(AB45-$G45,3)&gt;0,ROUND(AB45-$G45,3),""),"")</f>
        <v/>
      </c>
      <c r="AC46" s="111">
        <f>IFERROR(IF(ROUND(AC45-$G45,3)&gt;0,ROUND(AC45-$G45,3),""),"")</f>
        <v/>
      </c>
      <c r="AD46" s="111">
        <f>IFERROR(IF(ROUND(AD45-$G45,3)&gt;0,ROUND(AD45-$G45,3),""),"")</f>
        <v/>
      </c>
      <c r="AE46" s="111">
        <f>IFERROR(IF(ROUND(AE45-$G45,3)&gt;0,ROUND(AE45-$G45,3),""),"")</f>
        <v/>
      </c>
      <c r="AF46" s="111">
        <f>IFERROR(IF(ROUND(AF45-$G45,3)&gt;0,ROUND(AF45-$G45,3),""),"")</f>
        <v/>
      </c>
    </row>
    <row r="47" ht="15" customHeight="1" s="5">
      <c r="A47" s="86" t="n"/>
      <c r="B47" s="86" t="n"/>
      <c r="C47" s="86" t="n"/>
      <c r="D47" s="108" t="inlineStr">
        <is>
          <t>Short Order</t>
        </is>
      </c>
      <c r="E47" s="117" t="n"/>
      <c r="F47" s="117" t="n"/>
      <c r="G47" s="110" t="n"/>
      <c r="H47" s="111">
        <f>IFERROR(IF(ROUND($G45-H45,3)&gt;0,ROUND($G45-H45,3),""),"")</f>
        <v/>
      </c>
      <c r="I47" s="111">
        <f>IFERROR(IF(ROUND($G45-I45,3)&gt;0,ROUND($G45-I45,3),""),"")</f>
        <v/>
      </c>
      <c r="J47" s="111">
        <f>IFERROR(IF(ROUND($G45-J45,3)&gt;0,ROUND($G45-J45,3),""),"")</f>
        <v/>
      </c>
      <c r="K47" s="111">
        <f>IFERROR(IF(ROUND($G45-K45,3)&gt;0,ROUND($G45-K45,3),""),"")</f>
        <v/>
      </c>
      <c r="L47" s="111">
        <f>IFERROR(IF(ROUND($G45-L45,3)&gt;0,ROUND($G45-L45,3),""),"")</f>
        <v/>
      </c>
      <c r="M47" s="111">
        <f>IFERROR(IF(ROUND($G45-M45,3)&gt;0,ROUND($G45-M45,3),""),"")</f>
        <v/>
      </c>
      <c r="N47" s="111">
        <f>IFERROR(IF(ROUND($G45-N45,3)&gt;0,ROUND($G45-N45,3),""),"")</f>
        <v/>
      </c>
      <c r="O47" s="111">
        <f>IFERROR(IF(ROUND($G45-O45,3)&gt;0,ROUND($G45-O45,3),""),"")</f>
        <v/>
      </c>
      <c r="P47" s="111">
        <f>IFERROR(IF(ROUND($G45-P45,3)&gt;0,ROUND($G45-P45,3),""),"")</f>
        <v/>
      </c>
      <c r="Q47" s="111">
        <f>IFERROR(IF(ROUND($G45-Q45,3)&gt;0,ROUND($G45-Q45,3),""),"")</f>
        <v/>
      </c>
      <c r="R47" s="111">
        <f>IFERROR(IF(ROUND($G45-R45,3)&gt;0,ROUND($G45-R45,3),""),"")</f>
        <v/>
      </c>
      <c r="S47" s="111">
        <f>IFERROR(IF(ROUND($G45-S45,3)&gt;0,ROUND($G45-S45,3),""),"")</f>
        <v/>
      </c>
      <c r="T47" s="101" t="n"/>
      <c r="U47" s="111">
        <f>IFERROR(IF(ROUND($G45-U45,3)&gt;0,ROUND($G45-U45,3),""),"")</f>
        <v/>
      </c>
      <c r="V47" s="111">
        <f>IFERROR(IF(ROUND($G45-V45,3)&gt;0,ROUND($G45-V45,3),""),"")</f>
        <v/>
      </c>
      <c r="W47" s="111">
        <f>IFERROR(IF(ROUND($G45-W45,3)&gt;0,ROUND($G45-W45,3),""),"")</f>
        <v/>
      </c>
      <c r="X47" s="111">
        <f>IFERROR(IF(ROUND($G45-X45,3)&gt;0,ROUND($G45-X45,3),""),"")</f>
        <v/>
      </c>
      <c r="Y47" s="111">
        <f>IFERROR(IF(ROUND($G45-Y45,3)&gt;0,ROUND($G45-Y45,3),""),"")</f>
        <v/>
      </c>
      <c r="Z47" s="111">
        <f>IFERROR(IF(ROUND($G45-Z45,3)&gt;0,ROUND($G45-Z45,3),""),"")</f>
        <v/>
      </c>
      <c r="AA47" s="111">
        <f>IFERROR(IF(ROUND($G45-AA45,3)&gt;0,ROUND($G45-AA45,3),""),"")</f>
        <v/>
      </c>
      <c r="AB47" s="111">
        <f>IFERROR(IF(ROUND($G45-AB45,3)&gt;0,ROUND($G45-AB45,3),""),"")</f>
        <v/>
      </c>
      <c r="AC47" s="111">
        <f>IFERROR(IF(ROUND($G45-AC45,3)&gt;0,ROUND($G45-AC45,3),""),"")</f>
        <v/>
      </c>
      <c r="AD47" s="111">
        <f>IFERROR(IF(ROUND($G45-AD45,3)&gt;0,ROUND($G45-AD45,3),""),"")</f>
        <v/>
      </c>
      <c r="AE47" s="111">
        <f>IFERROR(IF(ROUND($G45-AE45,3)&gt;0,ROUND($G45-AE45,3),""),"")</f>
        <v/>
      </c>
      <c r="AF47" s="111">
        <f>IFERROR(IF(ROUND($G45-AF45,3)&gt;0,ROUND($G45-AF45,3),""),"")</f>
        <v/>
      </c>
    </row>
    <row r="48" ht="15" customHeight="1" s="5">
      <c r="A48" s="123" t="inlineStr">
        <is>
          <t>Zone 3</t>
        </is>
      </c>
      <c r="B48" s="103" t="inlineStr">
        <is>
          <t>AFRICA</t>
        </is>
      </c>
      <c r="C48" s="65" t="inlineStr">
        <is>
          <t>PREMIX</t>
        </is>
      </c>
      <c r="D48" s="52" t="inlineStr">
        <is>
          <t>INSTANT COFFEE STICK PACK</t>
        </is>
      </c>
      <c r="E48" s="53" t="n">
        <v>1</v>
      </c>
      <c r="F48" s="53" t="n">
        <v>1</v>
      </c>
      <c r="G48" s="75">
        <f>IFERROR(IF(OR($F48=0,VLOOKUP($D48,'MC MASTER'!$A:$R,18,0)=0),"-",ROUND(VLOOKUP($D48,'MC MASTER'!$A:$R,18,0)*$E48*$F48,3)),"-")</f>
        <v/>
      </c>
      <c r="H48" s="75">
        <f>IFERROR(SUMIFS(WORKING!$Y:$Y,WORKING!$X:$X,$D48,WORKING!$W:$W,H$500),"")</f>
        <v/>
      </c>
      <c r="I48" s="75">
        <f>IFERROR(SUMIFS(WORKING!$Y:$Y,WORKING!$X:$X,$D48,WORKING!$W:$W,I$500),"")</f>
        <v/>
      </c>
      <c r="J48" s="75">
        <f>IFERROR(SUMIFS(WORKING!$Y:$Y,WORKING!$X:$X,$D48,WORKING!$W:$W,J$500),"")</f>
        <v/>
      </c>
      <c r="K48" s="75">
        <f>IFERROR(SUMIFS(WORKING!$Y:$Y,WORKING!$X:$X,$D48,WORKING!$W:$W,K$500),"")</f>
        <v/>
      </c>
      <c r="L48" s="75">
        <f>IFERROR(SUMIFS(WORKING!$Y:$Y,WORKING!$X:$X,$D48,WORKING!$W:$W,L$500),"")</f>
        <v/>
      </c>
      <c r="M48" s="75">
        <f>IFERROR(SUMIFS(WORKING!$Y:$Y,WORKING!$X:$X,$D48,WORKING!$W:$W,M$500),"")</f>
        <v/>
      </c>
      <c r="N48" s="75">
        <f>IFERROR(SUMIFS(WORKING!$Y:$Y,WORKING!$X:$X,$D48,WORKING!$W:$W,N$500),"")</f>
        <v/>
      </c>
      <c r="O48" s="75">
        <f>IFERROR(SUMIFS(WORKING!$Y:$Y,WORKING!$X:$X,$D48,WORKING!$W:$W,O$500),"")</f>
        <v/>
      </c>
      <c r="P48" s="75">
        <f>IFERROR(SUMIFS(WORKING!$Y:$Y,WORKING!$X:$X,$D48,WORKING!$W:$W,P$500),"")</f>
        <v/>
      </c>
      <c r="Q48" s="75">
        <f>IFERROR(SUMIFS(WORKING!$Y:$Y,WORKING!$X:$X,$D48,WORKING!$W:$W,Q$500),"")</f>
        <v/>
      </c>
      <c r="R48" s="75">
        <f>IFERROR(SUMIFS(WORKING!$Y:$Y,WORKING!$X:$X,$D48,WORKING!$W:$W,R$500),"")</f>
        <v/>
      </c>
      <c r="S48" s="75">
        <f>IFERROR(SUMIFS(WORKING!$Y:$Y,WORKING!$X:$X,$D48,WORKING!$W:$W,S$500),"")</f>
        <v/>
      </c>
      <c r="T48" s="101" t="n"/>
      <c r="U48" s="75">
        <f>IFERROR(SUMIFS(WORKING!$Z:$Z,WORKING!$X:$X,$D48,WORKING!$W:$W,H$500),"")</f>
        <v/>
      </c>
      <c r="V48" s="75">
        <f>IFERROR(SUMIFS(WORKING!$Z:$Z,WORKING!$X:$X,$D48,WORKING!$W:$W,I$500),"")</f>
        <v/>
      </c>
      <c r="W48" s="75">
        <f>IFERROR(SUMIFS(WORKING!$Z:$Z,WORKING!$X:$X,$D48,WORKING!$W:$W,J$500),"")</f>
        <v/>
      </c>
      <c r="X48" s="75">
        <f>IFERROR(SUMIFS(WORKING!$Z:$Z,WORKING!$X:$X,$D48,WORKING!$W:$W,K$500),"")</f>
        <v/>
      </c>
      <c r="Y48" s="75">
        <f>IFERROR(SUMIFS(WORKING!$Z:$Z,WORKING!$X:$X,$D48,WORKING!$W:$W,L$500),"")</f>
        <v/>
      </c>
      <c r="Z48" s="75">
        <f>IFERROR(SUMIFS(WORKING!$Z:$Z,WORKING!$X:$X,$D48,WORKING!$W:$W,M$500),"")</f>
        <v/>
      </c>
      <c r="AA48" s="75">
        <f>IFERROR(SUMIFS(WORKING!$Z:$Z,WORKING!$X:$X,$D48,WORKING!$W:$W,N$500),"")</f>
        <v/>
      </c>
      <c r="AB48" s="75">
        <f>IFERROR(SUMIFS(WORKING!$Z:$Z,WORKING!$X:$X,$D48,WORKING!$W:$W,O$500),"")</f>
        <v/>
      </c>
      <c r="AC48" s="75">
        <f>IFERROR(SUMIFS(WORKING!$Z:$Z,WORKING!$X:$X,$D48,WORKING!$W:$W,P$500),"")</f>
        <v/>
      </c>
      <c r="AD48" s="75">
        <f>IFERROR(SUMIFS(WORKING!$Z:$Z,WORKING!$X:$X,$D48,WORKING!$W:$W,Q$500),"")</f>
        <v/>
      </c>
      <c r="AE48" s="75">
        <f>IFERROR(SUMIFS(WORKING!$Z:$Z,WORKING!$X:$X,$D48,WORKING!$W:$W,R$500),"")</f>
        <v/>
      </c>
      <c r="AF48" s="75">
        <f>IFERROR(SUMIFS(WORKING!$Z:$Z,WORKING!$X:$X,$D48,WORKING!$W:$W,S$500),"")</f>
        <v/>
      </c>
    </row>
    <row r="49" ht="15" customHeight="1" s="5">
      <c r="A49" s="104" t="n"/>
      <c r="B49" s="104" t="n"/>
      <c r="C49" s="104" t="n"/>
      <c r="D49" s="52" t="inlineStr">
        <is>
          <t>PEARL PACK-PREMIX</t>
        </is>
      </c>
      <c r="E49" s="53" t="n">
        <v>1</v>
      </c>
      <c r="F49" s="53" t="n">
        <v>1</v>
      </c>
      <c r="G49" s="75">
        <f>IFERROR(IF(OR($F49=0,VLOOKUP($D49,'MC MASTER'!$A:$R,18,0)=0),"-",ROUND(VLOOKUP($D49,'MC MASTER'!$A:$R,18,0)*$E49*$F49,3)),"-")</f>
        <v/>
      </c>
      <c r="H49" s="75">
        <f>IFERROR(SUMIFS(WORKING!$Y:$Y,WORKING!$X:$X,$D49,WORKING!$W:$W,H$500),"")</f>
        <v/>
      </c>
      <c r="I49" s="75">
        <f>IFERROR(SUMIFS(WORKING!$Y:$Y,WORKING!$X:$X,$D49,WORKING!$W:$W,I$500),"")</f>
        <v/>
      </c>
      <c r="J49" s="75">
        <f>IFERROR(SUMIFS(WORKING!$Y:$Y,WORKING!$X:$X,$D49,WORKING!$W:$W,J$500),"")</f>
        <v/>
      </c>
      <c r="K49" s="75">
        <f>IFERROR(SUMIFS(WORKING!$Y:$Y,WORKING!$X:$X,$D49,WORKING!$W:$W,K$500),"")</f>
        <v/>
      </c>
      <c r="L49" s="75">
        <f>IFERROR(SUMIFS(WORKING!$Y:$Y,WORKING!$X:$X,$D49,WORKING!$W:$W,L$500),"")</f>
        <v/>
      </c>
      <c r="M49" s="75">
        <f>IFERROR(SUMIFS(WORKING!$Y:$Y,WORKING!$X:$X,$D49,WORKING!$W:$W,M$500),"")</f>
        <v/>
      </c>
      <c r="N49" s="75">
        <f>IFERROR(SUMIFS(WORKING!$Y:$Y,WORKING!$X:$X,$D49,WORKING!$W:$W,N$500),"")</f>
        <v/>
      </c>
      <c r="O49" s="75">
        <f>IFERROR(SUMIFS(WORKING!$Y:$Y,WORKING!$X:$X,$D49,WORKING!$W:$W,O$500),"")</f>
        <v/>
      </c>
      <c r="P49" s="75">
        <f>IFERROR(SUMIFS(WORKING!$Y:$Y,WORKING!$X:$X,$D49,WORKING!$W:$W,P$500),"")</f>
        <v/>
      </c>
      <c r="Q49" s="75">
        <f>IFERROR(SUMIFS(WORKING!$Y:$Y,WORKING!$X:$X,$D49,WORKING!$W:$W,Q$500),"")</f>
        <v/>
      </c>
      <c r="R49" s="75">
        <f>IFERROR(SUMIFS(WORKING!$Y:$Y,WORKING!$X:$X,$D49,WORKING!$W:$W,R$500),"")</f>
        <v/>
      </c>
      <c r="S49" s="75">
        <f>IFERROR(SUMIFS(WORKING!$Y:$Y,WORKING!$X:$X,$D49,WORKING!$W:$W,S$500),"")</f>
        <v/>
      </c>
      <c r="T49" s="101" t="n"/>
      <c r="U49" s="75">
        <f>IFERROR(SUMIFS(WORKING!$Z:$Z,WORKING!$X:$X,$D49,WORKING!$W:$W,H$500),"")</f>
        <v/>
      </c>
      <c r="V49" s="75">
        <f>IFERROR(SUMIFS(WORKING!$Z:$Z,WORKING!$X:$X,$D49,WORKING!$W:$W,I$500),"")</f>
        <v/>
      </c>
      <c r="W49" s="75">
        <f>IFERROR(SUMIFS(WORKING!$Z:$Z,WORKING!$X:$X,$D49,WORKING!$W:$W,J$500),"")</f>
        <v/>
      </c>
      <c r="X49" s="75">
        <f>IFERROR(SUMIFS(WORKING!$Z:$Z,WORKING!$X:$X,$D49,WORKING!$W:$W,K$500),"")</f>
        <v/>
      </c>
      <c r="Y49" s="75">
        <f>IFERROR(SUMIFS(WORKING!$Z:$Z,WORKING!$X:$X,$D49,WORKING!$W:$W,L$500),"")</f>
        <v/>
      </c>
      <c r="Z49" s="75">
        <f>IFERROR(SUMIFS(WORKING!$Z:$Z,WORKING!$X:$X,$D49,WORKING!$W:$W,M$500),"")</f>
        <v/>
      </c>
      <c r="AA49" s="75">
        <f>IFERROR(SUMIFS(WORKING!$Z:$Z,WORKING!$X:$X,$D49,WORKING!$W:$W,N$500),"")</f>
        <v/>
      </c>
      <c r="AB49" s="75">
        <f>IFERROR(SUMIFS(WORKING!$Z:$Z,WORKING!$X:$X,$D49,WORKING!$W:$W,O$500),"")</f>
        <v/>
      </c>
      <c r="AC49" s="75">
        <f>IFERROR(SUMIFS(WORKING!$Z:$Z,WORKING!$X:$X,$D49,WORKING!$W:$W,P$500),"")</f>
        <v/>
      </c>
      <c r="AD49" s="75">
        <f>IFERROR(SUMIFS(WORKING!$Z:$Z,WORKING!$X:$X,$D49,WORKING!$W:$W,Q$500),"")</f>
        <v/>
      </c>
      <c r="AE49" s="75">
        <f>IFERROR(SUMIFS(WORKING!$Z:$Z,WORKING!$X:$X,$D49,WORKING!$W:$W,R$500),"")</f>
        <v/>
      </c>
      <c r="AF49" s="75">
        <f>IFERROR(SUMIFS(WORKING!$Z:$Z,WORKING!$X:$X,$D49,WORKING!$W:$W,S$500),"")</f>
        <v/>
      </c>
    </row>
    <row r="50" ht="15" customHeight="1" s="5">
      <c r="A50" s="104" t="n"/>
      <c r="B50" s="104" t="n"/>
      <c r="C50" s="86" t="n"/>
      <c r="D50" s="52" t="inlineStr">
        <is>
          <t>PEARL PACK-PREMIX - cappuccino</t>
        </is>
      </c>
      <c r="E50" s="53" t="n">
        <v>2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  <c r="T50" s="101" t="n"/>
      <c r="U50" s="75">
        <f>IFERROR(SUMIFS(WORKING!$Z:$Z,WORKING!$X:$X,$D50,WORKING!$W:$W,H$500),"")</f>
        <v/>
      </c>
      <c r="V50" s="75">
        <f>IFERROR(SUMIFS(WORKING!$Z:$Z,WORKING!$X:$X,$D50,WORKING!$W:$W,I$500),"")</f>
        <v/>
      </c>
      <c r="W50" s="75">
        <f>IFERROR(SUMIFS(WORKING!$Z:$Z,WORKING!$X:$X,$D50,WORKING!$W:$W,J$500),"")</f>
        <v/>
      </c>
      <c r="X50" s="75">
        <f>IFERROR(SUMIFS(WORKING!$Z:$Z,WORKING!$X:$X,$D50,WORKING!$W:$W,K$500),"")</f>
        <v/>
      </c>
      <c r="Y50" s="75">
        <f>IFERROR(SUMIFS(WORKING!$Z:$Z,WORKING!$X:$X,$D50,WORKING!$W:$W,L$500),"")</f>
        <v/>
      </c>
      <c r="Z50" s="75">
        <f>IFERROR(SUMIFS(WORKING!$Z:$Z,WORKING!$X:$X,$D50,WORKING!$W:$W,M$500),"")</f>
        <v/>
      </c>
      <c r="AA50" s="75">
        <f>IFERROR(SUMIFS(WORKING!$Z:$Z,WORKING!$X:$X,$D50,WORKING!$W:$W,N$500),"")</f>
        <v/>
      </c>
      <c r="AB50" s="75">
        <f>IFERROR(SUMIFS(WORKING!$Z:$Z,WORKING!$X:$X,$D50,WORKING!$W:$W,O$500),"")</f>
        <v/>
      </c>
      <c r="AC50" s="75">
        <f>IFERROR(SUMIFS(WORKING!$Z:$Z,WORKING!$X:$X,$D50,WORKING!$W:$W,P$500),"")</f>
        <v/>
      </c>
      <c r="AD50" s="75">
        <f>IFERROR(SUMIFS(WORKING!$Z:$Z,WORKING!$X:$X,$D50,WORKING!$W:$W,Q$500),"")</f>
        <v/>
      </c>
      <c r="AE50" s="75">
        <f>IFERROR(SUMIFS(WORKING!$Z:$Z,WORKING!$X:$X,$D50,WORKING!$W:$W,R$500),"")</f>
        <v/>
      </c>
      <c r="AF50" s="75">
        <f>IFERROR(SUMIFS(WORKING!$Z:$Z,WORKING!$X:$X,$D50,WORKING!$W:$W,S$500),"")</f>
        <v/>
      </c>
    </row>
    <row r="51" ht="15" customHeight="1" s="5">
      <c r="A51" s="104" t="n"/>
      <c r="B51" s="104" t="n"/>
      <c r="C51" s="105" t="n"/>
      <c r="D51" s="125" t="inlineStr">
        <is>
          <t>TOTAL</t>
        </is>
      </c>
      <c r="E51" s="126" t="n"/>
      <c r="F51" s="126" t="n"/>
      <c r="G51" s="127">
        <f>SUM(G48:G50)</f>
        <v/>
      </c>
      <c r="H51" s="127">
        <f>SUM(H48:H50)</f>
        <v/>
      </c>
      <c r="I51" s="127">
        <f>SUM(I48:I50)</f>
        <v/>
      </c>
      <c r="J51" s="127">
        <f>SUM(J48:J50)</f>
        <v/>
      </c>
      <c r="K51" s="127">
        <f>SUM(K48:K50)</f>
        <v/>
      </c>
      <c r="L51" s="127">
        <f>SUM(L48:L50)</f>
        <v/>
      </c>
      <c r="M51" s="127">
        <f>SUM(M48:M50)</f>
        <v/>
      </c>
      <c r="N51" s="127">
        <f>SUM(N48:N50)</f>
        <v/>
      </c>
      <c r="O51" s="127">
        <f>SUM(O48:O50)</f>
        <v/>
      </c>
      <c r="P51" s="127">
        <f>SUM(P48:P50)</f>
        <v/>
      </c>
      <c r="Q51" s="127">
        <f>SUM(Q48:Q50)</f>
        <v/>
      </c>
      <c r="R51" s="127">
        <f>SUM(R48:R50)</f>
        <v/>
      </c>
      <c r="S51" s="127">
        <f>SUM(S48:S50)</f>
        <v/>
      </c>
      <c r="T51" s="101" t="n"/>
      <c r="U51" s="127">
        <f>SUM(U48:U50)</f>
        <v/>
      </c>
      <c r="V51" s="127">
        <f>SUM(V48:V50)</f>
        <v/>
      </c>
      <c r="W51" s="127">
        <f>SUM(W48:W50)</f>
        <v/>
      </c>
      <c r="X51" s="127">
        <f>SUM(X48:X50)</f>
        <v/>
      </c>
      <c r="Y51" s="127">
        <f>SUM(Y48:Y50)</f>
        <v/>
      </c>
      <c r="Z51" s="127">
        <f>SUM(Z48:Z50)</f>
        <v/>
      </c>
      <c r="AA51" s="127">
        <f>SUM(AA48:AA50)</f>
        <v/>
      </c>
      <c r="AB51" s="127">
        <f>SUM(AB48:AB50)</f>
        <v/>
      </c>
      <c r="AC51" s="127">
        <f>SUM(AC48:AC50)</f>
        <v/>
      </c>
      <c r="AD51" s="127">
        <f>SUM(AD48:AD50)</f>
        <v/>
      </c>
      <c r="AE51" s="127">
        <f>SUM(AE48:AE50)</f>
        <v/>
      </c>
      <c r="AF51" s="127">
        <f>SUM(AF48:AF50)</f>
        <v/>
      </c>
    </row>
    <row r="52" ht="15" customHeight="1" s="5">
      <c r="A52" s="104" t="n"/>
      <c r="B52" s="104" t="n"/>
      <c r="C52" s="116" t="n"/>
      <c r="D52" s="108" t="inlineStr">
        <is>
          <t>Excess Order</t>
        </is>
      </c>
      <c r="E52" s="117" t="n"/>
      <c r="F52" s="117" t="n"/>
      <c r="G52" s="110" t="n"/>
      <c r="H52" s="111">
        <f>IFERROR(IF(ROUND(H51-$G51,3)&gt;0,ROUND(H51-$G51,3),""),"")</f>
        <v/>
      </c>
      <c r="I52" s="111">
        <f>IFERROR(IF(ROUND(I51-$G51,3)&gt;0,ROUND(I51-$G51,3),""),"")</f>
        <v/>
      </c>
      <c r="J52" s="111">
        <f>IFERROR(IF(ROUND(J51-$G51,3)&gt;0,ROUND(J51-$G51,3),""),"")</f>
        <v/>
      </c>
      <c r="K52" s="111">
        <f>IFERROR(IF(ROUND(K51-$G51,3)&gt;0,ROUND(K51-$G51,3),""),"")</f>
        <v/>
      </c>
      <c r="L52" s="111">
        <f>IFERROR(IF(ROUND(L51-$G51,3)&gt;0,ROUND(L51-$G51,3),""),"")</f>
        <v/>
      </c>
      <c r="M52" s="111">
        <f>IFERROR(IF(ROUND(M51-$G51,3)&gt;0,ROUND(M51-$G51,3),""),"")</f>
        <v/>
      </c>
      <c r="N52" s="111">
        <f>IFERROR(IF(ROUND(N51-$G51,3)&gt;0,ROUND(N51-$G51,3),""),"")</f>
        <v/>
      </c>
      <c r="O52" s="111">
        <f>IFERROR(IF(ROUND(O51-$G51,3)&gt;0,ROUND(O51-$G51,3),""),"")</f>
        <v/>
      </c>
      <c r="P52" s="111">
        <f>IFERROR(IF(ROUND(P51-$G51,3)&gt;0,ROUND(P51-$G51,3),""),"")</f>
        <v/>
      </c>
      <c r="Q52" s="111">
        <f>IFERROR(IF(ROUND(Q51-$G51,3)&gt;0,ROUND(Q51-$G51,3),""),"")</f>
        <v/>
      </c>
      <c r="R52" s="111">
        <f>IFERROR(IF(ROUND(R51-$G51,3)&gt;0,ROUND(R51-$G51,3),""),"")</f>
        <v/>
      </c>
      <c r="S52" s="111">
        <f>IFERROR(IF(ROUND(S51-$G51,3)&gt;0,ROUND(S51-$G51,3),""),"")</f>
        <v/>
      </c>
      <c r="T52" s="101" t="n"/>
      <c r="U52" s="111">
        <f>IFERROR(IF(ROUND(U51-$G51,3)&gt;0,ROUND(U51-$G51,3),""),"")</f>
        <v/>
      </c>
      <c r="V52" s="111">
        <f>IFERROR(IF(ROUND(V51-$G51,3)&gt;0,ROUND(V51-$G51,3),""),"")</f>
        <v/>
      </c>
      <c r="W52" s="111">
        <f>IFERROR(IF(ROUND(W51-$G51,3)&gt;0,ROUND(W51-$G51,3),""),"")</f>
        <v/>
      </c>
      <c r="X52" s="111">
        <f>IFERROR(IF(ROUND(X51-$G51,3)&gt;0,ROUND(X51-$G51,3),""),"")</f>
        <v/>
      </c>
      <c r="Y52" s="111">
        <f>IFERROR(IF(ROUND(Y51-$G51,3)&gt;0,ROUND(Y51-$G51,3),""),"")</f>
        <v/>
      </c>
      <c r="Z52" s="111">
        <f>IFERROR(IF(ROUND(Z51-$G51,3)&gt;0,ROUND(Z51-$G51,3),""),"")</f>
        <v/>
      </c>
      <c r="AA52" s="111">
        <f>IFERROR(IF(ROUND(AA51-$G51,3)&gt;0,ROUND(AA51-$G51,3),""),"")</f>
        <v/>
      </c>
      <c r="AB52" s="111">
        <f>IFERROR(IF(ROUND(AB51-$G51,3)&gt;0,ROUND(AB51-$G51,3),""),"")</f>
        <v/>
      </c>
      <c r="AC52" s="111">
        <f>IFERROR(IF(ROUND(AC51-$G51,3)&gt;0,ROUND(AC51-$G51,3),""),"")</f>
        <v/>
      </c>
      <c r="AD52" s="111">
        <f>IFERROR(IF(ROUND(AD51-$G51,3)&gt;0,ROUND(AD51-$G51,3),""),"")</f>
        <v/>
      </c>
      <c r="AE52" s="111">
        <f>IFERROR(IF(ROUND(AE51-$G51,3)&gt;0,ROUND(AE51-$G51,3),""),"")</f>
        <v/>
      </c>
      <c r="AF52" s="111">
        <f>IFERROR(IF(ROUND(AF51-$G51,3)&gt;0,ROUND(AF51-$G51,3),""),"")</f>
        <v/>
      </c>
    </row>
    <row r="53" ht="15" customHeight="1" s="5">
      <c r="A53" s="104" t="n"/>
      <c r="B53" s="86" t="n"/>
      <c r="C53" s="86" t="n"/>
      <c r="D53" s="108" t="inlineStr">
        <is>
          <t>Short Order</t>
        </is>
      </c>
      <c r="E53" s="114" t="n"/>
      <c r="F53" s="115" t="n"/>
      <c r="G53" s="115" t="n"/>
      <c r="H53" s="111">
        <f>IFERROR(IF(ROUND($G51-H51,3)&gt;0,ROUND($G51-H51,3),""),"")</f>
        <v/>
      </c>
      <c r="I53" s="111">
        <f>IFERROR(IF(ROUND($G51-I51,3)&gt;0,ROUND($G51-I51,3),""),"")</f>
        <v/>
      </c>
      <c r="J53" s="111">
        <f>IFERROR(IF(ROUND($G51-J51,3)&gt;0,ROUND($G51-J51,3),""),"")</f>
        <v/>
      </c>
      <c r="K53" s="111">
        <f>IFERROR(IF(ROUND($G51-K51,3)&gt;0,ROUND($G51-K51,3),""),"")</f>
        <v/>
      </c>
      <c r="L53" s="111">
        <f>IFERROR(IF(ROUND($G51-L51,3)&gt;0,ROUND($G51-L51,3),""),"")</f>
        <v/>
      </c>
      <c r="M53" s="111">
        <f>IFERROR(IF(ROUND($G51-M51,3)&gt;0,ROUND($G51-M51,3),""),"")</f>
        <v/>
      </c>
      <c r="N53" s="111">
        <f>IFERROR(IF(ROUND($G51-N51,3)&gt;0,ROUND($G51-N51,3),""),"")</f>
        <v/>
      </c>
      <c r="O53" s="111">
        <f>IFERROR(IF(ROUND($G51-O51,3)&gt;0,ROUND($G51-O51,3),""),"")</f>
        <v/>
      </c>
      <c r="P53" s="111">
        <f>IFERROR(IF(ROUND($G51-P51,3)&gt;0,ROUND($G51-P51,3),""),"")</f>
        <v/>
      </c>
      <c r="Q53" s="111">
        <f>IFERROR(IF(ROUND($G51-Q51,3)&gt;0,ROUND($G51-Q51,3),""),"")</f>
        <v/>
      </c>
      <c r="R53" s="111">
        <f>IFERROR(IF(ROUND($G51-R51,3)&gt;0,ROUND($G51-R51,3),""),"")</f>
        <v/>
      </c>
      <c r="S53" s="111">
        <f>IFERROR(IF(ROUND($G51-S51,3)&gt;0,ROUND($G51-S51,3),""),"")</f>
        <v/>
      </c>
      <c r="T53" s="101" t="n"/>
      <c r="U53" s="111">
        <f>IFERROR(IF(ROUND($G51-U51,3)&gt;0,ROUND($G51-U51,3),""),"")</f>
        <v/>
      </c>
      <c r="V53" s="111">
        <f>IFERROR(IF(ROUND($G51-V51,3)&gt;0,ROUND($G51-V51,3),""),"")</f>
        <v/>
      </c>
      <c r="W53" s="111">
        <f>IFERROR(IF(ROUND($G51-W51,3)&gt;0,ROUND($G51-W51,3),""),"")</f>
        <v/>
      </c>
      <c r="X53" s="111">
        <f>IFERROR(IF(ROUND($G51-X51,3)&gt;0,ROUND($G51-X51,3),""),"")</f>
        <v/>
      </c>
      <c r="Y53" s="111">
        <f>IFERROR(IF(ROUND($G51-Y51,3)&gt;0,ROUND($G51-Y51,3),""),"")</f>
        <v/>
      </c>
      <c r="Z53" s="111">
        <f>IFERROR(IF(ROUND($G51-Z51,3)&gt;0,ROUND($G51-Z51,3),""),"")</f>
        <v/>
      </c>
      <c r="AA53" s="111">
        <f>IFERROR(IF(ROUND($G51-AA51,3)&gt;0,ROUND($G51-AA51,3),""),"")</f>
        <v/>
      </c>
      <c r="AB53" s="111">
        <f>IFERROR(IF(ROUND($G51-AB51,3)&gt;0,ROUND($G51-AB51,3),""),"")</f>
        <v/>
      </c>
      <c r="AC53" s="111">
        <f>IFERROR(IF(ROUND($G51-AC51,3)&gt;0,ROUND($G51-AC51,3),""),"")</f>
        <v/>
      </c>
      <c r="AD53" s="111">
        <f>IFERROR(IF(ROUND($G51-AD51,3)&gt;0,ROUND($G51-AD51,3),""),"")</f>
        <v/>
      </c>
      <c r="AE53" s="111">
        <f>IFERROR(IF(ROUND($G51-AE51,3)&gt;0,ROUND($G51-AE51,3),""),"")</f>
        <v/>
      </c>
      <c r="AF53" s="111">
        <f>IFERROR(IF(ROUND($G51-AF51,3)&gt;0,ROUND($G51-AF51,3),""),"")</f>
        <v/>
      </c>
    </row>
    <row r="54" ht="15" customHeight="1" s="5">
      <c r="A54" s="104" t="n"/>
      <c r="B54" s="103" t="inlineStr">
        <is>
          <t>USA</t>
        </is>
      </c>
      <c r="C54" s="65" t="inlineStr">
        <is>
          <t>TREE HOUSE</t>
        </is>
      </c>
      <c r="D54" s="52" t="inlineStr">
        <is>
          <t>Instant Tea</t>
        </is>
      </c>
      <c r="E54" s="53" t="n">
        <v>1</v>
      </c>
      <c r="F54" s="53" t="n">
        <v>0</v>
      </c>
      <c r="G54" s="75">
        <f>IFERROR(IF(OR($F54=0,VLOOKUP($D54,'MC MASTER'!$A:$R,18,0)=0),"-",ROUND(VLOOKUP($D54,'MC MASTER'!$A:$R,18,0)*$E54*$F54,3)),"-")</f>
        <v/>
      </c>
      <c r="H54" s="75">
        <f>IFERROR(SUMIFS(WORKING!$Y:$Y,WORKING!$X:$X,$D54,WORKING!$W:$W,H$500),"")</f>
        <v/>
      </c>
      <c r="I54" s="75">
        <f>IFERROR(SUMIFS(WORKING!$Y:$Y,WORKING!$X:$X,$D54,WORKING!$W:$W,I$500),"")</f>
        <v/>
      </c>
      <c r="J54" s="75">
        <f>IFERROR(SUMIFS(WORKING!$Y:$Y,WORKING!$X:$X,$D54,WORKING!$W:$W,J$500),"")</f>
        <v/>
      </c>
      <c r="K54" s="75">
        <f>IFERROR(SUMIFS(WORKING!$Y:$Y,WORKING!$X:$X,$D54,WORKING!$W:$W,K$500),"")</f>
        <v/>
      </c>
      <c r="L54" s="75">
        <f>IFERROR(SUMIFS(WORKING!$Y:$Y,WORKING!$X:$X,$D54,WORKING!$W:$W,L$500),"")</f>
        <v/>
      </c>
      <c r="M54" s="75">
        <f>IFERROR(SUMIFS(WORKING!$Y:$Y,WORKING!$X:$X,$D54,WORKING!$W:$W,M$500),"")</f>
        <v/>
      </c>
      <c r="N54" s="75">
        <f>IFERROR(SUMIFS(WORKING!$Y:$Y,WORKING!$X:$X,$D54,WORKING!$W:$W,N$500),"")</f>
        <v/>
      </c>
      <c r="O54" s="75">
        <f>IFERROR(SUMIFS(WORKING!$Y:$Y,WORKING!$X:$X,$D54,WORKING!$W:$W,O$500),"")</f>
        <v/>
      </c>
      <c r="P54" s="75">
        <f>IFERROR(SUMIFS(WORKING!$Y:$Y,WORKING!$X:$X,$D54,WORKING!$W:$W,P$500),"")</f>
        <v/>
      </c>
      <c r="Q54" s="75">
        <f>IFERROR(SUMIFS(WORKING!$Y:$Y,WORKING!$X:$X,$D54,WORKING!$W:$W,Q$500),"")</f>
        <v/>
      </c>
      <c r="R54" s="75">
        <f>IFERROR(SUMIFS(WORKING!$Y:$Y,WORKING!$X:$X,$D54,WORKING!$W:$W,R$500),"")</f>
        <v/>
      </c>
      <c r="S54" s="75">
        <f>IFERROR(SUMIFS(WORKING!$Y:$Y,WORKING!$X:$X,$D54,WORKING!$W:$W,S$500),"")</f>
        <v/>
      </c>
      <c r="T54" s="101" t="n"/>
      <c r="U54" s="75">
        <f>IFERROR(SUMIFS(WORKING!$Z:$Z,WORKING!$X:$X,$D54,WORKING!$W:$W,H$500),"")</f>
        <v/>
      </c>
      <c r="V54" s="75">
        <f>IFERROR(SUMIFS(WORKING!$Z:$Z,WORKING!$X:$X,$D54,WORKING!$W:$W,I$500),"")</f>
        <v/>
      </c>
      <c r="W54" s="75">
        <f>IFERROR(SUMIFS(WORKING!$Z:$Z,WORKING!$X:$X,$D54,WORKING!$W:$W,J$500),"")</f>
        <v/>
      </c>
      <c r="X54" s="75">
        <f>IFERROR(SUMIFS(WORKING!$Z:$Z,WORKING!$X:$X,$D54,WORKING!$W:$W,K$500),"")</f>
        <v/>
      </c>
      <c r="Y54" s="75">
        <f>IFERROR(SUMIFS(WORKING!$Z:$Z,WORKING!$X:$X,$D54,WORKING!$W:$W,L$500),"")</f>
        <v/>
      </c>
      <c r="Z54" s="75">
        <f>IFERROR(SUMIFS(WORKING!$Z:$Z,WORKING!$X:$X,$D54,WORKING!$W:$W,M$500),"")</f>
        <v/>
      </c>
      <c r="AA54" s="75">
        <f>IFERROR(SUMIFS(WORKING!$Z:$Z,WORKING!$X:$X,$D54,WORKING!$W:$W,N$500),"")</f>
        <v/>
      </c>
      <c r="AB54" s="75">
        <f>IFERROR(SUMIFS(WORKING!$Z:$Z,WORKING!$X:$X,$D54,WORKING!$W:$W,O$500),"")</f>
        <v/>
      </c>
      <c r="AC54" s="75">
        <f>IFERROR(SUMIFS(WORKING!$Z:$Z,WORKING!$X:$X,$D54,WORKING!$W:$W,P$500),"")</f>
        <v/>
      </c>
      <c r="AD54" s="75">
        <f>IFERROR(SUMIFS(WORKING!$Z:$Z,WORKING!$X:$X,$D54,WORKING!$W:$W,Q$500),"")</f>
        <v/>
      </c>
      <c r="AE54" s="75">
        <f>IFERROR(SUMIFS(WORKING!$Z:$Z,WORKING!$X:$X,$D54,WORKING!$W:$W,R$500),"")</f>
        <v/>
      </c>
      <c r="AF54" s="75">
        <f>IFERROR(SUMIFS(WORKING!$Z:$Z,WORKING!$X:$X,$D54,WORKING!$W:$W,S$500),"")</f>
        <v/>
      </c>
    </row>
    <row r="55" ht="15" customHeight="1" s="5">
      <c r="A55" s="104" t="n"/>
      <c r="B55" s="104" t="n"/>
      <c r="C55" s="86" t="n"/>
      <c r="D55" s="52" t="inlineStr">
        <is>
          <t>VIKING-MULTITRACK</t>
        </is>
      </c>
      <c r="E55" s="53" t="n">
        <v>1</v>
      </c>
      <c r="F55" s="53" t="n">
        <v>0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  <c r="T55" s="101" t="n"/>
      <c r="U55" s="75">
        <f>IFERROR(SUMIFS(WORKING!$Z:$Z,WORKING!$X:$X,$D55,WORKING!$W:$W,H$500),"")</f>
        <v/>
      </c>
      <c r="V55" s="75">
        <f>IFERROR(SUMIFS(WORKING!$Z:$Z,WORKING!$X:$X,$D55,WORKING!$W:$W,I$500),"")</f>
        <v/>
      </c>
      <c r="W55" s="75">
        <f>IFERROR(SUMIFS(WORKING!$Z:$Z,WORKING!$X:$X,$D55,WORKING!$W:$W,J$500),"")</f>
        <v/>
      </c>
      <c r="X55" s="75">
        <f>IFERROR(SUMIFS(WORKING!$Z:$Z,WORKING!$X:$X,$D55,WORKING!$W:$W,K$500),"")</f>
        <v/>
      </c>
      <c r="Y55" s="75">
        <f>IFERROR(SUMIFS(WORKING!$Z:$Z,WORKING!$X:$X,$D55,WORKING!$W:$W,L$500),"")</f>
        <v/>
      </c>
      <c r="Z55" s="75">
        <f>IFERROR(SUMIFS(WORKING!$Z:$Z,WORKING!$X:$X,$D55,WORKING!$W:$W,M$500),"")</f>
        <v/>
      </c>
      <c r="AA55" s="75">
        <f>IFERROR(SUMIFS(WORKING!$Z:$Z,WORKING!$X:$X,$D55,WORKING!$W:$W,N$500),"")</f>
        <v/>
      </c>
      <c r="AB55" s="75">
        <f>IFERROR(SUMIFS(WORKING!$Z:$Z,WORKING!$X:$X,$D55,WORKING!$W:$W,O$500),"")</f>
        <v/>
      </c>
      <c r="AC55" s="75">
        <f>IFERROR(SUMIFS(WORKING!$Z:$Z,WORKING!$X:$X,$D55,WORKING!$W:$W,P$500),"")</f>
        <v/>
      </c>
      <c r="AD55" s="75">
        <f>IFERROR(SUMIFS(WORKING!$Z:$Z,WORKING!$X:$X,$D55,WORKING!$W:$W,Q$500),"")</f>
        <v/>
      </c>
      <c r="AE55" s="75">
        <f>IFERROR(SUMIFS(WORKING!$Z:$Z,WORKING!$X:$X,$D55,WORKING!$W:$W,R$500),"")</f>
        <v/>
      </c>
      <c r="AF55" s="75">
        <f>IFERROR(SUMIFS(WORKING!$Z:$Z,WORKING!$X:$X,$D55,WORKING!$W:$W,S$500),"")</f>
        <v/>
      </c>
    </row>
    <row r="56" ht="15" customHeight="1" s="5">
      <c r="A56" s="104" t="n"/>
      <c r="B56" s="104" t="n"/>
      <c r="C56" s="105" t="n"/>
      <c r="D56" s="125" t="inlineStr">
        <is>
          <t>TOTAL</t>
        </is>
      </c>
      <c r="E56" s="126" t="n"/>
      <c r="F56" s="126" t="n"/>
      <c r="G56" s="127">
        <f>SUM(G54:G55)</f>
        <v/>
      </c>
      <c r="H56" s="127">
        <f>SUM(H54:H55)</f>
        <v/>
      </c>
      <c r="I56" s="127">
        <f>SUM(I54:I55)</f>
        <v/>
      </c>
      <c r="J56" s="127">
        <f>SUM(J54:J55)</f>
        <v/>
      </c>
      <c r="K56" s="127">
        <f>SUM(K54:K55)</f>
        <v/>
      </c>
      <c r="L56" s="127">
        <f>SUM(L54:L55)</f>
        <v/>
      </c>
      <c r="M56" s="127">
        <f>SUM(M54:M55)</f>
        <v/>
      </c>
      <c r="N56" s="127">
        <f>SUM(N54:N55)</f>
        <v/>
      </c>
      <c r="O56" s="127">
        <f>SUM(O54:O55)</f>
        <v/>
      </c>
      <c r="P56" s="127">
        <f>SUM(P54:P55)</f>
        <v/>
      </c>
      <c r="Q56" s="127">
        <f>SUM(Q54:Q55)</f>
        <v/>
      </c>
      <c r="R56" s="127">
        <f>SUM(R54:R55)</f>
        <v/>
      </c>
      <c r="S56" s="127">
        <f>SUM(S54:S55)</f>
        <v/>
      </c>
      <c r="T56" s="101" t="n"/>
      <c r="U56" s="127">
        <f>SUM(U54:U55)</f>
        <v/>
      </c>
      <c r="V56" s="127">
        <f>SUM(V54:V55)</f>
        <v/>
      </c>
      <c r="W56" s="127">
        <f>SUM(W54:W55)</f>
        <v/>
      </c>
      <c r="X56" s="127">
        <f>SUM(X54:X55)</f>
        <v/>
      </c>
      <c r="Y56" s="127">
        <f>SUM(Y54:Y55)</f>
        <v/>
      </c>
      <c r="Z56" s="127">
        <f>SUM(Z54:Z55)</f>
        <v/>
      </c>
      <c r="AA56" s="127">
        <f>SUM(AA54:AA55)</f>
        <v/>
      </c>
      <c r="AB56" s="127">
        <f>SUM(AB54:AB55)</f>
        <v/>
      </c>
      <c r="AC56" s="127">
        <f>SUM(AC54:AC55)</f>
        <v/>
      </c>
      <c r="AD56" s="127">
        <f>SUM(AD54:AD55)</f>
        <v/>
      </c>
      <c r="AE56" s="127">
        <f>SUM(AE54:AE55)</f>
        <v/>
      </c>
      <c r="AF56" s="127">
        <f>SUM(AF54:AF55)</f>
        <v/>
      </c>
    </row>
    <row r="57" ht="15" customHeight="1" s="5">
      <c r="A57" s="104" t="n"/>
      <c r="B57" s="104" t="n"/>
      <c r="C57" s="116" t="n"/>
      <c r="D57" s="108" t="inlineStr">
        <is>
          <t>Excess Order</t>
        </is>
      </c>
      <c r="E57" s="114" t="n"/>
      <c r="F57" s="114" t="n"/>
      <c r="G57" s="115" t="n"/>
      <c r="H57" s="111">
        <f>IFERROR(IF(ROUND(H56-$G56,3)&gt;0,ROUND(H56-$G56,3),""),"")</f>
        <v/>
      </c>
      <c r="I57" s="111">
        <f>IFERROR(IF(ROUND(I56-$G56,3)&gt;0,ROUND(I56-$G56,3),""),"")</f>
        <v/>
      </c>
      <c r="J57" s="111">
        <f>IFERROR(IF(ROUND(J56-$G56,3)&gt;0,ROUND(J56-$G56,3),""),"")</f>
        <v/>
      </c>
      <c r="K57" s="111">
        <f>IFERROR(IF(ROUND(K56-$G56,3)&gt;0,ROUND(K56-$G56,3),""),"")</f>
        <v/>
      </c>
      <c r="L57" s="111">
        <f>IFERROR(IF(ROUND(L56-$G56,3)&gt;0,ROUND(L56-$G56,3),""),"")</f>
        <v/>
      </c>
      <c r="M57" s="111">
        <f>IFERROR(IF(ROUND(M56-$G56,3)&gt;0,ROUND(M56-$G56,3),""),"")</f>
        <v/>
      </c>
      <c r="N57" s="111">
        <f>IFERROR(IF(ROUND(N56-$G56,3)&gt;0,ROUND(N56-$G56,3),""),"")</f>
        <v/>
      </c>
      <c r="O57" s="111">
        <f>IFERROR(IF(ROUND(O56-$G56,3)&gt;0,ROUND(O56-$G56,3),""),"")</f>
        <v/>
      </c>
      <c r="P57" s="111">
        <f>IFERROR(IF(ROUND(P56-$G56,3)&gt;0,ROUND(P56-$G56,3),""),"")</f>
        <v/>
      </c>
      <c r="Q57" s="111">
        <f>IFERROR(IF(ROUND(Q56-$G56,3)&gt;0,ROUND(Q56-$G56,3),""),"")</f>
        <v/>
      </c>
      <c r="R57" s="111">
        <f>IFERROR(IF(ROUND(R56-$G56,3)&gt;0,ROUND(R56-$G56,3),""),"")</f>
        <v/>
      </c>
      <c r="S57" s="111">
        <f>IFERROR(IF(ROUND(S56-$G56,3)&gt;0,ROUND(S56-$G56,3),""),"")</f>
        <v/>
      </c>
      <c r="T57" s="101" t="n"/>
      <c r="U57" s="111">
        <f>IFERROR(IF(ROUND(U56-$G56,3)&gt;0,ROUND(U56-$G56,3),""),"")</f>
        <v/>
      </c>
      <c r="V57" s="111">
        <f>IFERROR(IF(ROUND(V56-$G56,3)&gt;0,ROUND(V56-$G56,3),""),"")</f>
        <v/>
      </c>
      <c r="W57" s="111">
        <f>IFERROR(IF(ROUND(W56-$G56,3)&gt;0,ROUND(W56-$G56,3),""),"")</f>
        <v/>
      </c>
      <c r="X57" s="111">
        <f>IFERROR(IF(ROUND(X56-$G56,3)&gt;0,ROUND(X56-$G56,3),""),"")</f>
        <v/>
      </c>
      <c r="Y57" s="111">
        <f>IFERROR(IF(ROUND(Y56-$G56,3)&gt;0,ROUND(Y56-$G56,3),""),"")</f>
        <v/>
      </c>
      <c r="Z57" s="111">
        <f>IFERROR(IF(ROUND(Z56-$G56,3)&gt;0,ROUND(Z56-$G56,3),""),"")</f>
        <v/>
      </c>
      <c r="AA57" s="111">
        <f>IFERROR(IF(ROUND(AA56-$G56,3)&gt;0,ROUND(AA56-$G56,3),""),"")</f>
        <v/>
      </c>
      <c r="AB57" s="111">
        <f>IFERROR(IF(ROUND(AB56-$G56,3)&gt;0,ROUND(AB56-$G56,3),""),"")</f>
        <v/>
      </c>
      <c r="AC57" s="111">
        <f>IFERROR(IF(ROUND(AC56-$G56,3)&gt;0,ROUND(AC56-$G56,3),""),"")</f>
        <v/>
      </c>
      <c r="AD57" s="111">
        <f>IFERROR(IF(ROUND(AD56-$G56,3)&gt;0,ROUND(AD56-$G56,3),""),"")</f>
        <v/>
      </c>
      <c r="AE57" s="111">
        <f>IFERROR(IF(ROUND(AE56-$G56,3)&gt;0,ROUND(AE56-$G56,3),""),"")</f>
        <v/>
      </c>
      <c r="AF57" s="111">
        <f>IFERROR(IF(ROUND(AF56-$G56,3)&gt;0,ROUND(AF56-$G56,3),""),"")</f>
        <v/>
      </c>
    </row>
    <row r="58" ht="15" customHeight="1" s="5">
      <c r="A58" s="86" t="n"/>
      <c r="B58" s="86" t="n"/>
      <c r="C58" s="86" t="n"/>
      <c r="D58" s="108" t="inlineStr">
        <is>
          <t>Short Order</t>
        </is>
      </c>
      <c r="E58" s="114" t="n"/>
      <c r="F58" s="114" t="n"/>
      <c r="G58" s="115" t="n"/>
      <c r="H58" s="111">
        <f>IFERROR(IF(ROUND($G56-H56,3)&gt;0,ROUND($G56-H56,3),""),"")</f>
        <v/>
      </c>
      <c r="I58" s="111">
        <f>IFERROR(IF(ROUND($G56-I56,3)&gt;0,ROUND($G56-I56,3),""),"")</f>
        <v/>
      </c>
      <c r="J58" s="111">
        <f>IFERROR(IF(ROUND($G56-J56,3)&gt;0,ROUND($G56-J56,3),""),"")</f>
        <v/>
      </c>
      <c r="K58" s="111">
        <f>IFERROR(IF(ROUND($G56-K56,3)&gt;0,ROUND($G56-K56,3),""),"")</f>
        <v/>
      </c>
      <c r="L58" s="111">
        <f>IFERROR(IF(ROUND($G56-L56,3)&gt;0,ROUND($G56-L56,3),""),"")</f>
        <v/>
      </c>
      <c r="M58" s="111">
        <f>IFERROR(IF(ROUND($G56-M56,3)&gt;0,ROUND($G56-M56,3),""),"")</f>
        <v/>
      </c>
      <c r="N58" s="111">
        <f>IFERROR(IF(ROUND($G56-N56,3)&gt;0,ROUND($G56-N56,3),""),"")</f>
        <v/>
      </c>
      <c r="O58" s="111">
        <f>IFERROR(IF(ROUND($G56-O56,3)&gt;0,ROUND($G56-O56,3),""),"")</f>
        <v/>
      </c>
      <c r="P58" s="111">
        <f>IFERROR(IF(ROUND($G56-P56,3)&gt;0,ROUND($G56-P56,3),""),"")</f>
        <v/>
      </c>
      <c r="Q58" s="111">
        <f>IFERROR(IF(ROUND($G56-Q56,3)&gt;0,ROUND($G56-Q56,3),""),"")</f>
        <v/>
      </c>
      <c r="R58" s="111">
        <f>IFERROR(IF(ROUND($G56-R56,3)&gt;0,ROUND($G56-R56,3),""),"")</f>
        <v/>
      </c>
      <c r="S58" s="111">
        <f>IFERROR(IF(ROUND($G56-S56,3)&gt;0,ROUND($G56-S56,3),""),"")</f>
        <v/>
      </c>
      <c r="T58" s="101" t="n"/>
      <c r="U58" s="111">
        <f>IFERROR(IF(ROUND($G56-U56,3)&gt;0,ROUND($G56-U56,3),""),"")</f>
        <v/>
      </c>
      <c r="V58" s="111">
        <f>IFERROR(IF(ROUND($G56-V56,3)&gt;0,ROUND($G56-V56,3),""),"")</f>
        <v/>
      </c>
      <c r="W58" s="111">
        <f>IFERROR(IF(ROUND($G56-W56,3)&gt;0,ROUND($G56-W56,3),""),"")</f>
        <v/>
      </c>
      <c r="X58" s="111">
        <f>IFERROR(IF(ROUND($G56-X56,3)&gt;0,ROUND($G56-X56,3),""),"")</f>
        <v/>
      </c>
      <c r="Y58" s="111">
        <f>IFERROR(IF(ROUND($G56-Y56,3)&gt;0,ROUND($G56-Y56,3),""),"")</f>
        <v/>
      </c>
      <c r="Z58" s="111">
        <f>IFERROR(IF(ROUND($G56-Z56,3)&gt;0,ROUND($G56-Z56,3),""),"")</f>
        <v/>
      </c>
      <c r="AA58" s="111">
        <f>IFERROR(IF(ROUND($G56-AA56,3)&gt;0,ROUND($G56-AA56,3),""),"")</f>
        <v/>
      </c>
      <c r="AB58" s="111">
        <f>IFERROR(IF(ROUND($G56-AB56,3)&gt;0,ROUND($G56-AB56,3),""),"")</f>
        <v/>
      </c>
      <c r="AC58" s="111">
        <f>IFERROR(IF(ROUND($G56-AC56,3)&gt;0,ROUND($G56-AC56,3),""),"")</f>
        <v/>
      </c>
      <c r="AD58" s="111">
        <f>IFERROR(IF(ROUND($G56-AD56,3)&gt;0,ROUND($G56-AD56,3),""),"")</f>
        <v/>
      </c>
      <c r="AE58" s="111">
        <f>IFERROR(IF(ROUND($G56-AE56,3)&gt;0,ROUND($G56-AE56,3),""),"")</f>
        <v/>
      </c>
      <c r="AF58" s="111">
        <f>IFERROR(IF(ROUND($G56-AF56,3)&gt;0,ROUND($G56-AF56,3),""),"")</f>
        <v/>
      </c>
    </row>
    <row r="59" ht="15" customHeight="1" s="5">
      <c r="A59" s="128" t="inlineStr">
        <is>
          <t>Zone 4</t>
        </is>
      </c>
      <c r="B59" s="103" t="inlineStr">
        <is>
          <t>INDIA</t>
        </is>
      </c>
      <c r="C59" s="65" t="inlineStr">
        <is>
          <t>HF Co</t>
        </is>
      </c>
      <c r="D59" s="52" t="inlineStr">
        <is>
          <t>Shubam-FFS POUCH</t>
        </is>
      </c>
      <c r="E59" s="53" t="n">
        <v>1</v>
      </c>
      <c r="F59" s="53" t="n">
        <v>1</v>
      </c>
      <c r="G59" s="75">
        <f>IFERROR(IF(OR($F59=0,VLOOKUP($D59,'MC MASTER'!$A:$R,18,0)=0),"-",ROUND(VLOOKUP($D59,'MC MASTER'!$A:$R,18,0)*$E59*$F59,3)),"-")</f>
        <v/>
      </c>
      <c r="H59" s="75">
        <f>IFERROR(SUMIFS(WORKING!$Y:$Y,WORKING!$X:$X,$D59,WORKING!$W:$W,H$500),"")</f>
        <v/>
      </c>
      <c r="I59" s="75">
        <f>IFERROR(SUMIFS(WORKING!$Y:$Y,WORKING!$X:$X,$D59,WORKING!$W:$W,I$500),"")</f>
        <v/>
      </c>
      <c r="J59" s="75">
        <f>IFERROR(SUMIFS(WORKING!$Y:$Y,WORKING!$X:$X,$D59,WORKING!$W:$W,J$500),"")</f>
        <v/>
      </c>
      <c r="K59" s="75">
        <f>IFERROR(SUMIFS(WORKING!$Y:$Y,WORKING!$X:$X,$D59,WORKING!$W:$W,K$500),"")</f>
        <v/>
      </c>
      <c r="L59" s="75">
        <f>IFERROR(SUMIFS(WORKING!$Y:$Y,WORKING!$X:$X,$D59,WORKING!$W:$W,L$500),"")</f>
        <v/>
      </c>
      <c r="M59" s="75">
        <f>IFERROR(SUMIFS(WORKING!$Y:$Y,WORKING!$X:$X,$D59,WORKING!$W:$W,M$500),"")</f>
        <v/>
      </c>
      <c r="N59" s="75">
        <f>IFERROR(SUMIFS(WORKING!$Y:$Y,WORKING!$X:$X,$D59,WORKING!$W:$W,N$500),"")</f>
        <v/>
      </c>
      <c r="O59" s="75">
        <f>IFERROR(SUMIFS(WORKING!$Y:$Y,WORKING!$X:$X,$D59,WORKING!$W:$W,O$500),"")</f>
        <v/>
      </c>
      <c r="P59" s="75">
        <f>IFERROR(SUMIFS(WORKING!$Y:$Y,WORKING!$X:$X,$D59,WORKING!$W:$W,P$500),"")</f>
        <v/>
      </c>
      <c r="Q59" s="75">
        <f>IFERROR(SUMIFS(WORKING!$Y:$Y,WORKING!$X:$X,$D59,WORKING!$W:$W,Q$500),"")</f>
        <v/>
      </c>
      <c r="R59" s="75">
        <f>IFERROR(SUMIFS(WORKING!$Y:$Y,WORKING!$X:$X,$D59,WORKING!$W:$W,R$500),"")</f>
        <v/>
      </c>
      <c r="S59" s="75">
        <f>IFERROR(SUMIFS(WORKING!$Y:$Y,WORKING!$X:$X,$D59,WORKING!$W:$W,S$500),"")</f>
        <v/>
      </c>
      <c r="T59" s="101" t="n"/>
      <c r="U59" s="75">
        <f>IFERROR(SUMIFS(WORKING!$Z:$Z,WORKING!$X:$X,$D59,WORKING!$W:$W,H$500),"")</f>
        <v/>
      </c>
      <c r="V59" s="75">
        <f>IFERROR(SUMIFS(WORKING!$Z:$Z,WORKING!$X:$X,$D59,WORKING!$W:$W,I$500),"")</f>
        <v/>
      </c>
      <c r="W59" s="75">
        <f>IFERROR(SUMIFS(WORKING!$Z:$Z,WORKING!$X:$X,$D59,WORKING!$W:$W,J$500),"")</f>
        <v/>
      </c>
      <c r="X59" s="75">
        <f>IFERROR(SUMIFS(WORKING!$Z:$Z,WORKING!$X:$X,$D59,WORKING!$W:$W,K$500),"")</f>
        <v/>
      </c>
      <c r="Y59" s="75">
        <f>IFERROR(SUMIFS(WORKING!$Z:$Z,WORKING!$X:$X,$D59,WORKING!$W:$W,L$500),"")</f>
        <v/>
      </c>
      <c r="Z59" s="75">
        <f>IFERROR(SUMIFS(WORKING!$Z:$Z,WORKING!$X:$X,$D59,WORKING!$W:$W,M$500),"")</f>
        <v/>
      </c>
      <c r="AA59" s="75">
        <f>IFERROR(SUMIFS(WORKING!$Z:$Z,WORKING!$X:$X,$D59,WORKING!$W:$W,N$500),"")</f>
        <v/>
      </c>
      <c r="AB59" s="75">
        <f>IFERROR(SUMIFS(WORKING!$Z:$Z,WORKING!$X:$X,$D59,WORKING!$W:$W,O$500),"")</f>
        <v/>
      </c>
      <c r="AC59" s="75">
        <f>IFERROR(SUMIFS(WORKING!$Z:$Z,WORKING!$X:$X,$D59,WORKING!$W:$W,P$500),"")</f>
        <v/>
      </c>
      <c r="AD59" s="75">
        <f>IFERROR(SUMIFS(WORKING!$Z:$Z,WORKING!$X:$X,$D59,WORKING!$W:$W,Q$500),"")</f>
        <v/>
      </c>
      <c r="AE59" s="75">
        <f>IFERROR(SUMIFS(WORKING!$Z:$Z,WORKING!$X:$X,$D59,WORKING!$W:$W,R$500),"")</f>
        <v/>
      </c>
      <c r="AF59" s="75">
        <f>IFERROR(SUMIFS(WORKING!$Z:$Z,WORKING!$X:$X,$D59,WORKING!$W:$W,S$500),"")</f>
        <v/>
      </c>
    </row>
    <row r="60">
      <c r="A60" s="104" t="n"/>
      <c r="B60" s="104" t="n"/>
      <c r="C60" s="105" t="n"/>
      <c r="D60" s="125" t="inlineStr">
        <is>
          <t>TOTAL</t>
        </is>
      </c>
      <c r="E60" s="126" t="n"/>
      <c r="F60" s="126" t="n"/>
      <c r="G60" s="127">
        <f>SUM(G59:G59)</f>
        <v/>
      </c>
      <c r="H60" s="127">
        <f>SUM(H59:H59)</f>
        <v/>
      </c>
      <c r="I60" s="127">
        <f>SUM(I59:I59)</f>
        <v/>
      </c>
      <c r="J60" s="127">
        <f>SUM(J59:J59)</f>
        <v/>
      </c>
      <c r="K60" s="127">
        <f>SUM(K59:K59)</f>
        <v/>
      </c>
      <c r="L60" s="127">
        <f>SUM(L59:L59)</f>
        <v/>
      </c>
      <c r="M60" s="127">
        <f>SUM(M59:M59)</f>
        <v/>
      </c>
      <c r="N60" s="127">
        <f>SUM(N59:N59)</f>
        <v/>
      </c>
      <c r="O60" s="127">
        <f>SUM(O59:O59)</f>
        <v/>
      </c>
      <c r="P60" s="127">
        <f>SUM(P59:P59)</f>
        <v/>
      </c>
      <c r="Q60" s="127">
        <f>SUM(Q59:Q59)</f>
        <v/>
      </c>
      <c r="R60" s="127">
        <f>SUM(R59:R59)</f>
        <v/>
      </c>
      <c r="S60" s="127">
        <f>SUM(S59:S59)</f>
        <v/>
      </c>
      <c r="T60" s="101" t="n"/>
      <c r="U60" s="127">
        <f>SUM(U59:U59)</f>
        <v/>
      </c>
      <c r="V60" s="127">
        <f>SUM(V59:V59)</f>
        <v/>
      </c>
      <c r="W60" s="127">
        <f>SUM(W59:W59)</f>
        <v/>
      </c>
      <c r="X60" s="127">
        <f>SUM(X59:X59)</f>
        <v/>
      </c>
      <c r="Y60" s="127">
        <f>SUM(Y59:Y59)</f>
        <v/>
      </c>
      <c r="Z60" s="127">
        <f>SUM(Z59:Z59)</f>
        <v/>
      </c>
      <c r="AA60" s="127">
        <f>SUM(AA59:AA59)</f>
        <v/>
      </c>
      <c r="AB60" s="127">
        <f>SUM(AB59:AB59)</f>
        <v/>
      </c>
      <c r="AC60" s="127">
        <f>SUM(AC59:AC59)</f>
        <v/>
      </c>
      <c r="AD60" s="127">
        <f>SUM(AD59:AD59)</f>
        <v/>
      </c>
      <c r="AE60" s="127">
        <f>SUM(AE59:AE59)</f>
        <v/>
      </c>
      <c r="AF60" s="127">
        <f>SUM(AF59:AF59)</f>
        <v/>
      </c>
    </row>
    <row r="61">
      <c r="A61" s="104" t="n"/>
      <c r="B61" s="104" t="n"/>
      <c r="C61" s="116" t="n"/>
      <c r="D61" s="108" t="inlineStr">
        <is>
          <t>Excess Order</t>
        </is>
      </c>
      <c r="E61" s="117" t="n"/>
      <c r="F61" s="117" t="n"/>
      <c r="G61" s="117" t="n"/>
      <c r="H61" s="111">
        <f>IFERROR(IF(ROUND(H60-$G60,3)&gt;0,ROUND(H60-$G60,3),""),"")</f>
        <v/>
      </c>
      <c r="I61" s="111">
        <f>IFERROR(IF(ROUND(I60-$G60,3)&gt;0,ROUND(I60-$G60,3),""),"")</f>
        <v/>
      </c>
      <c r="J61" s="111">
        <f>IFERROR(IF(ROUND(J60-$G60,3)&gt;0,ROUND(J60-$G60,3),""),"")</f>
        <v/>
      </c>
      <c r="K61" s="111">
        <f>IFERROR(IF(ROUND(K60-$G60,3)&gt;0,ROUND(K60-$G60,3),""),"")</f>
        <v/>
      </c>
      <c r="L61" s="111">
        <f>IFERROR(IF(ROUND(L60-$G60,3)&gt;0,ROUND(L60-$G60,3),""),"")</f>
        <v/>
      </c>
      <c r="M61" s="111">
        <f>IFERROR(IF(ROUND(M60-$G60,3)&gt;0,ROUND(M60-$G60,3),""),"")</f>
        <v/>
      </c>
      <c r="N61" s="111">
        <f>IFERROR(IF(ROUND(N60-$G60,3)&gt;0,ROUND(N60-$G60,3),""),"")</f>
        <v/>
      </c>
      <c r="O61" s="111">
        <f>IFERROR(IF(ROUND(O60-$G60,3)&gt;0,ROUND(O60-$G60,3),""),"")</f>
        <v/>
      </c>
      <c r="P61" s="111">
        <f>IFERROR(IF(ROUND(P60-$G60,3)&gt;0,ROUND(P60-$G60,3),""),"")</f>
        <v/>
      </c>
      <c r="Q61" s="111">
        <f>IFERROR(IF(ROUND(Q60-$G60,3)&gt;0,ROUND(Q60-$G60,3),""),"")</f>
        <v/>
      </c>
      <c r="R61" s="111">
        <f>IFERROR(IF(ROUND(R60-$G60,3)&gt;0,ROUND(R60-$G60,3),""),"")</f>
        <v/>
      </c>
      <c r="S61" s="111">
        <f>IFERROR(IF(ROUND(S60-$G60,3)&gt;0,ROUND(S60-$G60,3),""),"")</f>
        <v/>
      </c>
      <c r="T61" s="101" t="n"/>
      <c r="U61" s="111">
        <f>IFERROR(IF(ROUND(U60-$G60,3)&gt;0,ROUND(U60-$G60,3),""),"")</f>
        <v/>
      </c>
      <c r="V61" s="111">
        <f>IFERROR(IF(ROUND(V60-$G60,3)&gt;0,ROUND(V60-$G60,3),""),"")</f>
        <v/>
      </c>
      <c r="W61" s="111">
        <f>IFERROR(IF(ROUND(W60-$G60,3)&gt;0,ROUND(W60-$G60,3),""),"")</f>
        <v/>
      </c>
      <c r="X61" s="111">
        <f>IFERROR(IF(ROUND(X60-$G60,3)&gt;0,ROUND(X60-$G60,3),""),"")</f>
        <v/>
      </c>
      <c r="Y61" s="111">
        <f>IFERROR(IF(ROUND(Y60-$G60,3)&gt;0,ROUND(Y60-$G60,3),""),"")</f>
        <v/>
      </c>
      <c r="Z61" s="111">
        <f>IFERROR(IF(ROUND(Z60-$G60,3)&gt;0,ROUND(Z60-$G60,3),""),"")</f>
        <v/>
      </c>
      <c r="AA61" s="111">
        <f>IFERROR(IF(ROUND(AA60-$G60,3)&gt;0,ROUND(AA60-$G60,3),""),"")</f>
        <v/>
      </c>
      <c r="AB61" s="111">
        <f>IFERROR(IF(ROUND(AB60-$G60,3)&gt;0,ROUND(AB60-$G60,3),""),"")</f>
        <v/>
      </c>
      <c r="AC61" s="111">
        <f>IFERROR(IF(ROUND(AC60-$G60,3)&gt;0,ROUND(AC60-$G60,3),""),"")</f>
        <v/>
      </c>
      <c r="AD61" s="111">
        <f>IFERROR(IF(ROUND(AD60-$G60,3)&gt;0,ROUND(AD60-$G60,3),""),"")</f>
        <v/>
      </c>
      <c r="AE61" s="111">
        <f>IFERROR(IF(ROUND(AE60-$G60,3)&gt;0,ROUND(AE60-$G60,3),""),"")</f>
        <v/>
      </c>
      <c r="AF61" s="111">
        <f>IFERROR(IF(ROUND(AF60-$G60,3)&gt;0,ROUND(AF60-$G60,3),""),"")</f>
        <v/>
      </c>
    </row>
    <row r="62">
      <c r="A62" s="104" t="n"/>
      <c r="B62" s="86" t="n"/>
      <c r="C62" s="86" t="n"/>
      <c r="D62" s="108" t="inlineStr">
        <is>
          <t>Short Order</t>
        </is>
      </c>
      <c r="E62" s="114" t="n"/>
      <c r="F62" s="114" t="n"/>
      <c r="G62" s="115" t="n"/>
      <c r="H62" s="111">
        <f>IFERROR(IF(ROUND($G60-H60,3)&gt;0,ROUND($G60-H60,3),""),"")</f>
        <v/>
      </c>
      <c r="I62" s="111">
        <f>IFERROR(IF(ROUND($G60-I60,3)&gt;0,ROUND($G60-I60,3),""),"")</f>
        <v/>
      </c>
      <c r="J62" s="111">
        <f>IFERROR(IF(ROUND($G60-J60,3)&gt;0,ROUND($G60-J60,3),""),"")</f>
        <v/>
      </c>
      <c r="K62" s="111">
        <f>IFERROR(IF(ROUND($G60-K60,3)&gt;0,ROUND($G60-K60,3),""),"")</f>
        <v/>
      </c>
      <c r="L62" s="111">
        <f>IFERROR(IF(ROUND($G60-L60,3)&gt;0,ROUND($G60-L60,3),""),"")</f>
        <v/>
      </c>
      <c r="M62" s="111">
        <f>IFERROR(IF(ROUND($G60-M60,3)&gt;0,ROUND($G60-M60,3),""),"")</f>
        <v/>
      </c>
      <c r="N62" s="111">
        <f>IFERROR(IF(ROUND($G60-N60,3)&gt;0,ROUND($G60-N60,3),""),"")</f>
        <v/>
      </c>
      <c r="O62" s="111">
        <f>IFERROR(IF(ROUND($G60-O60,3)&gt;0,ROUND($G60-O60,3),""),"")</f>
        <v/>
      </c>
      <c r="P62" s="111">
        <f>IFERROR(IF(ROUND($G60-P60,3)&gt;0,ROUND($G60-P60,3),""),"")</f>
        <v/>
      </c>
      <c r="Q62" s="111">
        <f>IFERROR(IF(ROUND($G60-Q60,3)&gt;0,ROUND($G60-Q60,3),""),"")</f>
        <v/>
      </c>
      <c r="R62" s="111">
        <f>IFERROR(IF(ROUND($G60-R60,3)&gt;0,ROUND($G60-R60,3),""),"")</f>
        <v/>
      </c>
      <c r="S62" s="111">
        <f>IFERROR(IF(ROUND($G60-S60,3)&gt;0,ROUND($G60-S60,3),""),"")</f>
        <v/>
      </c>
      <c r="T62" s="101" t="n"/>
      <c r="U62" s="111">
        <f>IFERROR(IF(ROUND($G60-U60,3)&gt;0,ROUND($G60-U60,3),""),"")</f>
        <v/>
      </c>
      <c r="V62" s="111">
        <f>IFERROR(IF(ROUND($G60-V60,3)&gt;0,ROUND($G60-V60,3),""),"")</f>
        <v/>
      </c>
      <c r="W62" s="111">
        <f>IFERROR(IF(ROUND($G60-W60,3)&gt;0,ROUND($G60-W60,3),""),"")</f>
        <v/>
      </c>
      <c r="X62" s="111">
        <f>IFERROR(IF(ROUND($G60-X60,3)&gt;0,ROUND($G60-X60,3),""),"")</f>
        <v/>
      </c>
      <c r="Y62" s="111">
        <f>IFERROR(IF(ROUND($G60-Y60,3)&gt;0,ROUND($G60-Y60,3),""),"")</f>
        <v/>
      </c>
      <c r="Z62" s="111">
        <f>IFERROR(IF(ROUND($G60-Z60,3)&gt;0,ROUND($G60-Z60,3),""),"")</f>
        <v/>
      </c>
      <c r="AA62" s="111">
        <f>IFERROR(IF(ROUND($G60-AA60,3)&gt;0,ROUND($G60-AA60,3),""),"")</f>
        <v/>
      </c>
      <c r="AB62" s="111">
        <f>IFERROR(IF(ROUND($G60-AB60,3)&gt;0,ROUND($G60-AB60,3),""),"")</f>
        <v/>
      </c>
      <c r="AC62" s="111">
        <f>IFERROR(IF(ROUND($G60-AC60,3)&gt;0,ROUND($G60-AC60,3),""),"")</f>
        <v/>
      </c>
      <c r="AD62" s="111">
        <f>IFERROR(IF(ROUND($G60-AD60,3)&gt;0,ROUND($G60-AD60,3),""),"")</f>
        <v/>
      </c>
      <c r="AE62" s="111">
        <f>IFERROR(IF(ROUND($G60-AE60,3)&gt;0,ROUND($G60-AE60,3),""),"")</f>
        <v/>
      </c>
      <c r="AF62" s="111">
        <f>IFERROR(IF(ROUND($G60-AF60,3)&gt;0,ROUND($G60-AF60,3),""),"")</f>
        <v/>
      </c>
    </row>
    <row r="63">
      <c r="A63" s="104" t="n"/>
      <c r="B63" s="103" t="inlineStr">
        <is>
          <t>USA</t>
        </is>
      </c>
      <c r="C63" s="65" t="inlineStr">
        <is>
          <t>HF Co</t>
        </is>
      </c>
      <c r="D63" s="52" t="inlineStr">
        <is>
          <t>Pearl Pack-FFS POUCH</t>
        </is>
      </c>
      <c r="E63" s="53" t="n">
        <v>0.5</v>
      </c>
      <c r="F63" s="53" t="n">
        <v>1</v>
      </c>
      <c r="G63" s="75">
        <f>IFERROR(IF(OR($F63=0,VLOOKUP($D63,'MC MASTER'!$A:$R,18,0)=0),"-",ROUND(VLOOKUP($D63,'MC MASTER'!$A:$R,18,0)*$E63*$F63,3)),"-")</f>
        <v/>
      </c>
      <c r="H63" s="75">
        <f>IFERROR(SUMIFS(WORKING!$Y:$Y,WORKING!$X:$X,$D63,WORKING!$W:$W,H$500),"")</f>
        <v/>
      </c>
      <c r="I63" s="75">
        <f>IFERROR(SUMIFS(WORKING!$Y:$Y,WORKING!$X:$X,$D63,WORKING!$W:$W,I$500),"")</f>
        <v/>
      </c>
      <c r="J63" s="75">
        <f>IFERROR(SUMIFS(WORKING!$Y:$Y,WORKING!$X:$X,$D63,WORKING!$W:$W,J$500),"")</f>
        <v/>
      </c>
      <c r="K63" s="75">
        <f>IFERROR(SUMIFS(WORKING!$Y:$Y,WORKING!$X:$X,$D63,WORKING!$W:$W,K$500),"")</f>
        <v/>
      </c>
      <c r="L63" s="75">
        <f>IFERROR(SUMIFS(WORKING!$Y:$Y,WORKING!$X:$X,$D63,WORKING!$W:$W,L$500),"")</f>
        <v/>
      </c>
      <c r="M63" s="75">
        <f>IFERROR(SUMIFS(WORKING!$Y:$Y,WORKING!$X:$X,$D63,WORKING!$W:$W,M$500),"")</f>
        <v/>
      </c>
      <c r="N63" s="75">
        <f>IFERROR(SUMIFS(WORKING!$Y:$Y,WORKING!$X:$X,$D63,WORKING!$W:$W,N$500),"")</f>
        <v/>
      </c>
      <c r="O63" s="75">
        <f>IFERROR(SUMIFS(WORKING!$Y:$Y,WORKING!$X:$X,$D63,WORKING!$W:$W,O$500),"")</f>
        <v/>
      </c>
      <c r="P63" s="75">
        <f>IFERROR(SUMIFS(WORKING!$Y:$Y,WORKING!$X:$X,$D63,WORKING!$W:$W,P$500),"")</f>
        <v/>
      </c>
      <c r="Q63" s="75">
        <f>IFERROR(SUMIFS(WORKING!$Y:$Y,WORKING!$X:$X,$D63,WORKING!$W:$W,Q$500),"")</f>
        <v/>
      </c>
      <c r="R63" s="75">
        <f>IFERROR(SUMIFS(WORKING!$Y:$Y,WORKING!$X:$X,$D63,WORKING!$W:$W,R$500),"")</f>
        <v/>
      </c>
      <c r="S63" s="75">
        <f>IFERROR(SUMIFS(WORKING!$Y:$Y,WORKING!$X:$X,$D63,WORKING!$W:$W,S$500),"")</f>
        <v/>
      </c>
      <c r="T63" s="101" t="n"/>
      <c r="U63" s="75">
        <f>IFERROR(SUMIFS(WORKING!$Z:$Z,WORKING!$X:$X,$D63,WORKING!$W:$W,H$500),"")</f>
        <v/>
      </c>
      <c r="V63" s="75">
        <f>IFERROR(SUMIFS(WORKING!$Z:$Z,WORKING!$X:$X,$D63,WORKING!$W:$W,I$500),"")</f>
        <v/>
      </c>
      <c r="W63" s="75">
        <f>IFERROR(SUMIFS(WORKING!$Z:$Z,WORKING!$X:$X,$D63,WORKING!$W:$W,J$500),"")</f>
        <v/>
      </c>
      <c r="X63" s="75">
        <f>IFERROR(SUMIFS(WORKING!$Z:$Z,WORKING!$X:$X,$D63,WORKING!$W:$W,K$500),"")</f>
        <v/>
      </c>
      <c r="Y63" s="75">
        <f>IFERROR(SUMIFS(WORKING!$Z:$Z,WORKING!$X:$X,$D63,WORKING!$W:$W,L$500),"")</f>
        <v/>
      </c>
      <c r="Z63" s="75">
        <f>IFERROR(SUMIFS(WORKING!$Z:$Z,WORKING!$X:$X,$D63,WORKING!$W:$W,M$500),"")</f>
        <v/>
      </c>
      <c r="AA63" s="75">
        <f>IFERROR(SUMIFS(WORKING!$Z:$Z,WORKING!$X:$X,$D63,WORKING!$W:$W,N$500),"")</f>
        <v/>
      </c>
      <c r="AB63" s="75">
        <f>IFERROR(SUMIFS(WORKING!$Z:$Z,WORKING!$X:$X,$D63,WORKING!$W:$W,O$500),"")</f>
        <v/>
      </c>
      <c r="AC63" s="75">
        <f>IFERROR(SUMIFS(WORKING!$Z:$Z,WORKING!$X:$X,$D63,WORKING!$W:$W,P$500),"")</f>
        <v/>
      </c>
      <c r="AD63" s="75">
        <f>IFERROR(SUMIFS(WORKING!$Z:$Z,WORKING!$X:$X,$D63,WORKING!$W:$W,Q$500),"")</f>
        <v/>
      </c>
      <c r="AE63" s="75">
        <f>IFERROR(SUMIFS(WORKING!$Z:$Z,WORKING!$X:$X,$D63,WORKING!$W:$W,R$500),"")</f>
        <v/>
      </c>
      <c r="AF63" s="75">
        <f>IFERROR(SUMIFS(WORKING!$Z:$Z,WORKING!$X:$X,$D63,WORKING!$W:$W,S$500),"")</f>
        <v/>
      </c>
    </row>
    <row r="64">
      <c r="A64" s="104" t="n"/>
      <c r="B64" s="104" t="n"/>
      <c r="C64" s="105" t="n"/>
      <c r="D64" s="125" t="inlineStr">
        <is>
          <t>TOTAL</t>
        </is>
      </c>
      <c r="E64" s="126" t="n"/>
      <c r="F64" s="126" t="n"/>
      <c r="G64" s="127">
        <f>SUM(G63:G63)</f>
        <v/>
      </c>
      <c r="H64" s="127">
        <f>SUM(H63:H63)</f>
        <v/>
      </c>
      <c r="I64" s="127">
        <f>SUM(I63:I63)</f>
        <v/>
      </c>
      <c r="J64" s="127">
        <f>SUM(J63:J63)</f>
        <v/>
      </c>
      <c r="K64" s="127">
        <f>SUM(K63:K63)</f>
        <v/>
      </c>
      <c r="L64" s="127">
        <f>SUM(L63:L63)</f>
        <v/>
      </c>
      <c r="M64" s="127">
        <f>SUM(M63:M63)</f>
        <v/>
      </c>
      <c r="N64" s="127">
        <f>SUM(N63:N63)</f>
        <v/>
      </c>
      <c r="O64" s="127">
        <f>SUM(O63:O63)</f>
        <v/>
      </c>
      <c r="P64" s="127">
        <f>SUM(P63:P63)</f>
        <v/>
      </c>
      <c r="Q64" s="127">
        <f>SUM(Q63:Q63)</f>
        <v/>
      </c>
      <c r="R64" s="127">
        <f>SUM(R63:R63)</f>
        <v/>
      </c>
      <c r="S64" s="127">
        <f>SUM(S63:S63)</f>
        <v/>
      </c>
      <c r="T64" s="101" t="n"/>
      <c r="U64" s="127">
        <f>SUM(U63:U63)</f>
        <v/>
      </c>
      <c r="V64" s="127">
        <f>SUM(V63:V63)</f>
        <v/>
      </c>
      <c r="W64" s="127">
        <f>SUM(W63:W63)</f>
        <v/>
      </c>
      <c r="X64" s="127">
        <f>SUM(X63:X63)</f>
        <v/>
      </c>
      <c r="Y64" s="127">
        <f>SUM(Y63:Y63)</f>
        <v/>
      </c>
      <c r="Z64" s="127">
        <f>SUM(Z63:Z63)</f>
        <v/>
      </c>
      <c r="AA64" s="127">
        <f>SUM(AA63:AA63)</f>
        <v/>
      </c>
      <c r="AB64" s="127">
        <f>SUM(AB63:AB63)</f>
        <v/>
      </c>
      <c r="AC64" s="127">
        <f>SUM(AC63:AC63)</f>
        <v/>
      </c>
      <c r="AD64" s="127">
        <f>SUM(AD63:AD63)</f>
        <v/>
      </c>
      <c r="AE64" s="127">
        <f>SUM(AE63:AE63)</f>
        <v/>
      </c>
      <c r="AF64" s="127">
        <f>SUM(AF63:AF63)</f>
        <v/>
      </c>
    </row>
    <row r="65">
      <c r="A65" s="104" t="n"/>
      <c r="B65" s="104" t="n"/>
      <c r="C65" s="116" t="n"/>
      <c r="D65" s="108" t="inlineStr">
        <is>
          <t>Excess Order</t>
        </is>
      </c>
      <c r="E65" s="117" t="n"/>
      <c r="F65" s="117" t="n"/>
      <c r="G65" s="117" t="n"/>
      <c r="H65" s="111">
        <f>IFERROR(IF(ROUND(H64-$G64,3)&gt;0,ROUND(H64-$G64,3),""),"")</f>
        <v/>
      </c>
      <c r="I65" s="111">
        <f>IFERROR(IF(ROUND(I64-$G64,3)&gt;0,ROUND(I64-$G64,3),""),"")</f>
        <v/>
      </c>
      <c r="J65" s="111">
        <f>IFERROR(IF(ROUND(J64-$G64,3)&gt;0,ROUND(J64-$G64,3),""),"")</f>
        <v/>
      </c>
      <c r="K65" s="111">
        <f>IFERROR(IF(ROUND(K64-$G64,3)&gt;0,ROUND(K64-$G64,3),""),"")</f>
        <v/>
      </c>
      <c r="L65" s="111">
        <f>IFERROR(IF(ROUND(L64-$G64,3)&gt;0,ROUND(L64-$G64,3),""),"")</f>
        <v/>
      </c>
      <c r="M65" s="111">
        <f>IFERROR(IF(ROUND(M64-$G64,3)&gt;0,ROUND(M64-$G64,3),""),"")</f>
        <v/>
      </c>
      <c r="N65" s="111">
        <f>IFERROR(IF(ROUND(N64-$G64,3)&gt;0,ROUND(N64-$G64,3),""),"")</f>
        <v/>
      </c>
      <c r="O65" s="111">
        <f>IFERROR(IF(ROUND(O64-$G64,3)&gt;0,ROUND(O64-$G64,3),""),"")</f>
        <v/>
      </c>
      <c r="P65" s="111">
        <f>IFERROR(IF(ROUND(P64-$G64,3)&gt;0,ROUND(P64-$G64,3),""),"")</f>
        <v/>
      </c>
      <c r="Q65" s="111">
        <f>IFERROR(IF(ROUND(Q64-$G64,3)&gt;0,ROUND(Q64-$G64,3),""),"")</f>
        <v/>
      </c>
      <c r="R65" s="111">
        <f>IFERROR(IF(ROUND(R64-$G64,3)&gt;0,ROUND(R64-$G64,3),""),"")</f>
        <v/>
      </c>
      <c r="S65" s="111">
        <f>IFERROR(IF(ROUND(S64-$G64,3)&gt;0,ROUND(S64-$G64,3),""),"")</f>
        <v/>
      </c>
      <c r="T65" s="101" t="n"/>
      <c r="U65" s="111">
        <f>IFERROR(IF(ROUND(U64-$G64,3)&gt;0,ROUND(U64-$G64,3),""),"")</f>
        <v/>
      </c>
      <c r="V65" s="111">
        <f>IFERROR(IF(ROUND(V64-$G64,3)&gt;0,ROUND(V64-$G64,3),""),"")</f>
        <v/>
      </c>
      <c r="W65" s="111">
        <f>IFERROR(IF(ROUND(W64-$G64,3)&gt;0,ROUND(W64-$G64,3),""),"")</f>
        <v/>
      </c>
      <c r="X65" s="111">
        <f>IFERROR(IF(ROUND(X64-$G64,3)&gt;0,ROUND(X64-$G64,3),""),"")</f>
        <v/>
      </c>
      <c r="Y65" s="111">
        <f>IFERROR(IF(ROUND(Y64-$G64,3)&gt;0,ROUND(Y64-$G64,3),""),"")</f>
        <v/>
      </c>
      <c r="Z65" s="111">
        <f>IFERROR(IF(ROUND(Z64-$G64,3)&gt;0,ROUND(Z64-$G64,3),""),"")</f>
        <v/>
      </c>
      <c r="AA65" s="111">
        <f>IFERROR(IF(ROUND(AA64-$G64,3)&gt;0,ROUND(AA64-$G64,3),""),"")</f>
        <v/>
      </c>
      <c r="AB65" s="111">
        <f>IFERROR(IF(ROUND(AB64-$G64,3)&gt;0,ROUND(AB64-$G64,3),""),"")</f>
        <v/>
      </c>
      <c r="AC65" s="111">
        <f>IFERROR(IF(ROUND(AC64-$G64,3)&gt;0,ROUND(AC64-$G64,3),""),"")</f>
        <v/>
      </c>
      <c r="AD65" s="111">
        <f>IFERROR(IF(ROUND(AD64-$G64,3)&gt;0,ROUND(AD64-$G64,3),""),"")</f>
        <v/>
      </c>
      <c r="AE65" s="111">
        <f>IFERROR(IF(ROUND(AE64-$G64,3)&gt;0,ROUND(AE64-$G64,3),""),"")</f>
        <v/>
      </c>
      <c r="AF65" s="111">
        <f>IFERROR(IF(ROUND(AF64-$G64,3)&gt;0,ROUND(AF64-$G64,3),""),"")</f>
        <v/>
      </c>
    </row>
    <row r="66">
      <c r="A66" s="86" t="n"/>
      <c r="B66" s="86" t="n"/>
      <c r="C66" s="86" t="n"/>
      <c r="D66" s="108" t="inlineStr">
        <is>
          <t>Short Order</t>
        </is>
      </c>
      <c r="E66" s="117" t="n"/>
      <c r="F66" s="117" t="n"/>
      <c r="G66" s="117" t="n"/>
      <c r="H66" s="111">
        <f>IFERROR(IF(ROUND($G64-H64,3)&gt;0,ROUND($G64-H64,3),""),"")</f>
        <v/>
      </c>
      <c r="I66" s="111">
        <f>IFERROR(IF(ROUND($G64-I64,3)&gt;0,ROUND($G64-I64,3),""),"")</f>
        <v/>
      </c>
      <c r="J66" s="111">
        <f>IFERROR(IF(ROUND($G64-J64,3)&gt;0,ROUND($G64-J64,3),""),"")</f>
        <v/>
      </c>
      <c r="K66" s="111">
        <f>IFERROR(IF(ROUND($G64-K64,3)&gt;0,ROUND($G64-K64,3),""),"")</f>
        <v/>
      </c>
      <c r="L66" s="111">
        <f>IFERROR(IF(ROUND($G64-L64,3)&gt;0,ROUND($G64-L64,3),""),"")</f>
        <v/>
      </c>
      <c r="M66" s="111">
        <f>IFERROR(IF(ROUND($G64-M64,3)&gt;0,ROUND($G64-M64,3),""),"")</f>
        <v/>
      </c>
      <c r="N66" s="111">
        <f>IFERROR(IF(ROUND($G64-N64,3)&gt;0,ROUND($G64-N64,3),""),"")</f>
        <v/>
      </c>
      <c r="O66" s="111">
        <f>IFERROR(IF(ROUND($G64-O64,3)&gt;0,ROUND($G64-O64,3),""),"")</f>
        <v/>
      </c>
      <c r="P66" s="111">
        <f>IFERROR(IF(ROUND($G64-P64,3)&gt;0,ROUND($G64-P64,3),""),"")</f>
        <v/>
      </c>
      <c r="Q66" s="111">
        <f>IFERROR(IF(ROUND($G64-Q64,3)&gt;0,ROUND($G64-Q64,3),""),"")</f>
        <v/>
      </c>
      <c r="R66" s="111">
        <f>IFERROR(IF(ROUND($G64-R64,3)&gt;0,ROUND($G64-R64,3),""),"")</f>
        <v/>
      </c>
      <c r="S66" s="111">
        <f>IFERROR(IF(ROUND($G64-S64,3)&gt;0,ROUND($G64-S64,3),""),"")</f>
        <v/>
      </c>
      <c r="T66" s="101" t="n"/>
      <c r="U66" s="111">
        <f>IFERROR(IF(ROUND($G64-U64,3)&gt;0,ROUND($G64-U64,3),""),"")</f>
        <v/>
      </c>
      <c r="V66" s="111">
        <f>IFERROR(IF(ROUND($G64-V64,3)&gt;0,ROUND($G64-V64,3),""),"")</f>
        <v/>
      </c>
      <c r="W66" s="111">
        <f>IFERROR(IF(ROUND($G64-W64,3)&gt;0,ROUND($G64-W64,3),""),"")</f>
        <v/>
      </c>
      <c r="X66" s="111">
        <f>IFERROR(IF(ROUND($G64-X64,3)&gt;0,ROUND($G64-X64,3),""),"")</f>
        <v/>
      </c>
      <c r="Y66" s="111">
        <f>IFERROR(IF(ROUND($G64-Y64,3)&gt;0,ROUND($G64-Y64,3),""),"")</f>
        <v/>
      </c>
      <c r="Z66" s="111">
        <f>IFERROR(IF(ROUND($G64-Z64,3)&gt;0,ROUND($G64-Z64,3),""),"")</f>
        <v/>
      </c>
      <c r="AA66" s="111">
        <f>IFERROR(IF(ROUND($G64-AA64,3)&gt;0,ROUND($G64-AA64,3),""),"")</f>
        <v/>
      </c>
      <c r="AB66" s="111">
        <f>IFERROR(IF(ROUND($G64-AB64,3)&gt;0,ROUND($G64-AB64,3),""),"")</f>
        <v/>
      </c>
      <c r="AC66" s="111">
        <f>IFERROR(IF(ROUND($G64-AC64,3)&gt;0,ROUND($G64-AC64,3),""),"")</f>
        <v/>
      </c>
      <c r="AD66" s="111">
        <f>IFERROR(IF(ROUND($G64-AD64,3)&gt;0,ROUND($G64-AD64,3),""),"")</f>
        <v/>
      </c>
      <c r="AE66" s="111">
        <f>IFERROR(IF(ROUND($G64-AE64,3)&gt;0,ROUND($G64-AE64,3),""),"")</f>
        <v/>
      </c>
      <c r="AF66" s="111">
        <f>IFERROR(IF(ROUND($G64-AF64,3)&gt;0,ROUND($G64-AF64,3),""),"")</f>
        <v/>
      </c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  <c r="R74" s="101" t="n"/>
      <c r="S74" s="101" t="n"/>
      <c r="T74" s="101" t="n"/>
      <c r="U74" s="101" t="n"/>
      <c r="V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  <c r="R75" s="101" t="n"/>
      <c r="S75" s="101" t="n"/>
      <c r="T75" s="101" t="n"/>
      <c r="U75" s="101" t="n"/>
      <c r="V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  <c r="R80" s="101" t="n"/>
      <c r="S80" s="101" t="n"/>
      <c r="T80" s="101" t="n"/>
      <c r="U80" s="101" t="n"/>
      <c r="V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  <c r="R81" s="101" t="n"/>
      <c r="S81" s="101" t="n"/>
      <c r="T81" s="101" t="n"/>
      <c r="U81" s="101" t="n"/>
      <c r="V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  <c r="R82" s="101" t="n"/>
      <c r="S82" s="101" t="n"/>
      <c r="T82" s="101" t="n"/>
      <c r="U82" s="101" t="n"/>
      <c r="V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  <c r="R85" s="101" t="n"/>
      <c r="S85" s="101" t="n"/>
      <c r="T85" s="101" t="n"/>
      <c r="U85" s="101" t="n"/>
      <c r="V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  <c r="R86" s="101" t="n"/>
      <c r="S86" s="101" t="n"/>
      <c r="T86" s="101" t="n"/>
      <c r="U86" s="101" t="n"/>
      <c r="V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  <c r="R91" s="101" t="n"/>
      <c r="S91" s="101" t="n"/>
      <c r="T91" s="101" t="n"/>
      <c r="U91" s="101" t="n"/>
      <c r="V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101" t="n"/>
      <c r="T92" s="101" t="n"/>
      <c r="U92" s="101" t="n"/>
      <c r="V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101" t="n"/>
      <c r="T93" s="101" t="n"/>
      <c r="U93" s="101" t="n"/>
      <c r="V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101" t="n"/>
      <c r="T96" s="101" t="n"/>
      <c r="U96" s="101" t="n"/>
      <c r="V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101" t="n"/>
      <c r="T97" s="101" t="n"/>
      <c r="U97" s="101" t="n"/>
      <c r="V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101" t="n"/>
      <c r="T102" s="101" t="n"/>
      <c r="U102" s="101" t="n"/>
      <c r="V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101" t="n"/>
      <c r="T103" s="101" t="n"/>
      <c r="U103" s="101" t="n"/>
      <c r="V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101" t="n"/>
      <c r="T104" s="101" t="n"/>
      <c r="U104" s="101" t="n"/>
      <c r="V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101" t="n"/>
      <c r="T107" s="101" t="n"/>
      <c r="U107" s="101" t="n"/>
      <c r="V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101" t="n"/>
      <c r="T108" s="101" t="n"/>
      <c r="U108" s="101" t="n"/>
      <c r="V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101" t="n"/>
      <c r="T113" s="101" t="n"/>
      <c r="U113" s="101" t="n"/>
      <c r="V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101" t="n"/>
      <c r="T114" s="101" t="n"/>
      <c r="U114" s="101" t="n"/>
      <c r="V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101" t="n"/>
      <c r="T115" s="101" t="n"/>
      <c r="U115" s="101" t="n"/>
      <c r="V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101" t="n"/>
      <c r="T118" s="101" t="n"/>
      <c r="U118" s="101" t="n"/>
      <c r="V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101" t="n"/>
      <c r="T119" s="101" t="n"/>
      <c r="U119" s="101" t="n"/>
      <c r="V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101" t="n"/>
      <c r="T124" s="101" t="n"/>
      <c r="U124" s="101" t="n"/>
      <c r="V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101" t="n"/>
      <c r="T125" s="101" t="n"/>
      <c r="U125" s="101" t="n"/>
      <c r="V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101" t="n"/>
      <c r="T126" s="101" t="n"/>
      <c r="U126" s="101" t="n"/>
      <c r="V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101" t="n"/>
      <c r="T129" s="101" t="n"/>
      <c r="U129" s="101" t="n"/>
      <c r="V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101" t="n"/>
      <c r="T130" s="101" t="n"/>
      <c r="U130" s="101" t="n"/>
      <c r="V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101" t="n"/>
      <c r="T135" s="101" t="n"/>
      <c r="U135" s="101" t="n"/>
      <c r="V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101" t="n"/>
      <c r="T136" s="101" t="n"/>
      <c r="U136" s="101" t="n"/>
      <c r="V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101" t="n"/>
      <c r="T137" s="101" t="n"/>
      <c r="U137" s="101" t="n"/>
      <c r="V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101" t="n"/>
      <c r="T140" s="101" t="n"/>
      <c r="U140" s="101" t="n"/>
      <c r="V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101" t="n"/>
      <c r="T141" s="101" t="n"/>
      <c r="U141" s="101" t="n"/>
      <c r="V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101" t="n"/>
      <c r="T146" s="101" t="n"/>
      <c r="U146" s="101" t="n"/>
      <c r="V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101" t="n"/>
      <c r="T147" s="101" t="n"/>
      <c r="U147" s="101" t="n"/>
      <c r="V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101" t="n"/>
      <c r="T148" s="101" t="n"/>
      <c r="U148" s="101" t="n"/>
      <c r="V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101" t="n"/>
      <c r="T151" s="101" t="n"/>
      <c r="U151" s="101" t="n"/>
      <c r="V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101" t="n"/>
      <c r="T152" s="101" t="n"/>
      <c r="U152" s="101" t="n"/>
      <c r="V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101" t="n"/>
      <c r="T157" s="101" t="n"/>
      <c r="U157" s="101" t="n"/>
      <c r="V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101" t="n"/>
      <c r="T158" s="101" t="n"/>
      <c r="U158" s="101" t="n"/>
      <c r="V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101" t="n"/>
      <c r="T159" s="101" t="n"/>
      <c r="U159" s="101" t="n"/>
      <c r="V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101" t="n"/>
      <c r="T162" s="101" t="n"/>
      <c r="U162" s="101" t="n"/>
      <c r="V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101" t="n"/>
      <c r="T163" s="101" t="n"/>
      <c r="U163" s="101" t="n"/>
      <c r="V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101" t="n"/>
      <c r="T168" s="101" t="n"/>
      <c r="U168" s="101" t="n"/>
      <c r="V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101" t="n"/>
      <c r="T169" s="101" t="n"/>
      <c r="U169" s="101" t="n"/>
      <c r="V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101" t="n"/>
      <c r="T170" s="101" t="n"/>
      <c r="U170" s="101" t="n"/>
      <c r="V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101" t="n"/>
      <c r="T173" s="101" t="n"/>
      <c r="U173" s="101" t="n"/>
      <c r="V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101" t="n"/>
      <c r="T174" s="101" t="n"/>
      <c r="U174" s="101" t="n"/>
      <c r="V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101" t="n"/>
      <c r="T179" s="101" t="n"/>
      <c r="U179" s="101" t="n"/>
      <c r="V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101" t="n"/>
      <c r="T180" s="101" t="n"/>
      <c r="U180" s="101" t="n"/>
      <c r="V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101" t="n"/>
      <c r="T181" s="101" t="n"/>
      <c r="U181" s="101" t="n"/>
      <c r="V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101" t="n"/>
      <c r="T184" s="101" t="n"/>
      <c r="U184" s="101" t="n"/>
      <c r="V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101" t="n"/>
      <c r="T185" s="101" t="n"/>
      <c r="U185" s="101" t="n"/>
      <c r="V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101" t="n"/>
      <c r="T190" s="101" t="n"/>
      <c r="U190" s="101" t="n"/>
      <c r="V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101" t="n"/>
      <c r="T191" s="101" t="n"/>
      <c r="U191" s="101" t="n"/>
      <c r="V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101" t="n"/>
      <c r="T192" s="101" t="n"/>
      <c r="U192" s="101" t="n"/>
      <c r="V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101" t="n"/>
      <c r="T195" s="101" t="n"/>
      <c r="U195" s="101" t="n"/>
      <c r="V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101" t="n"/>
      <c r="T196" s="101" t="n"/>
      <c r="U196" s="101" t="n"/>
      <c r="V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101" t="n"/>
      <c r="T201" s="101" t="n"/>
      <c r="U201" s="101" t="n"/>
      <c r="V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101" t="n"/>
      <c r="T202" s="101" t="n"/>
      <c r="U202" s="101" t="n"/>
      <c r="V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101" t="n"/>
      <c r="T203" s="101" t="n"/>
      <c r="U203" s="101" t="n"/>
      <c r="V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101" t="n"/>
      <c r="T206" s="101" t="n"/>
      <c r="U206" s="101" t="n"/>
      <c r="V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101" t="n"/>
      <c r="T207" s="101" t="n"/>
      <c r="U207" s="101" t="n"/>
      <c r="V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101" t="n"/>
      <c r="T212" s="101" t="n"/>
      <c r="U212" s="101" t="n"/>
      <c r="V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101" t="n"/>
      <c r="T213" s="101" t="n"/>
      <c r="U213" s="101" t="n"/>
      <c r="V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101" t="n"/>
      <c r="T214" s="101" t="n"/>
      <c r="U214" s="101" t="n"/>
      <c r="V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101" t="n"/>
      <c r="T217" s="101" t="n"/>
      <c r="U217" s="101" t="n"/>
      <c r="V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101" t="n"/>
      <c r="T218" s="101" t="n"/>
      <c r="U218" s="101" t="n"/>
      <c r="V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101" t="n"/>
      <c r="T223" s="101" t="n"/>
      <c r="U223" s="101" t="n"/>
      <c r="V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101" t="n"/>
      <c r="T224" s="101" t="n"/>
      <c r="U224" s="101" t="n"/>
      <c r="V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101" t="n"/>
      <c r="T225" s="101" t="n"/>
      <c r="U225" s="101" t="n"/>
      <c r="V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101" t="n"/>
      <c r="T228" s="101" t="n"/>
      <c r="U228" s="101" t="n"/>
      <c r="V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101" t="n"/>
      <c r="T229" s="101" t="n"/>
      <c r="U229" s="101" t="n"/>
      <c r="V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101" t="n"/>
      <c r="T234" s="101" t="n"/>
      <c r="U234" s="101" t="n"/>
      <c r="V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101" t="n"/>
      <c r="T235" s="101" t="n"/>
      <c r="U235" s="101" t="n"/>
      <c r="V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101" t="n"/>
      <c r="T236" s="101" t="n"/>
      <c r="U236" s="101" t="n"/>
      <c r="V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101" t="n"/>
      <c r="T239" s="101" t="n"/>
      <c r="U239" s="101" t="n"/>
      <c r="V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101" t="n"/>
      <c r="T240" s="101" t="n"/>
      <c r="U240" s="101" t="n"/>
      <c r="V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101" t="n"/>
      <c r="T245" s="101" t="n"/>
      <c r="U245" s="101" t="n"/>
      <c r="V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101" t="n"/>
      <c r="T246" s="101" t="n"/>
      <c r="U246" s="101" t="n"/>
      <c r="V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101" t="n"/>
      <c r="T247" s="101" t="n"/>
      <c r="U247" s="101" t="n"/>
      <c r="V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101" t="n"/>
      <c r="T250" s="101" t="n"/>
      <c r="U250" s="101" t="n"/>
      <c r="V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101" t="n"/>
      <c r="T256" s="101" t="n"/>
      <c r="U256" s="101" t="n"/>
      <c r="V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101" t="n"/>
      <c r="T257" s="101" t="n"/>
      <c r="U257" s="101" t="n"/>
      <c r="V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101" t="n"/>
      <c r="T258" s="101" t="n"/>
      <c r="U258" s="101" t="n"/>
      <c r="V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101" t="n"/>
      <c r="T261" s="101" t="n"/>
      <c r="U261" s="101" t="n"/>
      <c r="V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101" t="n"/>
      <c r="T262" s="101" t="n"/>
      <c r="U262" s="101" t="n"/>
      <c r="V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101" t="n"/>
      <c r="R267" s="101" t="n"/>
      <c r="S267" s="101" t="n"/>
      <c r="T267" s="101" t="n"/>
      <c r="U267" s="101" t="n"/>
      <c r="V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101" t="n"/>
      <c r="R268" s="101" t="n"/>
      <c r="S268" s="101" t="n"/>
      <c r="T268" s="101" t="n"/>
      <c r="U268" s="101" t="n"/>
      <c r="V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101" t="n"/>
      <c r="R269" s="101" t="n"/>
      <c r="S269" s="101" t="n"/>
      <c r="T269" s="101" t="n"/>
      <c r="U269" s="101" t="n"/>
      <c r="V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101" t="n"/>
      <c r="R272" s="101" t="n"/>
      <c r="S272" s="101" t="n"/>
      <c r="T272" s="101" t="n"/>
      <c r="U272" s="101" t="n"/>
      <c r="V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101" t="n"/>
      <c r="R273" s="101" t="n"/>
      <c r="S273" s="101" t="n"/>
      <c r="T273" s="101" t="n"/>
      <c r="U273" s="101" t="n"/>
      <c r="V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101" t="n"/>
      <c r="R278" s="101" t="n"/>
      <c r="S278" s="101" t="n"/>
      <c r="T278" s="101" t="n"/>
      <c r="U278" s="101" t="n"/>
      <c r="V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101" t="n"/>
      <c r="R279" s="101" t="n"/>
      <c r="S279" s="101" t="n"/>
      <c r="T279" s="101" t="n"/>
      <c r="U279" s="101" t="n"/>
      <c r="V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101" t="n"/>
      <c r="R280" s="101" t="n"/>
      <c r="S280" s="101" t="n"/>
      <c r="T280" s="101" t="n"/>
      <c r="U280" s="101" t="n"/>
      <c r="V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101" t="n"/>
      <c r="R283" s="101" t="n"/>
      <c r="S283" s="101" t="n"/>
      <c r="T283" s="101" t="n"/>
      <c r="U283" s="101" t="n"/>
      <c r="V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101" t="n"/>
      <c r="R284" s="101" t="n"/>
      <c r="S284" s="101" t="n"/>
      <c r="T284" s="101" t="n"/>
      <c r="U284" s="101" t="n"/>
      <c r="V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101" t="n"/>
      <c r="R289" s="101" t="n"/>
      <c r="S289" s="101" t="n"/>
      <c r="T289" s="101" t="n"/>
      <c r="U289" s="101" t="n"/>
      <c r="V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101" t="n"/>
      <c r="R290" s="101" t="n"/>
      <c r="S290" s="101" t="n"/>
      <c r="T290" s="101" t="n"/>
      <c r="U290" s="101" t="n"/>
      <c r="V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101" t="n"/>
      <c r="R291" s="101" t="n"/>
      <c r="S291" s="101" t="n"/>
      <c r="T291" s="101" t="n"/>
      <c r="U291" s="101" t="n"/>
      <c r="V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101" t="n"/>
      <c r="R294" s="101" t="n"/>
      <c r="S294" s="101" t="n"/>
      <c r="T294" s="101" t="n"/>
      <c r="U294" s="101" t="n"/>
      <c r="V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101" t="n"/>
      <c r="R295" s="101" t="n"/>
      <c r="S295" s="101" t="n"/>
      <c r="T295" s="101" t="n"/>
      <c r="U295" s="101" t="n"/>
      <c r="V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101" t="n"/>
      <c r="R300" s="101" t="n"/>
      <c r="S300" s="101" t="n"/>
      <c r="T300" s="101" t="n"/>
      <c r="U300" s="101" t="n"/>
      <c r="V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101" t="n"/>
      <c r="R301" s="101" t="n"/>
      <c r="S301" s="101" t="n"/>
      <c r="T301" s="101" t="n"/>
      <c r="U301" s="101" t="n"/>
      <c r="V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101" t="n"/>
      <c r="R302" s="101" t="n"/>
      <c r="S302" s="101" t="n"/>
      <c r="T302" s="101" t="n"/>
      <c r="U302" s="101" t="n"/>
      <c r="V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101" t="n"/>
      <c r="R305" s="101" t="n"/>
      <c r="S305" s="101" t="n"/>
      <c r="T305" s="101" t="n"/>
      <c r="U305" s="101" t="n"/>
      <c r="V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101" t="n"/>
      <c r="R306" s="101" t="n"/>
      <c r="S306" s="101" t="n"/>
      <c r="T306" s="101" t="n"/>
      <c r="U306" s="101" t="n"/>
      <c r="V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101" t="n"/>
      <c r="R311" s="101" t="n"/>
      <c r="S311" s="101" t="n"/>
      <c r="T311" s="101" t="n"/>
      <c r="U311" s="101" t="n"/>
      <c r="V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101" t="n"/>
      <c r="R312" s="101" t="n"/>
      <c r="S312" s="101" t="n"/>
      <c r="T312" s="101" t="n"/>
      <c r="U312" s="101" t="n"/>
      <c r="V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101" t="n"/>
      <c r="R313" s="101" t="n"/>
      <c r="S313" s="101" t="n"/>
      <c r="T313" s="101" t="n"/>
      <c r="U313" s="101" t="n"/>
      <c r="V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101" t="n"/>
      <c r="R316" s="101" t="n"/>
      <c r="S316" s="101" t="n"/>
      <c r="T316" s="101" t="n"/>
      <c r="U316" s="101" t="n"/>
      <c r="V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101" t="n"/>
      <c r="R317" s="101" t="n"/>
      <c r="S317" s="101" t="n"/>
      <c r="T317" s="101" t="n"/>
      <c r="U317" s="101" t="n"/>
      <c r="V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101" t="n"/>
      <c r="R322" s="101" t="n"/>
      <c r="S322" s="101" t="n"/>
      <c r="T322" s="101" t="n"/>
      <c r="U322" s="101" t="n"/>
      <c r="V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101" t="n"/>
      <c r="R323" s="101" t="n"/>
      <c r="S323" s="101" t="n"/>
      <c r="T323" s="101" t="n"/>
      <c r="U323" s="101" t="n"/>
      <c r="V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101" t="n"/>
      <c r="R324" s="101" t="n"/>
      <c r="S324" s="101" t="n"/>
      <c r="T324" s="101" t="n"/>
      <c r="U324" s="101" t="n"/>
      <c r="V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101" t="n"/>
      <c r="R327" s="101" t="n"/>
      <c r="S327" s="101" t="n"/>
      <c r="T327" s="101" t="n"/>
      <c r="U327" s="101" t="n"/>
      <c r="V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101" t="n"/>
      <c r="R328" s="101" t="n"/>
      <c r="S328" s="101" t="n"/>
      <c r="T328" s="101" t="n"/>
      <c r="U328" s="101" t="n"/>
      <c r="V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101" t="n"/>
      <c r="R333" s="101" t="n"/>
      <c r="S333" s="101" t="n"/>
      <c r="T333" s="101" t="n"/>
      <c r="U333" s="101" t="n"/>
      <c r="V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101" t="n"/>
      <c r="R334" s="101" t="n"/>
      <c r="S334" s="101" t="n"/>
      <c r="T334" s="101" t="n"/>
      <c r="U334" s="101" t="n"/>
      <c r="V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101" t="n"/>
      <c r="R335" s="101" t="n"/>
      <c r="S335" s="101" t="n"/>
      <c r="T335" s="101" t="n"/>
      <c r="U335" s="101" t="n"/>
      <c r="V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101" t="n"/>
      <c r="R338" s="101" t="n"/>
      <c r="S338" s="101" t="n"/>
      <c r="T338" s="101" t="n"/>
      <c r="U338" s="101" t="n"/>
      <c r="V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101" t="n"/>
      <c r="R339" s="101" t="n"/>
      <c r="S339" s="101" t="n"/>
      <c r="T339" s="101" t="n"/>
      <c r="U339" s="101" t="n"/>
      <c r="V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101" t="n"/>
      <c r="R344" s="101" t="n"/>
      <c r="S344" s="101" t="n"/>
      <c r="T344" s="101" t="n"/>
      <c r="U344" s="101" t="n"/>
      <c r="V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101" t="n"/>
      <c r="R345" s="101" t="n"/>
      <c r="S345" s="101" t="n"/>
      <c r="T345" s="101" t="n"/>
      <c r="U345" s="101" t="n"/>
      <c r="V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101" t="n"/>
      <c r="R346" s="101" t="n"/>
      <c r="S346" s="101" t="n"/>
      <c r="T346" s="101" t="n"/>
      <c r="U346" s="101" t="n"/>
      <c r="V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101" t="n"/>
      <c r="R349" s="101" t="n"/>
      <c r="S349" s="101" t="n"/>
      <c r="T349" s="101" t="n"/>
      <c r="U349" s="101" t="n"/>
      <c r="V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101" t="n"/>
      <c r="R350" s="101" t="n"/>
      <c r="S350" s="101" t="n"/>
      <c r="T350" s="101" t="n"/>
      <c r="U350" s="101" t="n"/>
      <c r="V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101" t="n"/>
      <c r="R355" s="101" t="n"/>
      <c r="S355" s="101" t="n"/>
      <c r="T355" s="101" t="n"/>
      <c r="U355" s="101" t="n"/>
      <c r="V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101" t="n"/>
      <c r="R356" s="101" t="n"/>
      <c r="S356" s="101" t="n"/>
      <c r="T356" s="101" t="n"/>
      <c r="U356" s="101" t="n"/>
      <c r="V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101" t="n"/>
      <c r="R357" s="101" t="n"/>
      <c r="S357" s="101" t="n"/>
      <c r="T357" s="101" t="n"/>
      <c r="U357" s="101" t="n"/>
      <c r="V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101" t="n"/>
      <c r="R360" s="101" t="n"/>
      <c r="S360" s="101" t="n"/>
      <c r="T360" s="101" t="n"/>
      <c r="U360" s="101" t="n"/>
      <c r="V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101" t="n"/>
      <c r="R361" s="101" t="n"/>
      <c r="S361" s="101" t="n"/>
      <c r="T361" s="101" t="n"/>
      <c r="U361" s="101" t="n"/>
      <c r="V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101" t="n"/>
      <c r="R366" s="101" t="n"/>
      <c r="S366" s="101" t="n"/>
      <c r="T366" s="101" t="n"/>
      <c r="U366" s="101" t="n"/>
      <c r="V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101" t="n"/>
      <c r="R367" s="101" t="n"/>
      <c r="S367" s="101" t="n"/>
      <c r="T367" s="101" t="n"/>
      <c r="U367" s="101" t="n"/>
      <c r="V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101" t="n"/>
      <c r="R368" s="101" t="n"/>
      <c r="S368" s="101" t="n"/>
      <c r="T368" s="101" t="n"/>
      <c r="U368" s="101" t="n"/>
      <c r="V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101" t="n"/>
      <c r="R371" s="101" t="n"/>
      <c r="S371" s="101" t="n"/>
      <c r="T371" s="101" t="n"/>
      <c r="U371" s="101" t="n"/>
      <c r="V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101" t="n"/>
      <c r="R372" s="101" t="n"/>
      <c r="S372" s="101" t="n"/>
      <c r="T372" s="101" t="n"/>
      <c r="U372" s="101" t="n"/>
      <c r="V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101" t="n"/>
      <c r="R377" s="101" t="n"/>
      <c r="S377" s="101" t="n"/>
      <c r="T377" s="101" t="n"/>
      <c r="U377" s="101" t="n"/>
      <c r="V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101" t="n"/>
      <c r="R378" s="101" t="n"/>
      <c r="S378" s="101" t="n"/>
      <c r="T378" s="101" t="n"/>
      <c r="U378" s="101" t="n"/>
      <c r="V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101" t="n"/>
      <c r="R379" s="101" t="n"/>
      <c r="S379" s="101" t="n"/>
      <c r="T379" s="101" t="n"/>
      <c r="U379" s="101" t="n"/>
      <c r="V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101" t="n"/>
      <c r="R382" s="101" t="n"/>
      <c r="S382" s="101" t="n"/>
      <c r="T382" s="101" t="n"/>
      <c r="U382" s="101" t="n"/>
      <c r="V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101" t="n"/>
      <c r="R383" s="101" t="n"/>
      <c r="S383" s="101" t="n"/>
      <c r="T383" s="101" t="n"/>
      <c r="U383" s="101" t="n"/>
      <c r="V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101" t="n"/>
      <c r="R388" s="101" t="n"/>
      <c r="S388" s="101" t="n"/>
      <c r="T388" s="101" t="n"/>
      <c r="U388" s="101" t="n"/>
      <c r="V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101" t="n"/>
      <c r="R389" s="101" t="n"/>
      <c r="S389" s="101" t="n"/>
      <c r="T389" s="101" t="n"/>
      <c r="U389" s="101" t="n"/>
      <c r="V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101" t="n"/>
      <c r="R390" s="101" t="n"/>
      <c r="S390" s="101" t="n"/>
      <c r="T390" s="101" t="n"/>
      <c r="U390" s="101" t="n"/>
      <c r="V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101" t="n"/>
      <c r="R393" s="101" t="n"/>
      <c r="S393" s="101" t="n"/>
      <c r="T393" s="101" t="n"/>
      <c r="U393" s="101" t="n"/>
      <c r="V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101" t="n"/>
      <c r="R394" s="101" t="n"/>
      <c r="S394" s="101" t="n"/>
      <c r="T394" s="101" t="n"/>
      <c r="U394" s="101" t="n"/>
      <c r="V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101" t="n"/>
      <c r="R399" s="101" t="n"/>
      <c r="S399" s="101" t="n"/>
      <c r="T399" s="101" t="n"/>
      <c r="U399" s="101" t="n"/>
      <c r="V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101" t="n"/>
      <c r="R400" s="101" t="n"/>
      <c r="S400" s="101" t="n"/>
      <c r="T400" s="101" t="n"/>
      <c r="U400" s="101" t="n"/>
      <c r="V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101" t="n"/>
      <c r="R401" s="101" t="n"/>
      <c r="S401" s="101" t="n"/>
      <c r="T401" s="101" t="n"/>
      <c r="U401" s="101" t="n"/>
      <c r="V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101" t="n"/>
      <c r="R404" s="101" t="n"/>
      <c r="S404" s="101" t="n"/>
      <c r="T404" s="101" t="n"/>
      <c r="U404" s="101" t="n"/>
      <c r="V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101" t="n"/>
      <c r="R405" s="101" t="n"/>
      <c r="S405" s="101" t="n"/>
      <c r="T405" s="101" t="n"/>
      <c r="U405" s="101" t="n"/>
      <c r="V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101" t="n"/>
      <c r="R410" s="101" t="n"/>
      <c r="S410" s="101" t="n"/>
      <c r="T410" s="101" t="n"/>
      <c r="U410" s="101" t="n"/>
      <c r="V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101" t="n"/>
      <c r="R411" s="101" t="n"/>
      <c r="S411" s="101" t="n"/>
      <c r="T411" s="101" t="n"/>
      <c r="U411" s="101" t="n"/>
      <c r="V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101" t="n"/>
      <c r="R412" s="101" t="n"/>
      <c r="S412" s="101" t="n"/>
      <c r="T412" s="101" t="n"/>
      <c r="U412" s="101" t="n"/>
      <c r="V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101" t="n"/>
      <c r="R415" s="101" t="n"/>
      <c r="S415" s="101" t="n"/>
      <c r="T415" s="101" t="n"/>
      <c r="U415" s="101" t="n"/>
      <c r="V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101" t="n"/>
      <c r="R416" s="101" t="n"/>
      <c r="S416" s="101" t="n"/>
      <c r="T416" s="101" t="n"/>
      <c r="U416" s="101" t="n"/>
      <c r="V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101" t="n"/>
      <c r="R421" s="101" t="n"/>
      <c r="S421" s="101" t="n"/>
      <c r="T421" s="101" t="n"/>
      <c r="U421" s="101" t="n"/>
      <c r="V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101" t="n"/>
      <c r="R422" s="101" t="n"/>
      <c r="S422" s="101" t="n"/>
      <c r="T422" s="101" t="n"/>
      <c r="U422" s="101" t="n"/>
      <c r="V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101" t="n"/>
      <c r="R423" s="101" t="n"/>
      <c r="S423" s="101" t="n"/>
      <c r="T423" s="101" t="n"/>
      <c r="U423" s="101" t="n"/>
      <c r="V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101" t="n"/>
      <c r="R426" s="101" t="n"/>
      <c r="S426" s="101" t="n"/>
      <c r="T426" s="101" t="n"/>
      <c r="U426" s="101" t="n"/>
      <c r="V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101" t="n"/>
      <c r="R427" s="101" t="n"/>
      <c r="S427" s="101" t="n"/>
      <c r="T427" s="101" t="n"/>
      <c r="U427" s="101" t="n"/>
      <c r="V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101" t="n"/>
      <c r="R432" s="101" t="n"/>
      <c r="S432" s="101" t="n"/>
      <c r="T432" s="101" t="n"/>
      <c r="U432" s="101" t="n"/>
      <c r="V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101" t="n"/>
      <c r="R433" s="101" t="n"/>
      <c r="S433" s="101" t="n"/>
      <c r="T433" s="101" t="n"/>
      <c r="U433" s="101" t="n"/>
      <c r="V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101" t="n"/>
      <c r="R434" s="101" t="n"/>
      <c r="S434" s="101" t="n"/>
      <c r="T434" s="101" t="n"/>
      <c r="U434" s="101" t="n"/>
      <c r="V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101" t="n"/>
      <c r="R437" s="101" t="n"/>
      <c r="S437" s="101" t="n"/>
      <c r="T437" s="101" t="n"/>
      <c r="U437" s="101" t="n"/>
      <c r="V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101" t="n"/>
      <c r="R438" s="101" t="n"/>
      <c r="S438" s="101" t="n"/>
      <c r="T438" s="101" t="n"/>
      <c r="U438" s="101" t="n"/>
      <c r="V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101" t="n"/>
      <c r="R443" s="101" t="n"/>
      <c r="S443" s="101" t="n"/>
      <c r="T443" s="101" t="n"/>
      <c r="U443" s="101" t="n"/>
      <c r="V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101" t="n"/>
      <c r="R444" s="101" t="n"/>
      <c r="S444" s="101" t="n"/>
      <c r="T444" s="101" t="n"/>
      <c r="U444" s="101" t="n"/>
      <c r="V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101" t="n"/>
      <c r="R445" s="101" t="n"/>
      <c r="S445" s="101" t="n"/>
      <c r="T445" s="101" t="n"/>
      <c r="U445" s="101" t="n"/>
      <c r="V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101" t="n"/>
      <c r="R448" s="101" t="n"/>
      <c r="S448" s="101" t="n"/>
      <c r="T448" s="101" t="n"/>
      <c r="U448" s="101" t="n"/>
      <c r="V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101" t="n"/>
      <c r="R449" s="101" t="n"/>
      <c r="S449" s="101" t="n"/>
      <c r="T449" s="101" t="n"/>
      <c r="U449" s="101" t="n"/>
      <c r="V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101" t="n"/>
      <c r="R454" s="101" t="n"/>
      <c r="S454" s="101" t="n"/>
      <c r="T454" s="101" t="n"/>
      <c r="U454" s="101" t="n"/>
      <c r="V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101" t="n"/>
      <c r="R455" s="101" t="n"/>
      <c r="S455" s="101" t="n"/>
      <c r="T455" s="101" t="n"/>
      <c r="U455" s="101" t="n"/>
      <c r="V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101" t="n"/>
      <c r="R456" s="101" t="n"/>
      <c r="S456" s="101" t="n"/>
      <c r="T456" s="101" t="n"/>
      <c r="U456" s="101" t="n"/>
      <c r="V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101" t="n"/>
      <c r="R459" s="101" t="n"/>
      <c r="S459" s="101" t="n"/>
      <c r="T459" s="101" t="n"/>
      <c r="U459" s="101" t="n"/>
      <c r="V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101" t="n"/>
      <c r="R460" s="101" t="n"/>
      <c r="S460" s="101" t="n"/>
      <c r="T460" s="101" t="n"/>
      <c r="U460" s="101" t="n"/>
      <c r="V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101" t="n"/>
      <c r="R465" s="101" t="n"/>
      <c r="S465" s="101" t="n"/>
      <c r="T465" s="101" t="n"/>
      <c r="U465" s="101" t="n"/>
      <c r="V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101" t="n"/>
      <c r="R466" s="101" t="n"/>
      <c r="S466" s="101" t="n"/>
      <c r="T466" s="101" t="n"/>
      <c r="U466" s="101" t="n"/>
      <c r="V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101" t="n"/>
      <c r="R467" s="101" t="n"/>
      <c r="S467" s="101" t="n"/>
      <c r="T467" s="101" t="n"/>
      <c r="U467" s="101" t="n"/>
      <c r="V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101" t="n"/>
      <c r="R470" s="101" t="n"/>
      <c r="S470" s="101" t="n"/>
      <c r="T470" s="101" t="n"/>
      <c r="U470" s="101" t="n"/>
      <c r="V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101" t="n"/>
      <c r="R471" s="101" t="n"/>
      <c r="S471" s="101" t="n"/>
      <c r="T471" s="101" t="n"/>
      <c r="U471" s="101" t="n"/>
      <c r="V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101" t="n"/>
      <c r="R476" s="101" t="n"/>
      <c r="S476" s="101" t="n"/>
      <c r="T476" s="101" t="n"/>
      <c r="U476" s="101" t="n"/>
      <c r="V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101" t="n"/>
      <c r="R477" s="101" t="n"/>
      <c r="S477" s="101" t="n"/>
      <c r="T477" s="101" t="n"/>
      <c r="U477" s="101" t="n"/>
      <c r="V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101" t="n"/>
      <c r="R478" s="101" t="n"/>
      <c r="S478" s="101" t="n"/>
      <c r="T478" s="101" t="n"/>
      <c r="U478" s="101" t="n"/>
      <c r="V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101" t="n"/>
      <c r="R481" s="101" t="n"/>
      <c r="S481" s="101" t="n"/>
      <c r="T481" s="101" t="n"/>
      <c r="U481" s="101" t="n"/>
      <c r="V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101" t="n"/>
      <c r="R482" s="101" t="n"/>
      <c r="S482" s="101" t="n"/>
      <c r="T482" s="101" t="n"/>
      <c r="U482" s="101" t="n"/>
      <c r="V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101" t="n"/>
      <c r="R487" s="101" t="n"/>
      <c r="S487" s="101" t="n"/>
      <c r="T487" s="101" t="n"/>
      <c r="U487" s="101" t="n"/>
      <c r="V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101" t="n"/>
      <c r="R488" s="101" t="n"/>
      <c r="S488" s="101" t="n"/>
      <c r="T488" s="101" t="n"/>
      <c r="U488" s="101" t="n"/>
      <c r="V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101" t="n"/>
      <c r="R489" s="101" t="n"/>
      <c r="S489" s="101" t="n"/>
      <c r="T489" s="101" t="n"/>
      <c r="U489" s="101" t="n"/>
      <c r="V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101" t="n"/>
      <c r="R492" s="101" t="n"/>
      <c r="S492" s="101" t="n"/>
      <c r="T492" s="101" t="n"/>
      <c r="U492" s="101" t="n"/>
      <c r="V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101" t="n"/>
      <c r="R493" s="101" t="n"/>
      <c r="S493" s="101" t="n"/>
      <c r="T493" s="101" t="n"/>
      <c r="U493" s="101" t="n"/>
      <c r="V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101" t="n"/>
      <c r="R498" s="101" t="n"/>
      <c r="S498" s="101" t="n"/>
      <c r="T498" s="101" t="n"/>
      <c r="U498" s="101" t="n"/>
      <c r="V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101" t="n"/>
      <c r="R499" s="101" t="n"/>
      <c r="S499" s="101" t="n"/>
      <c r="T499" s="101" t="n"/>
      <c r="U499" s="101" t="n"/>
      <c r="V499" s="101" t="n"/>
    </row>
    <row r="500" hidden="1" ht="15" customHeight="1" s="5">
      <c r="A500" s="101" t="n"/>
      <c r="B500" s="101" t="n"/>
      <c r="C500" s="101" t="n"/>
      <c r="D500" s="101" t="n"/>
      <c r="E500" s="101" t="n"/>
      <c r="F500" s="101" t="inlineStr">
        <is>
          <t>week Monday (drives SUMIFS)</t>
        </is>
      </c>
      <c r="G500" s="81" t="n"/>
      <c r="H500" s="81">
        <f>DATE(2026,9,28)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 s="101">
        <f>R500+7</f>
        <v/>
      </c>
      <c r="T500" s="101" t="n"/>
      <c r="U500" s="101" t="n"/>
      <c r="V500" s="101" t="n"/>
    </row>
    <row r="501" ht="15" customHeight="1" s="5">
      <c r="A501" s="101" t="n"/>
      <c r="B501" s="101" t="n"/>
      <c r="C501" s="101" t="n"/>
      <c r="D501" s="101" t="n"/>
      <c r="E501" s="101" t="n"/>
      <c r="F501" s="10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101" t="n"/>
      <c r="T501" s="101" t="n"/>
      <c r="U501" s="101" t="n"/>
      <c r="V501" s="101" t="n"/>
    </row>
  </sheetData>
  <mergeCells count="40">
    <mergeCell ref="B29:B33"/>
    <mergeCell ref="C20:C21"/>
    <mergeCell ref="C48:C50"/>
    <mergeCell ref="B38:B42"/>
    <mergeCell ref="C29:C30"/>
    <mergeCell ref="A3:A33"/>
    <mergeCell ref="A59:A66"/>
    <mergeCell ref="B59:B62"/>
    <mergeCell ref="B3:B10"/>
    <mergeCell ref="B11:B14"/>
    <mergeCell ref="C54:C55"/>
    <mergeCell ref="C9:C10"/>
    <mergeCell ref="C65:C66"/>
    <mergeCell ref="B48:B53"/>
    <mergeCell ref="C41:C42"/>
    <mergeCell ref="C3:C7"/>
    <mergeCell ref="C46:C47"/>
    <mergeCell ref="B54:B58"/>
    <mergeCell ref="B63:B66"/>
    <mergeCell ref="C36:C37"/>
    <mergeCell ref="A34:A47"/>
    <mergeCell ref="C52:C53"/>
    <mergeCell ref="C43:C44"/>
    <mergeCell ref="C23:C24"/>
    <mergeCell ref="A1:G1"/>
    <mergeCell ref="C57:C58"/>
    <mergeCell ref="C61:C62"/>
    <mergeCell ref="B34:B37"/>
    <mergeCell ref="U1:AF1"/>
    <mergeCell ref="C27:C28"/>
    <mergeCell ref="C32:C33"/>
    <mergeCell ref="C13:C14"/>
    <mergeCell ref="B43:B47"/>
    <mergeCell ref="C38:C39"/>
    <mergeCell ref="H1:S1"/>
    <mergeCell ref="C15:C16"/>
    <mergeCell ref="B15:B24"/>
    <mergeCell ref="B25:B28"/>
    <mergeCell ref="C18:C19"/>
    <mergeCell ref="A48:A58"/>
  </mergeCells>
  <conditionalFormatting sqref="H3:S66">
    <cfRule type="expression" priority="2" dxfId="0">
      <formula>AND(ISNUMBER(H3),ISNUMBER($G3),$G3&gt;0,H3&gt;$G3)</formula>
    </cfRule>
  </conditionalFormatting>
  <conditionalFormatting sqref="U3:AF66">
    <cfRule type="expression" priority="2" dxfId="0">
      <formula>AND(ISNUMBER(U3),ISNUMBER($G3),$G3&gt;0,U3&gt;$G3)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5" min="1" max="1"/>
    <col width="9" customWidth="1" style="5" min="2" max="2"/>
    <col width="9" customWidth="1" style="5" min="3" max="3"/>
    <col width="14.89" customWidth="1" style="5" min="4" max="4"/>
    <col width="7" customWidth="1" style="5" min="5" max="5"/>
    <col width="7" customWidth="1" style="5" min="6" max="6"/>
    <col width="11.11" customWidth="1" style="5" min="7" max="7"/>
    <col width="6.44" customWidth="1" style="5" min="8" max="8"/>
  </cols>
  <sheetData>
    <row r="1" ht="15.6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99" t="inlineStr">
        <is>
          <t>Based on Order Qty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 ht="57.6" customHeight="1" s="5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DISTRIBUTION'!U2="","",'ORDER VS WEEK DISTRIBUTION'!U2)</f>
        <v/>
      </c>
      <c r="I2" s="67">
        <f>IF('ORDER VS WEEK DISTRIBUTION'!V2="","",'ORDER VS WEEK DISTRIBUTION'!V2)</f>
        <v/>
      </c>
      <c r="J2" s="67">
        <f>IF('ORDER VS WEEK DISTRIBUTION'!W2="","",'ORDER VS WEEK DISTRIBUTION'!W2)</f>
        <v/>
      </c>
      <c r="K2" s="67">
        <f>IF('ORDER VS WEEK DISTRIBUTION'!X2="","",'ORDER VS WEEK DISTRIBUTION'!X2)</f>
        <v/>
      </c>
      <c r="L2" s="67">
        <f>IF('ORDER VS WEEK DISTRIBUTION'!Y2="","",'ORDER VS WEEK DISTRIBUTION'!Y2)</f>
        <v/>
      </c>
      <c r="M2" s="67">
        <f>IF('ORDER VS WEEK DISTRIBUTION'!Z2="","",'ORDER VS WEEK DISTRIBUTION'!Z2)</f>
        <v/>
      </c>
      <c r="N2" s="67">
        <f>IF('ORDER VS WEEK DISTRIBUTION'!AA2="","",'ORDER VS WEEK DISTRIBUTION'!AA2)</f>
        <v/>
      </c>
      <c r="O2" s="67">
        <f>IF('ORDER VS WEEK DISTRIBUTION'!AB2="","",'ORDER VS WEEK DISTRIBUTION'!AB2)</f>
        <v/>
      </c>
      <c r="P2" s="67">
        <f>IF('ORDER VS WEEK DISTRIBUTION'!AC2="","",'ORDER VS WEEK DISTRIBUTION'!AC2)</f>
        <v/>
      </c>
      <c r="Q2" s="67">
        <f>IF('ORDER VS WEEK DISTRIBUTION'!AD2="","",'ORDER VS WEEK DISTRIBUTION'!AD2)</f>
        <v/>
      </c>
      <c r="R2" s="67">
        <f>IF('ORDER VS WEEK DISTRIBUTION'!AE2="","",'ORDER VS WEEK DISTRIBUTION'!AE2)</f>
        <v/>
      </c>
      <c r="S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DISTRIBUTION'!B3="","",'ORDER VS WEEK DISTRIBUTION'!B3)</f>
        <v/>
      </c>
      <c r="C3" s="65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DISTRIBUTION'!U3="","",'ORDER VS WEEK DISTRIBUTION'!U3)</f>
        <v/>
      </c>
      <c r="I3" s="75">
        <f>IF('ORDER VS WEEK DISTRIBUTION'!V3="","",'ORDER VS WEEK DISTRIBUTION'!V3)</f>
        <v/>
      </c>
      <c r="J3" s="75">
        <f>IF('ORDER VS WEEK DISTRIBUTION'!W3="","",'ORDER VS WEEK DISTRIBUTION'!W3)</f>
        <v/>
      </c>
      <c r="K3" s="75">
        <f>IF('ORDER VS WEEK DISTRIBUTION'!X3="","",'ORDER VS WEEK DISTRIBUTION'!X3)</f>
        <v/>
      </c>
      <c r="L3" s="75">
        <f>IF('ORDER VS WEEK DISTRIBUTION'!Y3="","",'ORDER VS WEEK DISTRIBUTION'!Y3)</f>
        <v/>
      </c>
      <c r="M3" s="75">
        <f>IF('ORDER VS WEEK DISTRIBUTION'!Z3="","",'ORDER VS WEEK DISTRIBUTION'!Z3)</f>
        <v/>
      </c>
      <c r="N3" s="75">
        <f>IF('ORDER VS WEEK DISTRIBUTION'!AA3="","",'ORDER VS WEEK DISTRIBUTION'!AA3)</f>
        <v/>
      </c>
      <c r="O3" s="75">
        <f>IF('ORDER VS WEEK DISTRIBUTION'!AB3="","",'ORDER VS WEEK DISTRIBUTION'!AB3)</f>
        <v/>
      </c>
      <c r="P3" s="75">
        <f>IF('ORDER VS WEEK DISTRIBUTION'!AC3="","",'ORDER VS WEEK DISTRIBUTION'!AC3)</f>
        <v/>
      </c>
      <c r="Q3" s="75">
        <f>IF('ORDER VS WEEK DISTRIBUTION'!AD3="","",'ORDER VS WEEK DISTRIBUTION'!AD3)</f>
        <v/>
      </c>
      <c r="R3" s="75">
        <f>IF('ORDER VS WEEK DISTRIBUTION'!AE3="","",'ORDER VS WEEK DISTRIBUTION'!AE3)</f>
        <v/>
      </c>
      <c r="S3" s="75">
        <f>IF('ORDER VS WEEK DISTRIBUTION'!AF3="","",'ORDER VS WEEK DISTRIBUTION'!AF3)</f>
        <v/>
      </c>
    </row>
    <row r="4">
      <c r="A4" s="104" t="n"/>
      <c r="B4" s="104" t="n"/>
      <c r="C4" s="119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DISTRIBUTION'!U4="","",'ORDER VS WEEK DISTRIBUTION'!U4)</f>
        <v/>
      </c>
      <c r="I4" s="75">
        <f>IF('ORDER VS WEEK DISTRIBUTION'!V4="","",'ORDER VS WEEK DISTRIBUTION'!V4)</f>
        <v/>
      </c>
      <c r="J4" s="75">
        <f>IF('ORDER VS WEEK DISTRIBUTION'!W4="","",'ORDER VS WEEK DISTRIBUTION'!W4)</f>
        <v/>
      </c>
      <c r="K4" s="75">
        <f>IF('ORDER VS WEEK DISTRIBUTION'!X4="","",'ORDER VS WEEK DISTRIBUTION'!X4)</f>
        <v/>
      </c>
      <c r="L4" s="75">
        <f>IF('ORDER VS WEEK DISTRIBUTION'!Y4="","",'ORDER VS WEEK DISTRIBUTION'!Y4)</f>
        <v/>
      </c>
      <c r="M4" s="75">
        <f>IF('ORDER VS WEEK DISTRIBUTION'!Z4="","",'ORDER VS WEEK DISTRIBUTION'!Z4)</f>
        <v/>
      </c>
      <c r="N4" s="75">
        <f>IF('ORDER VS WEEK DISTRIBUTION'!AA4="","",'ORDER VS WEEK DISTRIBUTION'!AA4)</f>
        <v/>
      </c>
      <c r="O4" s="75">
        <f>IF('ORDER VS WEEK DISTRIBUTION'!AB4="","",'ORDER VS WEEK DISTRIBUTION'!AB4)</f>
        <v/>
      </c>
      <c r="P4" s="75">
        <f>IF('ORDER VS WEEK DISTRIBUTION'!AC4="","",'ORDER VS WEEK DISTRIBUTION'!AC4)</f>
        <v/>
      </c>
      <c r="Q4" s="75">
        <f>IF('ORDER VS WEEK DISTRIBUTION'!AD4="","",'ORDER VS WEEK DISTRIBUTION'!AD4)</f>
        <v/>
      </c>
      <c r="R4" s="75">
        <f>IF('ORDER VS WEEK DISTRIBUTION'!AE4="","",'ORDER VS WEEK DISTRIBUTION'!AE4)</f>
        <v/>
      </c>
      <c r="S4" s="75">
        <f>IF('ORDER VS WEEK DISTRIBUTION'!AF4="","",'ORDER VS WEEK DISTRIBUTION'!AF4)</f>
        <v/>
      </c>
    </row>
    <row r="5">
      <c r="A5" s="104" t="n"/>
      <c r="B5" s="104" t="n"/>
      <c r="C5" s="119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DISTRIBUTION'!U5="","",'ORDER VS WEEK DISTRIBUTION'!U5)</f>
        <v/>
      </c>
      <c r="I5" s="75">
        <f>IF('ORDER VS WEEK DISTRIBUTION'!V5="","",'ORDER VS WEEK DISTRIBUTION'!V5)</f>
        <v/>
      </c>
      <c r="J5" s="75">
        <f>IF('ORDER VS WEEK DISTRIBUTION'!W5="","",'ORDER VS WEEK DISTRIBUTION'!W5)</f>
        <v/>
      </c>
      <c r="K5" s="75">
        <f>IF('ORDER VS WEEK DISTRIBUTION'!X5="","",'ORDER VS WEEK DISTRIBUTION'!X5)</f>
        <v/>
      </c>
      <c r="L5" s="75">
        <f>IF('ORDER VS WEEK DISTRIBUTION'!Y5="","",'ORDER VS WEEK DISTRIBUTION'!Y5)</f>
        <v/>
      </c>
      <c r="M5" s="75">
        <f>IF('ORDER VS WEEK DISTRIBUTION'!Z5="","",'ORDER VS WEEK DISTRIBUTION'!Z5)</f>
        <v/>
      </c>
      <c r="N5" s="75">
        <f>IF('ORDER VS WEEK DISTRIBUTION'!AA5="","",'ORDER VS WEEK DISTRIBUTION'!AA5)</f>
        <v/>
      </c>
      <c r="O5" s="75">
        <f>IF('ORDER VS WEEK DISTRIBUTION'!AB5="","",'ORDER VS WEEK DISTRIBUTION'!AB5)</f>
        <v/>
      </c>
      <c r="P5" s="75">
        <f>IF('ORDER VS WEEK DISTRIBUTION'!AC5="","",'ORDER VS WEEK DISTRIBUTION'!AC5)</f>
        <v/>
      </c>
      <c r="Q5" s="75">
        <f>IF('ORDER VS WEEK DISTRIBUTION'!AD5="","",'ORDER VS WEEK DISTRIBUTION'!AD5)</f>
        <v/>
      </c>
      <c r="R5" s="75">
        <f>IF('ORDER VS WEEK DISTRIBUTION'!AE5="","",'ORDER VS WEEK DISTRIBUTION'!AE5)</f>
        <v/>
      </c>
      <c r="S5" s="75">
        <f>IF('ORDER VS WEEK DISTRIBUTION'!AF5="","",'ORDER VS WEEK DISTRIBUTION'!AF5)</f>
        <v/>
      </c>
    </row>
    <row r="6">
      <c r="A6" s="104" t="n"/>
      <c r="B6" s="104" t="n"/>
      <c r="C6" s="119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DISTRIBUTION'!U6="","",'ORDER VS WEEK DISTRIBUTION'!U6)</f>
        <v/>
      </c>
      <c r="I6" s="75">
        <f>IF('ORDER VS WEEK DISTRIBUTION'!V6="","",'ORDER VS WEEK DISTRIBUTION'!V6)</f>
        <v/>
      </c>
      <c r="J6" s="75">
        <f>IF('ORDER VS WEEK DISTRIBUTION'!W6="","",'ORDER VS WEEK DISTRIBUTION'!W6)</f>
        <v/>
      </c>
      <c r="K6" s="75">
        <f>IF('ORDER VS WEEK DISTRIBUTION'!X6="","",'ORDER VS WEEK DISTRIBUTION'!X6)</f>
        <v/>
      </c>
      <c r="L6" s="75">
        <f>IF('ORDER VS WEEK DISTRIBUTION'!Y6="","",'ORDER VS WEEK DISTRIBUTION'!Y6)</f>
        <v/>
      </c>
      <c r="M6" s="75">
        <f>IF('ORDER VS WEEK DISTRIBUTION'!Z6="","",'ORDER VS WEEK DISTRIBUTION'!Z6)</f>
        <v/>
      </c>
      <c r="N6" s="75">
        <f>IF('ORDER VS WEEK DISTRIBUTION'!AA6="","",'ORDER VS WEEK DISTRIBUTION'!AA6)</f>
        <v/>
      </c>
      <c r="O6" s="75">
        <f>IF('ORDER VS WEEK DISTRIBUTION'!AB6="","",'ORDER VS WEEK DISTRIBUTION'!AB6)</f>
        <v/>
      </c>
      <c r="P6" s="75">
        <f>IF('ORDER VS WEEK DISTRIBUTION'!AC6="","",'ORDER VS WEEK DISTRIBUTION'!AC6)</f>
        <v/>
      </c>
      <c r="Q6" s="75">
        <f>IF('ORDER VS WEEK DISTRIBUTION'!AD6="","",'ORDER VS WEEK DISTRIBUTION'!AD6)</f>
        <v/>
      </c>
      <c r="R6" s="75">
        <f>IF('ORDER VS WEEK DISTRIBUTION'!AE6="","",'ORDER VS WEEK DISTRIBUTION'!AE6)</f>
        <v/>
      </c>
      <c r="S6" s="75">
        <f>IF('ORDER VS WEEK DISTRIBUTION'!AF6="","",'ORDER VS WEEK DISTRIBUTION'!AF6)</f>
        <v/>
      </c>
    </row>
    <row r="7">
      <c r="A7" s="104" t="n"/>
      <c r="B7" s="104" t="n"/>
      <c r="C7" s="124">
        <f>IF('ORDER VS WEEK DISTRIBUTION'!C7="","",'ORDER VS WEEK DISTRIBUTION'!C7)</f>
        <v/>
      </c>
      <c r="D7" s="52">
        <f>IF('ORDER VS WEEK DISTRIBUTION'!D7="","",'ORDER VS WEEK DISTRIBUTION'!D7)</f>
        <v/>
      </c>
      <c r="E7" s="53">
        <f>IF('ORDER VS WEEK DISTRIBUTION'!E7="","",'ORDER VS WEEK DISTRIBUTION'!E7)</f>
        <v/>
      </c>
      <c r="F7" s="53">
        <f>IF('ORDER VS WEEK DISTRIBUTION'!F7="","",'ORDER VS WEEK DISTRIBUTION'!F7)</f>
        <v/>
      </c>
      <c r="G7" s="75">
        <f>IF('ORDER VS WEEK DISTRIBUTION'!G7="","",'ORDER VS WEEK DISTRIBUTION'!G7)</f>
        <v/>
      </c>
      <c r="H7" s="75">
        <f>IF('ORDER VS WEEK DISTRIBUTION'!U7="","",'ORDER VS WEEK DISTRIBUTION'!U7)</f>
        <v/>
      </c>
      <c r="I7" s="75">
        <f>IF('ORDER VS WEEK DISTRIBUTION'!V7="","",'ORDER VS WEEK DISTRIBUTION'!V7)</f>
        <v/>
      </c>
      <c r="J7" s="75">
        <f>IF('ORDER VS WEEK DISTRIBUTION'!W7="","",'ORDER VS WEEK DISTRIBUTION'!W7)</f>
        <v/>
      </c>
      <c r="K7" s="75">
        <f>IF('ORDER VS WEEK DISTRIBUTION'!X7="","",'ORDER VS WEEK DISTRIBUTION'!X7)</f>
        <v/>
      </c>
      <c r="L7" s="75">
        <f>IF('ORDER VS WEEK DISTRIBUTION'!Y7="","",'ORDER VS WEEK DISTRIBUTION'!Y7)</f>
        <v/>
      </c>
      <c r="M7" s="75">
        <f>IF('ORDER VS WEEK DISTRIBUTION'!Z7="","",'ORDER VS WEEK DISTRIBUTION'!Z7)</f>
        <v/>
      </c>
      <c r="N7" s="75">
        <f>IF('ORDER VS WEEK DISTRIBUTION'!AA7="","",'ORDER VS WEEK DISTRIBUTION'!AA7)</f>
        <v/>
      </c>
      <c r="O7" s="75">
        <f>IF('ORDER VS WEEK DISTRIBUTION'!AB7="","",'ORDER VS WEEK DISTRIBUTION'!AB7)</f>
        <v/>
      </c>
      <c r="P7" s="75">
        <f>IF('ORDER VS WEEK DISTRIBUTION'!AC7="","",'ORDER VS WEEK DISTRIBUTION'!AC7)</f>
        <v/>
      </c>
      <c r="Q7" s="75">
        <f>IF('ORDER VS WEEK DISTRIBUTION'!AD7="","",'ORDER VS WEEK DISTRIBUTION'!AD7)</f>
        <v/>
      </c>
      <c r="R7" s="75">
        <f>IF('ORDER VS WEEK DISTRIBUTION'!AE7="","",'ORDER VS WEEK DISTRIBUTION'!AE7)</f>
        <v/>
      </c>
      <c r="S7" s="75">
        <f>IF('ORDER VS WEEK DISTRIBUTION'!AF7="","",'ORDER VS WEEK DISTRIBUTION'!AF7)</f>
        <v/>
      </c>
    </row>
    <row r="8">
      <c r="A8" s="104" t="n"/>
      <c r="B8" s="104" t="n"/>
      <c r="C8" s="105">
        <f>IF('ORDER VS WEEK DISTRIBUTION'!C8="","",'ORDER VS WEEK DISTRIBUTION'!C8)</f>
        <v/>
      </c>
      <c r="D8" s="125">
        <f>IF('ORDER VS WEEK DISTRIBUTION'!D8="","",'ORDER VS WEEK DISTRIBUTION'!D8)</f>
        <v/>
      </c>
      <c r="E8" s="126">
        <f>IF('ORDER VS WEEK DISTRIBUTION'!E8="","",'ORDER VS WEEK DISTRIBUTION'!E8)</f>
        <v/>
      </c>
      <c r="F8" s="126">
        <f>IF('ORDER VS WEEK DISTRIBUTION'!F8="","",'ORDER VS WEEK DISTRIBUTION'!F8)</f>
        <v/>
      </c>
      <c r="G8" s="127">
        <f>IF('ORDER VS WEEK DISTRIBUTION'!G8="","",'ORDER VS WEEK DISTRIBUTION'!G8)</f>
        <v/>
      </c>
      <c r="H8" s="127">
        <f>IF('ORDER VS WEEK DISTRIBUTION'!U8="","",'ORDER VS WEEK DISTRIBUTION'!U8)</f>
        <v/>
      </c>
      <c r="I8" s="127">
        <f>IF('ORDER VS WEEK DISTRIBUTION'!V8="","",'ORDER VS WEEK DISTRIBUTION'!V8)</f>
        <v/>
      </c>
      <c r="J8" s="127">
        <f>IF('ORDER VS WEEK DISTRIBUTION'!W8="","",'ORDER VS WEEK DISTRIBUTION'!W8)</f>
        <v/>
      </c>
      <c r="K8" s="127">
        <f>IF('ORDER VS WEEK DISTRIBUTION'!X8="","",'ORDER VS WEEK DISTRIBUTION'!X8)</f>
        <v/>
      </c>
      <c r="L8" s="127">
        <f>IF('ORDER VS WEEK DISTRIBUTION'!Y8="","",'ORDER VS WEEK DISTRIBUTION'!Y8)</f>
        <v/>
      </c>
      <c r="M8" s="127">
        <f>IF('ORDER VS WEEK DISTRIBUTION'!Z8="","",'ORDER VS WEEK DISTRIBUTION'!Z8)</f>
        <v/>
      </c>
      <c r="N8" s="127">
        <f>IF('ORDER VS WEEK DISTRIBUTION'!AA8="","",'ORDER VS WEEK DISTRIBUTION'!AA8)</f>
        <v/>
      </c>
      <c r="O8" s="127">
        <f>IF('ORDER VS WEEK DISTRIBUTION'!AB8="","",'ORDER VS WEEK DISTRIBUTION'!AB8)</f>
        <v/>
      </c>
      <c r="P8" s="127">
        <f>IF('ORDER VS WEEK DISTRIBUTION'!AC8="","",'ORDER VS WEEK DISTRIBUTION'!AC8)</f>
        <v/>
      </c>
      <c r="Q8" s="127">
        <f>IF('ORDER VS WEEK DISTRIBUTION'!AD8="","",'ORDER VS WEEK DISTRIBUTION'!AD8)</f>
        <v/>
      </c>
      <c r="R8" s="127">
        <f>IF('ORDER VS WEEK DISTRIBUTION'!AE8="","",'ORDER VS WEEK DISTRIBUTION'!AE8)</f>
        <v/>
      </c>
      <c r="S8" s="127">
        <f>IF('ORDER VS WEEK DISTRIBUTION'!AF8="","",'ORDER VS WEEK DISTRIBUTION'!AF8)</f>
        <v/>
      </c>
    </row>
    <row r="9">
      <c r="A9" s="104" t="n"/>
      <c r="B9" s="104" t="n"/>
      <c r="C9" s="116">
        <f>IF('ORDER VS WEEK DISTRIBUTION'!C9="","",'ORDER VS WEEK DISTRIBUTION'!C9)</f>
        <v/>
      </c>
      <c r="D9" s="108">
        <f>IF('ORDER VS WEEK DISTRIBUTION'!D9="","",'ORDER VS WEEK DISTRIBUTION'!D9)</f>
        <v/>
      </c>
      <c r="E9" s="112">
        <f>IF('ORDER VS WEEK DISTRIBUTION'!E9="","",'ORDER VS WEEK DISTRIBUTION'!E9)</f>
        <v/>
      </c>
      <c r="F9" s="111">
        <f>IF('ORDER VS WEEK DISTRIBUTION'!F9="","",'ORDER VS WEEK DISTRIBUTION'!F9)</f>
        <v/>
      </c>
      <c r="G9" s="111">
        <f>IF('ORDER VS WEEK DISTRIBUTION'!G9="","",'ORDER VS WEEK DISTRIBUTION'!G9)</f>
        <v/>
      </c>
      <c r="H9" s="111">
        <f>IF('ORDER VS WEEK DISTRIBUTION'!U9="","",'ORDER VS WEEK DISTRIBUTION'!U9)</f>
        <v/>
      </c>
      <c r="I9" s="111">
        <f>IF('ORDER VS WEEK DISTRIBUTION'!V9="","",'ORDER VS WEEK DISTRIBUTION'!V9)</f>
        <v/>
      </c>
      <c r="J9" s="111">
        <f>IF('ORDER VS WEEK DISTRIBUTION'!W9="","",'ORDER VS WEEK DISTRIBUTION'!W9)</f>
        <v/>
      </c>
      <c r="K9" s="111">
        <f>IF('ORDER VS WEEK DISTRIBUTION'!X9="","",'ORDER VS WEEK DISTRIBUTION'!X9)</f>
        <v/>
      </c>
      <c r="L9" s="111">
        <f>IF('ORDER VS WEEK DISTRIBUTION'!Y9="","",'ORDER VS WEEK DISTRIBUTION'!Y9)</f>
        <v/>
      </c>
      <c r="M9" s="111">
        <f>IF('ORDER VS WEEK DISTRIBUTION'!Z9="","",'ORDER VS WEEK DISTRIBUTION'!Z9)</f>
        <v/>
      </c>
      <c r="N9" s="111">
        <f>IF('ORDER VS WEEK DISTRIBUTION'!AA9="","",'ORDER VS WEEK DISTRIBUTION'!AA9)</f>
        <v/>
      </c>
      <c r="O9" s="111">
        <f>IF('ORDER VS WEEK DISTRIBUTION'!AB9="","",'ORDER VS WEEK DISTRIBUTION'!AB9)</f>
        <v/>
      </c>
      <c r="P9" s="111">
        <f>IF('ORDER VS WEEK DISTRIBUTION'!AC9="","",'ORDER VS WEEK DISTRIBUTION'!AC9)</f>
        <v/>
      </c>
      <c r="Q9" s="111">
        <f>IF('ORDER VS WEEK DISTRIBUTION'!AD9="","",'ORDER VS WEEK DISTRIBUTION'!AD9)</f>
        <v/>
      </c>
      <c r="R9" s="111">
        <f>IF('ORDER VS WEEK DISTRIBUTION'!AE9="","",'ORDER VS WEEK DISTRIBUTION'!AE9)</f>
        <v/>
      </c>
      <c r="S9" s="111">
        <f>IF('ORDER VS WEEK DISTRIBUTION'!AF9="","",'ORDER VS WEEK DISTRIBUTION'!AF9)</f>
        <v/>
      </c>
    </row>
    <row r="10">
      <c r="A10" s="86" t="n"/>
      <c r="B10" s="104" t="n"/>
      <c r="C10" s="86" t="n"/>
      <c r="D10" s="108">
        <f>IF('ORDER VS WEEK DISTRIBUTION'!D10="","",'ORDER VS WEEK DISTRIBUTION'!D10)</f>
        <v/>
      </c>
      <c r="E10" s="114">
        <f>IF('ORDER VS WEEK DISTRIBUTION'!E10="","",'ORDER VS WEEK DISTRIBUTION'!E10)</f>
        <v/>
      </c>
      <c r="F10" s="114">
        <f>IF('ORDER VS WEEK DISTRIBUTION'!F10="","",'ORDER VS WEEK DISTRIBUTION'!F10)</f>
        <v/>
      </c>
      <c r="G10" s="115">
        <f>IF('ORDER VS WEEK DISTRIBUTION'!G10="","",'ORDER VS WEEK DISTRIBUTION'!G10)</f>
        <v/>
      </c>
      <c r="H10" s="111">
        <f>IF('ORDER VS WEEK DISTRIBUTION'!U10="","",'ORDER VS WEEK DISTRIBUTION'!U10)</f>
        <v/>
      </c>
      <c r="I10" s="111">
        <f>IF('ORDER VS WEEK DISTRIBUTION'!V10="","",'ORDER VS WEEK DISTRIBUTION'!V10)</f>
        <v/>
      </c>
      <c r="J10" s="111">
        <f>IF('ORDER VS WEEK DISTRIBUTION'!W10="","",'ORDER VS WEEK DISTRIBUTION'!W10)</f>
        <v/>
      </c>
      <c r="K10" s="111">
        <f>IF('ORDER VS WEEK DISTRIBUTION'!X10="","",'ORDER VS WEEK DISTRIBUTION'!X10)</f>
        <v/>
      </c>
      <c r="L10" s="111">
        <f>IF('ORDER VS WEEK DISTRIBUTION'!Y10="","",'ORDER VS WEEK DISTRIBUTION'!Y10)</f>
        <v/>
      </c>
      <c r="M10" s="111">
        <f>IF('ORDER VS WEEK DISTRIBUTION'!Z10="","",'ORDER VS WEEK DISTRIBUTION'!Z10)</f>
        <v/>
      </c>
      <c r="N10" s="111">
        <f>IF('ORDER VS WEEK DISTRIBUTION'!AA10="","",'ORDER VS WEEK DISTRIBUTION'!AA10)</f>
        <v/>
      </c>
      <c r="O10" s="111">
        <f>IF('ORDER VS WEEK DISTRIBUTION'!AB10="","",'ORDER VS WEEK DISTRIBUTION'!AB10)</f>
        <v/>
      </c>
      <c r="P10" s="111">
        <f>IF('ORDER VS WEEK DISTRIBUTION'!AC10="","",'ORDER VS WEEK DISTRIBUTION'!AC10)</f>
        <v/>
      </c>
      <c r="Q10" s="111">
        <f>IF('ORDER VS WEEK DISTRIBUTION'!AD10="","",'ORDER VS WEEK DISTRIBUTION'!AD10)</f>
        <v/>
      </c>
      <c r="R10" s="111">
        <f>IF('ORDER VS WEEK DISTRIBUTION'!AE10="","",'ORDER VS WEEK DISTRIBUTION'!AE10)</f>
        <v/>
      </c>
      <c r="S10" s="111">
        <f>IF('ORDER VS WEEK DISTRIBUTION'!AF10="","",'ORDER VS WEEK DISTRIBUTION'!AF10)</f>
        <v/>
      </c>
    </row>
    <row r="11">
      <c r="A11" s="128">
        <f>IF('ORDER VS WEEK DISTRIBUTION'!A34="","",'ORDER VS WEEK DISTRIBUTION'!A34)</f>
        <v/>
      </c>
      <c r="B11" s="104" t="n"/>
      <c r="C11" s="65">
        <f>IF('ORDER VS WEEK DISTRIBUTION'!C34="","",'ORDER VS WEEK DISTRIBUTION'!C34)</f>
        <v/>
      </c>
      <c r="D11" s="52">
        <f>IF('ORDER VS WEEK DISTRIBUTION'!D34="","",'ORDER VS WEEK DISTRIBUTION'!D34)</f>
        <v/>
      </c>
      <c r="E11" s="53">
        <f>IF('ORDER VS WEEK DISTRIBUTION'!E34="","",'ORDER VS WEEK DISTRIBUTION'!E34)</f>
        <v/>
      </c>
      <c r="F11" s="53">
        <f>IF('ORDER VS WEEK DISTRIBUTION'!F34="","",'ORDER VS WEEK DISTRIBUTION'!F34)</f>
        <v/>
      </c>
      <c r="G11" s="75">
        <f>IF('ORDER VS WEEK DISTRIBUTION'!G34="","",'ORDER VS WEEK DISTRIBUTION'!G34)</f>
        <v/>
      </c>
      <c r="H11" s="75">
        <f>IF('ORDER VS WEEK DISTRIBUTION'!U34="","",'ORDER VS WEEK DISTRIBUTION'!U34)</f>
        <v/>
      </c>
      <c r="I11" s="75">
        <f>IF('ORDER VS WEEK DISTRIBUTION'!V34="","",'ORDER VS WEEK DISTRIBUTION'!V34)</f>
        <v/>
      </c>
      <c r="J11" s="75">
        <f>IF('ORDER VS WEEK DISTRIBUTION'!W34="","",'ORDER VS WEEK DISTRIBUTION'!W34)</f>
        <v/>
      </c>
      <c r="K11" s="75">
        <f>IF('ORDER VS WEEK DISTRIBUTION'!X34="","",'ORDER VS WEEK DISTRIBUTION'!X34)</f>
        <v/>
      </c>
      <c r="L11" s="75">
        <f>IF('ORDER VS WEEK DISTRIBUTION'!Y34="","",'ORDER VS WEEK DISTRIBUTION'!Y34)</f>
        <v/>
      </c>
      <c r="M11" s="75">
        <f>IF('ORDER VS WEEK DISTRIBUTION'!Z34="","",'ORDER VS WEEK DISTRIBUTION'!Z34)</f>
        <v/>
      </c>
      <c r="N11" s="75">
        <f>IF('ORDER VS WEEK DISTRIBUTION'!AA34="","",'ORDER VS WEEK DISTRIBUTION'!AA34)</f>
        <v/>
      </c>
      <c r="O11" s="75">
        <f>IF('ORDER VS WEEK DISTRIBUTION'!AB34="","",'ORDER VS WEEK DISTRIBUTION'!AB34)</f>
        <v/>
      </c>
      <c r="P11" s="75">
        <f>IF('ORDER VS WEEK DISTRIBUTION'!AC34="","",'ORDER VS WEEK DISTRIBUTION'!AC34)</f>
        <v/>
      </c>
      <c r="Q11" s="75">
        <f>IF('ORDER VS WEEK DISTRIBUTION'!AD34="","",'ORDER VS WEEK DISTRIBUTION'!AD34)</f>
        <v/>
      </c>
      <c r="R11" s="75">
        <f>IF('ORDER VS WEEK DISTRIBUTION'!AE34="","",'ORDER VS WEEK DISTRIBUTION'!AE34)</f>
        <v/>
      </c>
      <c r="S11" s="75">
        <f>IF('ORDER VS WEEK DISTRIBUTION'!AF34="","",'ORDER VS WEEK DISTRIBUTION'!AF34)</f>
        <v/>
      </c>
    </row>
    <row r="12">
      <c r="A12" s="104" t="n"/>
      <c r="B12" s="104" t="n"/>
      <c r="C12" s="105">
        <f>IF('ORDER VS WEEK DISTRIBUTION'!C35="","",'ORDER VS WEEK DISTRIBUTION'!C35)</f>
        <v/>
      </c>
      <c r="D12" s="71">
        <f>IF('ORDER VS WEEK DISTRIBUTION'!D35="","",'ORDER VS WEEK DISTRIBUTION'!D35)</f>
        <v/>
      </c>
      <c r="E12" s="105">
        <f>IF('ORDER VS WEEK DISTRIBUTION'!E35="","",'ORDER VS WEEK DISTRIBUTION'!E35)</f>
        <v/>
      </c>
      <c r="F12" s="105">
        <f>IF('ORDER VS WEEK DISTRIBUTION'!F35="","",'ORDER VS WEEK DISTRIBUTION'!F35)</f>
        <v/>
      </c>
      <c r="G12" s="78">
        <f>IF('ORDER VS WEEK DISTRIBUTION'!G35="","",'ORDER VS WEEK DISTRIBUTION'!G35)</f>
        <v/>
      </c>
      <c r="H12" s="78">
        <f>IF('ORDER VS WEEK DISTRIBUTION'!U35="","",'ORDER VS WEEK DISTRIBUTION'!U35)</f>
        <v/>
      </c>
      <c r="I12" s="78">
        <f>IF('ORDER VS WEEK DISTRIBUTION'!V35="","",'ORDER VS WEEK DISTRIBUTION'!V35)</f>
        <v/>
      </c>
      <c r="J12" s="78">
        <f>IF('ORDER VS WEEK DISTRIBUTION'!W35="","",'ORDER VS WEEK DISTRIBUTION'!W35)</f>
        <v/>
      </c>
      <c r="K12" s="78">
        <f>IF('ORDER VS WEEK DISTRIBUTION'!X35="","",'ORDER VS WEEK DISTRIBUTION'!X35)</f>
        <v/>
      </c>
      <c r="L12" s="78">
        <f>IF('ORDER VS WEEK DISTRIBUTION'!Y35="","",'ORDER VS WEEK DISTRIBUTION'!Y35)</f>
        <v/>
      </c>
      <c r="M12" s="78">
        <f>IF('ORDER VS WEEK DISTRIBUTION'!Z35="","",'ORDER VS WEEK DISTRIBUTION'!Z35)</f>
        <v/>
      </c>
      <c r="N12" s="78">
        <f>IF('ORDER VS WEEK DISTRIBUTION'!AA35="","",'ORDER VS WEEK DISTRIBUTION'!AA35)</f>
        <v/>
      </c>
      <c r="O12" s="78">
        <f>IF('ORDER VS WEEK DISTRIBUTION'!AB35="","",'ORDER VS WEEK DISTRIBUTION'!AB35)</f>
        <v/>
      </c>
      <c r="P12" s="78">
        <f>IF('ORDER VS WEEK DISTRIBUTION'!AC35="","",'ORDER VS WEEK DISTRIBUTION'!AC35)</f>
        <v/>
      </c>
      <c r="Q12" s="78">
        <f>IF('ORDER VS WEEK DISTRIBUTION'!AD35="","",'ORDER VS WEEK DISTRIBUTION'!AD35)</f>
        <v/>
      </c>
      <c r="R12" s="78">
        <f>IF('ORDER VS WEEK DISTRIBUTION'!AE35="","",'ORDER VS WEEK DISTRIBUTION'!AE35)</f>
        <v/>
      </c>
      <c r="S12" s="78">
        <f>IF('ORDER VS WEEK DISTRIBUTION'!AF35="","",'ORDER VS WEEK DISTRIBUTION'!AF35)</f>
        <v/>
      </c>
    </row>
    <row r="13">
      <c r="A13" s="104" t="n"/>
      <c r="B13" s="104" t="n"/>
      <c r="C13" s="116">
        <f>IF('ORDER VS WEEK DISTRIBUTION'!C36="","",'ORDER VS WEEK DISTRIBUTION'!C36)</f>
        <v/>
      </c>
      <c r="D13" s="108">
        <f>IF('ORDER VS WEEK DISTRIBUTION'!D36="","",'ORDER VS WEEK DISTRIBUTION'!D36)</f>
        <v/>
      </c>
      <c r="E13" s="114">
        <f>IF('ORDER VS WEEK DISTRIBUTION'!E36="","",'ORDER VS WEEK DISTRIBUTION'!E36)</f>
        <v/>
      </c>
      <c r="F13" s="114">
        <f>IF('ORDER VS WEEK DISTRIBUTION'!F36="","",'ORDER VS WEEK DISTRIBUTION'!F36)</f>
        <v/>
      </c>
      <c r="G13" s="115">
        <f>IF('ORDER VS WEEK DISTRIBUTION'!G36="","",'ORDER VS WEEK DISTRIBUTION'!G36)</f>
        <v/>
      </c>
      <c r="H13" s="111">
        <f>IF('ORDER VS WEEK DISTRIBUTION'!U36="","",'ORDER VS WEEK DISTRIBUTION'!U36)</f>
        <v/>
      </c>
      <c r="I13" s="111">
        <f>IF('ORDER VS WEEK DISTRIBUTION'!V36="","",'ORDER VS WEEK DISTRIBUTION'!V36)</f>
        <v/>
      </c>
      <c r="J13" s="111">
        <f>IF('ORDER VS WEEK DISTRIBUTION'!W36="","",'ORDER VS WEEK DISTRIBUTION'!W36)</f>
        <v/>
      </c>
      <c r="K13" s="111">
        <f>IF('ORDER VS WEEK DISTRIBUTION'!X36="","",'ORDER VS WEEK DISTRIBUTION'!X36)</f>
        <v/>
      </c>
      <c r="L13" s="111">
        <f>IF('ORDER VS WEEK DISTRIBUTION'!Y36="","",'ORDER VS WEEK DISTRIBUTION'!Y36)</f>
        <v/>
      </c>
      <c r="M13" s="111">
        <f>IF('ORDER VS WEEK DISTRIBUTION'!Z36="","",'ORDER VS WEEK DISTRIBUTION'!Z36)</f>
        <v/>
      </c>
      <c r="N13" s="111">
        <f>IF('ORDER VS WEEK DISTRIBUTION'!AA36="","",'ORDER VS WEEK DISTRIBUTION'!AA36)</f>
        <v/>
      </c>
      <c r="O13" s="111">
        <f>IF('ORDER VS WEEK DISTRIBUTION'!AB36="","",'ORDER VS WEEK DISTRIBUTION'!AB36)</f>
        <v/>
      </c>
      <c r="P13" s="111">
        <f>IF('ORDER VS WEEK DISTRIBUTION'!AC36="","",'ORDER VS WEEK DISTRIBUTION'!AC36)</f>
        <v/>
      </c>
      <c r="Q13" s="111">
        <f>IF('ORDER VS WEEK DISTRIBUTION'!AD36="","",'ORDER VS WEEK DISTRIBUTION'!AD36)</f>
        <v/>
      </c>
      <c r="R13" s="111">
        <f>IF('ORDER VS WEEK DISTRIBUTION'!AE36="","",'ORDER VS WEEK DISTRIBUTION'!AE36)</f>
        <v/>
      </c>
      <c r="S13" s="111">
        <f>IF('ORDER VS WEEK DISTRIBUTION'!AF36="","",'ORDER VS WEEK DISTRIBUTION'!AF36)</f>
        <v/>
      </c>
    </row>
    <row r="14">
      <c r="A14" s="86" t="n"/>
      <c r="B14" s="104" t="n"/>
      <c r="C14" s="86" t="n"/>
      <c r="D14" s="108">
        <f>IF('ORDER VS WEEK DISTRIBUTION'!D37="","",'ORDER VS WEEK DISTRIBUTION'!D37)</f>
        <v/>
      </c>
      <c r="E14" s="114">
        <f>IF('ORDER VS WEEK DISTRIBUTION'!E37="","",'ORDER VS WEEK DISTRIBUTION'!E37)</f>
        <v/>
      </c>
      <c r="F14" s="114">
        <f>IF('ORDER VS WEEK DISTRIBUTION'!F37="","",'ORDER VS WEEK DISTRIBUTION'!F37)</f>
        <v/>
      </c>
      <c r="G14" s="115">
        <f>IF('ORDER VS WEEK DISTRIBUTION'!G37="","",'ORDER VS WEEK DISTRIBUTION'!G37)</f>
        <v/>
      </c>
      <c r="H14" s="111">
        <f>IF('ORDER VS WEEK DISTRIBUTION'!U37="","",'ORDER VS WEEK DISTRIBUTION'!U37)</f>
        <v/>
      </c>
      <c r="I14" s="111">
        <f>IF('ORDER VS WEEK DISTRIBUTION'!V37="","",'ORDER VS WEEK DISTRIBUTION'!V37)</f>
        <v/>
      </c>
      <c r="J14" s="111">
        <f>IF('ORDER VS WEEK DISTRIBUTION'!W37="","",'ORDER VS WEEK DISTRIBUTION'!W37)</f>
        <v/>
      </c>
      <c r="K14" s="111">
        <f>IF('ORDER VS WEEK DISTRIBUTION'!X37="","",'ORDER VS WEEK DISTRIBUTION'!X37)</f>
        <v/>
      </c>
      <c r="L14" s="111">
        <f>IF('ORDER VS WEEK DISTRIBUTION'!Y37="","",'ORDER VS WEEK DISTRIBUTION'!Y37)</f>
        <v/>
      </c>
      <c r="M14" s="111">
        <f>IF('ORDER VS WEEK DISTRIBUTION'!Z37="","",'ORDER VS WEEK DISTRIBUTION'!Z37)</f>
        <v/>
      </c>
      <c r="N14" s="111">
        <f>IF('ORDER VS WEEK DISTRIBUTION'!AA37="","",'ORDER VS WEEK DISTRIBUTION'!AA37)</f>
        <v/>
      </c>
      <c r="O14" s="111">
        <f>IF('ORDER VS WEEK DISTRIBUTION'!AB37="","",'ORDER VS WEEK DISTRIBUTION'!AB37)</f>
        <v/>
      </c>
      <c r="P14" s="111">
        <f>IF('ORDER VS WEEK DISTRIBUTION'!AC37="","",'ORDER VS WEEK DISTRIBUTION'!AC37)</f>
        <v/>
      </c>
      <c r="Q14" s="111">
        <f>IF('ORDER VS WEEK DISTRIBUTION'!AD37="","",'ORDER VS WEEK DISTRIBUTION'!AD37)</f>
        <v/>
      </c>
      <c r="R14" s="111">
        <f>IF('ORDER VS WEEK DISTRIBUTION'!AE37="","",'ORDER VS WEEK DISTRIBUTION'!AE37)</f>
        <v/>
      </c>
      <c r="S14" s="111">
        <f>IF('ORDER VS WEEK DISTRIBUTION'!AF37="","",'ORDER VS WEEK DISTRIBUTION'!AF37)</f>
        <v/>
      </c>
    </row>
    <row r="15">
      <c r="A15" s="123">
        <f>IF('ORDER VS WEEK DISTRIBUTION'!A48="","",'ORDER VS WEEK DISTRIBUTION'!A48)</f>
        <v/>
      </c>
      <c r="B15" s="104" t="n"/>
      <c r="C15" s="65">
        <f>IF('ORDER VS WEEK DISTRIBUTION'!C48="","",'ORDER VS WEEK DISTRIBUTION'!C48)</f>
        <v/>
      </c>
      <c r="D15" s="52">
        <f>IF('ORDER VS WEEK DISTRIBUTION'!D48="","",'ORDER VS WEEK DISTRIBUTION'!D48)</f>
        <v/>
      </c>
      <c r="E15" s="53">
        <f>IF('ORDER VS WEEK DISTRIBUTION'!E48="","",'ORDER VS WEEK DISTRIBUTION'!E48)</f>
        <v/>
      </c>
      <c r="F15" s="53">
        <f>IF('ORDER VS WEEK DISTRIBUTION'!F48="","",'ORDER VS WEEK DISTRIBUTION'!F48)</f>
        <v/>
      </c>
      <c r="G15" s="75">
        <f>IF('ORDER VS WEEK DISTRIBUTION'!G48="","",'ORDER VS WEEK DISTRIBUTION'!G48)</f>
        <v/>
      </c>
      <c r="H15" s="75">
        <f>IF('ORDER VS WEEK DISTRIBUTION'!U48="","",'ORDER VS WEEK DISTRIBUTION'!U48)</f>
        <v/>
      </c>
      <c r="I15" s="75">
        <f>IF('ORDER VS WEEK DISTRIBUTION'!V48="","",'ORDER VS WEEK DISTRIBUTION'!V48)</f>
        <v/>
      </c>
      <c r="J15" s="75">
        <f>IF('ORDER VS WEEK DISTRIBUTION'!W48="","",'ORDER VS WEEK DISTRIBUTION'!W48)</f>
        <v/>
      </c>
      <c r="K15" s="75">
        <f>IF('ORDER VS WEEK DISTRIBUTION'!X48="","",'ORDER VS WEEK DISTRIBUTION'!X48)</f>
        <v/>
      </c>
      <c r="L15" s="75">
        <f>IF('ORDER VS WEEK DISTRIBUTION'!Y48="","",'ORDER VS WEEK DISTRIBUTION'!Y48)</f>
        <v/>
      </c>
      <c r="M15" s="75">
        <f>IF('ORDER VS WEEK DISTRIBUTION'!Z48="","",'ORDER VS WEEK DISTRIBUTION'!Z48)</f>
        <v/>
      </c>
      <c r="N15" s="75">
        <f>IF('ORDER VS WEEK DISTRIBUTION'!AA48="","",'ORDER VS WEEK DISTRIBUTION'!AA48)</f>
        <v/>
      </c>
      <c r="O15" s="75">
        <f>IF('ORDER VS WEEK DISTRIBUTION'!AB48="","",'ORDER VS WEEK DISTRIBUTION'!AB48)</f>
        <v/>
      </c>
      <c r="P15" s="75">
        <f>IF('ORDER VS WEEK DISTRIBUTION'!AC48="","",'ORDER VS WEEK DISTRIBUTION'!AC48)</f>
        <v/>
      </c>
      <c r="Q15" s="75">
        <f>IF('ORDER VS WEEK DISTRIBUTION'!AD48="","",'ORDER VS WEEK DISTRIBUTION'!AD48)</f>
        <v/>
      </c>
      <c r="R15" s="75">
        <f>IF('ORDER VS WEEK DISTRIBUTION'!AE48="","",'ORDER VS WEEK DISTRIBUTION'!AE48)</f>
        <v/>
      </c>
      <c r="S15" s="75">
        <f>IF('ORDER VS WEEK DISTRIBUTION'!AF48="","",'ORDER VS WEEK DISTRIBUTION'!AF48)</f>
        <v/>
      </c>
    </row>
    <row r="16">
      <c r="A16" s="104" t="n"/>
      <c r="B16" s="104" t="n"/>
      <c r="C16" s="119">
        <f>IF('ORDER VS WEEK DISTRIBUTION'!C49="","",'ORDER VS WEEK DISTRIBUTION'!C49)</f>
        <v/>
      </c>
      <c r="D16" s="52">
        <f>IF('ORDER VS WEEK DISTRIBUTION'!D49="","",'ORDER VS WEEK DISTRIBUTION'!D49)</f>
        <v/>
      </c>
      <c r="E16" s="53">
        <f>IF('ORDER VS WEEK DISTRIBUTION'!E49="","",'ORDER VS WEEK DISTRIBUTION'!E49)</f>
        <v/>
      </c>
      <c r="F16" s="53">
        <f>IF('ORDER VS WEEK DISTRIBUTION'!F49="","",'ORDER VS WEEK DISTRIBUTION'!F49)</f>
        <v/>
      </c>
      <c r="G16" s="75">
        <f>IF('ORDER VS WEEK DISTRIBUTION'!G49="","",'ORDER VS WEEK DISTRIBUTION'!G49)</f>
        <v/>
      </c>
      <c r="H16" s="75">
        <f>IF('ORDER VS WEEK DISTRIBUTION'!U49="","",'ORDER VS WEEK DISTRIBUTION'!U49)</f>
        <v/>
      </c>
      <c r="I16" s="75">
        <f>IF('ORDER VS WEEK DISTRIBUTION'!V49="","",'ORDER VS WEEK DISTRIBUTION'!V49)</f>
        <v/>
      </c>
      <c r="J16" s="75">
        <f>IF('ORDER VS WEEK DISTRIBUTION'!W49="","",'ORDER VS WEEK DISTRIBUTION'!W49)</f>
        <v/>
      </c>
      <c r="K16" s="75">
        <f>IF('ORDER VS WEEK DISTRIBUTION'!X49="","",'ORDER VS WEEK DISTRIBUTION'!X49)</f>
        <v/>
      </c>
      <c r="L16" s="75">
        <f>IF('ORDER VS WEEK DISTRIBUTION'!Y49="","",'ORDER VS WEEK DISTRIBUTION'!Y49)</f>
        <v/>
      </c>
      <c r="M16" s="75">
        <f>IF('ORDER VS WEEK DISTRIBUTION'!Z49="","",'ORDER VS WEEK DISTRIBUTION'!Z49)</f>
        <v/>
      </c>
      <c r="N16" s="75">
        <f>IF('ORDER VS WEEK DISTRIBUTION'!AA49="","",'ORDER VS WEEK DISTRIBUTION'!AA49)</f>
        <v/>
      </c>
      <c r="O16" s="75">
        <f>IF('ORDER VS WEEK DISTRIBUTION'!AB49="","",'ORDER VS WEEK DISTRIBUTION'!AB49)</f>
        <v/>
      </c>
      <c r="P16" s="75">
        <f>IF('ORDER VS WEEK DISTRIBUTION'!AC49="","",'ORDER VS WEEK DISTRIBUTION'!AC49)</f>
        <v/>
      </c>
      <c r="Q16" s="75">
        <f>IF('ORDER VS WEEK DISTRIBUTION'!AD49="","",'ORDER VS WEEK DISTRIBUTION'!AD49)</f>
        <v/>
      </c>
      <c r="R16" s="75">
        <f>IF('ORDER VS WEEK DISTRIBUTION'!AE49="","",'ORDER VS WEEK DISTRIBUTION'!AE49)</f>
        <v/>
      </c>
      <c r="S16" s="75">
        <f>IF('ORDER VS WEEK DISTRIBUTION'!AF49="","",'ORDER VS WEEK DISTRIBUTION'!AF49)</f>
        <v/>
      </c>
    </row>
    <row r="17">
      <c r="A17" s="104" t="n"/>
      <c r="B17" s="104" t="n"/>
      <c r="C17" s="124">
        <f>IF('ORDER VS WEEK DISTRIBUTION'!C50="","",'ORDER VS WEEK DISTRIBUTION'!C50)</f>
        <v/>
      </c>
      <c r="D17" s="52">
        <f>IF('ORDER VS WEEK DISTRIBUTION'!D50="","",'ORDER VS WEEK DISTRIBUTION'!D50)</f>
        <v/>
      </c>
      <c r="E17" s="53">
        <f>IF('ORDER VS WEEK DISTRIBUTION'!E50="","",'ORDER VS WEEK DISTRIBUTION'!E50)</f>
        <v/>
      </c>
      <c r="F17" s="53">
        <f>IF('ORDER VS WEEK DISTRIBUTION'!F50="","",'ORDER VS WEEK DISTRIBUTION'!F50)</f>
        <v/>
      </c>
      <c r="G17" s="75">
        <f>IF('ORDER VS WEEK DISTRIBUTION'!G50="","",'ORDER VS WEEK DISTRIBUTION'!G50)</f>
        <v/>
      </c>
      <c r="H17" s="75">
        <f>IF('ORDER VS WEEK DISTRIBUTION'!U50="","",'ORDER VS WEEK DISTRIBUTION'!U50)</f>
        <v/>
      </c>
      <c r="I17" s="75">
        <f>IF('ORDER VS WEEK DISTRIBUTION'!V50="","",'ORDER VS WEEK DISTRIBUTION'!V50)</f>
        <v/>
      </c>
      <c r="J17" s="75">
        <f>IF('ORDER VS WEEK DISTRIBUTION'!W50="","",'ORDER VS WEEK DISTRIBUTION'!W50)</f>
        <v/>
      </c>
      <c r="K17" s="75">
        <f>IF('ORDER VS WEEK DISTRIBUTION'!X50="","",'ORDER VS WEEK DISTRIBUTION'!X50)</f>
        <v/>
      </c>
      <c r="L17" s="75">
        <f>IF('ORDER VS WEEK DISTRIBUTION'!Y50="","",'ORDER VS WEEK DISTRIBUTION'!Y50)</f>
        <v/>
      </c>
      <c r="M17" s="75">
        <f>IF('ORDER VS WEEK DISTRIBUTION'!Z50="","",'ORDER VS WEEK DISTRIBUTION'!Z50)</f>
        <v/>
      </c>
      <c r="N17" s="75">
        <f>IF('ORDER VS WEEK DISTRIBUTION'!AA50="","",'ORDER VS WEEK DISTRIBUTION'!AA50)</f>
        <v/>
      </c>
      <c r="O17" s="75">
        <f>IF('ORDER VS WEEK DISTRIBUTION'!AB50="","",'ORDER VS WEEK DISTRIBUTION'!AB50)</f>
        <v/>
      </c>
      <c r="P17" s="75">
        <f>IF('ORDER VS WEEK DISTRIBUTION'!AC50="","",'ORDER VS WEEK DISTRIBUTION'!AC50)</f>
        <v/>
      </c>
      <c r="Q17" s="75">
        <f>IF('ORDER VS WEEK DISTRIBUTION'!AD50="","",'ORDER VS WEEK DISTRIBUTION'!AD50)</f>
        <v/>
      </c>
      <c r="R17" s="75">
        <f>IF('ORDER VS WEEK DISTRIBUTION'!AE50="","",'ORDER VS WEEK DISTRIBUTION'!AE50)</f>
        <v/>
      </c>
      <c r="S17" s="75">
        <f>IF('ORDER VS WEEK DISTRIBUTION'!AF50="","",'ORDER VS WEEK DISTRIBUTION'!AF50)</f>
        <v/>
      </c>
    </row>
    <row r="18">
      <c r="A18" s="104" t="n"/>
      <c r="B18" s="104" t="n"/>
      <c r="C18" s="105">
        <f>IF('ORDER VS WEEK DISTRIBUTION'!C51="","",'ORDER VS WEEK DISTRIBUTION'!C51)</f>
        <v/>
      </c>
      <c r="D18" s="125">
        <f>IF('ORDER VS WEEK DISTRIBUTION'!D51="","",'ORDER VS WEEK DISTRIBUTION'!D51)</f>
        <v/>
      </c>
      <c r="E18" s="126">
        <f>IF('ORDER VS WEEK DISTRIBUTION'!E51="","",'ORDER VS WEEK DISTRIBUTION'!E51)</f>
        <v/>
      </c>
      <c r="F18" s="126">
        <f>IF('ORDER VS WEEK DISTRIBUTION'!F51="","",'ORDER VS WEEK DISTRIBUTION'!F51)</f>
        <v/>
      </c>
      <c r="G18" s="127">
        <f>IF('ORDER VS WEEK DISTRIBUTION'!G51="","",'ORDER VS WEEK DISTRIBUTION'!G51)</f>
        <v/>
      </c>
      <c r="H18" s="127">
        <f>IF('ORDER VS WEEK DISTRIBUTION'!U51="","",'ORDER VS WEEK DISTRIBUTION'!U51)</f>
        <v/>
      </c>
      <c r="I18" s="127">
        <f>IF('ORDER VS WEEK DISTRIBUTION'!V51="","",'ORDER VS WEEK DISTRIBUTION'!V51)</f>
        <v/>
      </c>
      <c r="J18" s="127">
        <f>IF('ORDER VS WEEK DISTRIBUTION'!W51="","",'ORDER VS WEEK DISTRIBUTION'!W51)</f>
        <v/>
      </c>
      <c r="K18" s="127">
        <f>IF('ORDER VS WEEK DISTRIBUTION'!X51="","",'ORDER VS WEEK DISTRIBUTION'!X51)</f>
        <v/>
      </c>
      <c r="L18" s="127">
        <f>IF('ORDER VS WEEK DISTRIBUTION'!Y51="","",'ORDER VS WEEK DISTRIBUTION'!Y51)</f>
        <v/>
      </c>
      <c r="M18" s="127">
        <f>IF('ORDER VS WEEK DISTRIBUTION'!Z51="","",'ORDER VS WEEK DISTRIBUTION'!Z51)</f>
        <v/>
      </c>
      <c r="N18" s="127">
        <f>IF('ORDER VS WEEK DISTRIBUTION'!AA51="","",'ORDER VS WEEK DISTRIBUTION'!AA51)</f>
        <v/>
      </c>
      <c r="O18" s="127">
        <f>IF('ORDER VS WEEK DISTRIBUTION'!AB51="","",'ORDER VS WEEK DISTRIBUTION'!AB51)</f>
        <v/>
      </c>
      <c r="P18" s="127">
        <f>IF('ORDER VS WEEK DISTRIBUTION'!AC51="","",'ORDER VS WEEK DISTRIBUTION'!AC51)</f>
        <v/>
      </c>
      <c r="Q18" s="127">
        <f>IF('ORDER VS WEEK DISTRIBUTION'!AD51="","",'ORDER VS WEEK DISTRIBUTION'!AD51)</f>
        <v/>
      </c>
      <c r="R18" s="127">
        <f>IF('ORDER VS WEEK DISTRIBUTION'!AE51="","",'ORDER VS WEEK DISTRIBUTION'!AE51)</f>
        <v/>
      </c>
      <c r="S18" s="127">
        <f>IF('ORDER VS WEEK DISTRIBUTION'!AF51="","",'ORDER VS WEEK DISTRIBUTION'!AF51)</f>
        <v/>
      </c>
    </row>
    <row r="19">
      <c r="A19" s="104" t="n"/>
      <c r="B19" s="104" t="n"/>
      <c r="C19" s="116">
        <f>IF('ORDER VS WEEK DISTRIBUTION'!C52="","",'ORDER VS WEEK DISTRIBUTION'!C52)</f>
        <v/>
      </c>
      <c r="D19" s="108">
        <f>IF('ORDER VS WEEK DISTRIBUTION'!D52="","",'ORDER VS WEEK DISTRIBUTION'!D52)</f>
        <v/>
      </c>
      <c r="E19" s="117">
        <f>IF('ORDER VS WEEK DISTRIBUTION'!E52="","",'ORDER VS WEEK DISTRIBUTION'!E52)</f>
        <v/>
      </c>
      <c r="F19" s="117">
        <f>IF('ORDER VS WEEK DISTRIBUTION'!F52="","",'ORDER VS WEEK DISTRIBUTION'!F52)</f>
        <v/>
      </c>
      <c r="G19" s="110">
        <f>IF('ORDER VS WEEK DISTRIBUTION'!G52="","",'ORDER VS WEEK DISTRIBUTION'!G52)</f>
        <v/>
      </c>
      <c r="H19" s="111">
        <f>IF('ORDER VS WEEK DISTRIBUTION'!U52="","",'ORDER VS WEEK DISTRIBUTION'!U52)</f>
        <v/>
      </c>
      <c r="I19" s="111">
        <f>IF('ORDER VS WEEK DISTRIBUTION'!V52="","",'ORDER VS WEEK DISTRIBUTION'!V52)</f>
        <v/>
      </c>
      <c r="J19" s="111">
        <f>IF('ORDER VS WEEK DISTRIBUTION'!W52="","",'ORDER VS WEEK DISTRIBUTION'!W52)</f>
        <v/>
      </c>
      <c r="K19" s="111">
        <f>IF('ORDER VS WEEK DISTRIBUTION'!X52="","",'ORDER VS WEEK DISTRIBUTION'!X52)</f>
        <v/>
      </c>
      <c r="L19" s="111">
        <f>IF('ORDER VS WEEK DISTRIBUTION'!Y52="","",'ORDER VS WEEK DISTRIBUTION'!Y52)</f>
        <v/>
      </c>
      <c r="M19" s="111">
        <f>IF('ORDER VS WEEK DISTRIBUTION'!Z52="","",'ORDER VS WEEK DISTRIBUTION'!Z52)</f>
        <v/>
      </c>
      <c r="N19" s="111">
        <f>IF('ORDER VS WEEK DISTRIBUTION'!AA52="","",'ORDER VS WEEK DISTRIBUTION'!AA52)</f>
        <v/>
      </c>
      <c r="O19" s="111">
        <f>IF('ORDER VS WEEK DISTRIBUTION'!AB52="","",'ORDER VS WEEK DISTRIBUTION'!AB52)</f>
        <v/>
      </c>
      <c r="P19" s="111">
        <f>IF('ORDER VS WEEK DISTRIBUTION'!AC52="","",'ORDER VS WEEK DISTRIBUTION'!AC52)</f>
        <v/>
      </c>
      <c r="Q19" s="111">
        <f>IF('ORDER VS WEEK DISTRIBUTION'!AD52="","",'ORDER VS WEEK DISTRIBUTION'!AD52)</f>
        <v/>
      </c>
      <c r="R19" s="111">
        <f>IF('ORDER VS WEEK DISTRIBUTION'!AE52="","",'ORDER VS WEEK DISTRIBUTION'!AE52)</f>
        <v/>
      </c>
      <c r="S19" s="111">
        <f>IF('ORDER VS WEEK DISTRIBUTION'!AF52="","",'ORDER VS WEEK DISTRIBUTION'!AF52)</f>
        <v/>
      </c>
    </row>
    <row r="20">
      <c r="A20" s="86" t="n"/>
      <c r="B20" s="86" t="n"/>
      <c r="C20" s="86" t="n"/>
      <c r="D20" s="108">
        <f>IF('ORDER VS WEEK DISTRIBUTION'!D53="","",'ORDER VS WEEK DISTRIBUTION'!D53)</f>
        <v/>
      </c>
      <c r="E20" s="114">
        <f>IF('ORDER VS WEEK DISTRIBUTION'!E53="","",'ORDER VS WEEK DISTRIBUTION'!E53)</f>
        <v/>
      </c>
      <c r="F20" s="115">
        <f>IF('ORDER VS WEEK DISTRIBUTION'!F53="","",'ORDER VS WEEK DISTRIBUTION'!F53)</f>
        <v/>
      </c>
      <c r="G20" s="115">
        <f>IF('ORDER VS WEEK DISTRIBUTION'!G53="","",'ORDER VS WEEK DISTRIBUTION'!G53)</f>
        <v/>
      </c>
      <c r="H20" s="111">
        <f>IF('ORDER VS WEEK DISTRIBUTION'!U53="","",'ORDER VS WEEK DISTRIBUTION'!U53)</f>
        <v/>
      </c>
      <c r="I20" s="111">
        <f>IF('ORDER VS WEEK DISTRIBUTION'!V53="","",'ORDER VS WEEK DISTRIBUTION'!V53)</f>
        <v/>
      </c>
      <c r="J20" s="111">
        <f>IF('ORDER VS WEEK DISTRIBUTION'!W53="","",'ORDER VS WEEK DISTRIBUTION'!W53)</f>
        <v/>
      </c>
      <c r="K20" s="111">
        <f>IF('ORDER VS WEEK DISTRIBUTION'!X53="","",'ORDER VS WEEK DISTRIBUTION'!X53)</f>
        <v/>
      </c>
      <c r="L20" s="111">
        <f>IF('ORDER VS WEEK DISTRIBUTION'!Y53="","",'ORDER VS WEEK DISTRIBUTION'!Y53)</f>
        <v/>
      </c>
      <c r="M20" s="111">
        <f>IF('ORDER VS WEEK DISTRIBUTION'!Z53="","",'ORDER VS WEEK DISTRIBUTION'!Z53)</f>
        <v/>
      </c>
      <c r="N20" s="111">
        <f>IF('ORDER VS WEEK DISTRIBUTION'!AA53="","",'ORDER VS WEEK DISTRIBUTION'!AA53)</f>
        <v/>
      </c>
      <c r="O20" s="111">
        <f>IF('ORDER VS WEEK DISTRIBUTION'!AB53="","",'ORDER VS WEEK DISTRIBUTION'!AB53)</f>
        <v/>
      </c>
      <c r="P20" s="111">
        <f>IF('ORDER VS WEEK DISTRIBUTION'!AC53="","",'ORDER VS WEEK DISTRIBUTION'!AC53)</f>
        <v/>
      </c>
      <c r="Q20" s="111">
        <f>IF('ORDER VS WEEK DISTRIBUTION'!AD53="","",'ORDER VS WEEK DISTRIBUTION'!AD53)</f>
        <v/>
      </c>
      <c r="R20" s="111">
        <f>IF('ORDER VS WEEK DISTRIBUTION'!AE53="","",'ORDER VS WEEK DISTRIBUTION'!AE53)</f>
        <v/>
      </c>
      <c r="S20" s="111">
        <f>IF('ORDER VS WEEK DISTRIBUTION'!AF53="","",'ORDER VS WEEK DISTRIBUTION'!AF53)</f>
        <v/>
      </c>
    </row>
  </sheetData>
  <mergeCells count="9">
    <mergeCell ref="C9:C10"/>
    <mergeCell ref="A1:G1"/>
    <mergeCell ref="B3:B20"/>
    <mergeCell ref="A15:A20"/>
    <mergeCell ref="A3:A10"/>
    <mergeCell ref="H1:S1"/>
    <mergeCell ref="C19:C20"/>
    <mergeCell ref="A11:A14"/>
    <mergeCell ref="C13:C14"/>
  </mergeCells>
  <conditionalFormatting sqref="H3:S20">
    <cfRule type="expression" priority="3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5" min="1" max="1"/>
    <col width="10.55" customWidth="1" style="5" min="2" max="2"/>
    <col width="11.44" customWidth="1" style="5" min="3" max="3"/>
    <col width="17.66" customWidth="1" style="5" min="4" max="4"/>
    <col width="7" customWidth="1" style="5" min="5" max="5"/>
    <col width="7" customWidth="1" style="5" min="6" max="6"/>
    <col width="10.66" customWidth="1" style="5" min="7" max="7"/>
    <col width="6.44" customWidth="1" style="5" min="8" max="8"/>
  </cols>
  <sheetData>
    <row r="1" ht="15.6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99" t="inlineStr">
        <is>
          <t>Based on Order Qty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 ht="57.6" customHeight="1" s="5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DISTRIBUTION'!U2="","",'ORDER VS WEEK DISTRIBUTION'!U2)</f>
        <v/>
      </c>
      <c r="I2" s="67">
        <f>IF('ORDER VS WEEK DISTRIBUTION'!V2="","",'ORDER VS WEEK DISTRIBUTION'!V2)</f>
        <v/>
      </c>
      <c r="J2" s="67">
        <f>IF('ORDER VS WEEK DISTRIBUTION'!W2="","",'ORDER VS WEEK DISTRIBUTION'!W2)</f>
        <v/>
      </c>
      <c r="K2" s="67">
        <f>IF('ORDER VS WEEK DISTRIBUTION'!X2="","",'ORDER VS WEEK DISTRIBUTION'!X2)</f>
        <v/>
      </c>
      <c r="L2" s="67">
        <f>IF('ORDER VS WEEK DISTRIBUTION'!Y2="","",'ORDER VS WEEK DISTRIBUTION'!Y2)</f>
        <v/>
      </c>
      <c r="M2" s="67">
        <f>IF('ORDER VS WEEK DISTRIBUTION'!Z2="","",'ORDER VS WEEK DISTRIBUTION'!Z2)</f>
        <v/>
      </c>
      <c r="N2" s="67">
        <f>IF('ORDER VS WEEK DISTRIBUTION'!AA2="","",'ORDER VS WEEK DISTRIBUTION'!AA2)</f>
        <v/>
      </c>
      <c r="O2" s="67">
        <f>IF('ORDER VS WEEK DISTRIBUTION'!AB2="","",'ORDER VS WEEK DISTRIBUTION'!AB2)</f>
        <v/>
      </c>
      <c r="P2" s="67">
        <f>IF('ORDER VS WEEK DISTRIBUTION'!AC2="","",'ORDER VS WEEK DISTRIBUTION'!AC2)</f>
        <v/>
      </c>
      <c r="Q2" s="67">
        <f>IF('ORDER VS WEEK DISTRIBUTION'!AD2="","",'ORDER VS WEEK DISTRIBUTION'!AD2)</f>
        <v/>
      </c>
      <c r="R2" s="67">
        <f>IF('ORDER VS WEEK DISTRIBUTION'!AE2="","",'ORDER VS WEEK DISTRIBUTION'!AE2)</f>
        <v/>
      </c>
      <c r="S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DISTRIBUTION'!B11="","",'ORDER VS WEEK DISTRIBUTION'!B11)</f>
        <v/>
      </c>
      <c r="C3" s="65">
        <f>IF('ORDER VS WEEK DISTRIBUTION'!C11="","",'ORDER VS WEEK DISTRIBUTION'!C11)</f>
        <v/>
      </c>
      <c r="D3" s="52">
        <f>IF('ORDER VS WEEK DISTRIBUTION'!D11="","",'ORDER VS WEEK DISTRIBUTION'!D11)</f>
        <v/>
      </c>
      <c r="E3" s="53">
        <f>IF('ORDER VS WEEK DISTRIBUTION'!E11="","",'ORDER VS WEEK DISTRIBUTION'!E11)</f>
        <v/>
      </c>
      <c r="F3" s="53">
        <f>IF('ORDER VS WEEK DISTRIBUTION'!F11="","",'ORDER VS WEEK DISTRIBUTION'!F11)</f>
        <v/>
      </c>
      <c r="G3" s="75">
        <f>IF('ORDER VS WEEK DISTRIBUTION'!G11="","",'ORDER VS WEEK DISTRIBUTION'!G11)</f>
        <v/>
      </c>
      <c r="H3" s="75">
        <f>IF('ORDER VS WEEK DISTRIBUTION'!U11="","",'ORDER VS WEEK DISTRIBUTION'!U11)</f>
        <v/>
      </c>
      <c r="I3" s="75">
        <f>IF('ORDER VS WEEK DISTRIBUTION'!V11="","",'ORDER VS WEEK DISTRIBUTION'!V11)</f>
        <v/>
      </c>
      <c r="J3" s="75">
        <f>IF('ORDER VS WEEK DISTRIBUTION'!W11="","",'ORDER VS WEEK DISTRIBUTION'!W11)</f>
        <v/>
      </c>
      <c r="K3" s="75">
        <f>IF('ORDER VS WEEK DISTRIBUTION'!X11="","",'ORDER VS WEEK DISTRIBUTION'!X11)</f>
        <v/>
      </c>
      <c r="L3" s="75">
        <f>IF('ORDER VS WEEK DISTRIBUTION'!Y11="","",'ORDER VS WEEK DISTRIBUTION'!Y11)</f>
        <v/>
      </c>
      <c r="M3" s="75">
        <f>IF('ORDER VS WEEK DISTRIBUTION'!Z11="","",'ORDER VS WEEK DISTRIBUTION'!Z11)</f>
        <v/>
      </c>
      <c r="N3" s="75">
        <f>IF('ORDER VS WEEK DISTRIBUTION'!AA11="","",'ORDER VS WEEK DISTRIBUTION'!AA11)</f>
        <v/>
      </c>
      <c r="O3" s="75">
        <f>IF('ORDER VS WEEK DISTRIBUTION'!AB11="","",'ORDER VS WEEK DISTRIBUTION'!AB11)</f>
        <v/>
      </c>
      <c r="P3" s="75">
        <f>IF('ORDER VS WEEK DISTRIBUTION'!AC11="","",'ORDER VS WEEK DISTRIBUTION'!AC11)</f>
        <v/>
      </c>
      <c r="Q3" s="75">
        <f>IF('ORDER VS WEEK DISTRIBUTION'!AD11="","",'ORDER VS WEEK DISTRIBUTION'!AD11)</f>
        <v/>
      </c>
      <c r="R3" s="75">
        <f>IF('ORDER VS WEEK DISTRIBUTION'!AE11="","",'ORDER VS WEEK DISTRIBUTION'!AE11)</f>
        <v/>
      </c>
      <c r="S3" s="75">
        <f>IF('ORDER VS WEEK DISTRIBUTION'!AF11="","",'ORDER VS WEEK DISTRIBUTION'!AF11)</f>
        <v/>
      </c>
    </row>
    <row r="4">
      <c r="A4" s="104" t="n"/>
      <c r="B4" s="104" t="n"/>
      <c r="C4" s="105">
        <f>IF('ORDER VS WEEK DISTRIBUTION'!C12="","",'ORDER VS WEEK DISTRIBUTION'!C12)</f>
        <v/>
      </c>
      <c r="D4" s="125">
        <f>IF('ORDER VS WEEK DISTRIBUTION'!D12="","",'ORDER VS WEEK DISTRIBUTION'!D12)</f>
        <v/>
      </c>
      <c r="E4" s="126">
        <f>IF('ORDER VS WEEK DISTRIBUTION'!E12="","",'ORDER VS WEEK DISTRIBUTION'!E12)</f>
        <v/>
      </c>
      <c r="F4" s="126">
        <f>IF('ORDER VS WEEK DISTRIBUTION'!F12="","",'ORDER VS WEEK DISTRIBUTION'!F12)</f>
        <v/>
      </c>
      <c r="G4" s="127">
        <f>IF('ORDER VS WEEK DISTRIBUTION'!G12="","",'ORDER VS WEEK DISTRIBUTION'!G12)</f>
        <v/>
      </c>
      <c r="H4" s="127">
        <f>IF('ORDER VS WEEK DISTRIBUTION'!U12="","",'ORDER VS WEEK DISTRIBUTION'!U12)</f>
        <v/>
      </c>
      <c r="I4" s="127">
        <f>IF('ORDER VS WEEK DISTRIBUTION'!V12="","",'ORDER VS WEEK DISTRIBUTION'!V12)</f>
        <v/>
      </c>
      <c r="J4" s="127">
        <f>IF('ORDER VS WEEK DISTRIBUTION'!W12="","",'ORDER VS WEEK DISTRIBUTION'!W12)</f>
        <v/>
      </c>
      <c r="K4" s="127">
        <f>IF('ORDER VS WEEK DISTRIBUTION'!X12="","",'ORDER VS WEEK DISTRIBUTION'!X12)</f>
        <v/>
      </c>
      <c r="L4" s="127">
        <f>IF('ORDER VS WEEK DISTRIBUTION'!Y12="","",'ORDER VS WEEK DISTRIBUTION'!Y12)</f>
        <v/>
      </c>
      <c r="M4" s="127">
        <f>IF('ORDER VS WEEK DISTRIBUTION'!Z12="","",'ORDER VS WEEK DISTRIBUTION'!Z12)</f>
        <v/>
      </c>
      <c r="N4" s="127">
        <f>IF('ORDER VS WEEK DISTRIBUTION'!AA12="","",'ORDER VS WEEK DISTRIBUTION'!AA12)</f>
        <v/>
      </c>
      <c r="O4" s="127">
        <f>IF('ORDER VS WEEK DISTRIBUTION'!AB12="","",'ORDER VS WEEK DISTRIBUTION'!AB12)</f>
        <v/>
      </c>
      <c r="P4" s="127">
        <f>IF('ORDER VS WEEK DISTRIBUTION'!AC12="","",'ORDER VS WEEK DISTRIBUTION'!AC12)</f>
        <v/>
      </c>
      <c r="Q4" s="127">
        <f>IF('ORDER VS WEEK DISTRIBUTION'!AD12="","",'ORDER VS WEEK DISTRIBUTION'!AD12)</f>
        <v/>
      </c>
      <c r="R4" s="127">
        <f>IF('ORDER VS WEEK DISTRIBUTION'!AE12="","",'ORDER VS WEEK DISTRIBUTION'!AE12)</f>
        <v/>
      </c>
      <c r="S4" s="127">
        <f>IF('ORDER VS WEEK DISTRIBUTION'!AF12="","",'ORDER VS WEEK DISTRIBUTION'!AF12)</f>
        <v/>
      </c>
    </row>
    <row r="5">
      <c r="A5" s="104" t="n"/>
      <c r="B5" s="104" t="n"/>
      <c r="C5" s="116">
        <f>IF('ORDER VS WEEK DISTRIBUTION'!C13="","",'ORDER VS WEEK DISTRIBUTION'!C13)</f>
        <v/>
      </c>
      <c r="D5" s="108">
        <f>IF('ORDER VS WEEK DISTRIBUTION'!D13="","",'ORDER VS WEEK DISTRIBUTION'!D13)</f>
        <v/>
      </c>
      <c r="E5" s="112">
        <f>IF('ORDER VS WEEK DISTRIBUTION'!E13="","",'ORDER VS WEEK DISTRIBUTION'!E13)</f>
        <v/>
      </c>
      <c r="F5" s="111">
        <f>IF('ORDER VS WEEK DISTRIBUTION'!F13="","",'ORDER VS WEEK DISTRIBUTION'!F13)</f>
        <v/>
      </c>
      <c r="G5" s="111">
        <f>IF('ORDER VS WEEK DISTRIBUTION'!G13="","",'ORDER VS WEEK DISTRIBUTION'!G13)</f>
        <v/>
      </c>
      <c r="H5" s="111">
        <f>IF('ORDER VS WEEK DISTRIBUTION'!U13="","",'ORDER VS WEEK DISTRIBUTION'!U13)</f>
        <v/>
      </c>
      <c r="I5" s="111">
        <f>IF('ORDER VS WEEK DISTRIBUTION'!V13="","",'ORDER VS WEEK DISTRIBUTION'!V13)</f>
        <v/>
      </c>
      <c r="J5" s="111">
        <f>IF('ORDER VS WEEK DISTRIBUTION'!W13="","",'ORDER VS WEEK DISTRIBUTION'!W13)</f>
        <v/>
      </c>
      <c r="K5" s="111">
        <f>IF('ORDER VS WEEK DISTRIBUTION'!X13="","",'ORDER VS WEEK DISTRIBUTION'!X13)</f>
        <v/>
      </c>
      <c r="L5" s="111">
        <f>IF('ORDER VS WEEK DISTRIBUTION'!Y13="","",'ORDER VS WEEK DISTRIBUTION'!Y13)</f>
        <v/>
      </c>
      <c r="M5" s="111">
        <f>IF('ORDER VS WEEK DISTRIBUTION'!Z13="","",'ORDER VS WEEK DISTRIBUTION'!Z13)</f>
        <v/>
      </c>
      <c r="N5" s="111">
        <f>IF('ORDER VS WEEK DISTRIBUTION'!AA13="","",'ORDER VS WEEK DISTRIBUTION'!AA13)</f>
        <v/>
      </c>
      <c r="O5" s="111">
        <f>IF('ORDER VS WEEK DISTRIBUTION'!AB13="","",'ORDER VS WEEK DISTRIBUTION'!AB13)</f>
        <v/>
      </c>
      <c r="P5" s="111">
        <f>IF('ORDER VS WEEK DISTRIBUTION'!AC13="","",'ORDER VS WEEK DISTRIBUTION'!AC13)</f>
        <v/>
      </c>
      <c r="Q5" s="111">
        <f>IF('ORDER VS WEEK DISTRIBUTION'!AD13="","",'ORDER VS WEEK DISTRIBUTION'!AD13)</f>
        <v/>
      </c>
      <c r="R5" s="111">
        <f>IF('ORDER VS WEEK DISTRIBUTION'!AE13="","",'ORDER VS WEEK DISTRIBUTION'!AE13)</f>
        <v/>
      </c>
      <c r="S5" s="111">
        <f>IF('ORDER VS WEEK DISTRIBUTION'!AF13="","",'ORDER VS WEEK DISTRIBUTION'!AF13)</f>
        <v/>
      </c>
    </row>
    <row r="6">
      <c r="A6" s="104" t="n"/>
      <c r="B6" s="86" t="n"/>
      <c r="C6" s="86" t="n"/>
      <c r="D6" s="108">
        <f>IF('ORDER VS WEEK DISTRIBUTION'!D14="","",'ORDER VS WEEK DISTRIBUTION'!D14)</f>
        <v/>
      </c>
      <c r="E6" s="114">
        <f>IF('ORDER VS WEEK DISTRIBUTION'!E14="","",'ORDER VS WEEK DISTRIBUTION'!E14)</f>
        <v/>
      </c>
      <c r="F6" s="114">
        <f>IF('ORDER VS WEEK DISTRIBUTION'!F14="","",'ORDER VS WEEK DISTRIBUTION'!F14)</f>
        <v/>
      </c>
      <c r="G6" s="115">
        <f>IF('ORDER VS WEEK DISTRIBUTION'!G14="","",'ORDER VS WEEK DISTRIBUTION'!G14)</f>
        <v/>
      </c>
      <c r="H6" s="111">
        <f>IF('ORDER VS WEEK DISTRIBUTION'!U14="","",'ORDER VS WEEK DISTRIBUTION'!U14)</f>
        <v/>
      </c>
      <c r="I6" s="111">
        <f>IF('ORDER VS WEEK DISTRIBUTION'!V14="","",'ORDER VS WEEK DISTRIBUTION'!V14)</f>
        <v/>
      </c>
      <c r="J6" s="111">
        <f>IF('ORDER VS WEEK DISTRIBUTION'!W14="","",'ORDER VS WEEK DISTRIBUTION'!W14)</f>
        <v/>
      </c>
      <c r="K6" s="111">
        <f>IF('ORDER VS WEEK DISTRIBUTION'!X14="","",'ORDER VS WEEK DISTRIBUTION'!X14)</f>
        <v/>
      </c>
      <c r="L6" s="111">
        <f>IF('ORDER VS WEEK DISTRIBUTION'!Y14="","",'ORDER VS WEEK DISTRIBUTION'!Y14)</f>
        <v/>
      </c>
      <c r="M6" s="111">
        <f>IF('ORDER VS WEEK DISTRIBUTION'!Z14="","",'ORDER VS WEEK DISTRIBUTION'!Z14)</f>
        <v/>
      </c>
      <c r="N6" s="111">
        <f>IF('ORDER VS WEEK DISTRIBUTION'!AA14="","",'ORDER VS WEEK DISTRIBUTION'!AA14)</f>
        <v/>
      </c>
      <c r="O6" s="111">
        <f>IF('ORDER VS WEEK DISTRIBUTION'!AB14="","",'ORDER VS WEEK DISTRIBUTION'!AB14)</f>
        <v/>
      </c>
      <c r="P6" s="111">
        <f>IF('ORDER VS WEEK DISTRIBUTION'!AC14="","",'ORDER VS WEEK DISTRIBUTION'!AC14)</f>
        <v/>
      </c>
      <c r="Q6" s="111">
        <f>IF('ORDER VS WEEK DISTRIBUTION'!AD14="","",'ORDER VS WEEK DISTRIBUTION'!AD14)</f>
        <v/>
      </c>
      <c r="R6" s="111">
        <f>IF('ORDER VS WEEK DISTRIBUTION'!AE14="","",'ORDER VS WEEK DISTRIBUTION'!AE14)</f>
        <v/>
      </c>
      <c r="S6" s="111">
        <f>IF('ORDER VS WEEK DISTRIBUTION'!AF14="","",'ORDER VS WEEK DISTRIBUTION'!AF14)</f>
        <v/>
      </c>
    </row>
    <row r="7">
      <c r="A7" s="104" t="n"/>
      <c r="B7" s="103">
        <f>IF('ORDER VS WEEK DISTRIBUTION'!B15="","",'ORDER VS WEEK DISTRIBUTION'!B15)</f>
        <v/>
      </c>
      <c r="C7" s="65">
        <f>IF('ORDER VS WEEK DISTRIBUTION'!C15="","",'ORDER VS WEEK DISTRIBUTION'!C15)</f>
        <v/>
      </c>
      <c r="D7" s="52">
        <f>IF('ORDER VS WEEK DISTRIBUTION'!D15="","",'ORDER VS WEEK DISTRIBUTION'!D15)</f>
        <v/>
      </c>
      <c r="E7" s="53">
        <f>IF('ORDER VS WEEK DISTRIBUTION'!E15="","",'ORDER VS WEEK DISTRIBUTION'!E15)</f>
        <v/>
      </c>
      <c r="F7" s="53">
        <f>IF('ORDER VS WEEK DISTRIBUTION'!F15="","",'ORDER VS WEEK DISTRIBUTION'!F15)</f>
        <v/>
      </c>
      <c r="G7" s="75">
        <f>IF('ORDER VS WEEK DISTRIBUTION'!G15="","",'ORDER VS WEEK DISTRIBUTION'!G15)</f>
        <v/>
      </c>
      <c r="H7" s="75">
        <f>IF('ORDER VS WEEK DISTRIBUTION'!U15="","",'ORDER VS WEEK DISTRIBUTION'!U15)</f>
        <v/>
      </c>
      <c r="I7" s="75">
        <f>IF('ORDER VS WEEK DISTRIBUTION'!V15="","",'ORDER VS WEEK DISTRIBUTION'!V15)</f>
        <v/>
      </c>
      <c r="J7" s="75">
        <f>IF('ORDER VS WEEK DISTRIBUTION'!W15="","",'ORDER VS WEEK DISTRIBUTION'!W15)</f>
        <v/>
      </c>
      <c r="K7" s="75">
        <f>IF('ORDER VS WEEK DISTRIBUTION'!X15="","",'ORDER VS WEEK DISTRIBUTION'!X15)</f>
        <v/>
      </c>
      <c r="L7" s="75">
        <f>IF('ORDER VS WEEK DISTRIBUTION'!Y15="","",'ORDER VS WEEK DISTRIBUTION'!Y15)</f>
        <v/>
      </c>
      <c r="M7" s="75">
        <f>IF('ORDER VS WEEK DISTRIBUTION'!Z15="","",'ORDER VS WEEK DISTRIBUTION'!Z15)</f>
        <v/>
      </c>
      <c r="N7" s="75">
        <f>IF('ORDER VS WEEK DISTRIBUTION'!AA15="","",'ORDER VS WEEK DISTRIBUTION'!AA15)</f>
        <v/>
      </c>
      <c r="O7" s="75">
        <f>IF('ORDER VS WEEK DISTRIBUTION'!AB15="","",'ORDER VS WEEK DISTRIBUTION'!AB15)</f>
        <v/>
      </c>
      <c r="P7" s="75">
        <f>IF('ORDER VS WEEK DISTRIBUTION'!AC15="","",'ORDER VS WEEK DISTRIBUTION'!AC15)</f>
        <v/>
      </c>
      <c r="Q7" s="75">
        <f>IF('ORDER VS WEEK DISTRIBUTION'!AD15="","",'ORDER VS WEEK DISTRIBUTION'!AD15)</f>
        <v/>
      </c>
      <c r="R7" s="75">
        <f>IF('ORDER VS WEEK DISTRIBUTION'!AE15="","",'ORDER VS WEEK DISTRIBUTION'!AE15)</f>
        <v/>
      </c>
      <c r="S7" s="75">
        <f>IF('ORDER VS WEEK DISTRIBUTION'!AF15="","",'ORDER VS WEEK DISTRIBUTION'!AF15)</f>
        <v/>
      </c>
    </row>
    <row r="8">
      <c r="A8" s="104" t="n"/>
      <c r="B8" s="104" t="n"/>
      <c r="C8" s="124">
        <f>IF('ORDER VS WEEK DISTRIBUTION'!C16="","",'ORDER VS WEEK DISTRIBUTION'!C16)</f>
        <v/>
      </c>
      <c r="D8" s="52">
        <f>IF('ORDER VS WEEK DISTRIBUTION'!D16="","",'ORDER VS WEEK DISTRIBUTION'!D16)</f>
        <v/>
      </c>
      <c r="E8" s="53">
        <f>IF('ORDER VS WEEK DISTRIBUTION'!E16="","",'ORDER VS WEEK DISTRIBUTION'!E16)</f>
        <v/>
      </c>
      <c r="F8" s="53">
        <f>IF('ORDER VS WEEK DISTRIBUTION'!F16="","",'ORDER VS WEEK DISTRIBUTION'!F16)</f>
        <v/>
      </c>
      <c r="G8" s="75">
        <f>IF('ORDER VS WEEK DISTRIBUTION'!G16="","",'ORDER VS WEEK DISTRIBUTION'!G16)</f>
        <v/>
      </c>
      <c r="H8" s="75">
        <f>IF('ORDER VS WEEK DISTRIBUTION'!U16="","",'ORDER VS WEEK DISTRIBUTION'!U16)</f>
        <v/>
      </c>
      <c r="I8" s="75">
        <f>IF('ORDER VS WEEK DISTRIBUTION'!V16="","",'ORDER VS WEEK DISTRIBUTION'!V16)</f>
        <v/>
      </c>
      <c r="J8" s="75">
        <f>IF('ORDER VS WEEK DISTRIBUTION'!W16="","",'ORDER VS WEEK DISTRIBUTION'!W16)</f>
        <v/>
      </c>
      <c r="K8" s="75">
        <f>IF('ORDER VS WEEK DISTRIBUTION'!X16="","",'ORDER VS WEEK DISTRIBUTION'!X16)</f>
        <v/>
      </c>
      <c r="L8" s="75">
        <f>IF('ORDER VS WEEK DISTRIBUTION'!Y16="","",'ORDER VS WEEK DISTRIBUTION'!Y16)</f>
        <v/>
      </c>
      <c r="M8" s="75">
        <f>IF('ORDER VS WEEK DISTRIBUTION'!Z16="","",'ORDER VS WEEK DISTRIBUTION'!Z16)</f>
        <v/>
      </c>
      <c r="N8" s="75">
        <f>IF('ORDER VS WEEK DISTRIBUTION'!AA16="","",'ORDER VS WEEK DISTRIBUTION'!AA16)</f>
        <v/>
      </c>
      <c r="O8" s="75">
        <f>IF('ORDER VS WEEK DISTRIBUTION'!AB16="","",'ORDER VS WEEK DISTRIBUTION'!AB16)</f>
        <v/>
      </c>
      <c r="P8" s="75">
        <f>IF('ORDER VS WEEK DISTRIBUTION'!AC16="","",'ORDER VS WEEK DISTRIBUTION'!AC16)</f>
        <v/>
      </c>
      <c r="Q8" s="75">
        <f>IF('ORDER VS WEEK DISTRIBUTION'!AD16="","",'ORDER VS WEEK DISTRIBUTION'!AD16)</f>
        <v/>
      </c>
      <c r="R8" s="75">
        <f>IF('ORDER VS WEEK DISTRIBUTION'!AE16="","",'ORDER VS WEEK DISTRIBUTION'!AE16)</f>
        <v/>
      </c>
      <c r="S8" s="75">
        <f>IF('ORDER VS WEEK DISTRIBUTION'!AF16="","",'ORDER VS WEEK DISTRIBUTION'!AF16)</f>
        <v/>
      </c>
    </row>
    <row r="9">
      <c r="A9" s="104" t="n"/>
      <c r="B9" s="104" t="n"/>
      <c r="C9" s="105">
        <f>IF('ORDER VS WEEK DISTRIBUTION'!C17="","",'ORDER VS WEEK DISTRIBUTION'!C17)</f>
        <v/>
      </c>
      <c r="D9" s="125">
        <f>IF('ORDER VS WEEK DISTRIBUTION'!D17="","",'ORDER VS WEEK DISTRIBUTION'!D17)</f>
        <v/>
      </c>
      <c r="E9" s="126">
        <f>IF('ORDER VS WEEK DISTRIBUTION'!E17="","",'ORDER VS WEEK DISTRIBUTION'!E17)</f>
        <v/>
      </c>
      <c r="F9" s="126">
        <f>IF('ORDER VS WEEK DISTRIBUTION'!F17="","",'ORDER VS WEEK DISTRIBUTION'!F17)</f>
        <v/>
      </c>
      <c r="G9" s="127">
        <f>IF('ORDER VS WEEK DISTRIBUTION'!G17="","",'ORDER VS WEEK DISTRIBUTION'!G17)</f>
        <v/>
      </c>
      <c r="H9" s="127">
        <f>IF('ORDER VS WEEK DISTRIBUTION'!U17="","",'ORDER VS WEEK DISTRIBUTION'!U17)</f>
        <v/>
      </c>
      <c r="I9" s="127">
        <f>IF('ORDER VS WEEK DISTRIBUTION'!V17="","",'ORDER VS WEEK DISTRIBUTION'!V17)</f>
        <v/>
      </c>
      <c r="J9" s="127">
        <f>IF('ORDER VS WEEK DISTRIBUTION'!W17="","",'ORDER VS WEEK DISTRIBUTION'!W17)</f>
        <v/>
      </c>
      <c r="K9" s="127">
        <f>IF('ORDER VS WEEK DISTRIBUTION'!X17="","",'ORDER VS WEEK DISTRIBUTION'!X17)</f>
        <v/>
      </c>
      <c r="L9" s="127">
        <f>IF('ORDER VS WEEK DISTRIBUTION'!Y17="","",'ORDER VS WEEK DISTRIBUTION'!Y17)</f>
        <v/>
      </c>
      <c r="M9" s="127">
        <f>IF('ORDER VS WEEK DISTRIBUTION'!Z17="","",'ORDER VS WEEK DISTRIBUTION'!Z17)</f>
        <v/>
      </c>
      <c r="N9" s="127">
        <f>IF('ORDER VS WEEK DISTRIBUTION'!AA17="","",'ORDER VS WEEK DISTRIBUTION'!AA17)</f>
        <v/>
      </c>
      <c r="O9" s="127">
        <f>IF('ORDER VS WEEK DISTRIBUTION'!AB17="","",'ORDER VS WEEK DISTRIBUTION'!AB17)</f>
        <v/>
      </c>
      <c r="P9" s="127">
        <f>IF('ORDER VS WEEK DISTRIBUTION'!AC17="","",'ORDER VS WEEK DISTRIBUTION'!AC17)</f>
        <v/>
      </c>
      <c r="Q9" s="127">
        <f>IF('ORDER VS WEEK DISTRIBUTION'!AD17="","",'ORDER VS WEEK DISTRIBUTION'!AD17)</f>
        <v/>
      </c>
      <c r="R9" s="127">
        <f>IF('ORDER VS WEEK DISTRIBUTION'!AE17="","",'ORDER VS WEEK DISTRIBUTION'!AE17)</f>
        <v/>
      </c>
      <c r="S9" s="127">
        <f>IF('ORDER VS WEEK DISTRIBUTION'!AF17="","",'ORDER VS WEEK DISTRIBUTION'!AF17)</f>
        <v/>
      </c>
    </row>
    <row r="10">
      <c r="A10" s="104" t="n"/>
      <c r="B10" s="104" t="n"/>
      <c r="C10" s="107">
        <f>IF('ORDER VS WEEK DISTRIBUTION'!C18="","",'ORDER VS WEEK DISTRIBUTION'!C18)</f>
        <v/>
      </c>
      <c r="D10" s="108">
        <f>IF('ORDER VS WEEK DISTRIBUTION'!D18="","",'ORDER VS WEEK DISTRIBUTION'!D18)</f>
        <v/>
      </c>
      <c r="E10" s="109">
        <f>IF('ORDER VS WEEK DISTRIBUTION'!E18="","",'ORDER VS WEEK DISTRIBUTION'!E18)</f>
        <v/>
      </c>
      <c r="F10" s="110">
        <f>IF('ORDER VS WEEK DISTRIBUTION'!F18="","",'ORDER VS WEEK DISTRIBUTION'!F18)</f>
        <v/>
      </c>
      <c r="G10" s="110">
        <f>IF('ORDER VS WEEK DISTRIBUTION'!G18="","",'ORDER VS WEEK DISTRIBUTION'!G18)</f>
        <v/>
      </c>
      <c r="H10" s="111">
        <f>IF('ORDER VS WEEK DISTRIBUTION'!U18="","",'ORDER VS WEEK DISTRIBUTION'!U18)</f>
        <v/>
      </c>
      <c r="I10" s="111">
        <f>IF('ORDER VS WEEK DISTRIBUTION'!V18="","",'ORDER VS WEEK DISTRIBUTION'!V18)</f>
        <v/>
      </c>
      <c r="J10" s="111">
        <f>IF('ORDER VS WEEK DISTRIBUTION'!W18="","",'ORDER VS WEEK DISTRIBUTION'!W18)</f>
        <v/>
      </c>
      <c r="K10" s="111">
        <f>IF('ORDER VS WEEK DISTRIBUTION'!X18="","",'ORDER VS WEEK DISTRIBUTION'!X18)</f>
        <v/>
      </c>
      <c r="L10" s="111">
        <f>IF('ORDER VS WEEK DISTRIBUTION'!Y18="","",'ORDER VS WEEK DISTRIBUTION'!Y18)</f>
        <v/>
      </c>
      <c r="M10" s="111">
        <f>IF('ORDER VS WEEK DISTRIBUTION'!Z18="","",'ORDER VS WEEK DISTRIBUTION'!Z18)</f>
        <v/>
      </c>
      <c r="N10" s="111">
        <f>IF('ORDER VS WEEK DISTRIBUTION'!AA18="","",'ORDER VS WEEK DISTRIBUTION'!AA18)</f>
        <v/>
      </c>
      <c r="O10" s="111">
        <f>IF('ORDER VS WEEK DISTRIBUTION'!AB18="","",'ORDER VS WEEK DISTRIBUTION'!AB18)</f>
        <v/>
      </c>
      <c r="P10" s="111">
        <f>IF('ORDER VS WEEK DISTRIBUTION'!AC18="","",'ORDER VS WEEK DISTRIBUTION'!AC18)</f>
        <v/>
      </c>
      <c r="Q10" s="111">
        <f>IF('ORDER VS WEEK DISTRIBUTION'!AD18="","",'ORDER VS WEEK DISTRIBUTION'!AD18)</f>
        <v/>
      </c>
      <c r="R10" s="111">
        <f>IF('ORDER VS WEEK DISTRIBUTION'!AE18="","",'ORDER VS WEEK DISTRIBUTION'!AE18)</f>
        <v/>
      </c>
      <c r="S10" s="111">
        <f>IF('ORDER VS WEEK DISTRIBUTION'!AF18="","",'ORDER VS WEEK DISTRIBUTION'!AF18)</f>
        <v/>
      </c>
    </row>
    <row r="11">
      <c r="A11" s="104" t="n"/>
      <c r="B11" s="104" t="n"/>
      <c r="C11" s="86" t="n"/>
      <c r="D11" s="108">
        <f>IF('ORDER VS WEEK DISTRIBUTION'!D19="","",'ORDER VS WEEK DISTRIBUTION'!D19)</f>
        <v/>
      </c>
      <c r="E11" s="112">
        <f>IF('ORDER VS WEEK DISTRIBUTION'!E19="","",'ORDER VS WEEK DISTRIBUTION'!E19)</f>
        <v/>
      </c>
      <c r="F11" s="111">
        <f>IF('ORDER VS WEEK DISTRIBUTION'!F19="","",'ORDER VS WEEK DISTRIBUTION'!F19)</f>
        <v/>
      </c>
      <c r="G11" s="111">
        <f>IF('ORDER VS WEEK DISTRIBUTION'!G19="","",'ORDER VS WEEK DISTRIBUTION'!G19)</f>
        <v/>
      </c>
      <c r="H11" s="111">
        <f>IF('ORDER VS WEEK DISTRIBUTION'!U19="","",'ORDER VS WEEK DISTRIBUTION'!U19)</f>
        <v/>
      </c>
      <c r="I11" s="111">
        <f>IF('ORDER VS WEEK DISTRIBUTION'!V19="","",'ORDER VS WEEK DISTRIBUTION'!V19)</f>
        <v/>
      </c>
      <c r="J11" s="111">
        <f>IF('ORDER VS WEEK DISTRIBUTION'!W19="","",'ORDER VS WEEK DISTRIBUTION'!W19)</f>
        <v/>
      </c>
      <c r="K11" s="111">
        <f>IF('ORDER VS WEEK DISTRIBUTION'!X19="","",'ORDER VS WEEK DISTRIBUTION'!X19)</f>
        <v/>
      </c>
      <c r="L11" s="111">
        <f>IF('ORDER VS WEEK DISTRIBUTION'!Y19="","",'ORDER VS WEEK DISTRIBUTION'!Y19)</f>
        <v/>
      </c>
      <c r="M11" s="111">
        <f>IF('ORDER VS WEEK DISTRIBUTION'!Z19="","",'ORDER VS WEEK DISTRIBUTION'!Z19)</f>
        <v/>
      </c>
      <c r="N11" s="111">
        <f>IF('ORDER VS WEEK DISTRIBUTION'!AA19="","",'ORDER VS WEEK DISTRIBUTION'!AA19)</f>
        <v/>
      </c>
      <c r="O11" s="111">
        <f>IF('ORDER VS WEEK DISTRIBUTION'!AB19="","",'ORDER VS WEEK DISTRIBUTION'!AB19)</f>
        <v/>
      </c>
      <c r="P11" s="111">
        <f>IF('ORDER VS WEEK DISTRIBUTION'!AC19="","",'ORDER VS WEEK DISTRIBUTION'!AC19)</f>
        <v/>
      </c>
      <c r="Q11" s="111">
        <f>IF('ORDER VS WEEK DISTRIBUTION'!AD19="","",'ORDER VS WEEK DISTRIBUTION'!AD19)</f>
        <v/>
      </c>
      <c r="R11" s="111">
        <f>IF('ORDER VS WEEK DISTRIBUTION'!AE19="","",'ORDER VS WEEK DISTRIBUTION'!AE19)</f>
        <v/>
      </c>
      <c r="S11" s="111">
        <f>IF('ORDER VS WEEK DISTRIBUTION'!AF19="","",'ORDER VS WEEK DISTRIBUTION'!AF19)</f>
        <v/>
      </c>
    </row>
    <row r="12">
      <c r="A12" s="104" t="n"/>
      <c r="B12" s="104" t="n"/>
      <c r="C12" s="65">
        <f>IF('ORDER VS WEEK DISTRIBUTION'!C20="","",'ORDER VS WEEK DISTRIBUTION'!C20)</f>
        <v/>
      </c>
      <c r="D12" s="52">
        <f>IF('ORDER VS WEEK DISTRIBUTION'!D20="","",'ORDER VS WEEK DISTRIBUTION'!D20)</f>
        <v/>
      </c>
      <c r="E12" s="53">
        <f>IF('ORDER VS WEEK DISTRIBUTION'!E20="","",'ORDER VS WEEK DISTRIBUTION'!E20)</f>
        <v/>
      </c>
      <c r="F12" s="53">
        <f>IF('ORDER VS WEEK DISTRIBUTION'!F20="","",'ORDER VS WEEK DISTRIBUTION'!F20)</f>
        <v/>
      </c>
      <c r="G12" s="75">
        <f>IF('ORDER VS WEEK DISTRIBUTION'!G20="","",'ORDER VS WEEK DISTRIBUTION'!G20)</f>
        <v/>
      </c>
      <c r="H12" s="75">
        <f>IF('ORDER VS WEEK DISTRIBUTION'!U20="","",'ORDER VS WEEK DISTRIBUTION'!U20)</f>
        <v/>
      </c>
      <c r="I12" s="75">
        <f>IF('ORDER VS WEEK DISTRIBUTION'!V20="","",'ORDER VS WEEK DISTRIBUTION'!V20)</f>
        <v/>
      </c>
      <c r="J12" s="75">
        <f>IF('ORDER VS WEEK DISTRIBUTION'!W20="","",'ORDER VS WEEK DISTRIBUTION'!W20)</f>
        <v/>
      </c>
      <c r="K12" s="75">
        <f>IF('ORDER VS WEEK DISTRIBUTION'!X20="","",'ORDER VS WEEK DISTRIBUTION'!X20)</f>
        <v/>
      </c>
      <c r="L12" s="75">
        <f>IF('ORDER VS WEEK DISTRIBUTION'!Y20="","",'ORDER VS WEEK DISTRIBUTION'!Y20)</f>
        <v/>
      </c>
      <c r="M12" s="75">
        <f>IF('ORDER VS WEEK DISTRIBUTION'!Z20="","",'ORDER VS WEEK DISTRIBUTION'!Z20)</f>
        <v/>
      </c>
      <c r="N12" s="75">
        <f>IF('ORDER VS WEEK DISTRIBUTION'!AA20="","",'ORDER VS WEEK DISTRIBUTION'!AA20)</f>
        <v/>
      </c>
      <c r="O12" s="75">
        <f>IF('ORDER VS WEEK DISTRIBUTION'!AB20="","",'ORDER VS WEEK DISTRIBUTION'!AB20)</f>
        <v/>
      </c>
      <c r="P12" s="75">
        <f>IF('ORDER VS WEEK DISTRIBUTION'!AC20="","",'ORDER VS WEEK DISTRIBUTION'!AC20)</f>
        <v/>
      </c>
      <c r="Q12" s="75">
        <f>IF('ORDER VS WEEK DISTRIBUTION'!AD20="","",'ORDER VS WEEK DISTRIBUTION'!AD20)</f>
        <v/>
      </c>
      <c r="R12" s="75">
        <f>IF('ORDER VS WEEK DISTRIBUTION'!AE20="","",'ORDER VS WEEK DISTRIBUTION'!AE20)</f>
        <v/>
      </c>
      <c r="S12" s="75">
        <f>IF('ORDER VS WEEK DISTRIBUTION'!AF20="","",'ORDER VS WEEK DISTRIBUTION'!AF20)</f>
        <v/>
      </c>
    </row>
    <row r="13">
      <c r="A13" s="104" t="n"/>
      <c r="B13" s="104" t="n"/>
      <c r="C13" s="124">
        <f>IF('ORDER VS WEEK DISTRIBUTION'!C21="","",'ORDER VS WEEK DISTRIBUTION'!C21)</f>
        <v/>
      </c>
      <c r="D13" s="52">
        <f>IF('ORDER VS WEEK DISTRIBUTION'!D21="","",'ORDER VS WEEK DISTRIBUTION'!D21)</f>
        <v/>
      </c>
      <c r="E13" s="53">
        <f>IF('ORDER VS WEEK DISTRIBUTION'!E21="","",'ORDER VS WEEK DISTRIBUTION'!E21)</f>
        <v/>
      </c>
      <c r="F13" s="53">
        <f>IF('ORDER VS WEEK DISTRIBUTION'!F21="","",'ORDER VS WEEK DISTRIBUTION'!F21)</f>
        <v/>
      </c>
      <c r="G13" s="75">
        <f>IF('ORDER VS WEEK DISTRIBUTION'!G21="","",'ORDER VS WEEK DISTRIBUTION'!G21)</f>
        <v/>
      </c>
      <c r="H13" s="75">
        <f>IF('ORDER VS WEEK DISTRIBUTION'!U21="","",'ORDER VS WEEK DISTRIBUTION'!U21)</f>
        <v/>
      </c>
      <c r="I13" s="75">
        <f>IF('ORDER VS WEEK DISTRIBUTION'!V21="","",'ORDER VS WEEK DISTRIBUTION'!V21)</f>
        <v/>
      </c>
      <c r="J13" s="75">
        <f>IF('ORDER VS WEEK DISTRIBUTION'!W21="","",'ORDER VS WEEK DISTRIBUTION'!W21)</f>
        <v/>
      </c>
      <c r="K13" s="75">
        <f>IF('ORDER VS WEEK DISTRIBUTION'!X21="","",'ORDER VS WEEK DISTRIBUTION'!X21)</f>
        <v/>
      </c>
      <c r="L13" s="75">
        <f>IF('ORDER VS WEEK DISTRIBUTION'!Y21="","",'ORDER VS WEEK DISTRIBUTION'!Y21)</f>
        <v/>
      </c>
      <c r="M13" s="75">
        <f>IF('ORDER VS WEEK DISTRIBUTION'!Z21="","",'ORDER VS WEEK DISTRIBUTION'!Z21)</f>
        <v/>
      </c>
      <c r="N13" s="75">
        <f>IF('ORDER VS WEEK DISTRIBUTION'!AA21="","",'ORDER VS WEEK DISTRIBUTION'!AA21)</f>
        <v/>
      </c>
      <c r="O13" s="75">
        <f>IF('ORDER VS WEEK DISTRIBUTION'!AB21="","",'ORDER VS WEEK DISTRIBUTION'!AB21)</f>
        <v/>
      </c>
      <c r="P13" s="75">
        <f>IF('ORDER VS WEEK DISTRIBUTION'!AC21="","",'ORDER VS WEEK DISTRIBUTION'!AC21)</f>
        <v/>
      </c>
      <c r="Q13" s="75">
        <f>IF('ORDER VS WEEK DISTRIBUTION'!AD21="","",'ORDER VS WEEK DISTRIBUTION'!AD21)</f>
        <v/>
      </c>
      <c r="R13" s="75">
        <f>IF('ORDER VS WEEK DISTRIBUTION'!AE21="","",'ORDER VS WEEK DISTRIBUTION'!AE21)</f>
        <v/>
      </c>
      <c r="S13" s="75">
        <f>IF('ORDER VS WEEK DISTRIBUTION'!AF21="","",'ORDER VS WEEK DISTRIBUTION'!AF21)</f>
        <v/>
      </c>
    </row>
    <row r="14">
      <c r="A14" s="104" t="n"/>
      <c r="B14" s="104" t="n"/>
      <c r="C14" s="105">
        <f>IF('ORDER VS WEEK DISTRIBUTION'!C22="","",'ORDER VS WEEK DISTRIBUTION'!C22)</f>
        <v/>
      </c>
      <c r="D14" s="125">
        <f>IF('ORDER VS WEEK DISTRIBUTION'!D22="","",'ORDER VS WEEK DISTRIBUTION'!D22)</f>
        <v/>
      </c>
      <c r="E14" s="126">
        <f>IF('ORDER VS WEEK DISTRIBUTION'!E22="","",'ORDER VS WEEK DISTRIBUTION'!E22)</f>
        <v/>
      </c>
      <c r="F14" s="126">
        <f>IF('ORDER VS WEEK DISTRIBUTION'!F22="","",'ORDER VS WEEK DISTRIBUTION'!F22)</f>
        <v/>
      </c>
      <c r="G14" s="127">
        <f>IF('ORDER VS WEEK DISTRIBUTION'!G22="","",'ORDER VS WEEK DISTRIBUTION'!G22)</f>
        <v/>
      </c>
      <c r="H14" s="127">
        <f>IF('ORDER VS WEEK DISTRIBUTION'!U22="","",'ORDER VS WEEK DISTRIBUTION'!U22)</f>
        <v/>
      </c>
      <c r="I14" s="127">
        <f>IF('ORDER VS WEEK DISTRIBUTION'!V22="","",'ORDER VS WEEK DISTRIBUTION'!V22)</f>
        <v/>
      </c>
      <c r="J14" s="127">
        <f>IF('ORDER VS WEEK DISTRIBUTION'!W22="","",'ORDER VS WEEK DISTRIBUTION'!W22)</f>
        <v/>
      </c>
      <c r="K14" s="127">
        <f>IF('ORDER VS WEEK DISTRIBUTION'!X22="","",'ORDER VS WEEK DISTRIBUTION'!X22)</f>
        <v/>
      </c>
      <c r="L14" s="127">
        <f>IF('ORDER VS WEEK DISTRIBUTION'!Y22="","",'ORDER VS WEEK DISTRIBUTION'!Y22)</f>
        <v/>
      </c>
      <c r="M14" s="127">
        <f>IF('ORDER VS WEEK DISTRIBUTION'!Z22="","",'ORDER VS WEEK DISTRIBUTION'!Z22)</f>
        <v/>
      </c>
      <c r="N14" s="127">
        <f>IF('ORDER VS WEEK DISTRIBUTION'!AA22="","",'ORDER VS WEEK DISTRIBUTION'!AA22)</f>
        <v/>
      </c>
      <c r="O14" s="127">
        <f>IF('ORDER VS WEEK DISTRIBUTION'!AB22="","",'ORDER VS WEEK DISTRIBUTION'!AB22)</f>
        <v/>
      </c>
      <c r="P14" s="127">
        <f>IF('ORDER VS WEEK DISTRIBUTION'!AC22="","",'ORDER VS WEEK DISTRIBUTION'!AC22)</f>
        <v/>
      </c>
      <c r="Q14" s="127">
        <f>IF('ORDER VS WEEK DISTRIBUTION'!AD22="","",'ORDER VS WEEK DISTRIBUTION'!AD22)</f>
        <v/>
      </c>
      <c r="R14" s="127">
        <f>IF('ORDER VS WEEK DISTRIBUTION'!AE22="","",'ORDER VS WEEK DISTRIBUTION'!AE22)</f>
        <v/>
      </c>
      <c r="S14" s="127">
        <f>IF('ORDER VS WEEK DISTRIBUTION'!AF22="","",'ORDER VS WEEK DISTRIBUTION'!AF22)</f>
        <v/>
      </c>
    </row>
    <row r="15">
      <c r="A15" s="104" t="n"/>
      <c r="B15" s="104" t="n"/>
      <c r="C15" s="106">
        <f>IF('ORDER VS WEEK DISTRIBUTION'!C23="","",'ORDER VS WEEK DISTRIBUTION'!C23)</f>
        <v/>
      </c>
      <c r="D15" s="72">
        <f>IF('ORDER VS WEEK DISTRIBUTION'!D23="","",'ORDER VS WEEK DISTRIBUTION'!D23)</f>
        <v/>
      </c>
      <c r="E15" s="57">
        <f>IF('ORDER VS WEEK DISTRIBUTION'!E23="","",'ORDER VS WEEK DISTRIBUTION'!E23)</f>
        <v/>
      </c>
      <c r="F15" s="79">
        <f>IF('ORDER VS WEEK DISTRIBUTION'!F23="","",'ORDER VS WEEK DISTRIBUTION'!F23)</f>
        <v/>
      </c>
      <c r="G15" s="79">
        <f>IF('ORDER VS WEEK DISTRIBUTION'!G23="","",'ORDER VS WEEK DISTRIBUTION'!G23)</f>
        <v/>
      </c>
      <c r="H15" s="79">
        <f>IF('ORDER VS WEEK DISTRIBUTION'!U23="","",'ORDER VS WEEK DISTRIBUTION'!U23)</f>
        <v/>
      </c>
      <c r="I15" s="79">
        <f>IF('ORDER VS WEEK DISTRIBUTION'!V23="","",'ORDER VS WEEK DISTRIBUTION'!V23)</f>
        <v/>
      </c>
      <c r="J15" s="79">
        <f>IF('ORDER VS WEEK DISTRIBUTION'!W23="","",'ORDER VS WEEK DISTRIBUTION'!W23)</f>
        <v/>
      </c>
      <c r="K15" s="79">
        <f>IF('ORDER VS WEEK DISTRIBUTION'!X23="","",'ORDER VS WEEK DISTRIBUTION'!X23)</f>
        <v/>
      </c>
      <c r="L15" s="79">
        <f>IF('ORDER VS WEEK DISTRIBUTION'!Y23="","",'ORDER VS WEEK DISTRIBUTION'!Y23)</f>
        <v/>
      </c>
      <c r="M15" s="79">
        <f>IF('ORDER VS WEEK DISTRIBUTION'!Z23="","",'ORDER VS WEEK DISTRIBUTION'!Z23)</f>
        <v/>
      </c>
      <c r="N15" s="79">
        <f>IF('ORDER VS WEEK DISTRIBUTION'!AA23="","",'ORDER VS WEEK DISTRIBUTION'!AA23)</f>
        <v/>
      </c>
      <c r="O15" s="79">
        <f>IF('ORDER VS WEEK DISTRIBUTION'!AB23="","",'ORDER VS WEEK DISTRIBUTION'!AB23)</f>
        <v/>
      </c>
      <c r="P15" s="79">
        <f>IF('ORDER VS WEEK DISTRIBUTION'!AC23="","",'ORDER VS WEEK DISTRIBUTION'!AC23)</f>
        <v/>
      </c>
      <c r="Q15" s="79">
        <f>IF('ORDER VS WEEK DISTRIBUTION'!AD23="","",'ORDER VS WEEK DISTRIBUTION'!AD23)</f>
        <v/>
      </c>
      <c r="R15" s="79">
        <f>IF('ORDER VS WEEK DISTRIBUTION'!AE23="","",'ORDER VS WEEK DISTRIBUTION'!AE23)</f>
        <v/>
      </c>
      <c r="S15" s="79">
        <f>IF('ORDER VS WEEK DISTRIBUTION'!AF23="","",'ORDER VS WEEK DISTRIBUTION'!AF23)</f>
        <v/>
      </c>
    </row>
    <row r="16">
      <c r="A16" s="86" t="n"/>
      <c r="B16" s="104" t="n"/>
      <c r="C16" s="86" t="n"/>
      <c r="D16" s="72">
        <f>IF('ORDER VS WEEK DISTRIBUTION'!D24="","",'ORDER VS WEEK DISTRIBUTION'!D24)</f>
        <v/>
      </c>
      <c r="E16" s="57">
        <f>IF('ORDER VS WEEK DISTRIBUTION'!E24="","",'ORDER VS WEEK DISTRIBUTION'!E24)</f>
        <v/>
      </c>
      <c r="F16" s="79">
        <f>IF('ORDER VS WEEK DISTRIBUTION'!F24="","",'ORDER VS WEEK DISTRIBUTION'!F24)</f>
        <v/>
      </c>
      <c r="G16" s="79">
        <f>IF('ORDER VS WEEK DISTRIBUTION'!G24="","",'ORDER VS WEEK DISTRIBUTION'!G24)</f>
        <v/>
      </c>
      <c r="H16" s="79">
        <f>IF('ORDER VS WEEK DISTRIBUTION'!U24="","",'ORDER VS WEEK DISTRIBUTION'!U24)</f>
        <v/>
      </c>
      <c r="I16" s="79">
        <f>IF('ORDER VS WEEK DISTRIBUTION'!V24="","",'ORDER VS WEEK DISTRIBUTION'!V24)</f>
        <v/>
      </c>
      <c r="J16" s="79">
        <f>IF('ORDER VS WEEK DISTRIBUTION'!W24="","",'ORDER VS WEEK DISTRIBUTION'!W24)</f>
        <v/>
      </c>
      <c r="K16" s="79">
        <f>IF('ORDER VS WEEK DISTRIBUTION'!X24="","",'ORDER VS WEEK DISTRIBUTION'!X24)</f>
        <v/>
      </c>
      <c r="L16" s="79">
        <f>IF('ORDER VS WEEK DISTRIBUTION'!Y24="","",'ORDER VS WEEK DISTRIBUTION'!Y24)</f>
        <v/>
      </c>
      <c r="M16" s="79">
        <f>IF('ORDER VS WEEK DISTRIBUTION'!Z24="","",'ORDER VS WEEK DISTRIBUTION'!Z24)</f>
        <v/>
      </c>
      <c r="N16" s="79">
        <f>IF('ORDER VS WEEK DISTRIBUTION'!AA24="","",'ORDER VS WEEK DISTRIBUTION'!AA24)</f>
        <v/>
      </c>
      <c r="O16" s="79">
        <f>IF('ORDER VS WEEK DISTRIBUTION'!AB24="","",'ORDER VS WEEK DISTRIBUTION'!AB24)</f>
        <v/>
      </c>
      <c r="P16" s="79">
        <f>IF('ORDER VS WEEK DISTRIBUTION'!AC24="","",'ORDER VS WEEK DISTRIBUTION'!AC24)</f>
        <v/>
      </c>
      <c r="Q16" s="79">
        <f>IF('ORDER VS WEEK DISTRIBUTION'!AD24="","",'ORDER VS WEEK DISTRIBUTION'!AD24)</f>
        <v/>
      </c>
      <c r="R16" s="79">
        <f>IF('ORDER VS WEEK DISTRIBUTION'!AE24="","",'ORDER VS WEEK DISTRIBUTION'!AE24)</f>
        <v/>
      </c>
      <c r="S16" s="79">
        <f>IF('ORDER VS WEEK DISTRIBUTION'!AF24="","",'ORDER VS WEEK DISTRIBUTION'!AF24)</f>
        <v/>
      </c>
    </row>
    <row r="17">
      <c r="A17" s="128">
        <f>IF('ORDER VS WEEK DISTRIBUTION'!A34="","",'ORDER VS WEEK DISTRIBUTION'!A34)</f>
        <v/>
      </c>
      <c r="B17" s="104" t="n"/>
      <c r="C17" s="65">
        <f>IF('ORDER VS WEEK DISTRIBUTION'!C38="","",'ORDER VS WEEK DISTRIBUTION'!C38)</f>
        <v/>
      </c>
      <c r="D17" s="52">
        <f>IF('ORDER VS WEEK DISTRIBUTION'!D38="","",'ORDER VS WEEK DISTRIBUTION'!D38)</f>
        <v/>
      </c>
      <c r="E17" s="53">
        <f>IF('ORDER VS WEEK DISTRIBUTION'!E38="","",'ORDER VS WEEK DISTRIBUTION'!E38)</f>
        <v/>
      </c>
      <c r="F17" s="53">
        <f>IF('ORDER VS WEEK DISTRIBUTION'!F38="","",'ORDER VS WEEK DISTRIBUTION'!F38)</f>
        <v/>
      </c>
      <c r="G17" s="75">
        <f>IF('ORDER VS WEEK DISTRIBUTION'!G38="","",'ORDER VS WEEK DISTRIBUTION'!G38)</f>
        <v/>
      </c>
      <c r="H17" s="75">
        <f>IF('ORDER VS WEEK DISTRIBUTION'!U38="","",'ORDER VS WEEK DISTRIBUTION'!U38)</f>
        <v/>
      </c>
      <c r="I17" s="75">
        <f>IF('ORDER VS WEEK DISTRIBUTION'!V38="","",'ORDER VS WEEK DISTRIBUTION'!V38)</f>
        <v/>
      </c>
      <c r="J17" s="75">
        <f>IF('ORDER VS WEEK DISTRIBUTION'!W38="","",'ORDER VS WEEK DISTRIBUTION'!W38)</f>
        <v/>
      </c>
      <c r="K17" s="75">
        <f>IF('ORDER VS WEEK DISTRIBUTION'!X38="","",'ORDER VS WEEK DISTRIBUTION'!X38)</f>
        <v/>
      </c>
      <c r="L17" s="75">
        <f>IF('ORDER VS WEEK DISTRIBUTION'!Y38="","",'ORDER VS WEEK DISTRIBUTION'!Y38)</f>
        <v/>
      </c>
      <c r="M17" s="75">
        <f>IF('ORDER VS WEEK DISTRIBUTION'!Z38="","",'ORDER VS WEEK DISTRIBUTION'!Z38)</f>
        <v/>
      </c>
      <c r="N17" s="75">
        <f>IF('ORDER VS WEEK DISTRIBUTION'!AA38="","",'ORDER VS WEEK DISTRIBUTION'!AA38)</f>
        <v/>
      </c>
      <c r="O17" s="75">
        <f>IF('ORDER VS WEEK DISTRIBUTION'!AB38="","",'ORDER VS WEEK DISTRIBUTION'!AB38)</f>
        <v/>
      </c>
      <c r="P17" s="75">
        <f>IF('ORDER VS WEEK DISTRIBUTION'!AC38="","",'ORDER VS WEEK DISTRIBUTION'!AC38)</f>
        <v/>
      </c>
      <c r="Q17" s="75">
        <f>IF('ORDER VS WEEK DISTRIBUTION'!AD38="","",'ORDER VS WEEK DISTRIBUTION'!AD38)</f>
        <v/>
      </c>
      <c r="R17" s="75">
        <f>IF('ORDER VS WEEK DISTRIBUTION'!AE38="","",'ORDER VS WEEK DISTRIBUTION'!AE38)</f>
        <v/>
      </c>
      <c r="S17" s="75">
        <f>IF('ORDER VS WEEK DISTRIBUTION'!AF38="","",'ORDER VS WEEK DISTRIBUTION'!AF38)</f>
        <v/>
      </c>
    </row>
    <row r="18">
      <c r="A18" s="104" t="n"/>
      <c r="B18" s="104" t="n"/>
      <c r="C18" s="124">
        <f>IF('ORDER VS WEEK DISTRIBUTION'!C39="","",'ORDER VS WEEK DISTRIBUTION'!C39)</f>
        <v/>
      </c>
      <c r="D18" s="52">
        <f>IF('ORDER VS WEEK DISTRIBUTION'!D39="","",'ORDER VS WEEK DISTRIBUTION'!D39)</f>
        <v/>
      </c>
      <c r="E18" s="53">
        <f>IF('ORDER VS WEEK DISTRIBUTION'!E39="","",'ORDER VS WEEK DISTRIBUTION'!E39)</f>
        <v/>
      </c>
      <c r="F18" s="53">
        <f>IF('ORDER VS WEEK DISTRIBUTION'!F39="","",'ORDER VS WEEK DISTRIBUTION'!F39)</f>
        <v/>
      </c>
      <c r="G18" s="75">
        <f>IF('ORDER VS WEEK DISTRIBUTION'!G39="","",'ORDER VS WEEK DISTRIBUTION'!G39)</f>
        <v/>
      </c>
      <c r="H18" s="75">
        <f>IF('ORDER VS WEEK DISTRIBUTION'!U39="","",'ORDER VS WEEK DISTRIBUTION'!U39)</f>
        <v/>
      </c>
      <c r="I18" s="75">
        <f>IF('ORDER VS WEEK DISTRIBUTION'!V39="","",'ORDER VS WEEK DISTRIBUTION'!V39)</f>
        <v/>
      </c>
      <c r="J18" s="75">
        <f>IF('ORDER VS WEEK DISTRIBUTION'!W39="","",'ORDER VS WEEK DISTRIBUTION'!W39)</f>
        <v/>
      </c>
      <c r="K18" s="75">
        <f>IF('ORDER VS WEEK DISTRIBUTION'!X39="","",'ORDER VS WEEK DISTRIBUTION'!X39)</f>
        <v/>
      </c>
      <c r="L18" s="75">
        <f>IF('ORDER VS WEEK DISTRIBUTION'!Y39="","",'ORDER VS WEEK DISTRIBUTION'!Y39)</f>
        <v/>
      </c>
      <c r="M18" s="75">
        <f>IF('ORDER VS WEEK DISTRIBUTION'!Z39="","",'ORDER VS WEEK DISTRIBUTION'!Z39)</f>
        <v/>
      </c>
      <c r="N18" s="75">
        <f>IF('ORDER VS WEEK DISTRIBUTION'!AA39="","",'ORDER VS WEEK DISTRIBUTION'!AA39)</f>
        <v/>
      </c>
      <c r="O18" s="75">
        <f>IF('ORDER VS WEEK DISTRIBUTION'!AB39="","",'ORDER VS WEEK DISTRIBUTION'!AB39)</f>
        <v/>
      </c>
      <c r="P18" s="75">
        <f>IF('ORDER VS WEEK DISTRIBUTION'!AC39="","",'ORDER VS WEEK DISTRIBUTION'!AC39)</f>
        <v/>
      </c>
      <c r="Q18" s="75">
        <f>IF('ORDER VS WEEK DISTRIBUTION'!AD39="","",'ORDER VS WEEK DISTRIBUTION'!AD39)</f>
        <v/>
      </c>
      <c r="R18" s="75">
        <f>IF('ORDER VS WEEK DISTRIBUTION'!AE39="","",'ORDER VS WEEK DISTRIBUTION'!AE39)</f>
        <v/>
      </c>
      <c r="S18" s="75">
        <f>IF('ORDER VS WEEK DISTRIBUTION'!AF39="","",'ORDER VS WEEK DISTRIBUTION'!AF39)</f>
        <v/>
      </c>
    </row>
    <row r="19">
      <c r="A19" s="104" t="n"/>
      <c r="B19" s="104" t="n"/>
      <c r="C19" s="105">
        <f>IF('ORDER VS WEEK DISTRIBUTION'!C40="","",'ORDER VS WEEK DISTRIBUTION'!C40)</f>
        <v/>
      </c>
      <c r="D19" s="125">
        <f>IF('ORDER VS WEEK DISTRIBUTION'!D40="","",'ORDER VS WEEK DISTRIBUTION'!D40)</f>
        <v/>
      </c>
      <c r="E19" s="126">
        <f>IF('ORDER VS WEEK DISTRIBUTION'!E40="","",'ORDER VS WEEK DISTRIBUTION'!E40)</f>
        <v/>
      </c>
      <c r="F19" s="126">
        <f>IF('ORDER VS WEEK DISTRIBUTION'!F40="","",'ORDER VS WEEK DISTRIBUTION'!F40)</f>
        <v/>
      </c>
      <c r="G19" s="127">
        <f>IF('ORDER VS WEEK DISTRIBUTION'!G40="","",'ORDER VS WEEK DISTRIBUTION'!G40)</f>
        <v/>
      </c>
      <c r="H19" s="127">
        <f>IF('ORDER VS WEEK DISTRIBUTION'!U40="","",'ORDER VS WEEK DISTRIBUTION'!U40)</f>
        <v/>
      </c>
      <c r="I19" s="127">
        <f>IF('ORDER VS WEEK DISTRIBUTION'!V40="","",'ORDER VS WEEK DISTRIBUTION'!V40)</f>
        <v/>
      </c>
      <c r="J19" s="127">
        <f>IF('ORDER VS WEEK DISTRIBUTION'!W40="","",'ORDER VS WEEK DISTRIBUTION'!W40)</f>
        <v/>
      </c>
      <c r="K19" s="127">
        <f>IF('ORDER VS WEEK DISTRIBUTION'!X40="","",'ORDER VS WEEK DISTRIBUTION'!X40)</f>
        <v/>
      </c>
      <c r="L19" s="127">
        <f>IF('ORDER VS WEEK DISTRIBUTION'!Y40="","",'ORDER VS WEEK DISTRIBUTION'!Y40)</f>
        <v/>
      </c>
      <c r="M19" s="127">
        <f>IF('ORDER VS WEEK DISTRIBUTION'!Z40="","",'ORDER VS WEEK DISTRIBUTION'!Z40)</f>
        <v/>
      </c>
      <c r="N19" s="127">
        <f>IF('ORDER VS WEEK DISTRIBUTION'!AA40="","",'ORDER VS WEEK DISTRIBUTION'!AA40)</f>
        <v/>
      </c>
      <c r="O19" s="127">
        <f>IF('ORDER VS WEEK DISTRIBUTION'!AB40="","",'ORDER VS WEEK DISTRIBUTION'!AB40)</f>
        <v/>
      </c>
      <c r="P19" s="127">
        <f>IF('ORDER VS WEEK DISTRIBUTION'!AC40="","",'ORDER VS WEEK DISTRIBUTION'!AC40)</f>
        <v/>
      </c>
      <c r="Q19" s="127">
        <f>IF('ORDER VS WEEK DISTRIBUTION'!AD40="","",'ORDER VS WEEK DISTRIBUTION'!AD40)</f>
        <v/>
      </c>
      <c r="R19" s="127">
        <f>IF('ORDER VS WEEK DISTRIBUTION'!AE40="","",'ORDER VS WEEK DISTRIBUTION'!AE40)</f>
        <v/>
      </c>
      <c r="S19" s="127">
        <f>IF('ORDER VS WEEK DISTRIBUTION'!AF40="","",'ORDER VS WEEK DISTRIBUTION'!AF40)</f>
        <v/>
      </c>
    </row>
    <row r="20">
      <c r="A20" s="104" t="n"/>
      <c r="B20" s="104" t="n"/>
      <c r="C20" s="65">
        <f>IF('ORDER VS WEEK DISTRIBUTION'!C41="","",'ORDER VS WEEK DISTRIBUTION'!C41)</f>
        <v/>
      </c>
      <c r="D20" s="108">
        <f>IF('ORDER VS WEEK DISTRIBUTION'!D41="","",'ORDER VS WEEK DISTRIBUTION'!D41)</f>
        <v/>
      </c>
      <c r="E20" s="114">
        <f>IF('ORDER VS WEEK DISTRIBUTION'!E41="","",'ORDER VS WEEK DISTRIBUTION'!E41)</f>
        <v/>
      </c>
      <c r="F20" s="114">
        <f>IF('ORDER VS WEEK DISTRIBUTION'!F41="","",'ORDER VS WEEK DISTRIBUTION'!F41)</f>
        <v/>
      </c>
      <c r="G20" s="115">
        <f>IF('ORDER VS WEEK DISTRIBUTION'!G41="","",'ORDER VS WEEK DISTRIBUTION'!G41)</f>
        <v/>
      </c>
      <c r="H20" s="111">
        <f>IF('ORDER VS WEEK DISTRIBUTION'!U41="","",'ORDER VS WEEK DISTRIBUTION'!U41)</f>
        <v/>
      </c>
      <c r="I20" s="111">
        <f>IF('ORDER VS WEEK DISTRIBUTION'!V41="","",'ORDER VS WEEK DISTRIBUTION'!V41)</f>
        <v/>
      </c>
      <c r="J20" s="111">
        <f>IF('ORDER VS WEEK DISTRIBUTION'!W41="","",'ORDER VS WEEK DISTRIBUTION'!W41)</f>
        <v/>
      </c>
      <c r="K20" s="111">
        <f>IF('ORDER VS WEEK DISTRIBUTION'!X41="","",'ORDER VS WEEK DISTRIBUTION'!X41)</f>
        <v/>
      </c>
      <c r="L20" s="111">
        <f>IF('ORDER VS WEEK DISTRIBUTION'!Y41="","",'ORDER VS WEEK DISTRIBUTION'!Y41)</f>
        <v/>
      </c>
      <c r="M20" s="111">
        <f>IF('ORDER VS WEEK DISTRIBUTION'!Z41="","",'ORDER VS WEEK DISTRIBUTION'!Z41)</f>
        <v/>
      </c>
      <c r="N20" s="111">
        <f>IF('ORDER VS WEEK DISTRIBUTION'!AA41="","",'ORDER VS WEEK DISTRIBUTION'!AA41)</f>
        <v/>
      </c>
      <c r="O20" s="111">
        <f>IF('ORDER VS WEEK DISTRIBUTION'!AB41="","",'ORDER VS WEEK DISTRIBUTION'!AB41)</f>
        <v/>
      </c>
      <c r="P20" s="111">
        <f>IF('ORDER VS WEEK DISTRIBUTION'!AC41="","",'ORDER VS WEEK DISTRIBUTION'!AC41)</f>
        <v/>
      </c>
      <c r="Q20" s="111">
        <f>IF('ORDER VS WEEK DISTRIBUTION'!AD41="","",'ORDER VS WEEK DISTRIBUTION'!AD41)</f>
        <v/>
      </c>
      <c r="R20" s="111">
        <f>IF('ORDER VS WEEK DISTRIBUTION'!AE41="","",'ORDER VS WEEK DISTRIBUTION'!AE41)</f>
        <v/>
      </c>
      <c r="S20" s="111">
        <f>IF('ORDER VS WEEK DISTRIBUTION'!AF41="","",'ORDER VS WEEK DISTRIBUTION'!AF41)</f>
        <v/>
      </c>
    </row>
    <row r="21">
      <c r="A21" s="86" t="n"/>
      <c r="B21" s="86" t="n"/>
      <c r="C21" s="86" t="n"/>
      <c r="D21" s="108">
        <f>IF('ORDER VS WEEK DISTRIBUTION'!D42="","",'ORDER VS WEEK DISTRIBUTION'!D42)</f>
        <v/>
      </c>
      <c r="E21" s="117">
        <f>IF('ORDER VS WEEK DISTRIBUTION'!E42="","",'ORDER VS WEEK DISTRIBUTION'!E42)</f>
        <v/>
      </c>
      <c r="F21" s="117">
        <f>IF('ORDER VS WEEK DISTRIBUTION'!F42="","",'ORDER VS WEEK DISTRIBUTION'!F42)</f>
        <v/>
      </c>
      <c r="G21" s="110">
        <f>IF('ORDER VS WEEK DISTRIBUTION'!G42="","",'ORDER VS WEEK DISTRIBUTION'!G42)</f>
        <v/>
      </c>
      <c r="H21" s="111">
        <f>IF('ORDER VS WEEK DISTRIBUTION'!U42="","",'ORDER VS WEEK DISTRIBUTION'!U42)</f>
        <v/>
      </c>
      <c r="I21" s="111">
        <f>IF('ORDER VS WEEK DISTRIBUTION'!V42="","",'ORDER VS WEEK DISTRIBUTION'!V42)</f>
        <v/>
      </c>
      <c r="J21" s="111">
        <f>IF('ORDER VS WEEK DISTRIBUTION'!W42="","",'ORDER VS WEEK DISTRIBUTION'!W42)</f>
        <v/>
      </c>
      <c r="K21" s="111">
        <f>IF('ORDER VS WEEK DISTRIBUTION'!X42="","",'ORDER VS WEEK DISTRIBUTION'!X42)</f>
        <v/>
      </c>
      <c r="L21" s="111">
        <f>IF('ORDER VS WEEK DISTRIBUTION'!Y42="","",'ORDER VS WEEK DISTRIBUTION'!Y42)</f>
        <v/>
      </c>
      <c r="M21" s="111">
        <f>IF('ORDER VS WEEK DISTRIBUTION'!Z42="","",'ORDER VS WEEK DISTRIBUTION'!Z42)</f>
        <v/>
      </c>
      <c r="N21" s="111">
        <f>IF('ORDER VS WEEK DISTRIBUTION'!AA42="","",'ORDER VS WEEK DISTRIBUTION'!AA42)</f>
        <v/>
      </c>
      <c r="O21" s="111">
        <f>IF('ORDER VS WEEK DISTRIBUTION'!AB42="","",'ORDER VS WEEK DISTRIBUTION'!AB42)</f>
        <v/>
      </c>
      <c r="P21" s="111">
        <f>IF('ORDER VS WEEK DISTRIBUTION'!AC42="","",'ORDER VS WEEK DISTRIBUTION'!AC42)</f>
        <v/>
      </c>
      <c r="Q21" s="111">
        <f>IF('ORDER VS WEEK DISTRIBUTION'!AD42="","",'ORDER VS WEEK DISTRIBUTION'!AD42)</f>
        <v/>
      </c>
      <c r="R21" s="111">
        <f>IF('ORDER VS WEEK DISTRIBUTION'!AE42="","",'ORDER VS WEEK DISTRIBUTION'!AE42)</f>
        <v/>
      </c>
      <c r="S21" s="111">
        <f>IF('ORDER VS WEEK DISTRIBUTION'!AF42="","",'ORDER VS WEEK DISTRIBUTION'!AF42)</f>
        <v/>
      </c>
    </row>
  </sheetData>
  <mergeCells count="10">
    <mergeCell ref="A17:A21"/>
    <mergeCell ref="A1:G1"/>
    <mergeCell ref="C20:C21"/>
    <mergeCell ref="H1:S1"/>
    <mergeCell ref="A3:A16"/>
    <mergeCell ref="B3:B6"/>
    <mergeCell ref="C15:C16"/>
    <mergeCell ref="C5:C6"/>
    <mergeCell ref="C10:C11"/>
    <mergeCell ref="B7:B21"/>
  </mergeCells>
  <conditionalFormatting sqref="H3:S21">
    <cfRule type="expression" priority="3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5" min="1" max="1"/>
    <col width="9" customWidth="1" style="5" min="2" max="2"/>
    <col width="11.33" customWidth="1" style="5" min="3" max="3"/>
    <col width="21.22" customWidth="1" style="5" min="4" max="4"/>
    <col width="7" customWidth="1" style="5" min="5" max="5"/>
    <col width="7" customWidth="1" style="5" min="6" max="6"/>
    <col width="10.78" customWidth="1" style="5" min="7" max="7"/>
    <col width="6.44" customWidth="1" style="5" min="8" max="8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99" t="inlineStr">
        <is>
          <t>Based on Order Qty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 ht="57.6" customHeight="1" s="5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DISTRIBUTION'!U2="","",'ORDER VS WEEK DISTRIBUTION'!U2)</f>
        <v/>
      </c>
      <c r="I2" s="67">
        <f>IF('ORDER VS WEEK DISTRIBUTION'!V2="","",'ORDER VS WEEK DISTRIBUTION'!V2)</f>
        <v/>
      </c>
      <c r="J2" s="67">
        <f>IF('ORDER VS WEEK DISTRIBUTION'!W2="","",'ORDER VS WEEK DISTRIBUTION'!W2)</f>
        <v/>
      </c>
      <c r="K2" s="67">
        <f>IF('ORDER VS WEEK DISTRIBUTION'!X2="","",'ORDER VS WEEK DISTRIBUTION'!X2)</f>
        <v/>
      </c>
      <c r="L2" s="67">
        <f>IF('ORDER VS WEEK DISTRIBUTION'!Y2="","",'ORDER VS WEEK DISTRIBUTION'!Y2)</f>
        <v/>
      </c>
      <c r="M2" s="67">
        <f>IF('ORDER VS WEEK DISTRIBUTION'!Z2="","",'ORDER VS WEEK DISTRIBUTION'!Z2)</f>
        <v/>
      </c>
      <c r="N2" s="67">
        <f>IF('ORDER VS WEEK DISTRIBUTION'!AA2="","",'ORDER VS WEEK DISTRIBUTION'!AA2)</f>
        <v/>
      </c>
      <c r="O2" s="67">
        <f>IF('ORDER VS WEEK DISTRIBUTION'!AB2="","",'ORDER VS WEEK DISTRIBUTION'!AB2)</f>
        <v/>
      </c>
      <c r="P2" s="67">
        <f>IF('ORDER VS WEEK DISTRIBUTION'!AC2="","",'ORDER VS WEEK DISTRIBUTION'!AC2)</f>
        <v/>
      </c>
      <c r="Q2" s="67">
        <f>IF('ORDER VS WEEK DISTRIBUTION'!AD2="","",'ORDER VS WEEK DISTRIBUTION'!AD2)</f>
        <v/>
      </c>
      <c r="R2" s="67">
        <f>IF('ORDER VS WEEK DISTRIBUTION'!AE2="","",'ORDER VS WEEK DISTRIBUTION'!AE2)</f>
        <v/>
      </c>
      <c r="S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DISTRIBUTION'!B29="","",'ORDER VS WEEK DISTRIBUTION'!B29)</f>
        <v/>
      </c>
      <c r="C3" s="65">
        <f>IF('ORDER VS WEEK DISTRIBUTION'!C29="","",'ORDER VS WEEK DISTRIBUTION'!C29)</f>
        <v/>
      </c>
      <c r="D3" s="52">
        <f>IF('ORDER VS WEEK DISTRIBUTION'!D29="","",'ORDER VS WEEK DISTRIBUTION'!D29)</f>
        <v/>
      </c>
      <c r="E3" s="53">
        <f>IF('ORDER VS WEEK DISTRIBUTION'!E29="","",'ORDER VS WEEK DISTRIBUTION'!E29)</f>
        <v/>
      </c>
      <c r="F3" s="53">
        <f>IF('ORDER VS WEEK DISTRIBUTION'!F29="","",'ORDER VS WEEK DISTRIBUTION'!F29)</f>
        <v/>
      </c>
      <c r="G3" s="75">
        <f>IF('ORDER VS WEEK DISTRIBUTION'!G29="","",'ORDER VS WEEK DISTRIBUTION'!G29)</f>
        <v/>
      </c>
      <c r="H3" s="75">
        <f>IF('ORDER VS WEEK DISTRIBUTION'!U29="","",'ORDER VS WEEK DISTRIBUTION'!U29)</f>
        <v/>
      </c>
      <c r="I3" s="75">
        <f>IF('ORDER VS WEEK DISTRIBUTION'!V29="","",'ORDER VS WEEK DISTRIBUTION'!V29)</f>
        <v/>
      </c>
      <c r="J3" s="75">
        <f>IF('ORDER VS WEEK DISTRIBUTION'!W29="","",'ORDER VS WEEK DISTRIBUTION'!W29)</f>
        <v/>
      </c>
      <c r="K3" s="75">
        <f>IF('ORDER VS WEEK DISTRIBUTION'!X29="","",'ORDER VS WEEK DISTRIBUTION'!X29)</f>
        <v/>
      </c>
      <c r="L3" s="75">
        <f>IF('ORDER VS WEEK DISTRIBUTION'!Y29="","",'ORDER VS WEEK DISTRIBUTION'!Y29)</f>
        <v/>
      </c>
      <c r="M3" s="75">
        <f>IF('ORDER VS WEEK DISTRIBUTION'!Z29="","",'ORDER VS WEEK DISTRIBUTION'!Z29)</f>
        <v/>
      </c>
      <c r="N3" s="75">
        <f>IF('ORDER VS WEEK DISTRIBUTION'!AA29="","",'ORDER VS WEEK DISTRIBUTION'!AA29)</f>
        <v/>
      </c>
      <c r="O3" s="75">
        <f>IF('ORDER VS WEEK DISTRIBUTION'!AB29="","",'ORDER VS WEEK DISTRIBUTION'!AB29)</f>
        <v/>
      </c>
      <c r="P3" s="75">
        <f>IF('ORDER VS WEEK DISTRIBUTION'!AC29="","",'ORDER VS WEEK DISTRIBUTION'!AC29)</f>
        <v/>
      </c>
      <c r="Q3" s="75">
        <f>IF('ORDER VS WEEK DISTRIBUTION'!AD29="","",'ORDER VS WEEK DISTRIBUTION'!AD29)</f>
        <v/>
      </c>
      <c r="R3" s="75">
        <f>IF('ORDER VS WEEK DISTRIBUTION'!AE29="","",'ORDER VS WEEK DISTRIBUTION'!AE29)</f>
        <v/>
      </c>
      <c r="S3" s="75">
        <f>IF('ORDER VS WEEK DISTRIBUTION'!AF29="","",'ORDER VS WEEK DISTRIBUTION'!AF29)</f>
        <v/>
      </c>
    </row>
    <row r="4">
      <c r="A4" s="104" t="n"/>
      <c r="B4" s="104" t="n"/>
      <c r="C4" s="124">
        <f>IF('ORDER VS WEEK DISTRIBUTION'!C30="","",'ORDER VS WEEK DISTRIBUTION'!C30)</f>
        <v/>
      </c>
      <c r="D4" s="52">
        <f>IF('ORDER VS WEEK DISTRIBUTION'!D30="","",'ORDER VS WEEK DISTRIBUTION'!D30)</f>
        <v/>
      </c>
      <c r="E4" s="53">
        <f>IF('ORDER VS WEEK DISTRIBUTION'!E30="","",'ORDER VS WEEK DISTRIBUTION'!E30)</f>
        <v/>
      </c>
      <c r="F4" s="53">
        <f>IF('ORDER VS WEEK DISTRIBUTION'!F30="","",'ORDER VS WEEK DISTRIBUTION'!F30)</f>
        <v/>
      </c>
      <c r="G4" s="75">
        <f>IF('ORDER VS WEEK DISTRIBUTION'!G30="","",'ORDER VS WEEK DISTRIBUTION'!G30)</f>
        <v/>
      </c>
      <c r="H4" s="75">
        <f>IF('ORDER VS WEEK DISTRIBUTION'!U30="","",'ORDER VS WEEK DISTRIBUTION'!U30)</f>
        <v/>
      </c>
      <c r="I4" s="75">
        <f>IF('ORDER VS WEEK DISTRIBUTION'!V30="","",'ORDER VS WEEK DISTRIBUTION'!V30)</f>
        <v/>
      </c>
      <c r="J4" s="75">
        <f>IF('ORDER VS WEEK DISTRIBUTION'!W30="","",'ORDER VS WEEK DISTRIBUTION'!W30)</f>
        <v/>
      </c>
      <c r="K4" s="75">
        <f>IF('ORDER VS WEEK DISTRIBUTION'!X30="","",'ORDER VS WEEK DISTRIBUTION'!X30)</f>
        <v/>
      </c>
      <c r="L4" s="75">
        <f>IF('ORDER VS WEEK DISTRIBUTION'!Y30="","",'ORDER VS WEEK DISTRIBUTION'!Y30)</f>
        <v/>
      </c>
      <c r="M4" s="75">
        <f>IF('ORDER VS WEEK DISTRIBUTION'!Z30="","",'ORDER VS WEEK DISTRIBUTION'!Z30)</f>
        <v/>
      </c>
      <c r="N4" s="75">
        <f>IF('ORDER VS WEEK DISTRIBUTION'!AA30="","",'ORDER VS WEEK DISTRIBUTION'!AA30)</f>
        <v/>
      </c>
      <c r="O4" s="75">
        <f>IF('ORDER VS WEEK DISTRIBUTION'!AB30="","",'ORDER VS WEEK DISTRIBUTION'!AB30)</f>
        <v/>
      </c>
      <c r="P4" s="75">
        <f>IF('ORDER VS WEEK DISTRIBUTION'!AC30="","",'ORDER VS WEEK DISTRIBUTION'!AC30)</f>
        <v/>
      </c>
      <c r="Q4" s="75">
        <f>IF('ORDER VS WEEK DISTRIBUTION'!AD30="","",'ORDER VS WEEK DISTRIBUTION'!AD30)</f>
        <v/>
      </c>
      <c r="R4" s="75">
        <f>IF('ORDER VS WEEK DISTRIBUTION'!AE30="","",'ORDER VS WEEK DISTRIBUTION'!AE30)</f>
        <v/>
      </c>
      <c r="S4" s="75">
        <f>IF('ORDER VS WEEK DISTRIBUTION'!AF30="","",'ORDER VS WEEK DISTRIBUTION'!AF30)</f>
        <v/>
      </c>
    </row>
    <row r="5">
      <c r="A5" s="104" t="n"/>
      <c r="B5" s="104" t="n"/>
      <c r="C5" s="105">
        <f>IF('ORDER VS WEEK DISTRIBUTION'!C31="","",'ORDER VS WEEK DISTRIBUTION'!C31)</f>
        <v/>
      </c>
      <c r="D5" s="125">
        <f>IF('ORDER VS WEEK DISTRIBUTION'!D31="","",'ORDER VS WEEK DISTRIBUTION'!D31)</f>
        <v/>
      </c>
      <c r="E5" s="126">
        <f>IF('ORDER VS WEEK DISTRIBUTION'!E31="","",'ORDER VS WEEK DISTRIBUTION'!E31)</f>
        <v/>
      </c>
      <c r="F5" s="126">
        <f>IF('ORDER VS WEEK DISTRIBUTION'!F31="","",'ORDER VS WEEK DISTRIBUTION'!F31)</f>
        <v/>
      </c>
      <c r="G5" s="127">
        <f>IF('ORDER VS WEEK DISTRIBUTION'!G31="","",'ORDER VS WEEK DISTRIBUTION'!G31)</f>
        <v/>
      </c>
      <c r="H5" s="127">
        <f>IF('ORDER VS WEEK DISTRIBUTION'!U31="","",'ORDER VS WEEK DISTRIBUTION'!U31)</f>
        <v/>
      </c>
      <c r="I5" s="127">
        <f>IF('ORDER VS WEEK DISTRIBUTION'!V31="","",'ORDER VS WEEK DISTRIBUTION'!V31)</f>
        <v/>
      </c>
      <c r="J5" s="127">
        <f>IF('ORDER VS WEEK DISTRIBUTION'!W31="","",'ORDER VS WEEK DISTRIBUTION'!W31)</f>
        <v/>
      </c>
      <c r="K5" s="127">
        <f>IF('ORDER VS WEEK DISTRIBUTION'!X31="","",'ORDER VS WEEK DISTRIBUTION'!X31)</f>
        <v/>
      </c>
      <c r="L5" s="127">
        <f>IF('ORDER VS WEEK DISTRIBUTION'!Y31="","",'ORDER VS WEEK DISTRIBUTION'!Y31)</f>
        <v/>
      </c>
      <c r="M5" s="127">
        <f>IF('ORDER VS WEEK DISTRIBUTION'!Z31="","",'ORDER VS WEEK DISTRIBUTION'!Z31)</f>
        <v/>
      </c>
      <c r="N5" s="127">
        <f>IF('ORDER VS WEEK DISTRIBUTION'!AA31="","",'ORDER VS WEEK DISTRIBUTION'!AA31)</f>
        <v/>
      </c>
      <c r="O5" s="127">
        <f>IF('ORDER VS WEEK DISTRIBUTION'!AB31="","",'ORDER VS WEEK DISTRIBUTION'!AB31)</f>
        <v/>
      </c>
      <c r="P5" s="127">
        <f>IF('ORDER VS WEEK DISTRIBUTION'!AC31="","",'ORDER VS WEEK DISTRIBUTION'!AC31)</f>
        <v/>
      </c>
      <c r="Q5" s="127">
        <f>IF('ORDER VS WEEK DISTRIBUTION'!AD31="","",'ORDER VS WEEK DISTRIBUTION'!AD31)</f>
        <v/>
      </c>
      <c r="R5" s="127">
        <f>IF('ORDER VS WEEK DISTRIBUTION'!AE31="","",'ORDER VS WEEK DISTRIBUTION'!AE31)</f>
        <v/>
      </c>
      <c r="S5" s="127">
        <f>IF('ORDER VS WEEK DISTRIBUTION'!AF31="","",'ORDER VS WEEK DISTRIBUTION'!AF31)</f>
        <v/>
      </c>
    </row>
    <row r="6">
      <c r="A6" s="104" t="n"/>
      <c r="B6" s="104" t="n"/>
      <c r="C6" s="116">
        <f>IF('ORDER VS WEEK DISTRIBUTION'!C32="","",'ORDER VS WEEK DISTRIBUTION'!C32)</f>
        <v/>
      </c>
      <c r="D6" s="108">
        <f>IF('ORDER VS WEEK DISTRIBUTION'!D32="","",'ORDER VS WEEK DISTRIBUTION'!D32)</f>
        <v/>
      </c>
      <c r="E6" s="117">
        <f>IF('ORDER VS WEEK DISTRIBUTION'!E32="","",'ORDER VS WEEK DISTRIBUTION'!E32)</f>
        <v/>
      </c>
      <c r="F6" s="117">
        <f>IF('ORDER VS WEEK DISTRIBUTION'!F32="","",'ORDER VS WEEK DISTRIBUTION'!F32)</f>
        <v/>
      </c>
      <c r="G6" s="110">
        <f>IF('ORDER VS WEEK DISTRIBUTION'!G32="","",'ORDER VS WEEK DISTRIBUTION'!G32)</f>
        <v/>
      </c>
      <c r="H6" s="111">
        <f>IF('ORDER VS WEEK DISTRIBUTION'!U32="","",'ORDER VS WEEK DISTRIBUTION'!U32)</f>
        <v/>
      </c>
      <c r="I6" s="111">
        <f>IF('ORDER VS WEEK DISTRIBUTION'!V32="","",'ORDER VS WEEK DISTRIBUTION'!V32)</f>
        <v/>
      </c>
      <c r="J6" s="111">
        <f>IF('ORDER VS WEEK DISTRIBUTION'!W32="","",'ORDER VS WEEK DISTRIBUTION'!W32)</f>
        <v/>
      </c>
      <c r="K6" s="111">
        <f>IF('ORDER VS WEEK DISTRIBUTION'!X32="","",'ORDER VS WEEK DISTRIBUTION'!X32)</f>
        <v/>
      </c>
      <c r="L6" s="111">
        <f>IF('ORDER VS WEEK DISTRIBUTION'!Y32="","",'ORDER VS WEEK DISTRIBUTION'!Y32)</f>
        <v/>
      </c>
      <c r="M6" s="111">
        <f>IF('ORDER VS WEEK DISTRIBUTION'!Z32="","",'ORDER VS WEEK DISTRIBUTION'!Z32)</f>
        <v/>
      </c>
      <c r="N6" s="111">
        <f>IF('ORDER VS WEEK DISTRIBUTION'!AA32="","",'ORDER VS WEEK DISTRIBUTION'!AA32)</f>
        <v/>
      </c>
      <c r="O6" s="111">
        <f>IF('ORDER VS WEEK DISTRIBUTION'!AB32="","",'ORDER VS WEEK DISTRIBUTION'!AB32)</f>
        <v/>
      </c>
      <c r="P6" s="111">
        <f>IF('ORDER VS WEEK DISTRIBUTION'!AC32="","",'ORDER VS WEEK DISTRIBUTION'!AC32)</f>
        <v/>
      </c>
      <c r="Q6" s="111">
        <f>IF('ORDER VS WEEK DISTRIBUTION'!AD32="","",'ORDER VS WEEK DISTRIBUTION'!AD32)</f>
        <v/>
      </c>
      <c r="R6" s="111">
        <f>IF('ORDER VS WEEK DISTRIBUTION'!AE32="","",'ORDER VS WEEK DISTRIBUTION'!AE32)</f>
        <v/>
      </c>
      <c r="S6" s="111">
        <f>IF('ORDER VS WEEK DISTRIBUTION'!AF32="","",'ORDER VS WEEK DISTRIBUTION'!AF32)</f>
        <v/>
      </c>
    </row>
    <row r="7">
      <c r="A7" s="86" t="n"/>
      <c r="B7" s="104" t="n"/>
      <c r="C7" s="86" t="n"/>
      <c r="D7" s="108">
        <f>IF('ORDER VS WEEK DISTRIBUTION'!D33="","",'ORDER VS WEEK DISTRIBUTION'!D33)</f>
        <v/>
      </c>
      <c r="E7" s="109">
        <f>IF('ORDER VS WEEK DISTRIBUTION'!E33="","",'ORDER VS WEEK DISTRIBUTION'!E33)</f>
        <v/>
      </c>
      <c r="F7" s="110">
        <f>IF('ORDER VS WEEK DISTRIBUTION'!F33="","",'ORDER VS WEEK DISTRIBUTION'!F33)</f>
        <v/>
      </c>
      <c r="G7" s="110">
        <f>IF('ORDER VS WEEK DISTRIBUTION'!G33="","",'ORDER VS WEEK DISTRIBUTION'!G33)</f>
        <v/>
      </c>
      <c r="H7" s="111">
        <f>IF('ORDER VS WEEK DISTRIBUTION'!U33="","",'ORDER VS WEEK DISTRIBUTION'!U33)</f>
        <v/>
      </c>
      <c r="I7" s="111">
        <f>IF('ORDER VS WEEK DISTRIBUTION'!V33="","",'ORDER VS WEEK DISTRIBUTION'!V33)</f>
        <v/>
      </c>
      <c r="J7" s="111">
        <f>IF('ORDER VS WEEK DISTRIBUTION'!W33="","",'ORDER VS WEEK DISTRIBUTION'!W33)</f>
        <v/>
      </c>
      <c r="K7" s="111">
        <f>IF('ORDER VS WEEK DISTRIBUTION'!X33="","",'ORDER VS WEEK DISTRIBUTION'!X33)</f>
        <v/>
      </c>
      <c r="L7" s="111">
        <f>IF('ORDER VS WEEK DISTRIBUTION'!Y33="","",'ORDER VS WEEK DISTRIBUTION'!Y33)</f>
        <v/>
      </c>
      <c r="M7" s="111">
        <f>IF('ORDER VS WEEK DISTRIBUTION'!Z33="","",'ORDER VS WEEK DISTRIBUTION'!Z33)</f>
        <v/>
      </c>
      <c r="N7" s="111">
        <f>IF('ORDER VS WEEK DISTRIBUTION'!AA33="","",'ORDER VS WEEK DISTRIBUTION'!AA33)</f>
        <v/>
      </c>
      <c r="O7" s="111">
        <f>IF('ORDER VS WEEK DISTRIBUTION'!AB33="","",'ORDER VS WEEK DISTRIBUTION'!AB33)</f>
        <v/>
      </c>
      <c r="P7" s="111">
        <f>IF('ORDER VS WEEK DISTRIBUTION'!AC33="","",'ORDER VS WEEK DISTRIBUTION'!AC33)</f>
        <v/>
      </c>
      <c r="Q7" s="111">
        <f>IF('ORDER VS WEEK DISTRIBUTION'!AD33="","",'ORDER VS WEEK DISTRIBUTION'!AD33)</f>
        <v/>
      </c>
      <c r="R7" s="111">
        <f>IF('ORDER VS WEEK DISTRIBUTION'!AE33="","",'ORDER VS WEEK DISTRIBUTION'!AE33)</f>
        <v/>
      </c>
      <c r="S7" s="111">
        <f>IF('ORDER VS WEEK DISTRIBUTION'!AF33="","",'ORDER VS WEEK DISTRIBUTION'!AF33)</f>
        <v/>
      </c>
    </row>
    <row r="8">
      <c r="A8" s="128">
        <f>IF('ORDER VS WEEK DISTRIBUTION'!A34="","",'ORDER VS WEEK DISTRIBUTION'!A34)</f>
        <v/>
      </c>
      <c r="B8" s="104" t="n"/>
      <c r="C8" s="65">
        <f>IF('ORDER VS WEEK DISTRIBUTION'!C43="","",'ORDER VS WEEK DISTRIBUTION'!C43)</f>
        <v/>
      </c>
      <c r="D8" s="52">
        <f>IF('ORDER VS WEEK DISTRIBUTION'!D43="","",'ORDER VS WEEK DISTRIBUTION'!D43)</f>
        <v/>
      </c>
      <c r="E8" s="53">
        <f>IF('ORDER VS WEEK DISTRIBUTION'!E43="","",'ORDER VS WEEK DISTRIBUTION'!E43)</f>
        <v/>
      </c>
      <c r="F8" s="53">
        <f>IF('ORDER VS WEEK DISTRIBUTION'!F43="","",'ORDER VS WEEK DISTRIBUTION'!F43)</f>
        <v/>
      </c>
      <c r="G8" s="75">
        <f>IF('ORDER VS WEEK DISTRIBUTION'!G43="","",'ORDER VS WEEK DISTRIBUTION'!G43)</f>
        <v/>
      </c>
      <c r="H8" s="75">
        <f>IF('ORDER VS WEEK DISTRIBUTION'!U43="","",'ORDER VS WEEK DISTRIBUTION'!U43)</f>
        <v/>
      </c>
      <c r="I8" s="75">
        <f>IF('ORDER VS WEEK DISTRIBUTION'!V43="","",'ORDER VS WEEK DISTRIBUTION'!V43)</f>
        <v/>
      </c>
      <c r="J8" s="75">
        <f>IF('ORDER VS WEEK DISTRIBUTION'!W43="","",'ORDER VS WEEK DISTRIBUTION'!W43)</f>
        <v/>
      </c>
      <c r="K8" s="75">
        <f>IF('ORDER VS WEEK DISTRIBUTION'!X43="","",'ORDER VS WEEK DISTRIBUTION'!X43)</f>
        <v/>
      </c>
      <c r="L8" s="75">
        <f>IF('ORDER VS WEEK DISTRIBUTION'!Y43="","",'ORDER VS WEEK DISTRIBUTION'!Y43)</f>
        <v/>
      </c>
      <c r="M8" s="75">
        <f>IF('ORDER VS WEEK DISTRIBUTION'!Z43="","",'ORDER VS WEEK DISTRIBUTION'!Z43)</f>
        <v/>
      </c>
      <c r="N8" s="75">
        <f>IF('ORDER VS WEEK DISTRIBUTION'!AA43="","",'ORDER VS WEEK DISTRIBUTION'!AA43)</f>
        <v/>
      </c>
      <c r="O8" s="75">
        <f>IF('ORDER VS WEEK DISTRIBUTION'!AB43="","",'ORDER VS WEEK DISTRIBUTION'!AB43)</f>
        <v/>
      </c>
      <c r="P8" s="75">
        <f>IF('ORDER VS WEEK DISTRIBUTION'!AC43="","",'ORDER VS WEEK DISTRIBUTION'!AC43)</f>
        <v/>
      </c>
      <c r="Q8" s="75">
        <f>IF('ORDER VS WEEK DISTRIBUTION'!AD43="","",'ORDER VS WEEK DISTRIBUTION'!AD43)</f>
        <v/>
      </c>
      <c r="R8" s="75">
        <f>IF('ORDER VS WEEK DISTRIBUTION'!AE43="","",'ORDER VS WEEK DISTRIBUTION'!AE43)</f>
        <v/>
      </c>
      <c r="S8" s="75">
        <f>IF('ORDER VS WEEK DISTRIBUTION'!AF43="","",'ORDER VS WEEK DISTRIBUTION'!AF43)</f>
        <v/>
      </c>
    </row>
    <row r="9">
      <c r="A9" s="104" t="n"/>
      <c r="B9" s="104" t="n"/>
      <c r="C9" s="124">
        <f>IF('ORDER VS WEEK DISTRIBUTION'!C44="","",'ORDER VS WEEK DISTRIBUTION'!C44)</f>
        <v/>
      </c>
      <c r="D9" s="52">
        <f>IF('ORDER VS WEEK DISTRIBUTION'!D44="","",'ORDER VS WEEK DISTRIBUTION'!D44)</f>
        <v/>
      </c>
      <c r="E9" s="53">
        <f>IF('ORDER VS WEEK DISTRIBUTION'!E44="","",'ORDER VS WEEK DISTRIBUTION'!E44)</f>
        <v/>
      </c>
      <c r="F9" s="53">
        <f>IF('ORDER VS WEEK DISTRIBUTION'!F44="","",'ORDER VS WEEK DISTRIBUTION'!F44)</f>
        <v/>
      </c>
      <c r="G9" s="75">
        <f>IF('ORDER VS WEEK DISTRIBUTION'!G44="","",'ORDER VS WEEK DISTRIBUTION'!G44)</f>
        <v/>
      </c>
      <c r="H9" s="75">
        <f>IF('ORDER VS WEEK DISTRIBUTION'!U44="","",'ORDER VS WEEK DISTRIBUTION'!U44)</f>
        <v/>
      </c>
      <c r="I9" s="75">
        <f>IF('ORDER VS WEEK DISTRIBUTION'!V44="","",'ORDER VS WEEK DISTRIBUTION'!V44)</f>
        <v/>
      </c>
      <c r="J9" s="75">
        <f>IF('ORDER VS WEEK DISTRIBUTION'!W44="","",'ORDER VS WEEK DISTRIBUTION'!W44)</f>
        <v/>
      </c>
      <c r="K9" s="75">
        <f>IF('ORDER VS WEEK DISTRIBUTION'!X44="","",'ORDER VS WEEK DISTRIBUTION'!X44)</f>
        <v/>
      </c>
      <c r="L9" s="75">
        <f>IF('ORDER VS WEEK DISTRIBUTION'!Y44="","",'ORDER VS WEEK DISTRIBUTION'!Y44)</f>
        <v/>
      </c>
      <c r="M9" s="75">
        <f>IF('ORDER VS WEEK DISTRIBUTION'!Z44="","",'ORDER VS WEEK DISTRIBUTION'!Z44)</f>
        <v/>
      </c>
      <c r="N9" s="75">
        <f>IF('ORDER VS WEEK DISTRIBUTION'!AA44="","",'ORDER VS WEEK DISTRIBUTION'!AA44)</f>
        <v/>
      </c>
      <c r="O9" s="75">
        <f>IF('ORDER VS WEEK DISTRIBUTION'!AB44="","",'ORDER VS WEEK DISTRIBUTION'!AB44)</f>
        <v/>
      </c>
      <c r="P9" s="75">
        <f>IF('ORDER VS WEEK DISTRIBUTION'!AC44="","",'ORDER VS WEEK DISTRIBUTION'!AC44)</f>
        <v/>
      </c>
      <c r="Q9" s="75">
        <f>IF('ORDER VS WEEK DISTRIBUTION'!AD44="","",'ORDER VS WEEK DISTRIBUTION'!AD44)</f>
        <v/>
      </c>
      <c r="R9" s="75">
        <f>IF('ORDER VS WEEK DISTRIBUTION'!AE44="","",'ORDER VS WEEK DISTRIBUTION'!AE44)</f>
        <v/>
      </c>
      <c r="S9" s="75">
        <f>IF('ORDER VS WEEK DISTRIBUTION'!AF44="","",'ORDER VS WEEK DISTRIBUTION'!AF44)</f>
        <v/>
      </c>
    </row>
    <row r="10">
      <c r="A10" s="104" t="n"/>
      <c r="B10" s="104" t="n"/>
      <c r="C10" s="105">
        <f>IF('ORDER VS WEEK DISTRIBUTION'!C45="","",'ORDER VS WEEK DISTRIBUTION'!C45)</f>
        <v/>
      </c>
      <c r="D10" s="125">
        <f>IF('ORDER VS WEEK DISTRIBUTION'!D45="","",'ORDER VS WEEK DISTRIBUTION'!D45)</f>
        <v/>
      </c>
      <c r="E10" s="126">
        <f>IF('ORDER VS WEEK DISTRIBUTION'!E45="","",'ORDER VS WEEK DISTRIBUTION'!E45)</f>
        <v/>
      </c>
      <c r="F10" s="126">
        <f>IF('ORDER VS WEEK DISTRIBUTION'!F45="","",'ORDER VS WEEK DISTRIBUTION'!F45)</f>
        <v/>
      </c>
      <c r="G10" s="127">
        <f>IF('ORDER VS WEEK DISTRIBUTION'!G45="","",'ORDER VS WEEK DISTRIBUTION'!G45)</f>
        <v/>
      </c>
      <c r="H10" s="127">
        <f>IF('ORDER VS WEEK DISTRIBUTION'!U45="","",'ORDER VS WEEK DISTRIBUTION'!U45)</f>
        <v/>
      </c>
      <c r="I10" s="127">
        <f>IF('ORDER VS WEEK DISTRIBUTION'!V45="","",'ORDER VS WEEK DISTRIBUTION'!V45)</f>
        <v/>
      </c>
      <c r="J10" s="127">
        <f>IF('ORDER VS WEEK DISTRIBUTION'!W45="","",'ORDER VS WEEK DISTRIBUTION'!W45)</f>
        <v/>
      </c>
      <c r="K10" s="127">
        <f>IF('ORDER VS WEEK DISTRIBUTION'!X45="","",'ORDER VS WEEK DISTRIBUTION'!X45)</f>
        <v/>
      </c>
      <c r="L10" s="127">
        <f>IF('ORDER VS WEEK DISTRIBUTION'!Y45="","",'ORDER VS WEEK DISTRIBUTION'!Y45)</f>
        <v/>
      </c>
      <c r="M10" s="127">
        <f>IF('ORDER VS WEEK DISTRIBUTION'!Z45="","",'ORDER VS WEEK DISTRIBUTION'!Z45)</f>
        <v/>
      </c>
      <c r="N10" s="127">
        <f>IF('ORDER VS WEEK DISTRIBUTION'!AA45="","",'ORDER VS WEEK DISTRIBUTION'!AA45)</f>
        <v/>
      </c>
      <c r="O10" s="127">
        <f>IF('ORDER VS WEEK DISTRIBUTION'!AB45="","",'ORDER VS WEEK DISTRIBUTION'!AB45)</f>
        <v/>
      </c>
      <c r="P10" s="127">
        <f>IF('ORDER VS WEEK DISTRIBUTION'!AC45="","",'ORDER VS WEEK DISTRIBUTION'!AC45)</f>
        <v/>
      </c>
      <c r="Q10" s="127">
        <f>IF('ORDER VS WEEK DISTRIBUTION'!AD45="","",'ORDER VS WEEK DISTRIBUTION'!AD45)</f>
        <v/>
      </c>
      <c r="R10" s="127">
        <f>IF('ORDER VS WEEK DISTRIBUTION'!AE45="","",'ORDER VS WEEK DISTRIBUTION'!AE45)</f>
        <v/>
      </c>
      <c r="S10" s="127">
        <f>IF('ORDER VS WEEK DISTRIBUTION'!AF45="","",'ORDER VS WEEK DISTRIBUTION'!AF45)</f>
        <v/>
      </c>
    </row>
    <row r="11">
      <c r="A11" s="104" t="n"/>
      <c r="B11" s="104" t="n"/>
      <c r="C11" s="116">
        <f>IF('ORDER VS WEEK DISTRIBUTION'!C46="","",'ORDER VS WEEK DISTRIBUTION'!C46)</f>
        <v/>
      </c>
      <c r="D11" s="108">
        <f>IF('ORDER VS WEEK DISTRIBUTION'!D46="","",'ORDER VS WEEK DISTRIBUTION'!D46)</f>
        <v/>
      </c>
      <c r="E11" s="114">
        <f>IF('ORDER VS WEEK DISTRIBUTION'!E46="","",'ORDER VS WEEK DISTRIBUTION'!E46)</f>
        <v/>
      </c>
      <c r="F11" s="114">
        <f>IF('ORDER VS WEEK DISTRIBUTION'!F46="","",'ORDER VS WEEK DISTRIBUTION'!F46)</f>
        <v/>
      </c>
      <c r="G11" s="115">
        <f>IF('ORDER VS WEEK DISTRIBUTION'!G46="","",'ORDER VS WEEK DISTRIBUTION'!G46)</f>
        <v/>
      </c>
      <c r="H11" s="111">
        <f>IF('ORDER VS WEEK DISTRIBUTION'!U46="","",'ORDER VS WEEK DISTRIBUTION'!U46)</f>
        <v/>
      </c>
      <c r="I11" s="111">
        <f>IF('ORDER VS WEEK DISTRIBUTION'!V46="","",'ORDER VS WEEK DISTRIBUTION'!V46)</f>
        <v/>
      </c>
      <c r="J11" s="111">
        <f>IF('ORDER VS WEEK DISTRIBUTION'!W46="","",'ORDER VS WEEK DISTRIBUTION'!W46)</f>
        <v/>
      </c>
      <c r="K11" s="111">
        <f>IF('ORDER VS WEEK DISTRIBUTION'!X46="","",'ORDER VS WEEK DISTRIBUTION'!X46)</f>
        <v/>
      </c>
      <c r="L11" s="111">
        <f>IF('ORDER VS WEEK DISTRIBUTION'!Y46="","",'ORDER VS WEEK DISTRIBUTION'!Y46)</f>
        <v/>
      </c>
      <c r="M11" s="111">
        <f>IF('ORDER VS WEEK DISTRIBUTION'!Z46="","",'ORDER VS WEEK DISTRIBUTION'!Z46)</f>
        <v/>
      </c>
      <c r="N11" s="111">
        <f>IF('ORDER VS WEEK DISTRIBUTION'!AA46="","",'ORDER VS WEEK DISTRIBUTION'!AA46)</f>
        <v/>
      </c>
      <c r="O11" s="111">
        <f>IF('ORDER VS WEEK DISTRIBUTION'!AB46="","",'ORDER VS WEEK DISTRIBUTION'!AB46)</f>
        <v/>
      </c>
      <c r="P11" s="111">
        <f>IF('ORDER VS WEEK DISTRIBUTION'!AC46="","",'ORDER VS WEEK DISTRIBUTION'!AC46)</f>
        <v/>
      </c>
      <c r="Q11" s="111">
        <f>IF('ORDER VS WEEK DISTRIBUTION'!AD46="","",'ORDER VS WEEK DISTRIBUTION'!AD46)</f>
        <v/>
      </c>
      <c r="R11" s="111">
        <f>IF('ORDER VS WEEK DISTRIBUTION'!AE46="","",'ORDER VS WEEK DISTRIBUTION'!AE46)</f>
        <v/>
      </c>
      <c r="S11" s="111">
        <f>IF('ORDER VS WEEK DISTRIBUTION'!AF46="","",'ORDER VS WEEK DISTRIBUTION'!AF46)</f>
        <v/>
      </c>
    </row>
    <row r="12">
      <c r="A12" s="86" t="n"/>
      <c r="B12" s="104" t="n"/>
      <c r="C12" s="86" t="n"/>
      <c r="D12" s="108">
        <f>IF('ORDER VS WEEK DISTRIBUTION'!D47="","",'ORDER VS WEEK DISTRIBUTION'!D47)</f>
        <v/>
      </c>
      <c r="E12" s="117">
        <f>IF('ORDER VS WEEK DISTRIBUTION'!E47="","",'ORDER VS WEEK DISTRIBUTION'!E47)</f>
        <v/>
      </c>
      <c r="F12" s="117">
        <f>IF('ORDER VS WEEK DISTRIBUTION'!F47="","",'ORDER VS WEEK DISTRIBUTION'!F47)</f>
        <v/>
      </c>
      <c r="G12" s="110">
        <f>IF('ORDER VS WEEK DISTRIBUTION'!G47="","",'ORDER VS WEEK DISTRIBUTION'!G47)</f>
        <v/>
      </c>
      <c r="H12" s="111">
        <f>IF('ORDER VS WEEK DISTRIBUTION'!U47="","",'ORDER VS WEEK DISTRIBUTION'!U47)</f>
        <v/>
      </c>
      <c r="I12" s="111">
        <f>IF('ORDER VS WEEK DISTRIBUTION'!V47="","",'ORDER VS WEEK DISTRIBUTION'!V47)</f>
        <v/>
      </c>
      <c r="J12" s="111">
        <f>IF('ORDER VS WEEK DISTRIBUTION'!W47="","",'ORDER VS WEEK DISTRIBUTION'!W47)</f>
        <v/>
      </c>
      <c r="K12" s="111">
        <f>IF('ORDER VS WEEK DISTRIBUTION'!X47="","",'ORDER VS WEEK DISTRIBUTION'!X47)</f>
        <v/>
      </c>
      <c r="L12" s="111">
        <f>IF('ORDER VS WEEK DISTRIBUTION'!Y47="","",'ORDER VS WEEK DISTRIBUTION'!Y47)</f>
        <v/>
      </c>
      <c r="M12" s="111">
        <f>IF('ORDER VS WEEK DISTRIBUTION'!Z47="","",'ORDER VS WEEK DISTRIBUTION'!Z47)</f>
        <v/>
      </c>
      <c r="N12" s="111">
        <f>IF('ORDER VS WEEK DISTRIBUTION'!AA47="","",'ORDER VS WEEK DISTRIBUTION'!AA47)</f>
        <v/>
      </c>
      <c r="O12" s="111">
        <f>IF('ORDER VS WEEK DISTRIBUTION'!AB47="","",'ORDER VS WEEK DISTRIBUTION'!AB47)</f>
        <v/>
      </c>
      <c r="P12" s="111">
        <f>IF('ORDER VS WEEK DISTRIBUTION'!AC47="","",'ORDER VS WEEK DISTRIBUTION'!AC47)</f>
        <v/>
      </c>
      <c r="Q12" s="111">
        <f>IF('ORDER VS WEEK DISTRIBUTION'!AD47="","",'ORDER VS WEEK DISTRIBUTION'!AD47)</f>
        <v/>
      </c>
      <c r="R12" s="111">
        <f>IF('ORDER VS WEEK DISTRIBUTION'!AE47="","",'ORDER VS WEEK DISTRIBUTION'!AE47)</f>
        <v/>
      </c>
      <c r="S12" s="111">
        <f>IF('ORDER VS WEEK DISTRIBUTION'!AF47="","",'ORDER VS WEEK DISTRIBUTION'!AF47)</f>
        <v/>
      </c>
    </row>
    <row r="13">
      <c r="A13" s="123">
        <f>IF('ORDER VS WEEK DISTRIBUTION'!A48="","",'ORDER VS WEEK DISTRIBUTION'!A48)</f>
        <v/>
      </c>
      <c r="B13" s="104" t="n"/>
      <c r="C13" s="65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DISTRIBUTION'!U54="","",'ORDER VS WEEK DISTRIBUTION'!U54)</f>
        <v/>
      </c>
      <c r="I13" s="75">
        <f>IF('ORDER VS WEEK DISTRIBUTION'!V54="","",'ORDER VS WEEK DISTRIBUTION'!V54)</f>
        <v/>
      </c>
      <c r="J13" s="75">
        <f>IF('ORDER VS WEEK DISTRIBUTION'!W54="","",'ORDER VS WEEK DISTRIBUTION'!W54)</f>
        <v/>
      </c>
      <c r="K13" s="75">
        <f>IF('ORDER VS WEEK DISTRIBUTION'!X54="","",'ORDER VS WEEK DISTRIBUTION'!X54)</f>
        <v/>
      </c>
      <c r="L13" s="75">
        <f>IF('ORDER VS WEEK DISTRIBUTION'!Y54="","",'ORDER VS WEEK DISTRIBUTION'!Y54)</f>
        <v/>
      </c>
      <c r="M13" s="75">
        <f>IF('ORDER VS WEEK DISTRIBUTION'!Z54="","",'ORDER VS WEEK DISTRIBUTION'!Z54)</f>
        <v/>
      </c>
      <c r="N13" s="75">
        <f>IF('ORDER VS WEEK DISTRIBUTION'!AA54="","",'ORDER VS WEEK DISTRIBUTION'!AA54)</f>
        <v/>
      </c>
      <c r="O13" s="75">
        <f>IF('ORDER VS WEEK DISTRIBUTION'!AB54="","",'ORDER VS WEEK DISTRIBUTION'!AB54)</f>
        <v/>
      </c>
      <c r="P13" s="75">
        <f>IF('ORDER VS WEEK DISTRIBUTION'!AC54="","",'ORDER VS WEEK DISTRIBUTION'!AC54)</f>
        <v/>
      </c>
      <c r="Q13" s="75">
        <f>IF('ORDER VS WEEK DISTRIBUTION'!AD54="","",'ORDER VS WEEK DISTRIBUTION'!AD54)</f>
        <v/>
      </c>
      <c r="R13" s="75">
        <f>IF('ORDER VS WEEK DISTRIBUTION'!AE54="","",'ORDER VS WEEK DISTRIBUTION'!AE54)</f>
        <v/>
      </c>
      <c r="S13" s="75">
        <f>IF('ORDER VS WEEK DISTRIBUTION'!AF54="","",'ORDER VS WEEK DISTRIBUTION'!AF54)</f>
        <v/>
      </c>
    </row>
    <row r="14">
      <c r="A14" s="104" t="n"/>
      <c r="B14" s="104" t="n"/>
      <c r="C14" s="124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DISTRIBUTION'!U55="","",'ORDER VS WEEK DISTRIBUTION'!U55)</f>
        <v/>
      </c>
      <c r="I14" s="75">
        <f>IF('ORDER VS WEEK DISTRIBUTION'!V55="","",'ORDER VS WEEK DISTRIBUTION'!V55)</f>
        <v/>
      </c>
      <c r="J14" s="75">
        <f>IF('ORDER VS WEEK DISTRIBUTION'!W55="","",'ORDER VS WEEK DISTRIBUTION'!W55)</f>
        <v/>
      </c>
      <c r="K14" s="75">
        <f>IF('ORDER VS WEEK DISTRIBUTION'!X55="","",'ORDER VS WEEK DISTRIBUTION'!X55)</f>
        <v/>
      </c>
      <c r="L14" s="75">
        <f>IF('ORDER VS WEEK DISTRIBUTION'!Y55="","",'ORDER VS WEEK DISTRIBUTION'!Y55)</f>
        <v/>
      </c>
      <c r="M14" s="75">
        <f>IF('ORDER VS WEEK DISTRIBUTION'!Z55="","",'ORDER VS WEEK DISTRIBUTION'!Z55)</f>
        <v/>
      </c>
      <c r="N14" s="75">
        <f>IF('ORDER VS WEEK DISTRIBUTION'!AA55="","",'ORDER VS WEEK DISTRIBUTION'!AA55)</f>
        <v/>
      </c>
      <c r="O14" s="75">
        <f>IF('ORDER VS WEEK DISTRIBUTION'!AB55="","",'ORDER VS WEEK DISTRIBUTION'!AB55)</f>
        <v/>
      </c>
      <c r="P14" s="75">
        <f>IF('ORDER VS WEEK DISTRIBUTION'!AC55="","",'ORDER VS WEEK DISTRIBUTION'!AC55)</f>
        <v/>
      </c>
      <c r="Q14" s="75">
        <f>IF('ORDER VS WEEK DISTRIBUTION'!AD55="","",'ORDER VS WEEK DISTRIBUTION'!AD55)</f>
        <v/>
      </c>
      <c r="R14" s="75">
        <f>IF('ORDER VS WEEK DISTRIBUTION'!AE55="","",'ORDER VS WEEK DISTRIBUTION'!AE55)</f>
        <v/>
      </c>
      <c r="S14" s="75">
        <f>IF('ORDER VS WEEK DISTRIBUTION'!AF55="","",'ORDER VS WEEK DISTRIBUTION'!AF55)</f>
        <v/>
      </c>
    </row>
    <row r="15">
      <c r="A15" s="104" t="n"/>
      <c r="B15" s="104" t="n"/>
      <c r="C15" s="105">
        <f>IF('ORDER VS WEEK DISTRIBUTION'!C56="","",'ORDER VS WEEK DISTRIBUTION'!C56)</f>
        <v/>
      </c>
      <c r="D15" s="125">
        <f>IF('ORDER VS WEEK DISTRIBUTION'!D56="","",'ORDER VS WEEK DISTRIBUTION'!D56)</f>
        <v/>
      </c>
      <c r="E15" s="126">
        <f>IF('ORDER VS WEEK DISTRIBUTION'!E56="","",'ORDER VS WEEK DISTRIBUTION'!E56)</f>
        <v/>
      </c>
      <c r="F15" s="126">
        <f>IF('ORDER VS WEEK DISTRIBUTION'!F56="","",'ORDER VS WEEK DISTRIBUTION'!F56)</f>
        <v/>
      </c>
      <c r="G15" s="127">
        <f>IF('ORDER VS WEEK DISTRIBUTION'!G56="","",'ORDER VS WEEK DISTRIBUTION'!G56)</f>
        <v/>
      </c>
      <c r="H15" s="127">
        <f>IF('ORDER VS WEEK DISTRIBUTION'!U56="","",'ORDER VS WEEK DISTRIBUTION'!U56)</f>
        <v/>
      </c>
      <c r="I15" s="127">
        <f>IF('ORDER VS WEEK DISTRIBUTION'!V56="","",'ORDER VS WEEK DISTRIBUTION'!V56)</f>
        <v/>
      </c>
      <c r="J15" s="127">
        <f>IF('ORDER VS WEEK DISTRIBUTION'!W56="","",'ORDER VS WEEK DISTRIBUTION'!W56)</f>
        <v/>
      </c>
      <c r="K15" s="127">
        <f>IF('ORDER VS WEEK DISTRIBUTION'!X56="","",'ORDER VS WEEK DISTRIBUTION'!X56)</f>
        <v/>
      </c>
      <c r="L15" s="127">
        <f>IF('ORDER VS WEEK DISTRIBUTION'!Y56="","",'ORDER VS WEEK DISTRIBUTION'!Y56)</f>
        <v/>
      </c>
      <c r="M15" s="127">
        <f>IF('ORDER VS WEEK DISTRIBUTION'!Z56="","",'ORDER VS WEEK DISTRIBUTION'!Z56)</f>
        <v/>
      </c>
      <c r="N15" s="127">
        <f>IF('ORDER VS WEEK DISTRIBUTION'!AA56="","",'ORDER VS WEEK DISTRIBUTION'!AA56)</f>
        <v/>
      </c>
      <c r="O15" s="127">
        <f>IF('ORDER VS WEEK DISTRIBUTION'!AB56="","",'ORDER VS WEEK DISTRIBUTION'!AB56)</f>
        <v/>
      </c>
      <c r="P15" s="127">
        <f>IF('ORDER VS WEEK DISTRIBUTION'!AC56="","",'ORDER VS WEEK DISTRIBUTION'!AC56)</f>
        <v/>
      </c>
      <c r="Q15" s="127">
        <f>IF('ORDER VS WEEK DISTRIBUTION'!AD56="","",'ORDER VS WEEK DISTRIBUTION'!AD56)</f>
        <v/>
      </c>
      <c r="R15" s="127">
        <f>IF('ORDER VS WEEK DISTRIBUTION'!AE56="","",'ORDER VS WEEK DISTRIBUTION'!AE56)</f>
        <v/>
      </c>
      <c r="S15" s="127">
        <f>IF('ORDER VS WEEK DISTRIBUTION'!AF56="","",'ORDER VS WEEK DISTRIBUTION'!AF56)</f>
        <v/>
      </c>
    </row>
    <row r="16">
      <c r="A16" s="104" t="n"/>
      <c r="B16" s="104" t="n"/>
      <c r="C16" s="116">
        <f>IF('ORDER VS WEEK DISTRIBUTION'!C57="","",'ORDER VS WEEK DISTRIBUTION'!C57)</f>
        <v/>
      </c>
      <c r="D16" s="108">
        <f>IF('ORDER VS WEEK DISTRIBUTION'!D57="","",'ORDER VS WEEK DISTRIBUTION'!D57)</f>
        <v/>
      </c>
      <c r="E16" s="114">
        <f>IF('ORDER VS WEEK DISTRIBUTION'!E57="","",'ORDER VS WEEK DISTRIBUTION'!E57)</f>
        <v/>
      </c>
      <c r="F16" s="114">
        <f>IF('ORDER VS WEEK DISTRIBUTION'!F57="","",'ORDER VS WEEK DISTRIBUTION'!F57)</f>
        <v/>
      </c>
      <c r="G16" s="115">
        <f>IF('ORDER VS WEEK DISTRIBUTION'!G57="","",'ORDER VS WEEK DISTRIBUTION'!G57)</f>
        <v/>
      </c>
      <c r="H16" s="111">
        <f>IF('ORDER VS WEEK DISTRIBUTION'!U57="","",'ORDER VS WEEK DISTRIBUTION'!U57)</f>
        <v/>
      </c>
      <c r="I16" s="111">
        <f>IF('ORDER VS WEEK DISTRIBUTION'!V57="","",'ORDER VS WEEK DISTRIBUTION'!V57)</f>
        <v/>
      </c>
      <c r="J16" s="111">
        <f>IF('ORDER VS WEEK DISTRIBUTION'!W57="","",'ORDER VS WEEK DISTRIBUTION'!W57)</f>
        <v/>
      </c>
      <c r="K16" s="111">
        <f>IF('ORDER VS WEEK DISTRIBUTION'!X57="","",'ORDER VS WEEK DISTRIBUTION'!X57)</f>
        <v/>
      </c>
      <c r="L16" s="111">
        <f>IF('ORDER VS WEEK DISTRIBUTION'!Y57="","",'ORDER VS WEEK DISTRIBUTION'!Y57)</f>
        <v/>
      </c>
      <c r="M16" s="111">
        <f>IF('ORDER VS WEEK DISTRIBUTION'!Z57="","",'ORDER VS WEEK DISTRIBUTION'!Z57)</f>
        <v/>
      </c>
      <c r="N16" s="111">
        <f>IF('ORDER VS WEEK DISTRIBUTION'!AA57="","",'ORDER VS WEEK DISTRIBUTION'!AA57)</f>
        <v/>
      </c>
      <c r="O16" s="111">
        <f>IF('ORDER VS WEEK DISTRIBUTION'!AB57="","",'ORDER VS WEEK DISTRIBUTION'!AB57)</f>
        <v/>
      </c>
      <c r="P16" s="111">
        <f>IF('ORDER VS WEEK DISTRIBUTION'!AC57="","",'ORDER VS WEEK DISTRIBUTION'!AC57)</f>
        <v/>
      </c>
      <c r="Q16" s="111">
        <f>IF('ORDER VS WEEK DISTRIBUTION'!AD57="","",'ORDER VS WEEK DISTRIBUTION'!AD57)</f>
        <v/>
      </c>
      <c r="R16" s="111">
        <f>IF('ORDER VS WEEK DISTRIBUTION'!AE57="","",'ORDER VS WEEK DISTRIBUTION'!AE57)</f>
        <v/>
      </c>
      <c r="S16" s="111">
        <f>IF('ORDER VS WEEK DISTRIBUTION'!AF57="","",'ORDER VS WEEK DISTRIBUTION'!AF57)</f>
        <v/>
      </c>
    </row>
    <row r="17">
      <c r="A17" s="86" t="n"/>
      <c r="B17" s="104" t="n"/>
      <c r="C17" s="86" t="n"/>
      <c r="D17" s="108">
        <f>IF('ORDER VS WEEK DISTRIBUTION'!D58="","",'ORDER VS WEEK DISTRIBUTION'!D58)</f>
        <v/>
      </c>
      <c r="E17" s="114">
        <f>IF('ORDER VS WEEK DISTRIBUTION'!E58="","",'ORDER VS WEEK DISTRIBUTION'!E58)</f>
        <v/>
      </c>
      <c r="F17" s="114">
        <f>IF('ORDER VS WEEK DISTRIBUTION'!F58="","",'ORDER VS WEEK DISTRIBUTION'!F58)</f>
        <v/>
      </c>
      <c r="G17" s="115">
        <f>IF('ORDER VS WEEK DISTRIBUTION'!G58="","",'ORDER VS WEEK DISTRIBUTION'!G58)</f>
        <v/>
      </c>
      <c r="H17" s="111">
        <f>IF('ORDER VS WEEK DISTRIBUTION'!U58="","",'ORDER VS WEEK DISTRIBUTION'!U58)</f>
        <v/>
      </c>
      <c r="I17" s="111">
        <f>IF('ORDER VS WEEK DISTRIBUTION'!V58="","",'ORDER VS WEEK DISTRIBUTION'!V58)</f>
        <v/>
      </c>
      <c r="J17" s="111">
        <f>IF('ORDER VS WEEK DISTRIBUTION'!W58="","",'ORDER VS WEEK DISTRIBUTION'!W58)</f>
        <v/>
      </c>
      <c r="K17" s="111">
        <f>IF('ORDER VS WEEK DISTRIBUTION'!X58="","",'ORDER VS WEEK DISTRIBUTION'!X58)</f>
        <v/>
      </c>
      <c r="L17" s="111">
        <f>IF('ORDER VS WEEK DISTRIBUTION'!Y58="","",'ORDER VS WEEK DISTRIBUTION'!Y58)</f>
        <v/>
      </c>
      <c r="M17" s="111">
        <f>IF('ORDER VS WEEK DISTRIBUTION'!Z58="","",'ORDER VS WEEK DISTRIBUTION'!Z58)</f>
        <v/>
      </c>
      <c r="N17" s="111">
        <f>IF('ORDER VS WEEK DISTRIBUTION'!AA58="","",'ORDER VS WEEK DISTRIBUTION'!AA58)</f>
        <v/>
      </c>
      <c r="O17" s="111">
        <f>IF('ORDER VS WEEK DISTRIBUTION'!AB58="","",'ORDER VS WEEK DISTRIBUTION'!AB58)</f>
        <v/>
      </c>
      <c r="P17" s="111">
        <f>IF('ORDER VS WEEK DISTRIBUTION'!AC58="","",'ORDER VS WEEK DISTRIBUTION'!AC58)</f>
        <v/>
      </c>
      <c r="Q17" s="111">
        <f>IF('ORDER VS WEEK DISTRIBUTION'!AD58="","",'ORDER VS WEEK DISTRIBUTION'!AD58)</f>
        <v/>
      </c>
      <c r="R17" s="111">
        <f>IF('ORDER VS WEEK DISTRIBUTION'!AE58="","",'ORDER VS WEEK DISTRIBUTION'!AE58)</f>
        <v/>
      </c>
      <c r="S17" s="111">
        <f>IF('ORDER VS WEEK DISTRIBUTION'!AF58="","",'ORDER VS WEEK DISTRIBUTION'!AF58)</f>
        <v/>
      </c>
    </row>
    <row r="18">
      <c r="A18" s="128">
        <f>IF('ORDER VS WEEK DISTRIBUTION'!A59="","",'ORDER VS WEEK DISTRIBUTION'!A59)</f>
        <v/>
      </c>
      <c r="B18" s="104" t="n"/>
      <c r="C18" s="65">
        <f>IF('ORDER VS WEEK DISTRIBUTION'!C63="","",'ORDER VS WEEK DISTRIBUTION'!C63)</f>
        <v/>
      </c>
      <c r="D18" s="52">
        <f>IF('ORDER VS WEEK DISTRIBUTION'!D63="","",'ORDER VS WEEK DISTRIBUTION'!D63)</f>
        <v/>
      </c>
      <c r="E18" s="53">
        <f>IF('ORDER VS WEEK DISTRIBUTION'!E63="","",'ORDER VS WEEK DISTRIBUTION'!E63)</f>
        <v/>
      </c>
      <c r="F18" s="53">
        <f>IF('ORDER VS WEEK DISTRIBUTION'!F63="","",'ORDER VS WEEK DISTRIBUTION'!F63)</f>
        <v/>
      </c>
      <c r="G18" s="75">
        <f>IF('ORDER VS WEEK DISTRIBUTION'!G63="","",'ORDER VS WEEK DISTRIBUTION'!G63)</f>
        <v/>
      </c>
      <c r="H18" s="75">
        <f>IF('ORDER VS WEEK DISTRIBUTION'!U63="","",'ORDER VS WEEK DISTRIBUTION'!U63)</f>
        <v/>
      </c>
      <c r="I18" s="75">
        <f>IF('ORDER VS WEEK DISTRIBUTION'!V63="","",'ORDER VS WEEK DISTRIBUTION'!V63)</f>
        <v/>
      </c>
      <c r="J18" s="75">
        <f>IF('ORDER VS WEEK DISTRIBUTION'!W63="","",'ORDER VS WEEK DISTRIBUTION'!W63)</f>
        <v/>
      </c>
      <c r="K18" s="75">
        <f>IF('ORDER VS WEEK DISTRIBUTION'!X63="","",'ORDER VS WEEK DISTRIBUTION'!X63)</f>
        <v/>
      </c>
      <c r="L18" s="75">
        <f>IF('ORDER VS WEEK DISTRIBUTION'!Y63="","",'ORDER VS WEEK DISTRIBUTION'!Y63)</f>
        <v/>
      </c>
      <c r="M18" s="75">
        <f>IF('ORDER VS WEEK DISTRIBUTION'!Z63="","",'ORDER VS WEEK DISTRIBUTION'!Z63)</f>
        <v/>
      </c>
      <c r="N18" s="75">
        <f>IF('ORDER VS WEEK DISTRIBUTION'!AA63="","",'ORDER VS WEEK DISTRIBUTION'!AA63)</f>
        <v/>
      </c>
      <c r="O18" s="75">
        <f>IF('ORDER VS WEEK DISTRIBUTION'!AB63="","",'ORDER VS WEEK DISTRIBUTION'!AB63)</f>
        <v/>
      </c>
      <c r="P18" s="75">
        <f>IF('ORDER VS WEEK DISTRIBUTION'!AC63="","",'ORDER VS WEEK DISTRIBUTION'!AC63)</f>
        <v/>
      </c>
      <c r="Q18" s="75">
        <f>IF('ORDER VS WEEK DISTRIBUTION'!AD63="","",'ORDER VS WEEK DISTRIBUTION'!AD63)</f>
        <v/>
      </c>
      <c r="R18" s="75">
        <f>IF('ORDER VS WEEK DISTRIBUTION'!AE63="","",'ORDER VS WEEK DISTRIBUTION'!AE63)</f>
        <v/>
      </c>
      <c r="S18" s="75">
        <f>IF('ORDER VS WEEK DISTRIBUTION'!AF63="","",'ORDER VS WEEK DISTRIBUTION'!AF63)</f>
        <v/>
      </c>
    </row>
    <row r="19">
      <c r="A19" s="104" t="n"/>
      <c r="B19" s="104" t="n"/>
      <c r="C19" s="105">
        <f>IF('ORDER VS WEEK DISTRIBUTION'!C64="","",'ORDER VS WEEK DISTRIBUTION'!C64)</f>
        <v/>
      </c>
      <c r="D19" s="125">
        <f>IF('ORDER VS WEEK DISTRIBUTION'!D64="","",'ORDER VS WEEK DISTRIBUTION'!D64)</f>
        <v/>
      </c>
      <c r="E19" s="126">
        <f>IF('ORDER VS WEEK DISTRIBUTION'!E64="","",'ORDER VS WEEK DISTRIBUTION'!E64)</f>
        <v/>
      </c>
      <c r="F19" s="126">
        <f>IF('ORDER VS WEEK DISTRIBUTION'!F64="","",'ORDER VS WEEK DISTRIBUTION'!F64)</f>
        <v/>
      </c>
      <c r="G19" s="127">
        <f>IF('ORDER VS WEEK DISTRIBUTION'!G64="","",'ORDER VS WEEK DISTRIBUTION'!G64)</f>
        <v/>
      </c>
      <c r="H19" s="127">
        <f>IF('ORDER VS WEEK DISTRIBUTION'!U64="","",'ORDER VS WEEK DISTRIBUTION'!U64)</f>
        <v/>
      </c>
      <c r="I19" s="127">
        <f>IF('ORDER VS WEEK DISTRIBUTION'!V64="","",'ORDER VS WEEK DISTRIBUTION'!V64)</f>
        <v/>
      </c>
      <c r="J19" s="127">
        <f>IF('ORDER VS WEEK DISTRIBUTION'!W64="","",'ORDER VS WEEK DISTRIBUTION'!W64)</f>
        <v/>
      </c>
      <c r="K19" s="127">
        <f>IF('ORDER VS WEEK DISTRIBUTION'!X64="","",'ORDER VS WEEK DISTRIBUTION'!X64)</f>
        <v/>
      </c>
      <c r="L19" s="127">
        <f>IF('ORDER VS WEEK DISTRIBUTION'!Y64="","",'ORDER VS WEEK DISTRIBUTION'!Y64)</f>
        <v/>
      </c>
      <c r="M19" s="127">
        <f>IF('ORDER VS WEEK DISTRIBUTION'!Z64="","",'ORDER VS WEEK DISTRIBUTION'!Z64)</f>
        <v/>
      </c>
      <c r="N19" s="127">
        <f>IF('ORDER VS WEEK DISTRIBUTION'!AA64="","",'ORDER VS WEEK DISTRIBUTION'!AA64)</f>
        <v/>
      </c>
      <c r="O19" s="127">
        <f>IF('ORDER VS WEEK DISTRIBUTION'!AB64="","",'ORDER VS WEEK DISTRIBUTION'!AB64)</f>
        <v/>
      </c>
      <c r="P19" s="127">
        <f>IF('ORDER VS WEEK DISTRIBUTION'!AC64="","",'ORDER VS WEEK DISTRIBUTION'!AC64)</f>
        <v/>
      </c>
      <c r="Q19" s="127">
        <f>IF('ORDER VS WEEK DISTRIBUTION'!AD64="","",'ORDER VS WEEK DISTRIBUTION'!AD64)</f>
        <v/>
      </c>
      <c r="R19" s="127">
        <f>IF('ORDER VS WEEK DISTRIBUTION'!AE64="","",'ORDER VS WEEK DISTRIBUTION'!AE64)</f>
        <v/>
      </c>
      <c r="S19" s="127">
        <f>IF('ORDER VS WEEK DISTRIBUTION'!AF64="","",'ORDER VS WEEK DISTRIBUTION'!AF64)</f>
        <v/>
      </c>
    </row>
    <row r="20">
      <c r="A20" s="104" t="n"/>
      <c r="B20" s="104" t="n"/>
      <c r="C20" s="116">
        <f>IF('ORDER VS WEEK DISTRIBUTION'!C65="","",'ORDER VS WEEK DISTRIBUTION'!C65)</f>
        <v/>
      </c>
      <c r="D20" s="108">
        <f>IF('ORDER VS WEEK DISTRIBUTION'!D65="","",'ORDER VS WEEK DISTRIBUTION'!D65)</f>
        <v/>
      </c>
      <c r="E20" s="117">
        <f>IF('ORDER VS WEEK DISTRIBUTION'!E65="","",'ORDER VS WEEK DISTRIBUTION'!E65)</f>
        <v/>
      </c>
      <c r="F20" s="117">
        <f>IF('ORDER VS WEEK DISTRIBUTION'!F65="","",'ORDER VS WEEK DISTRIBUTION'!F65)</f>
        <v/>
      </c>
      <c r="G20" s="117">
        <f>IF('ORDER VS WEEK DISTRIBUTION'!G65="","",'ORDER VS WEEK DISTRIBUTION'!G65)</f>
        <v/>
      </c>
      <c r="H20" s="111">
        <f>IF('ORDER VS WEEK DISTRIBUTION'!U65="","",'ORDER VS WEEK DISTRIBUTION'!U65)</f>
        <v/>
      </c>
      <c r="I20" s="111">
        <f>IF('ORDER VS WEEK DISTRIBUTION'!V65="","",'ORDER VS WEEK DISTRIBUTION'!V65)</f>
        <v/>
      </c>
      <c r="J20" s="111">
        <f>IF('ORDER VS WEEK DISTRIBUTION'!W65="","",'ORDER VS WEEK DISTRIBUTION'!W65)</f>
        <v/>
      </c>
      <c r="K20" s="111">
        <f>IF('ORDER VS WEEK DISTRIBUTION'!X65="","",'ORDER VS WEEK DISTRIBUTION'!X65)</f>
        <v/>
      </c>
      <c r="L20" s="111">
        <f>IF('ORDER VS WEEK DISTRIBUTION'!Y65="","",'ORDER VS WEEK DISTRIBUTION'!Y65)</f>
        <v/>
      </c>
      <c r="M20" s="111">
        <f>IF('ORDER VS WEEK DISTRIBUTION'!Z65="","",'ORDER VS WEEK DISTRIBUTION'!Z65)</f>
        <v/>
      </c>
      <c r="N20" s="111">
        <f>IF('ORDER VS WEEK DISTRIBUTION'!AA65="","",'ORDER VS WEEK DISTRIBUTION'!AA65)</f>
        <v/>
      </c>
      <c r="O20" s="111">
        <f>IF('ORDER VS WEEK DISTRIBUTION'!AB65="","",'ORDER VS WEEK DISTRIBUTION'!AB65)</f>
        <v/>
      </c>
      <c r="P20" s="111">
        <f>IF('ORDER VS WEEK DISTRIBUTION'!AC65="","",'ORDER VS WEEK DISTRIBUTION'!AC65)</f>
        <v/>
      </c>
      <c r="Q20" s="111">
        <f>IF('ORDER VS WEEK DISTRIBUTION'!AD65="","",'ORDER VS WEEK DISTRIBUTION'!AD65)</f>
        <v/>
      </c>
      <c r="R20" s="111">
        <f>IF('ORDER VS WEEK DISTRIBUTION'!AE65="","",'ORDER VS WEEK DISTRIBUTION'!AE65)</f>
        <v/>
      </c>
      <c r="S20" s="111">
        <f>IF('ORDER VS WEEK DISTRIBUTION'!AF65="","",'ORDER VS WEEK DISTRIBUTION'!AF65)</f>
        <v/>
      </c>
    </row>
    <row r="21">
      <c r="A21" s="86" t="n"/>
      <c r="B21" s="86" t="n"/>
      <c r="C21" s="86" t="n"/>
      <c r="D21" s="108">
        <f>IF('ORDER VS WEEK DISTRIBUTION'!D66="","",'ORDER VS WEEK DISTRIBUTION'!D66)</f>
        <v/>
      </c>
      <c r="E21" s="117">
        <f>IF('ORDER VS WEEK DISTRIBUTION'!E66="","",'ORDER VS WEEK DISTRIBUTION'!E66)</f>
        <v/>
      </c>
      <c r="F21" s="117">
        <f>IF('ORDER VS WEEK DISTRIBUTION'!F66="","",'ORDER VS WEEK DISTRIBUTION'!F66)</f>
        <v/>
      </c>
      <c r="G21" s="117">
        <f>IF('ORDER VS WEEK DISTRIBUTION'!G66="","",'ORDER VS WEEK DISTRIBUTION'!G66)</f>
        <v/>
      </c>
      <c r="H21" s="111">
        <f>IF('ORDER VS WEEK DISTRIBUTION'!U66="","",'ORDER VS WEEK DISTRIBUTION'!U66)</f>
        <v/>
      </c>
      <c r="I21" s="111">
        <f>IF('ORDER VS WEEK DISTRIBUTION'!V66="","",'ORDER VS WEEK DISTRIBUTION'!V66)</f>
        <v/>
      </c>
      <c r="J21" s="111">
        <f>IF('ORDER VS WEEK DISTRIBUTION'!W66="","",'ORDER VS WEEK DISTRIBUTION'!W66)</f>
        <v/>
      </c>
      <c r="K21" s="111">
        <f>IF('ORDER VS WEEK DISTRIBUTION'!X66="","",'ORDER VS WEEK DISTRIBUTION'!X66)</f>
        <v/>
      </c>
      <c r="L21" s="111">
        <f>IF('ORDER VS WEEK DISTRIBUTION'!Y66="","",'ORDER VS WEEK DISTRIBUTION'!Y66)</f>
        <v/>
      </c>
      <c r="M21" s="111">
        <f>IF('ORDER VS WEEK DISTRIBUTION'!Z66="","",'ORDER VS WEEK DISTRIBUTION'!Z66)</f>
        <v/>
      </c>
      <c r="N21" s="111">
        <f>IF('ORDER VS WEEK DISTRIBUTION'!AA66="","",'ORDER VS WEEK DISTRIBUTION'!AA66)</f>
        <v/>
      </c>
      <c r="O21" s="111">
        <f>IF('ORDER VS WEEK DISTRIBUTION'!AB66="","",'ORDER VS WEEK DISTRIBUTION'!AB66)</f>
        <v/>
      </c>
      <c r="P21" s="111">
        <f>IF('ORDER VS WEEK DISTRIBUTION'!AC66="","",'ORDER VS WEEK DISTRIBUTION'!AC66)</f>
        <v/>
      </c>
      <c r="Q21" s="111">
        <f>IF('ORDER VS WEEK DISTRIBUTION'!AD66="","",'ORDER VS WEEK DISTRIBUTION'!AD66)</f>
        <v/>
      </c>
      <c r="R21" s="111">
        <f>IF('ORDER VS WEEK DISTRIBUTION'!AE66="","",'ORDER VS WEEK DISTRIBUTION'!AE66)</f>
        <v/>
      </c>
      <c r="S21" s="111">
        <f>IF('ORDER VS WEEK DISTRIBUTION'!AF66="","",'ORDER VS WEEK DISTRIBUTION'!AF66)</f>
        <v/>
      </c>
    </row>
  </sheetData>
  <mergeCells count="11">
    <mergeCell ref="A18:A21"/>
    <mergeCell ref="A1:G1"/>
    <mergeCell ref="C20:C21"/>
    <mergeCell ref="A8:A12"/>
    <mergeCell ref="H1:S1"/>
    <mergeCell ref="B3:B21"/>
    <mergeCell ref="A3:A7"/>
    <mergeCell ref="A13:A17"/>
    <mergeCell ref="C6:C7"/>
    <mergeCell ref="C11:C12"/>
    <mergeCell ref="C16:C17"/>
  </mergeCells>
  <conditionalFormatting sqref="H3:S21">
    <cfRule type="expression" priority="3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30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Pearl Pack-Premix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Pearl Pack-Premix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Pearl Pack-Premix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Pearl Pack-Premix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Pearl Pack Premix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Pearl Pack-Premix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  <row r="725">
      <c r="I725" s="26" t="inlineStr">
        <is>
          <t>GV CINNAMON 24/25 DC SF ENV TBGS</t>
        </is>
      </c>
      <c r="J725" s="26" t="inlineStr">
        <is>
          <t>CONSTANTA ENV</t>
        </is>
      </c>
    </row>
    <row r="726">
      <c r="I726" s="26" t="inlineStr">
        <is>
          <t>GV ROYAL LEMON 24/25 DC SF ENV TBGS</t>
        </is>
      </c>
      <c r="J726" s="26" t="inlineStr">
        <is>
          <t>CONSTANTA ENV</t>
        </is>
      </c>
    </row>
    <row r="727">
      <c r="I727" s="26" t="inlineStr">
        <is>
          <t>GV COCKTAIL 24/25 DC SF ENV TBGS</t>
        </is>
      </c>
      <c r="J727" s="26" t="inlineStr">
        <is>
          <t>CONSTANTA ENV</t>
        </is>
      </c>
    </row>
    <row r="728">
      <c r="I728" s="26" t="inlineStr">
        <is>
          <t>GV GREEN LEMON 24/25 DC SF ENV TBGS</t>
        </is>
      </c>
      <c r="J728" s="26" t="inlineStr">
        <is>
          <t>CONSTANTA ENV</t>
        </is>
      </c>
    </row>
    <row r="729">
      <c r="I729" s="26" t="inlineStr">
        <is>
          <t>GINNY ORANGE 24/25  DC ENV TBGS</t>
        </is>
      </c>
      <c r="J729" s="26" t="inlineStr">
        <is>
          <t>CONSTANTA ENV</t>
        </is>
      </c>
    </row>
    <row r="730">
      <c r="I730" s="26" t="inlineStr">
        <is>
          <t>BON GOUT 12/100 DC ENV TBGS</t>
        </is>
      </c>
      <c r="J730" s="26" t="inlineStr">
        <is>
          <t>CONSTANTA ENV</t>
        </is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2026-10-21T04:51:00Z</dcterms:modified>
  <cp:lastModifiedBy>LOKESHWARAN</cp:lastModifiedBy>
  <cp:revision>0</cp:revision>
  <cp:lastPrinted>2026-04-29T06:57:02Z</cp:lastPrinted>
</cp:coreProperties>
</file>