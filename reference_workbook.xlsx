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AFRICA" sheetId="7" state="visible" r:id="rId7"/>
    <sheet name="AUSTRALIA &amp; EUROPE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18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</fills>
  <borders count="14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1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  <xf numFmtId="0" fontId="14" fillId="0" borderId="6" pivotButton="0" quotePrefix="0" xfId="0"/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C250 AF</t>
        </is>
      </c>
      <c r="B3" s="17" t="n"/>
      <c r="C3" s="18" t="n"/>
      <c r="D3" s="18" t="n"/>
      <c r="E3" s="19" t="n">
        <v>5</v>
      </c>
      <c r="F3" s="19" t="n">
        <v>2</v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>
        <v>3340</v>
      </c>
      <c r="Q3" s="73" t="n"/>
      <c r="R3" s="73" t="n">
        <v>0.3529940119760479</v>
      </c>
    </row>
    <row r="4" ht="15" customHeight="1" s="5">
      <c r="A4" s="16" t="inlineStr">
        <is>
          <t>CONSTANTA ENV (FLAVOUR &amp; BLACK TEA)</t>
        </is>
      </c>
      <c r="B4" s="17" t="n"/>
      <c r="C4" s="18" t="n"/>
      <c r="D4" s="18" t="n"/>
      <c r="E4" s="19" t="n">
        <v>23</v>
      </c>
      <c r="F4" s="19" t="n">
        <v>2</v>
      </c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>
        <v>6375</v>
      </c>
      <c r="Q4" s="73" t="n"/>
      <c r="R4" s="73" t="n">
        <v>0.1951764705882353</v>
      </c>
    </row>
    <row r="5" ht="15" customHeight="1" s="5">
      <c r="A5" s="16" t="inlineStr">
        <is>
          <t>CONSTANTA ENV (HERBAL)</t>
        </is>
      </c>
      <c r="B5" s="17" t="n"/>
      <c r="C5" s="18" t="n"/>
      <c r="D5" s="18" t="n"/>
      <c r="E5" s="19" t="n">
        <v>9</v>
      </c>
      <c r="F5" s="19" t="n">
        <v>2</v>
      </c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>
        <v>3340</v>
      </c>
      <c r="Q5" s="73" t="n"/>
      <c r="R5" s="73" t="n">
        <v>0.1876447105788423</v>
      </c>
    </row>
    <row r="6" ht="15" customHeight="1" s="5">
      <c r="A6" s="16" t="inlineStr">
        <is>
          <t>MD20 ENV</t>
        </is>
      </c>
      <c r="B6" s="17" t="n"/>
      <c r="C6" s="18" t="n"/>
      <c r="D6" s="18" t="n"/>
      <c r="E6" s="19" t="n">
        <v>4</v>
      </c>
      <c r="F6" s="19" t="n">
        <v>2</v>
      </c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>
        <v>3340</v>
      </c>
      <c r="Q6" s="73" t="n"/>
      <c r="R6" s="73" t="n">
        <v>0.2778323353293413</v>
      </c>
    </row>
    <row r="7" ht="15" customHeight="1" s="5">
      <c r="A7" s="16" t="inlineStr">
        <is>
          <t>PERFECTA ENV</t>
        </is>
      </c>
      <c r="B7" s="17" t="n"/>
      <c r="C7" s="18" t="n"/>
      <c r="D7" s="18" t="n"/>
      <c r="E7" s="19" t="n">
        <v>3</v>
      </c>
      <c r="F7" s="19" t="n">
        <v>2</v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>
        <v>3340</v>
      </c>
      <c r="Q7" s="73" t="n"/>
      <c r="R7" s="73" t="n">
        <v>0.4165209580838323</v>
      </c>
    </row>
    <row r="8" ht="15" customHeight="1" s="5">
      <c r="A8" s="16" t="inlineStr">
        <is>
          <t>CONSTANTA TAG</t>
        </is>
      </c>
      <c r="B8" s="17" t="n"/>
      <c r="C8" s="18" t="n"/>
      <c r="D8" s="18" t="n"/>
      <c r="E8" s="19" t="n">
        <v>6</v>
      </c>
      <c r="F8" s="19" t="n">
        <v>1</v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>
        <v>2688</v>
      </c>
      <c r="Q8" s="73" t="n"/>
      <c r="R8" s="73" t="n">
        <v>0.1151450892857143</v>
      </c>
    </row>
    <row r="9" ht="15" customHeight="1" s="5">
      <c r="A9" s="16" t="inlineStr">
        <is>
          <t>C250</t>
        </is>
      </c>
      <c r="B9" s="17" t="n"/>
      <c r="C9" s="18" t="n"/>
      <c r="D9" s="18" t="n"/>
      <c r="E9" s="19" t="n">
        <v>3</v>
      </c>
      <c r="F9" s="19" t="n">
        <v>2</v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>
        <v>7200</v>
      </c>
      <c r="Q9" s="73" t="n"/>
      <c r="R9" s="73" t="n">
        <v>0.409375</v>
      </c>
    </row>
    <row r="10" ht="15" customHeight="1" s="5">
      <c r="A10" s="16" t="inlineStr">
        <is>
          <t>VARIETIES PACK</t>
        </is>
      </c>
      <c r="B10" s="17" t="n"/>
      <c r="C10" s="18" t="n"/>
      <c r="D10" s="18" t="n"/>
      <c r="E10" s="19" t="n">
        <v>1</v>
      </c>
      <c r="F10" s="19" t="n">
        <v>2</v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>
        <v>7200</v>
      </c>
      <c r="Q10" s="73" t="n"/>
      <c r="R10" s="73" t="n">
        <v>0.409375</v>
      </c>
    </row>
    <row r="11" ht="15" customHeight="1" s="5">
      <c r="A11" s="16" t="inlineStr">
        <is>
          <t>MD20 4GM TAG</t>
        </is>
      </c>
      <c r="B11" s="17" t="n"/>
      <c r="C11" s="18" t="n"/>
      <c r="D11" s="18" t="n"/>
      <c r="E11" s="19" t="n">
        <v>1</v>
      </c>
      <c r="F11" s="19" t="n">
        <v>1</v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>
        <v>4032</v>
      </c>
      <c r="Q11" s="73" t="n"/>
      <c r="R11" s="73" t="n">
        <v>0.2017454117063492</v>
      </c>
    </row>
    <row r="12" ht="15" customHeight="1" s="5">
      <c r="A12" s="17" t="inlineStr">
        <is>
          <t>PERFECTA  K 45 TAG</t>
        </is>
      </c>
      <c r="B12" s="17" t="n"/>
      <c r="C12" s="18" t="n"/>
      <c r="D12" s="18" t="n"/>
      <c r="E12" s="19" t="n">
        <v>1</v>
      </c>
      <c r="F12" s="19" t="n">
        <v>1</v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>
        <v>5040</v>
      </c>
      <c r="Q12" s="73" t="n"/>
      <c r="R12" s="73" t="n">
        <v>0.2379464285714286</v>
      </c>
    </row>
    <row r="13" ht="15" customHeight="1" s="5">
      <c r="A13" s="16" t="inlineStr">
        <is>
          <t>MD20 HS</t>
        </is>
      </c>
      <c r="B13" s="17" t="n"/>
      <c r="C13" s="18" t="n"/>
      <c r="D13" s="18" t="n"/>
      <c r="E13" s="19" t="n">
        <v>2</v>
      </c>
      <c r="F13" s="19" t="n">
        <v>1</v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>
        <v>6500</v>
      </c>
      <c r="Q13" s="73" t="n"/>
      <c r="R13" s="73" t="n">
        <v>0.2338676923076923</v>
      </c>
    </row>
    <row r="14" ht="15" customHeight="1" s="5">
      <c r="A14" s="16" t="inlineStr">
        <is>
          <t>CONSTANTA FAMILY SIZE</t>
        </is>
      </c>
      <c r="B14" s="17" t="n"/>
      <c r="C14" s="18" t="n"/>
      <c r="D14" s="18" t="n"/>
      <c r="E14" s="19" t="n">
        <v>2</v>
      </c>
      <c r="F14" s="19" t="n">
        <v>0</v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>
        <v>5720</v>
      </c>
      <c r="Q14" s="73" t="n"/>
      <c r="R14" s="73" t="n">
        <v>0</v>
      </c>
    </row>
    <row r="15" ht="15" customHeight="1" s="5">
      <c r="A15" s="16" t="inlineStr">
        <is>
          <t>PERFACTA TAG</t>
        </is>
      </c>
      <c r="B15" s="17" t="n"/>
      <c r="C15" s="18" t="n"/>
      <c r="D15" s="18" t="n"/>
      <c r="E15" s="19" t="n">
        <v>2</v>
      </c>
      <c r="F15" s="19" t="n">
        <v>1</v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>
        <v>4620</v>
      </c>
      <c r="Q15" s="73" t="n"/>
      <c r="R15" s="73" t="n">
        <v>0.3238636363636364</v>
      </c>
    </row>
    <row r="16" ht="15" customHeight="1" s="5">
      <c r="A16" s="16" t="inlineStr">
        <is>
          <t>MAISA TAGLESS</t>
        </is>
      </c>
      <c r="B16" s="17" t="n"/>
      <c r="C16" s="18" t="n"/>
      <c r="D16" s="18" t="n"/>
      <c r="E16" s="19" t="n">
        <v>7</v>
      </c>
      <c r="F16" s="19" t="n">
        <v>1</v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>
        <v>2800</v>
      </c>
      <c r="Q16" s="73" t="n"/>
      <c r="R16" s="73" t="n">
        <v>0.05649107142857143</v>
      </c>
    </row>
    <row r="17" ht="15" customHeight="1" s="5">
      <c r="A17" s="16" t="inlineStr">
        <is>
          <t>UNIVERSAL POT BAG</t>
        </is>
      </c>
      <c r="B17" s="17" t="n"/>
      <c r="C17" s="18" t="n"/>
      <c r="D17" s="18" t="n"/>
      <c r="E17" s="19" t="n">
        <v>1</v>
      </c>
      <c r="F17" s="19" t="n">
        <v>0</v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>
        <v>3220</v>
      </c>
      <c r="Q17" s="73" t="n"/>
      <c r="R17" s="73" t="n">
        <v>0</v>
      </c>
    </row>
    <row r="18" ht="15" customHeight="1" s="5">
      <c r="A18" s="16" t="inlineStr">
        <is>
          <t>UNIVERSAL TWIN BAG</t>
        </is>
      </c>
      <c r="B18" s="17" t="n"/>
      <c r="C18" s="18" t="n"/>
      <c r="D18" s="18" t="n"/>
      <c r="E18" s="19" t="n">
        <v>1</v>
      </c>
      <c r="F18" s="19" t="n">
        <v>1</v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>
        <v>3320</v>
      </c>
      <c r="Q18" s="73" t="n"/>
      <c r="R18" s="73" t="n">
        <v>0.4063610692771085</v>
      </c>
    </row>
    <row r="19" ht="15" customHeight="1" s="5">
      <c r="A19" s="16" t="inlineStr">
        <is>
          <t>BREW MAGIC</t>
        </is>
      </c>
      <c r="B19" s="17" t="n"/>
      <c r="C19" s="18" t="n"/>
      <c r="D19" s="18" t="n"/>
      <c r="E19" s="19" t="n">
        <v>1</v>
      </c>
      <c r="F19" s="19" t="n">
        <v>1</v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>
        <v>3600</v>
      </c>
      <c r="Q19" s="73" t="n"/>
      <c r="R19" s="73" t="n">
        <v>0.2025</v>
      </c>
    </row>
    <row r="20" ht="15" customHeight="1" s="5">
      <c r="A20" s="16" t="inlineStr">
        <is>
          <t>MAISA ENV</t>
        </is>
      </c>
      <c r="B20" s="17" t="n"/>
      <c r="C20" s="18" t="n"/>
      <c r="D20" s="18" t="n"/>
      <c r="E20" s="19" t="n">
        <v>2</v>
      </c>
      <c r="F20" s="19" t="n">
        <v>1</v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>
        <v>1656</v>
      </c>
      <c r="Q20" s="73" t="n"/>
      <c r="R20" s="73" t="n">
        <v>0.1560386473429952</v>
      </c>
    </row>
    <row r="21" ht="15" customHeight="1" s="5">
      <c r="A21" s="16" t="inlineStr">
        <is>
          <t>INSTANT COFFEE STICK PACK</t>
        </is>
      </c>
      <c r="B21" s="17" t="n"/>
      <c r="C21" s="18" t="n"/>
      <c r="D21" s="18" t="n"/>
      <c r="E21" s="19" t="n">
        <v>1</v>
      </c>
      <c r="F21" s="19" t="n">
        <v>1</v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>
        <v>3000</v>
      </c>
      <c r="Q21" s="73" t="n"/>
      <c r="R21" s="73" t="n">
        <v>0.0288</v>
      </c>
    </row>
    <row r="22" ht="15" customHeight="1" s="5">
      <c r="A22" s="16" t="inlineStr">
        <is>
          <t>PEARL PACK-PREMIX</t>
        </is>
      </c>
      <c r="B22" s="17" t="n"/>
      <c r="C22" s="18" t="n"/>
      <c r="D22" s="18" t="n"/>
      <c r="E22" s="19" t="n">
        <v>1</v>
      </c>
      <c r="F22" s="19" t="n">
        <v>1</v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>
        <v>6000</v>
      </c>
      <c r="Q22" s="73" t="n"/>
      <c r="R22" s="73" t="n">
        <v>0.12375</v>
      </c>
    </row>
    <row r="23" ht="15" customHeight="1" s="5">
      <c r="A23" s="16" t="inlineStr">
        <is>
          <t>PEARL PACK-PREMIX - cappuccino</t>
        </is>
      </c>
      <c r="B23" s="17" t="n"/>
      <c r="C23" s="18" t="n"/>
      <c r="D23" s="18" t="n"/>
      <c r="E23" s="19" t="n">
        <v>2</v>
      </c>
      <c r="F23" s="19" t="n">
        <v>1</v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>
        <v>4800</v>
      </c>
      <c r="Q23" s="73" t="n"/>
      <c r="R23" s="73" t="n">
        <v>0.1546875</v>
      </c>
    </row>
    <row r="24" ht="15" customHeight="1" s="5">
      <c r="A24" s="16" t="inlineStr">
        <is>
          <t>Instant Tea</t>
        </is>
      </c>
      <c r="B24" s="17" t="n"/>
      <c r="C24" s="18" t="n"/>
      <c r="D24" s="18" t="n"/>
      <c r="E24" s="19" t="n">
        <v>1</v>
      </c>
      <c r="F24" s="19" t="n">
        <v>0</v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>
        <v>15120</v>
      </c>
      <c r="Q24" s="73" t="n"/>
      <c r="R24" s="73" t="n">
        <v>0</v>
      </c>
    </row>
    <row r="25" ht="15" customHeight="1" s="5">
      <c r="A25" s="16" t="inlineStr">
        <is>
          <t>VIKING-MULTITRACK</t>
        </is>
      </c>
      <c r="B25" s="17" t="n"/>
      <c r="C25" s="18" t="n"/>
      <c r="D25" s="18" t="n"/>
      <c r="E25" s="19" t="n">
        <v>1</v>
      </c>
      <c r="F25" s="19" t="n">
        <v>0</v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>
        <v>15120</v>
      </c>
      <c r="Q25" s="73" t="n"/>
      <c r="R25" s="73" t="n">
        <v>0</v>
      </c>
    </row>
    <row r="26" ht="15" customHeight="1" s="5">
      <c r="A26" s="16" t="inlineStr">
        <is>
          <t>Shubam-FFS POUCH</t>
        </is>
      </c>
      <c r="B26" s="17" t="n"/>
      <c r="C26" s="18" t="n"/>
      <c r="D26" s="18" t="n"/>
      <c r="E26" s="19" t="n">
        <v>1</v>
      </c>
      <c r="F26" s="19" t="n">
        <v>1</v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>
        <v>0</v>
      </c>
      <c r="Q26" s="73" t="n"/>
      <c r="R26" s="73" t="n">
        <v>0</v>
      </c>
    </row>
    <row r="27" ht="15" customHeight="1" s="5">
      <c r="A27" s="16" t="inlineStr">
        <is>
          <t>Pearl Pack-FFS POUCH</t>
        </is>
      </c>
      <c r="B27" s="17" t="n"/>
      <c r="C27" s="18" t="n"/>
      <c r="D27" s="18" t="n"/>
      <c r="E27" s="19" t="n">
        <v>0.5</v>
      </c>
      <c r="F27" s="19" t="n">
        <v>1</v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>
        <v>1200</v>
      </c>
      <c r="Q27" s="73" t="n"/>
      <c r="R27" s="73" t="n">
        <v>1.03125</v>
      </c>
    </row>
    <row r="28" ht="15" customHeight="1" s="5">
      <c r="A28" s="16" t="n"/>
      <c r="B28" s="17" t="n"/>
      <c r="C28" s="18" t="n"/>
      <c r="D28" s="18" t="n"/>
      <c r="E28" s="19" t="n"/>
      <c r="F28" s="19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73" t="n"/>
      <c r="R28" s="73" t="n"/>
    </row>
    <row r="29" ht="15" customHeight="1" s="5">
      <c r="A29" s="16" t="n"/>
      <c r="B29" s="17" t="n"/>
      <c r="C29" s="18" t="n"/>
      <c r="D29" s="18" t="n"/>
      <c r="E29" s="19" t="n"/>
      <c r="F29" s="19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73" t="n"/>
      <c r="R29" s="73" t="n"/>
    </row>
    <row r="30" ht="15" customHeight="1" s="5">
      <c r="A30" s="16" t="n"/>
      <c r="B30" s="17" t="n"/>
      <c r="C30" s="18" t="n"/>
      <c r="D30" s="18" t="n"/>
      <c r="E30" s="19" t="n"/>
      <c r="F30" s="19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73" t="n"/>
      <c r="R30" s="73" t="n"/>
    </row>
    <row r="31" ht="15" customHeight="1" s="5">
      <c r="A31" s="16" t="n"/>
      <c r="B31" s="17" t="n"/>
      <c r="C31" s="18" t="n"/>
      <c r="D31" s="18" t="n"/>
      <c r="E31" s="19" t="n"/>
      <c r="F31" s="19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73" t="n"/>
      <c r="R31" s="73" t="n"/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tabSelected="1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hidden="1" width="13" customWidth="1" style="5" min="22" max="22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  <c r="T1" s="23" t="n"/>
      <c r="U1" s="23" t="inlineStr">
        <is>
          <t>Routing Line</t>
        </is>
      </c>
      <c r="V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7" t="inlineStr">
        <is>
          <t>W #41</t>
        </is>
      </c>
      <c r="I2" s="67" t="inlineStr">
        <is>
          <t>W #42</t>
        </is>
      </c>
      <c r="J2" s="67" t="inlineStr">
        <is>
          <t>W #43</t>
        </is>
      </c>
      <c r="K2" s="67" t="inlineStr">
        <is>
          <t>W #44</t>
        </is>
      </c>
      <c r="L2" s="67" t="inlineStr">
        <is>
          <t>W #45</t>
        </is>
      </c>
      <c r="M2" s="67" t="inlineStr">
        <is>
          <t>W #46</t>
        </is>
      </c>
      <c r="N2" s="67" t="inlineStr">
        <is>
          <t>W #47</t>
        </is>
      </c>
      <c r="O2" s="67" t="inlineStr">
        <is>
          <t>W #48</t>
        </is>
      </c>
      <c r="P2" s="67" t="inlineStr">
        <is>
          <t>W #49</t>
        </is>
      </c>
      <c r="Q2" s="67" t="inlineStr">
        <is>
          <t>W #50</t>
        </is>
      </c>
      <c r="R2" s="67" t="inlineStr">
        <is>
          <t>W #51</t>
        </is>
      </c>
      <c r="S2" s="67" t="inlineStr">
        <is>
          <t>W #52</t>
        </is>
      </c>
      <c r="T2" s="23" t="n"/>
      <c r="U2" s="23" t="inlineStr">
        <is>
          <t>CONSTANTA ENV</t>
        </is>
      </c>
      <c r="V2" s="101" t="inlineStr">
        <is>
          <t>CONSTANTA ENV (FLAVOUR &amp; BLACK TEA)</t>
        </is>
      </c>
    </row>
    <row r="3" ht="15" customHeight="1" s="5">
      <c r="A3" s="102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C250 AF</t>
        </is>
      </c>
      <c r="E3" s="53" t="n">
        <v>5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23" t="inlineStr">
        <is>
          <t>CONSTANTA ENV BT</t>
        </is>
      </c>
      <c r="V3" s="101" t="inlineStr">
        <is>
          <t>CONSTANTA ENV (FLAVOUR &amp; BLACK TEA)</t>
        </is>
      </c>
    </row>
    <row r="4" ht="15" customHeight="1" s="5">
      <c r="A4" s="104" t="n"/>
      <c r="B4" s="104" t="n"/>
      <c r="C4" s="104" t="n"/>
      <c r="D4" s="52" t="inlineStr">
        <is>
          <t>CONSTANTA ENV (FLAVOUR &amp; BLACK TEA)</t>
        </is>
      </c>
      <c r="E4" s="53" t="n">
        <v>23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23" t="inlineStr">
        <is>
          <t>CONSTANTA ENV BT 25</t>
        </is>
      </c>
      <c r="V4" s="101" t="inlineStr">
        <is>
          <t>CONSTANTA ENV (FLAVOUR &amp; BLACK TEA)</t>
        </is>
      </c>
    </row>
    <row r="5" ht="15" customHeight="1" s="5">
      <c r="A5" s="104" t="n"/>
      <c r="B5" s="104" t="n"/>
      <c r="C5" s="104" t="n"/>
      <c r="D5" s="52" t="inlineStr">
        <is>
          <t>CONSTANTA ENV (HERBAL)</t>
        </is>
      </c>
      <c r="E5" s="53" t="n">
        <v>9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23" t="inlineStr">
        <is>
          <t>CONSTANTA ENV F</t>
        </is>
      </c>
      <c r="V5" s="101" t="inlineStr">
        <is>
          <t>CONSTANTA ENV (FLAVOUR &amp; BLACK TEA)</t>
        </is>
      </c>
    </row>
    <row r="6" ht="15" customHeight="1" s="5">
      <c r="A6" s="104" t="n"/>
      <c r="B6" s="104" t="n"/>
      <c r="C6" s="104" t="n"/>
      <c r="D6" s="52" t="inlineStr">
        <is>
          <t>MD20 ENV</t>
        </is>
      </c>
      <c r="E6" s="53" t="n">
        <v>4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23" t="inlineStr">
        <is>
          <t>CONSTANTA ENV G</t>
        </is>
      </c>
      <c r="V6" s="101" t="inlineStr">
        <is>
          <t>CONSTANTA ENV (FLAVOUR &amp; BLACK TEA)</t>
        </is>
      </c>
    </row>
    <row r="7" ht="15" customHeight="1" s="5">
      <c r="A7" s="104" t="n"/>
      <c r="B7" s="104" t="n"/>
      <c r="C7" s="86" t="n"/>
      <c r="D7" s="52" t="inlineStr">
        <is>
          <t>PERFECTA ENV</t>
        </is>
      </c>
      <c r="E7" s="53" t="n">
        <v>3</v>
      </c>
      <c r="F7" s="53" t="n">
        <v>2</v>
      </c>
      <c r="G7" s="75">
        <f>IFERROR(IF(OR($F7=0,VLOOKUP($D7,'MC MASTER'!$A:$R,18,0)=0),"-",ROUND(VLOOKUP($D7,'MC MASTER'!$A:$R,18,0)*$E7*$F7,3)),"-")</f>
        <v/>
      </c>
      <c r="H7" s="75">
        <f>IFERROR(SUMIFS(WORKING!$Y:$Y,WORKING!$X:$X,$D7,WORKING!$W:$W,H$500),"")</f>
        <v/>
      </c>
      <c r="I7" s="75">
        <f>IFERROR(SUMIFS(WORKING!$Y:$Y,WORKING!$X:$X,$D7,WORKING!$W:$W,I$500),"")</f>
        <v/>
      </c>
      <c r="J7" s="75">
        <f>IFERROR(SUMIFS(WORKING!$Y:$Y,WORKING!$X:$X,$D7,WORKING!$W:$W,J$500),"")</f>
        <v/>
      </c>
      <c r="K7" s="75">
        <f>IFERROR(SUMIFS(WORKING!$Y:$Y,WORKING!$X:$X,$D7,WORKING!$W:$W,K$500),"")</f>
        <v/>
      </c>
      <c r="L7" s="75">
        <f>IFERROR(SUMIFS(WORKING!$Y:$Y,WORKING!$X:$X,$D7,WORKING!$W:$W,L$500),"")</f>
        <v/>
      </c>
      <c r="M7" s="75">
        <f>IFERROR(SUMIFS(WORKING!$Y:$Y,WORKING!$X:$X,$D7,WORKING!$W:$W,M$500),"")</f>
        <v/>
      </c>
      <c r="N7" s="75">
        <f>IFERROR(SUMIFS(WORKING!$Y:$Y,WORKING!$X:$X,$D7,WORKING!$W:$W,N$500),"")</f>
        <v/>
      </c>
      <c r="O7" s="75">
        <f>IFERROR(SUMIFS(WORKING!$Y:$Y,WORKING!$X:$X,$D7,WORKING!$W:$W,O$500),"")</f>
        <v/>
      </c>
      <c r="P7" s="75">
        <f>IFERROR(SUMIFS(WORKING!$Y:$Y,WORKING!$X:$X,$D7,WORKING!$W:$W,P$500),"")</f>
        <v/>
      </c>
      <c r="Q7" s="75">
        <f>IFERROR(SUMIFS(WORKING!$Y:$Y,WORKING!$X:$X,$D7,WORKING!$W:$W,Q$500),"")</f>
        <v/>
      </c>
      <c r="R7" s="75">
        <f>IFERROR(SUMIFS(WORKING!$Y:$Y,WORKING!$X:$X,$D7,WORKING!$W:$W,R$500),"")</f>
        <v/>
      </c>
      <c r="S7" s="75">
        <f>IFERROR(SUMIFS(WORKING!$Y:$Y,WORKING!$X:$X,$D7,WORKING!$W:$W,S$500),"")</f>
        <v/>
      </c>
      <c r="T7" s="23" t="n"/>
      <c r="U7" s="23" t="inlineStr">
        <is>
          <t>CONSTANTA ENV H</t>
        </is>
      </c>
      <c r="V7" s="101" t="inlineStr">
        <is>
          <t>CONSTANTA ENV (FLAVOUR &amp; BLACK TEA)</t>
        </is>
      </c>
    </row>
    <row r="8" ht="15" customHeight="1" s="5">
      <c r="A8" s="104" t="n"/>
      <c r="B8" s="104" t="n"/>
      <c r="C8" s="119" t="n"/>
      <c r="D8" s="71" t="inlineStr">
        <is>
          <t>TOTAL</t>
        </is>
      </c>
      <c r="E8" s="119" t="n"/>
      <c r="F8" s="119" t="n"/>
      <c r="G8" s="78">
        <f>SUM(G3:G7)</f>
        <v/>
      </c>
      <c r="H8" s="78">
        <f>SUM(H3:H7)</f>
        <v/>
      </c>
      <c r="I8" s="78">
        <f>SUM(I3:I7)</f>
        <v/>
      </c>
      <c r="J8" s="78">
        <f>SUM(J3:J7)</f>
        <v/>
      </c>
      <c r="K8" s="78">
        <f>SUM(K3:K7)</f>
        <v/>
      </c>
      <c r="L8" s="78">
        <f>SUM(L3:L7)</f>
        <v/>
      </c>
      <c r="M8" s="78">
        <f>SUM(M3:M7)</f>
        <v/>
      </c>
      <c r="N8" s="78">
        <f>SUM(N3:N7)</f>
        <v/>
      </c>
      <c r="O8" s="78">
        <f>SUM(O3:O7)</f>
        <v/>
      </c>
      <c r="P8" s="78">
        <f>SUM(P3:P7)</f>
        <v/>
      </c>
      <c r="Q8" s="78">
        <f>SUM(Q3:Q7)</f>
        <v/>
      </c>
      <c r="R8" s="78">
        <f>SUM(R3:R7)</f>
        <v/>
      </c>
      <c r="S8" s="78">
        <f>SUM(S3:S7)</f>
        <v/>
      </c>
      <c r="T8" s="23" t="n"/>
      <c r="U8" s="23" t="inlineStr">
        <is>
          <t>CONSTANTA ENV HF</t>
        </is>
      </c>
      <c r="V8" s="101" t="inlineStr">
        <is>
          <t>CONSTANTA ENV (FLAVOUR &amp; BLACK TEA)</t>
        </is>
      </c>
    </row>
    <row r="9" ht="15" customHeight="1" s="5">
      <c r="A9" s="104" t="n"/>
      <c r="B9" s="104" t="n"/>
      <c r="D9" s="72" t="inlineStr">
        <is>
          <t>Excess Order</t>
        </is>
      </c>
      <c r="E9" s="57" t="n"/>
      <c r="F9" s="79" t="n"/>
      <c r="G9" s="79" t="n"/>
      <c r="H9" s="79">
        <f>IFERROR(IF(ROUND(H8-$G8,3)&gt;0,ROUND(H8-$G8,3),""),"")</f>
        <v/>
      </c>
      <c r="I9" s="79">
        <f>IFERROR(IF(ROUND(I8-$G8,3)&gt;0,ROUND(I8-$G8,3),""),"")</f>
        <v/>
      </c>
      <c r="J9" s="79">
        <f>IFERROR(IF(ROUND(J8-$G8,3)&gt;0,ROUND(J8-$G8,3),""),"")</f>
        <v/>
      </c>
      <c r="K9" s="79">
        <f>IFERROR(IF(ROUND(K8-$G8,3)&gt;0,ROUND(K8-$G8,3),""),"")</f>
        <v/>
      </c>
      <c r="L9" s="79">
        <f>IFERROR(IF(ROUND(L8-$G8,3)&gt;0,ROUND(L8-$G8,3),""),"")</f>
        <v/>
      </c>
      <c r="M9" s="79">
        <f>IFERROR(IF(ROUND(M8-$G8,3)&gt;0,ROUND(M8-$G8,3),""),"")</f>
        <v/>
      </c>
      <c r="N9" s="79">
        <f>IFERROR(IF(ROUND(N8-$G8,3)&gt;0,ROUND(N8-$G8,3),""),"")</f>
        <v/>
      </c>
      <c r="O9" s="79">
        <f>IFERROR(IF(ROUND(O8-$G8,3)&gt;0,ROUND(O8-$G8,3),""),"")</f>
        <v/>
      </c>
      <c r="P9" s="79">
        <f>IFERROR(IF(ROUND(P8-$G8,3)&gt;0,ROUND(P8-$G8,3),""),"")</f>
        <v/>
      </c>
      <c r="Q9" s="79">
        <f>IFERROR(IF(ROUND(Q8-$G8,3)&gt;0,ROUND(Q8-$G8,3),""),"")</f>
        <v/>
      </c>
      <c r="R9" s="79">
        <f>IFERROR(IF(ROUND(R8-$G8,3)&gt;0,ROUND(R8-$G8,3),""),"")</f>
        <v/>
      </c>
      <c r="S9" s="79">
        <f>IFERROR(IF(ROUND(S8-$G8,3)&gt;0,ROUND(S8-$G8,3),""),"")</f>
        <v/>
      </c>
      <c r="T9" s="23" t="n"/>
      <c r="U9" s="23" t="inlineStr">
        <is>
          <t>CONSTANTA ENV M</t>
        </is>
      </c>
      <c r="V9" s="101" t="inlineStr">
        <is>
          <t>CONSTANTA ENV (FLAVOUR &amp; BLACK TEA)</t>
        </is>
      </c>
    </row>
    <row r="10" ht="15" customHeight="1" s="5">
      <c r="A10" s="104" t="n"/>
      <c r="B10" s="86" t="n"/>
      <c r="C10" s="65" t="n"/>
      <c r="D10" s="72" t="inlineStr">
        <is>
          <t>Short Order</t>
        </is>
      </c>
      <c r="E10" s="53" t="n"/>
      <c r="F10" s="53" t="n"/>
      <c r="G10" s="75" t="n"/>
      <c r="H10" s="79">
        <f>IFERROR(IF(ROUND($G8-H8,3)&gt;0,ROUND($G8-H8,3),""),"")</f>
        <v/>
      </c>
      <c r="I10" s="79">
        <f>IFERROR(IF(ROUND($G8-I8,3)&gt;0,ROUND($G8-I8,3),""),"")</f>
        <v/>
      </c>
      <c r="J10" s="79">
        <f>IFERROR(IF(ROUND($G8-J8,3)&gt;0,ROUND($G8-J8,3),""),"")</f>
        <v/>
      </c>
      <c r="K10" s="79">
        <f>IFERROR(IF(ROUND($G8-K8,3)&gt;0,ROUND($G8-K8,3),""),"")</f>
        <v/>
      </c>
      <c r="L10" s="79">
        <f>IFERROR(IF(ROUND($G8-L8,3)&gt;0,ROUND($G8-L8,3),""),"")</f>
        <v/>
      </c>
      <c r="M10" s="79">
        <f>IFERROR(IF(ROUND($G8-M8,3)&gt;0,ROUND($G8-M8,3),""),"")</f>
        <v/>
      </c>
      <c r="N10" s="79">
        <f>IFERROR(IF(ROUND($G8-N8,3)&gt;0,ROUND($G8-N8,3),""),"")</f>
        <v/>
      </c>
      <c r="O10" s="79">
        <f>IFERROR(IF(ROUND($G8-O8,3)&gt;0,ROUND($G8-O8,3),""),"")</f>
        <v/>
      </c>
      <c r="P10" s="79">
        <f>IFERROR(IF(ROUND($G8-P8,3)&gt;0,ROUND($G8-P8,3),""),"")</f>
        <v/>
      </c>
      <c r="Q10" s="79">
        <f>IFERROR(IF(ROUND($G8-Q8,3)&gt;0,ROUND($G8-Q8,3),""),"")</f>
        <v/>
      </c>
      <c r="R10" s="79">
        <f>IFERROR(IF(ROUND($G8-R8,3)&gt;0,ROUND($G8-R8,3),""),"")</f>
        <v/>
      </c>
      <c r="S10" s="79">
        <f>IFERROR(IF(ROUND($G8-S8,3)&gt;0,ROUND($G8-S8,3),""),"")</f>
        <v/>
      </c>
      <c r="T10" s="23" t="n"/>
      <c r="U10" s="23" t="inlineStr">
        <is>
          <t>C250</t>
        </is>
      </c>
      <c r="V10" s="101" t="inlineStr">
        <is>
          <t>C250</t>
        </is>
      </c>
    </row>
    <row r="11" ht="15" customHeight="1" s="5">
      <c r="A11" s="104" t="n"/>
      <c r="B11" s="103" t="inlineStr">
        <is>
          <t>AUSTRALIA</t>
        </is>
      </c>
      <c r="C11" s="65" t="inlineStr">
        <is>
          <t>DC TAG</t>
        </is>
      </c>
      <c r="D11" s="52" t="inlineStr">
        <is>
          <t>CONSTANTA TAG</t>
        </is>
      </c>
      <c r="E11" s="53" t="n">
        <v>6</v>
      </c>
      <c r="F11" s="53" t="n">
        <v>1</v>
      </c>
      <c r="G11" s="75">
        <f>IFERROR(IF(OR($F11=0,VLOOKUP($D11,'MC MASTER'!$A:$R,18,0)=0),"-",ROUND(VLOOKUP($D11,'MC MASTER'!$A:$R,18,0)*$E11*$F11,3)),"-")</f>
        <v/>
      </c>
      <c r="H11" s="75">
        <f>IFERROR(SUMIFS(WORKING!$Y:$Y,WORKING!$X:$X,$D11,WORKING!$W:$W,H$500),"")</f>
        <v/>
      </c>
      <c r="I11" s="75">
        <f>IFERROR(SUMIFS(WORKING!$Y:$Y,WORKING!$X:$X,$D11,WORKING!$W:$W,I$500),"")</f>
        <v/>
      </c>
      <c r="J11" s="75">
        <f>IFERROR(SUMIFS(WORKING!$Y:$Y,WORKING!$X:$X,$D11,WORKING!$W:$W,J$500),"")</f>
        <v/>
      </c>
      <c r="K11" s="75">
        <f>IFERROR(SUMIFS(WORKING!$Y:$Y,WORKING!$X:$X,$D11,WORKING!$W:$W,K$500),"")</f>
        <v/>
      </c>
      <c r="L11" s="75">
        <f>IFERROR(SUMIFS(WORKING!$Y:$Y,WORKING!$X:$X,$D11,WORKING!$W:$W,L$500),"")</f>
        <v/>
      </c>
      <c r="M11" s="75">
        <f>IFERROR(SUMIFS(WORKING!$Y:$Y,WORKING!$X:$X,$D11,WORKING!$W:$W,M$500),"")</f>
        <v/>
      </c>
      <c r="N11" s="75">
        <f>IFERROR(SUMIFS(WORKING!$Y:$Y,WORKING!$X:$X,$D11,WORKING!$W:$W,N$500),"")</f>
        <v/>
      </c>
      <c r="O11" s="75">
        <f>IFERROR(SUMIFS(WORKING!$Y:$Y,WORKING!$X:$X,$D11,WORKING!$W:$W,O$500),"")</f>
        <v/>
      </c>
      <c r="P11" s="75">
        <f>IFERROR(SUMIFS(WORKING!$Y:$Y,WORKING!$X:$X,$D11,WORKING!$W:$W,P$500),"")</f>
        <v/>
      </c>
      <c r="Q11" s="75">
        <f>IFERROR(SUMIFS(WORKING!$Y:$Y,WORKING!$X:$X,$D11,WORKING!$W:$W,Q$500),"")</f>
        <v/>
      </c>
      <c r="R11" s="75">
        <f>IFERROR(SUMIFS(WORKING!$Y:$Y,WORKING!$X:$X,$D11,WORKING!$W:$W,R$500),"")</f>
        <v/>
      </c>
      <c r="S11" s="75">
        <f>IFERROR(SUMIFS(WORKING!$Y:$Y,WORKING!$X:$X,$D11,WORKING!$W:$W,S$500),"")</f>
        <v/>
      </c>
      <c r="T11" s="23" t="n"/>
      <c r="U11" s="23" t="inlineStr">
        <is>
          <t>C250 AF</t>
        </is>
      </c>
      <c r="V11" s="101" t="inlineStr">
        <is>
          <t>C250 AF</t>
        </is>
      </c>
    </row>
    <row r="12" ht="15" customHeight="1" s="5">
      <c r="A12" s="104" t="n"/>
      <c r="B12" s="104" t="n"/>
      <c r="C12" s="119" t="n"/>
      <c r="D12" s="71" t="inlineStr">
        <is>
          <t>TOTAL</t>
        </is>
      </c>
      <c r="E12" s="119" t="n"/>
      <c r="F12" s="119" t="n"/>
      <c r="G12" s="78">
        <f>SUM(G11:G11)</f>
        <v/>
      </c>
      <c r="H12" s="78">
        <f>SUM(H11:H11)</f>
        <v/>
      </c>
      <c r="I12" s="78">
        <f>SUM(I11:I11)</f>
        <v/>
      </c>
      <c r="J12" s="78">
        <f>SUM(J11:J11)</f>
        <v/>
      </c>
      <c r="K12" s="78">
        <f>SUM(K11:K11)</f>
        <v/>
      </c>
      <c r="L12" s="78">
        <f>SUM(L11:L11)</f>
        <v/>
      </c>
      <c r="M12" s="78">
        <f>SUM(M11:M11)</f>
        <v/>
      </c>
      <c r="N12" s="78">
        <f>SUM(N11:N11)</f>
        <v/>
      </c>
      <c r="O12" s="78">
        <f>SUM(O11:O11)</f>
        <v/>
      </c>
      <c r="P12" s="78">
        <f>SUM(P11:P11)</f>
        <v/>
      </c>
      <c r="Q12" s="78">
        <f>SUM(Q11:Q11)</f>
        <v/>
      </c>
      <c r="R12" s="78">
        <f>SUM(R11:R11)</f>
        <v/>
      </c>
      <c r="S12" s="78">
        <f>SUM(S11:S11)</f>
        <v/>
      </c>
      <c r="T12" s="23" t="n"/>
      <c r="U12" s="23" t="inlineStr">
        <is>
          <t>C250-A</t>
        </is>
      </c>
      <c r="V12" s="101" t="inlineStr">
        <is>
          <t>C250-A</t>
        </is>
      </c>
    </row>
    <row r="13" ht="15" customHeight="1" s="5">
      <c r="A13" s="104" t="n"/>
      <c r="B13" s="104" t="n"/>
      <c r="D13" s="72" t="inlineStr">
        <is>
          <t>Excess Order</t>
        </is>
      </c>
      <c r="E13" s="57" t="n"/>
      <c r="F13" s="79" t="n"/>
      <c r="G13" s="79" t="n"/>
      <c r="H13" s="79">
        <f>IFERROR(IF(ROUND(H12-$G12,3)&gt;0,ROUND(H12-$G12,3),""),"")</f>
        <v/>
      </c>
      <c r="I13" s="79">
        <f>IFERROR(IF(ROUND(I12-$G12,3)&gt;0,ROUND(I12-$G12,3),""),"")</f>
        <v/>
      </c>
      <c r="J13" s="79">
        <f>IFERROR(IF(ROUND(J12-$G12,3)&gt;0,ROUND(J12-$G12,3),""),"")</f>
        <v/>
      </c>
      <c r="K13" s="79">
        <f>IFERROR(IF(ROUND(K12-$G12,3)&gt;0,ROUND(K12-$G12,3),""),"")</f>
        <v/>
      </c>
      <c r="L13" s="79">
        <f>IFERROR(IF(ROUND(L12-$G12,3)&gt;0,ROUND(L12-$G12,3),""),"")</f>
        <v/>
      </c>
      <c r="M13" s="79">
        <f>IFERROR(IF(ROUND(M12-$G12,3)&gt;0,ROUND(M12-$G12,3),""),"")</f>
        <v/>
      </c>
      <c r="N13" s="79">
        <f>IFERROR(IF(ROUND(N12-$G12,3)&gt;0,ROUND(N12-$G12,3),""),"")</f>
        <v/>
      </c>
      <c r="O13" s="79">
        <f>IFERROR(IF(ROUND(O12-$G12,3)&gt;0,ROUND(O12-$G12,3),""),"")</f>
        <v/>
      </c>
      <c r="P13" s="79">
        <f>IFERROR(IF(ROUND(P12-$G12,3)&gt;0,ROUND(P12-$G12,3),""),"")</f>
        <v/>
      </c>
      <c r="Q13" s="79">
        <f>IFERROR(IF(ROUND(Q12-$G12,3)&gt;0,ROUND(Q12-$G12,3),""),"")</f>
        <v/>
      </c>
      <c r="R13" s="79">
        <f>IFERROR(IF(ROUND(R12-$G12,3)&gt;0,ROUND(R12-$G12,3),""),"")</f>
        <v/>
      </c>
      <c r="S13" s="79">
        <f>IFERROR(IF(ROUND(S12-$G12,3)&gt;0,ROUND(S12-$G12,3),""),"")</f>
        <v/>
      </c>
      <c r="T13" s="23" t="n"/>
      <c r="U13" s="23" t="inlineStr">
        <is>
          <t>C250F3 ENV</t>
        </is>
      </c>
      <c r="V13" s="101" t="inlineStr">
        <is>
          <t>C250F3 ENV</t>
        </is>
      </c>
    </row>
    <row r="14" ht="15" customHeight="1" s="5">
      <c r="A14" s="104" t="n"/>
      <c r="B14" s="86" t="n"/>
      <c r="C14" s="65" t="n"/>
      <c r="D14" s="72" t="inlineStr">
        <is>
          <t>Short Order</t>
        </is>
      </c>
      <c r="E14" s="53" t="n"/>
      <c r="F14" s="53" t="n"/>
      <c r="G14" s="75" t="n"/>
      <c r="H14" s="79">
        <f>IFERROR(IF(ROUND($G12-H12,3)&gt;0,ROUND($G12-H12,3),""),"")</f>
        <v/>
      </c>
      <c r="I14" s="79">
        <f>IFERROR(IF(ROUND($G12-I12,3)&gt;0,ROUND($G12-I12,3),""),"")</f>
        <v/>
      </c>
      <c r="J14" s="79">
        <f>IFERROR(IF(ROUND($G12-J12,3)&gt;0,ROUND($G12-J12,3),""),"")</f>
        <v/>
      </c>
      <c r="K14" s="79">
        <f>IFERROR(IF(ROUND($G12-K12,3)&gt;0,ROUND($G12-K12,3),""),"")</f>
        <v/>
      </c>
      <c r="L14" s="79">
        <f>IFERROR(IF(ROUND($G12-L12,3)&gt;0,ROUND($G12-L12,3),""),"")</f>
        <v/>
      </c>
      <c r="M14" s="79">
        <f>IFERROR(IF(ROUND($G12-M12,3)&gt;0,ROUND($G12-M12,3),""),"")</f>
        <v/>
      </c>
      <c r="N14" s="79">
        <f>IFERROR(IF(ROUND($G12-N12,3)&gt;0,ROUND($G12-N12,3),""),"")</f>
        <v/>
      </c>
      <c r="O14" s="79">
        <f>IFERROR(IF(ROUND($G12-O12,3)&gt;0,ROUND($G12-O12,3),""),"")</f>
        <v/>
      </c>
      <c r="P14" s="79">
        <f>IFERROR(IF(ROUND($G12-P12,3)&gt;0,ROUND($G12-P12,3),""),"")</f>
        <v/>
      </c>
      <c r="Q14" s="79">
        <f>IFERROR(IF(ROUND($G12-Q12,3)&gt;0,ROUND($G12-Q12,3),""),"")</f>
        <v/>
      </c>
      <c r="R14" s="79">
        <f>IFERROR(IF(ROUND($G12-R12,3)&gt;0,ROUND($G12-R12,3),""),"")</f>
        <v/>
      </c>
      <c r="S14" s="79">
        <f>IFERROR(IF(ROUND($G12-S12,3)&gt;0,ROUND($G12-S12,3),""),"")</f>
        <v/>
      </c>
      <c r="T14" s="23" t="n"/>
      <c r="U14" s="23" t="inlineStr">
        <is>
          <t>C250F3 HS</t>
        </is>
      </c>
      <c r="V14" s="101" t="inlineStr">
        <is>
          <t>C250F3 HS</t>
        </is>
      </c>
    </row>
    <row r="15" ht="15" customHeight="1" s="5">
      <c r="A15" s="104" t="n"/>
      <c r="B15" s="103" t="inlineStr">
        <is>
          <t>EUROPE</t>
        </is>
      </c>
      <c r="C15" s="65" t="inlineStr">
        <is>
          <t>DC SF CRIMP</t>
        </is>
      </c>
      <c r="D15" s="52" t="inlineStr">
        <is>
          <t>C250</t>
        </is>
      </c>
      <c r="E15" s="53" t="n">
        <v>3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23" t="inlineStr">
        <is>
          <t>MD20 4GM TAG</t>
        </is>
      </c>
      <c r="V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VARIETIES PACK</t>
        </is>
      </c>
      <c r="E16" s="53" t="n">
        <v>1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23" t="inlineStr">
        <is>
          <t>MD20 ENV</t>
        </is>
      </c>
      <c r="V16" s="101" t="inlineStr">
        <is>
          <t>MD20 ENV</t>
        </is>
      </c>
    </row>
    <row r="17" ht="15" customHeight="1" s="5">
      <c r="A17" s="104" t="n"/>
      <c r="B17" s="104" t="n"/>
      <c r="C17" s="119" t="n"/>
      <c r="D17" s="71" t="inlineStr">
        <is>
          <t>TOTAL</t>
        </is>
      </c>
      <c r="E17" s="119" t="n"/>
      <c r="F17" s="119" t="n"/>
      <c r="G17" s="78">
        <f>SUM(G15:G16)</f>
        <v/>
      </c>
      <c r="H17" s="78">
        <f>SUM(H15:H16)</f>
        <v/>
      </c>
      <c r="I17" s="78">
        <f>SUM(I15:I16)</f>
        <v/>
      </c>
      <c r="J17" s="78">
        <f>SUM(J15:J16)</f>
        <v/>
      </c>
      <c r="K17" s="78">
        <f>SUM(K15:K16)</f>
        <v/>
      </c>
      <c r="L17" s="78">
        <f>SUM(L15:L16)</f>
        <v/>
      </c>
      <c r="M17" s="78">
        <f>SUM(M15:M16)</f>
        <v/>
      </c>
      <c r="N17" s="78">
        <f>SUM(N15:N16)</f>
        <v/>
      </c>
      <c r="O17" s="78">
        <f>SUM(O15:O16)</f>
        <v/>
      </c>
      <c r="P17" s="78">
        <f>SUM(P15:P16)</f>
        <v/>
      </c>
      <c r="Q17" s="78">
        <f>SUM(Q15:Q16)</f>
        <v/>
      </c>
      <c r="R17" s="78">
        <f>SUM(R15:R16)</f>
        <v/>
      </c>
      <c r="S17" s="78">
        <f>SUM(S15:S16)</f>
        <v/>
      </c>
      <c r="T17" s="23" t="n"/>
      <c r="U17" s="23" t="inlineStr">
        <is>
          <t>MD20 HS</t>
        </is>
      </c>
      <c r="V17" s="101" t="inlineStr">
        <is>
          <t>MD20 HS</t>
        </is>
      </c>
    </row>
    <row r="18" ht="15" customHeight="1" s="5">
      <c r="A18" s="104" t="n"/>
      <c r="B18" s="104" t="n"/>
      <c r="C18" s="107" t="n"/>
      <c r="D18" s="72" t="inlineStr">
        <is>
          <t>Excess Order</t>
        </is>
      </c>
      <c r="E18" s="55" t="n"/>
      <c r="F18" s="78" t="n"/>
      <c r="G18" s="78" t="n"/>
      <c r="H18" s="79">
        <f>IFERROR(IF(ROUND(H17-$G17,3)&gt;0,ROUND(H17-$G17,3),""),"")</f>
        <v/>
      </c>
      <c r="I18" s="79">
        <f>IFERROR(IF(ROUND(I17-$G17,3)&gt;0,ROUND(I17-$G17,3),""),"")</f>
        <v/>
      </c>
      <c r="J18" s="79">
        <f>IFERROR(IF(ROUND(J17-$G17,3)&gt;0,ROUND(J17-$G17,3),""),"")</f>
        <v/>
      </c>
      <c r="K18" s="79">
        <f>IFERROR(IF(ROUND(K17-$G17,3)&gt;0,ROUND(K17-$G17,3),""),"")</f>
        <v/>
      </c>
      <c r="L18" s="79">
        <f>IFERROR(IF(ROUND(L17-$G17,3)&gt;0,ROUND(L17-$G17,3),""),"")</f>
        <v/>
      </c>
      <c r="M18" s="79">
        <f>IFERROR(IF(ROUND(M17-$G17,3)&gt;0,ROUND(M17-$G17,3),""),"")</f>
        <v/>
      </c>
      <c r="N18" s="79">
        <f>IFERROR(IF(ROUND(N17-$G17,3)&gt;0,ROUND(N17-$G17,3),""),"")</f>
        <v/>
      </c>
      <c r="O18" s="79">
        <f>IFERROR(IF(ROUND(O17-$G17,3)&gt;0,ROUND(O17-$G17,3),""),"")</f>
        <v/>
      </c>
      <c r="P18" s="79">
        <f>IFERROR(IF(ROUND(P17-$G17,3)&gt;0,ROUND(P17-$G17,3),""),"")</f>
        <v/>
      </c>
      <c r="Q18" s="79">
        <f>IFERROR(IF(ROUND(Q17-$G17,3)&gt;0,ROUND(Q17-$G17,3),""),"")</f>
        <v/>
      </c>
      <c r="R18" s="79">
        <f>IFERROR(IF(ROUND(R17-$G17,3)&gt;0,ROUND(R17-$G17,3),""),"")</f>
        <v/>
      </c>
      <c r="S18" s="79">
        <f>IFERROR(IF(ROUND(S17-$G17,3)&gt;0,ROUND(S17-$G17,3),""),"")</f>
        <v/>
      </c>
      <c r="T18" s="23" t="n"/>
      <c r="U18" s="23" t="inlineStr">
        <is>
          <t>MAISA ENV</t>
        </is>
      </c>
      <c r="V18" s="101" t="inlineStr">
        <is>
          <t>MAISA ENV</t>
        </is>
      </c>
    </row>
    <row r="19" ht="15" customHeight="1" s="5">
      <c r="A19" s="104" t="n"/>
      <c r="B19" s="104" t="n"/>
      <c r="D19" s="72" t="inlineStr">
        <is>
          <t>Short Order</t>
        </is>
      </c>
      <c r="E19" s="57" t="n"/>
      <c r="F19" s="79" t="n"/>
      <c r="G19" s="79" t="n"/>
      <c r="H19" s="79">
        <f>IFERROR(IF(ROUND($G17-H17,3)&gt;0,ROUND($G17-H17,3),""),"")</f>
        <v/>
      </c>
      <c r="I19" s="79">
        <f>IFERROR(IF(ROUND($G17-I17,3)&gt;0,ROUND($G17-I17,3),""),"")</f>
        <v/>
      </c>
      <c r="J19" s="79">
        <f>IFERROR(IF(ROUND($G17-J17,3)&gt;0,ROUND($G17-J17,3),""),"")</f>
        <v/>
      </c>
      <c r="K19" s="79">
        <f>IFERROR(IF(ROUND($G17-K17,3)&gt;0,ROUND($G17-K17,3),""),"")</f>
        <v/>
      </c>
      <c r="L19" s="79">
        <f>IFERROR(IF(ROUND($G17-L17,3)&gt;0,ROUND($G17-L17,3),""),"")</f>
        <v/>
      </c>
      <c r="M19" s="79">
        <f>IFERROR(IF(ROUND($G17-M17,3)&gt;0,ROUND($G17-M17,3),""),"")</f>
        <v/>
      </c>
      <c r="N19" s="79">
        <f>IFERROR(IF(ROUND($G17-N17,3)&gt;0,ROUND($G17-N17,3),""),"")</f>
        <v/>
      </c>
      <c r="O19" s="79">
        <f>IFERROR(IF(ROUND($G17-O17,3)&gt;0,ROUND($G17-O17,3),""),"")</f>
        <v/>
      </c>
      <c r="P19" s="79">
        <f>IFERROR(IF(ROUND($G17-P17,3)&gt;0,ROUND($G17-P17,3),""),"")</f>
        <v/>
      </c>
      <c r="Q19" s="79">
        <f>IFERROR(IF(ROUND($G17-Q17,3)&gt;0,ROUND($G17-Q17,3),""),"")</f>
        <v/>
      </c>
      <c r="R19" s="79">
        <f>IFERROR(IF(ROUND($G17-R17,3)&gt;0,ROUND($G17-R17,3),""),"")</f>
        <v/>
      </c>
      <c r="S19" s="79">
        <f>IFERROR(IF(ROUND($G17-S17,3)&gt;0,ROUND($G17-S17,3),""),"")</f>
        <v/>
      </c>
      <c r="T19" s="23" t="n"/>
      <c r="U19" s="23" t="inlineStr">
        <is>
          <t>MD20 ENV GARANT</t>
        </is>
      </c>
      <c r="V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MD20 4GM TAG</t>
        </is>
      </c>
      <c r="E20" s="53" t="n">
        <v>1</v>
      </c>
      <c r="F20" s="53" t="n">
        <v>1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23" t="inlineStr">
        <is>
          <t>MAISA TAGLESS</t>
        </is>
      </c>
      <c r="V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PERFECTA  K 45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23" t="inlineStr">
        <is>
          <t>CONSTANTA TAG</t>
        </is>
      </c>
      <c r="V21" s="101" t="inlineStr">
        <is>
          <t>CONSTANTA TAG</t>
        </is>
      </c>
    </row>
    <row r="22" ht="15" customHeight="1" s="5">
      <c r="A22" s="104" t="n"/>
      <c r="B22" s="104" t="n"/>
      <c r="C22" s="119" t="n"/>
      <c r="D22" s="71" t="inlineStr">
        <is>
          <t>TOTAL</t>
        </is>
      </c>
      <c r="E22" s="119" t="n"/>
      <c r="F22" s="119" t="n"/>
      <c r="G22" s="78">
        <f>SUM(G20:G21)</f>
        <v/>
      </c>
      <c r="H22" s="78">
        <f>SUM(H20:H21)</f>
        <v/>
      </c>
      <c r="I22" s="78">
        <f>SUM(I20:I21)</f>
        <v/>
      </c>
      <c r="J22" s="78">
        <f>SUM(J20:J21)</f>
        <v/>
      </c>
      <c r="K22" s="78">
        <f>SUM(K20:K21)</f>
        <v/>
      </c>
      <c r="L22" s="78">
        <f>SUM(L20:L21)</f>
        <v/>
      </c>
      <c r="M22" s="78">
        <f>SUM(M20:M21)</f>
        <v/>
      </c>
      <c r="N22" s="78">
        <f>SUM(N20:N21)</f>
        <v/>
      </c>
      <c r="O22" s="78">
        <f>SUM(O20:O21)</f>
        <v/>
      </c>
      <c r="P22" s="78">
        <f>SUM(P20:P21)</f>
        <v/>
      </c>
      <c r="Q22" s="78">
        <f>SUM(Q20:Q21)</f>
        <v/>
      </c>
      <c r="R22" s="78">
        <f>SUM(R20:R21)</f>
        <v/>
      </c>
      <c r="S22" s="78">
        <f>SUM(S20:S21)</f>
        <v/>
      </c>
      <c r="T22" s="23" t="n"/>
      <c r="U22" s="23" t="inlineStr">
        <is>
          <t>CONSTANTA TAG (D)</t>
        </is>
      </c>
      <c r="V22" s="101" t="inlineStr">
        <is>
          <t>CONSTANTA TAG</t>
        </is>
      </c>
    </row>
    <row r="23" ht="15" customHeight="1" s="5">
      <c r="A23" s="104" t="n"/>
      <c r="B23" s="104" t="n"/>
      <c r="C23" s="106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23" t="inlineStr">
        <is>
          <t>PERFACTA TAG</t>
        </is>
      </c>
      <c r="V23" s="101" t="inlineStr">
        <is>
          <t>PERFACTA TAG</t>
        </is>
      </c>
    </row>
    <row r="24" ht="15" customHeight="1" s="5">
      <c r="A24" s="104" t="n"/>
      <c r="B24" s="86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23" t="inlineStr">
        <is>
          <t>PERFECTA  K 45 TAG</t>
        </is>
      </c>
      <c r="V24" s="101" t="inlineStr">
        <is>
          <t>PERFECTA  K 45 TAG</t>
        </is>
      </c>
    </row>
    <row r="25" ht="15" customHeight="1" s="5">
      <c r="A25" s="104" t="n"/>
      <c r="B25" s="103" t="inlineStr">
        <is>
          <t>RUSSIA</t>
        </is>
      </c>
      <c r="C25" s="65" t="inlineStr">
        <is>
          <t>DC TAG</t>
        </is>
      </c>
      <c r="D25" s="52" t="inlineStr">
        <is>
          <t>MD20 HS</t>
        </is>
      </c>
      <c r="E25" s="53" t="n">
        <v>2</v>
      </c>
      <c r="F25" s="53" t="n">
        <v>1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23" t="inlineStr">
        <is>
          <t>CONSTANTA FAMILY SIZE</t>
        </is>
      </c>
      <c r="V25" s="101" t="inlineStr">
        <is>
          <t>CONSTANTA FAMILY SIZE</t>
        </is>
      </c>
    </row>
    <row r="26" ht="15" customHeight="1" s="5">
      <c r="A26" s="104" t="n"/>
      <c r="B26" s="104" t="n"/>
      <c r="C26" s="119" t="n"/>
      <c r="D26" s="71" t="inlineStr">
        <is>
          <t>TOTAL</t>
        </is>
      </c>
      <c r="E26" s="119" t="n"/>
      <c r="F26" s="119" t="n"/>
      <c r="G26" s="78">
        <f>SUM(G25:G25)</f>
        <v/>
      </c>
      <c r="H26" s="78">
        <f>SUM(H25:H25)</f>
        <v/>
      </c>
      <c r="I26" s="78">
        <f>SUM(I25:I25)</f>
        <v/>
      </c>
      <c r="J26" s="78">
        <f>SUM(J25:J25)</f>
        <v/>
      </c>
      <c r="K26" s="78">
        <f>SUM(K25:K25)</f>
        <v/>
      </c>
      <c r="L26" s="78">
        <f>SUM(L25:L25)</f>
        <v/>
      </c>
      <c r="M26" s="78">
        <f>SUM(M25:M25)</f>
        <v/>
      </c>
      <c r="N26" s="78">
        <f>SUM(N25:N25)</f>
        <v/>
      </c>
      <c r="O26" s="78">
        <f>SUM(O25:O25)</f>
        <v/>
      </c>
      <c r="P26" s="78">
        <f>SUM(P25:P25)</f>
        <v/>
      </c>
      <c r="Q26" s="78">
        <f>SUM(Q25:Q25)</f>
        <v/>
      </c>
      <c r="R26" s="78">
        <f>SUM(R25:R25)</f>
        <v/>
      </c>
      <c r="S26" s="78">
        <f>SUM(S25:S25)</f>
        <v/>
      </c>
      <c r="T26" s="23" t="n"/>
      <c r="U26" s="23" t="inlineStr">
        <is>
          <t>BREW MAGIC</t>
        </is>
      </c>
      <c r="V26" s="101" t="inlineStr">
        <is>
          <t>BREW MAGIC</t>
        </is>
      </c>
    </row>
    <row r="27" ht="18" customHeight="1" s="5">
      <c r="A27" s="104" t="n"/>
      <c r="B27" s="104" t="n"/>
      <c r="D27" s="72" t="inlineStr">
        <is>
          <t>Excess Order</t>
        </is>
      </c>
      <c r="E27" s="53" t="n"/>
      <c r="F27" s="53" t="n"/>
      <c r="G27" s="75" t="n"/>
      <c r="H27" s="79">
        <f>IFERROR(IF(ROUND(H26-$G26,3)&gt;0,ROUND(H26-$G26,3),""),"")</f>
        <v/>
      </c>
      <c r="I27" s="79">
        <f>IFERROR(IF(ROUND(I26-$G26,3)&gt;0,ROUND(I26-$G26,3),""),"")</f>
        <v/>
      </c>
      <c r="J27" s="79">
        <f>IFERROR(IF(ROUND(J26-$G26,3)&gt;0,ROUND(J26-$G26,3),""),"")</f>
        <v/>
      </c>
      <c r="K27" s="79">
        <f>IFERROR(IF(ROUND(K26-$G26,3)&gt;0,ROUND(K26-$G26,3),""),"")</f>
        <v/>
      </c>
      <c r="L27" s="79">
        <f>IFERROR(IF(ROUND(L26-$G26,3)&gt;0,ROUND(L26-$G26,3),""),"")</f>
        <v/>
      </c>
      <c r="M27" s="79">
        <f>IFERROR(IF(ROUND(M26-$G26,3)&gt;0,ROUND(M26-$G26,3),""),"")</f>
        <v/>
      </c>
      <c r="N27" s="79">
        <f>IFERROR(IF(ROUND(N26-$G26,3)&gt;0,ROUND(N26-$G26,3),""),"")</f>
        <v/>
      </c>
      <c r="O27" s="79">
        <f>IFERROR(IF(ROUND(O26-$G26,3)&gt;0,ROUND(O26-$G26,3),""),"")</f>
        <v/>
      </c>
      <c r="P27" s="79">
        <f>IFERROR(IF(ROUND(P26-$G26,3)&gt;0,ROUND(P26-$G26,3),""),"")</f>
        <v/>
      </c>
      <c r="Q27" s="79">
        <f>IFERROR(IF(ROUND(Q26-$G26,3)&gt;0,ROUND(Q26-$G26,3),""),"")</f>
        <v/>
      </c>
      <c r="R27" s="79">
        <f>IFERROR(IF(ROUND(R26-$G26,3)&gt;0,ROUND(R26-$G26,3),""),"")</f>
        <v/>
      </c>
      <c r="S27" s="79">
        <f>IFERROR(IF(ROUND(S26-$G26,3)&gt;0,ROUND(S26-$G26,3),""),"")</f>
        <v/>
      </c>
      <c r="T27" s="23" t="n"/>
      <c r="U27" s="23" t="inlineStr">
        <is>
          <t>UNIVERSAL POT BAG</t>
        </is>
      </c>
      <c r="V27" s="101" t="inlineStr">
        <is>
          <t>UNIVERSAL POT BAG</t>
        </is>
      </c>
    </row>
    <row r="28" ht="15" customHeight="1" s="5">
      <c r="A28" s="104" t="n"/>
      <c r="B28" s="86" t="n"/>
      <c r="C28" s="105" t="n"/>
      <c r="D28" s="72" t="inlineStr">
        <is>
          <t>Short Order</t>
        </is>
      </c>
      <c r="E28" s="105" t="n"/>
      <c r="F28" s="105" t="n"/>
      <c r="G28" s="78" t="n"/>
      <c r="H28" s="79">
        <f>IFERROR(IF(ROUND($G26-H26,3)&gt;0,ROUND($G26-H26,3),""),"")</f>
        <v/>
      </c>
      <c r="I28" s="79">
        <f>IFERROR(IF(ROUND($G26-I26,3)&gt;0,ROUND($G26-I26,3),""),"")</f>
        <v/>
      </c>
      <c r="J28" s="79">
        <f>IFERROR(IF(ROUND($G26-J26,3)&gt;0,ROUND($G26-J26,3),""),"")</f>
        <v/>
      </c>
      <c r="K28" s="79">
        <f>IFERROR(IF(ROUND($G26-K26,3)&gt;0,ROUND($G26-K26,3),""),"")</f>
        <v/>
      </c>
      <c r="L28" s="79">
        <f>IFERROR(IF(ROUND($G26-L26,3)&gt;0,ROUND($G26-L26,3),""),"")</f>
        <v/>
      </c>
      <c r="M28" s="79">
        <f>IFERROR(IF(ROUND($G26-M26,3)&gt;0,ROUND($G26-M26,3),""),"")</f>
        <v/>
      </c>
      <c r="N28" s="79">
        <f>IFERROR(IF(ROUND($G26-N26,3)&gt;0,ROUND($G26-N26,3),""),"")</f>
        <v/>
      </c>
      <c r="O28" s="79">
        <f>IFERROR(IF(ROUND($G26-O26,3)&gt;0,ROUND($G26-O26,3),""),"")</f>
        <v/>
      </c>
      <c r="P28" s="79">
        <f>IFERROR(IF(ROUND($G26-P26,3)&gt;0,ROUND($G26-P26,3),""),"")</f>
        <v/>
      </c>
      <c r="Q28" s="79">
        <f>IFERROR(IF(ROUND($G26-Q26,3)&gt;0,ROUND($G26-Q26,3),""),"")</f>
        <v/>
      </c>
      <c r="R28" s="79">
        <f>IFERROR(IF(ROUND($G26-R26,3)&gt;0,ROUND($G26-R26,3),""),"")</f>
        <v/>
      </c>
      <c r="S28" s="79">
        <f>IFERROR(IF(ROUND($G26-S26,3)&gt;0,ROUND($G26-S26,3),""),"")</f>
        <v/>
      </c>
      <c r="T28" s="23" t="n"/>
      <c r="U28" s="23" t="inlineStr">
        <is>
          <t>UNIVERSAL TWIN BAG</t>
        </is>
      </c>
      <c r="V28" s="101" t="inlineStr">
        <is>
          <t>UNIVERSAL TWIN BAG</t>
        </is>
      </c>
    </row>
    <row r="29" ht="15" customHeight="1" s="5">
      <c r="A29" s="104" t="n"/>
      <c r="B29" s="103" t="inlineStr">
        <is>
          <t>USA</t>
        </is>
      </c>
      <c r="C29" s="65" t="inlineStr">
        <is>
          <t>TREE HOUSE</t>
        </is>
      </c>
      <c r="D29" s="52" t="inlineStr">
        <is>
          <t>CONSTANTA FAMILY SIZE</t>
        </is>
      </c>
      <c r="E29" s="53" t="n">
        <v>2</v>
      </c>
      <c r="F29" s="53" t="n">
        <v>0</v>
      </c>
      <c r="G29" s="75">
        <f>IFERROR(IF(OR($F29=0,VLOOKUP($D29,'MC MASTER'!$A:$R,18,0)=0),"-",ROUND(VLOOKUP($D29,'MC MASTER'!$A:$R,18,0)*$E29*$F29,3)),"-")</f>
        <v/>
      </c>
      <c r="H29" s="75">
        <f>IFERROR(SUMIFS(WORKING!$Y:$Y,WORKING!$X:$X,$D29,WORKING!$W:$W,H$500),"")</f>
        <v/>
      </c>
      <c r="I29" s="75">
        <f>IFERROR(SUMIFS(WORKING!$Y:$Y,WORKING!$X:$X,$D29,WORKING!$W:$W,I$500),"")</f>
        <v/>
      </c>
      <c r="J29" s="75">
        <f>IFERROR(SUMIFS(WORKING!$Y:$Y,WORKING!$X:$X,$D29,WORKING!$W:$W,J$500),"")</f>
        <v/>
      </c>
      <c r="K29" s="75">
        <f>IFERROR(SUMIFS(WORKING!$Y:$Y,WORKING!$X:$X,$D29,WORKING!$W:$W,K$500),"")</f>
        <v/>
      </c>
      <c r="L29" s="75">
        <f>IFERROR(SUMIFS(WORKING!$Y:$Y,WORKING!$X:$X,$D29,WORKING!$W:$W,L$500),"")</f>
        <v/>
      </c>
      <c r="M29" s="75">
        <f>IFERROR(SUMIFS(WORKING!$Y:$Y,WORKING!$X:$X,$D29,WORKING!$W:$W,M$500),"")</f>
        <v/>
      </c>
      <c r="N29" s="75">
        <f>IFERROR(SUMIFS(WORKING!$Y:$Y,WORKING!$X:$X,$D29,WORKING!$W:$W,N$500),"")</f>
        <v/>
      </c>
      <c r="O29" s="75">
        <f>IFERROR(SUMIFS(WORKING!$Y:$Y,WORKING!$X:$X,$D29,WORKING!$W:$W,O$500),"")</f>
        <v/>
      </c>
      <c r="P29" s="75">
        <f>IFERROR(SUMIFS(WORKING!$Y:$Y,WORKING!$X:$X,$D29,WORKING!$W:$W,P$500),"")</f>
        <v/>
      </c>
      <c r="Q29" s="75">
        <f>IFERROR(SUMIFS(WORKING!$Y:$Y,WORKING!$X:$X,$D29,WORKING!$W:$W,Q$500),"")</f>
        <v/>
      </c>
      <c r="R29" s="75">
        <f>IFERROR(SUMIFS(WORKING!$Y:$Y,WORKING!$X:$X,$D29,WORKING!$W:$W,R$500),"")</f>
        <v/>
      </c>
      <c r="S29" s="75">
        <f>IFERROR(SUMIFS(WORKING!$Y:$Y,WORKING!$X:$X,$D29,WORKING!$W:$W,S$500),"")</f>
        <v/>
      </c>
      <c r="T29" s="23" t="n"/>
      <c r="U29" s="23" t="inlineStr">
        <is>
          <t>PEARL PACK-PREMIX</t>
        </is>
      </c>
      <c r="V29" s="101" t="inlineStr">
        <is>
          <t>PEARL PACK-PREMIX</t>
        </is>
      </c>
    </row>
    <row r="30" ht="15" customHeight="1" s="5">
      <c r="A30" s="104" t="n"/>
      <c r="B30" s="104" t="n"/>
      <c r="C30" s="86" t="n"/>
      <c r="D30" s="52" t="inlineStr">
        <is>
          <t>PERFACTA TAG</t>
        </is>
      </c>
      <c r="E30" s="53" t="n">
        <v>2</v>
      </c>
      <c r="F30" s="53" t="n">
        <v>1</v>
      </c>
      <c r="G30" s="75">
        <f>IFERROR(IF(OR($F30=0,VLOOKUP($D30,'MC MASTER'!$A:$R,18,0)=0),"-",ROUND(VLOOKUP($D30,'MC MASTER'!$A:$R,18,0)*$E30*$F30,3)),"-")</f>
        <v/>
      </c>
      <c r="H30" s="75">
        <f>IFERROR(SUMIFS(WORKING!$Y:$Y,WORKING!$X:$X,$D30,WORKING!$W:$W,H$500),"")</f>
        <v/>
      </c>
      <c r="I30" s="75">
        <f>IFERROR(SUMIFS(WORKING!$Y:$Y,WORKING!$X:$X,$D30,WORKING!$W:$W,I$500),"")</f>
        <v/>
      </c>
      <c r="J30" s="75">
        <f>IFERROR(SUMIFS(WORKING!$Y:$Y,WORKING!$X:$X,$D30,WORKING!$W:$W,J$500),"")</f>
        <v/>
      </c>
      <c r="K30" s="75">
        <f>IFERROR(SUMIFS(WORKING!$Y:$Y,WORKING!$X:$X,$D30,WORKING!$W:$W,K$500),"")</f>
        <v/>
      </c>
      <c r="L30" s="75">
        <f>IFERROR(SUMIFS(WORKING!$Y:$Y,WORKING!$X:$X,$D30,WORKING!$W:$W,L$500),"")</f>
        <v/>
      </c>
      <c r="M30" s="75">
        <f>IFERROR(SUMIFS(WORKING!$Y:$Y,WORKING!$X:$X,$D30,WORKING!$W:$W,M$500),"")</f>
        <v/>
      </c>
      <c r="N30" s="75">
        <f>IFERROR(SUMIFS(WORKING!$Y:$Y,WORKING!$X:$X,$D30,WORKING!$W:$W,N$500),"")</f>
        <v/>
      </c>
      <c r="O30" s="75">
        <f>IFERROR(SUMIFS(WORKING!$Y:$Y,WORKING!$X:$X,$D30,WORKING!$W:$W,O$500),"")</f>
        <v/>
      </c>
      <c r="P30" s="75">
        <f>IFERROR(SUMIFS(WORKING!$Y:$Y,WORKING!$X:$X,$D30,WORKING!$W:$W,P$500),"")</f>
        <v/>
      </c>
      <c r="Q30" s="75">
        <f>IFERROR(SUMIFS(WORKING!$Y:$Y,WORKING!$X:$X,$D30,WORKING!$W:$W,Q$500),"")</f>
        <v/>
      </c>
      <c r="R30" s="75">
        <f>IFERROR(SUMIFS(WORKING!$Y:$Y,WORKING!$X:$X,$D30,WORKING!$W:$W,R$500),"")</f>
        <v/>
      </c>
      <c r="S30" s="75">
        <f>IFERROR(SUMIFS(WORKING!$Y:$Y,WORKING!$X:$X,$D30,WORKING!$W:$W,S$500),"")</f>
        <v/>
      </c>
      <c r="T30" s="23" t="n"/>
      <c r="U30" s="23" t="inlineStr">
        <is>
          <t>PEARL PACK-PREMIX 2</t>
        </is>
      </c>
      <c r="V30" s="101" t="inlineStr">
        <is>
          <t>PEARL PACK-PREMIX</t>
        </is>
      </c>
    </row>
    <row r="31" ht="15" customHeight="1" s="5">
      <c r="A31" s="104" t="n"/>
      <c r="B31" s="104" t="n"/>
      <c r="C31" s="119" t="n"/>
      <c r="D31" s="71" t="inlineStr">
        <is>
          <t>TOTAL</t>
        </is>
      </c>
      <c r="E31" s="119" t="n"/>
      <c r="F31" s="119" t="n"/>
      <c r="G31" s="78">
        <f>SUM(G29:G30)</f>
        <v/>
      </c>
      <c r="H31" s="78">
        <f>SUM(H29:H30)</f>
        <v/>
      </c>
      <c r="I31" s="78">
        <f>SUM(I29:I30)</f>
        <v/>
      </c>
      <c r="J31" s="78">
        <f>SUM(J29:J30)</f>
        <v/>
      </c>
      <c r="K31" s="78">
        <f>SUM(K29:K30)</f>
        <v/>
      </c>
      <c r="L31" s="78">
        <f>SUM(L29:L30)</f>
        <v/>
      </c>
      <c r="M31" s="78">
        <f>SUM(M29:M30)</f>
        <v/>
      </c>
      <c r="N31" s="78">
        <f>SUM(N29:N30)</f>
        <v/>
      </c>
      <c r="O31" s="78">
        <f>SUM(O29:O30)</f>
        <v/>
      </c>
      <c r="P31" s="78">
        <f>SUM(P29:P30)</f>
        <v/>
      </c>
      <c r="Q31" s="78">
        <f>SUM(Q29:Q30)</f>
        <v/>
      </c>
      <c r="R31" s="78">
        <f>SUM(R29:R30)</f>
        <v/>
      </c>
      <c r="S31" s="78">
        <f>SUM(S29:S30)</f>
        <v/>
      </c>
      <c r="T31" s="23" t="n"/>
      <c r="U31" s="23" t="inlineStr">
        <is>
          <t>INSTANT COFFEE STICK PACK</t>
        </is>
      </c>
      <c r="V31" s="101" t="inlineStr">
        <is>
          <t>INSTANT COFFEE STICK PACK</t>
        </is>
      </c>
    </row>
    <row r="32" ht="15" customHeight="1" s="5">
      <c r="A32" s="104" t="n"/>
      <c r="B32" s="104" t="n"/>
      <c r="C32" s="105" t="n"/>
      <c r="D32" s="72" t="inlineStr">
        <is>
          <t>Excess Order</t>
        </is>
      </c>
      <c r="E32" s="105" t="n"/>
      <c r="F32" s="105" t="n"/>
      <c r="G32" s="78" t="n"/>
      <c r="H32" s="79">
        <f>IFERROR(IF(ROUND(H31-$G31,3)&gt;0,ROUND(H31-$G31,3),""),"")</f>
        <v/>
      </c>
      <c r="I32" s="79">
        <f>IFERROR(IF(ROUND(I31-$G31,3)&gt;0,ROUND(I31-$G31,3),""),"")</f>
        <v/>
      </c>
      <c r="J32" s="79">
        <f>IFERROR(IF(ROUND(J31-$G31,3)&gt;0,ROUND(J31-$G31,3),""),"")</f>
        <v/>
      </c>
      <c r="K32" s="79">
        <f>IFERROR(IF(ROUND(K31-$G31,3)&gt;0,ROUND(K31-$G31,3),""),"")</f>
        <v/>
      </c>
      <c r="L32" s="79">
        <f>IFERROR(IF(ROUND(L31-$G31,3)&gt;0,ROUND(L31-$G31,3),""),"")</f>
        <v/>
      </c>
      <c r="M32" s="79">
        <f>IFERROR(IF(ROUND(M31-$G31,3)&gt;0,ROUND(M31-$G31,3),""),"")</f>
        <v/>
      </c>
      <c r="N32" s="79">
        <f>IFERROR(IF(ROUND(N31-$G31,3)&gt;0,ROUND(N31-$G31,3),""),"")</f>
        <v/>
      </c>
      <c r="O32" s="79">
        <f>IFERROR(IF(ROUND(O31-$G31,3)&gt;0,ROUND(O31-$G31,3),""),"")</f>
        <v/>
      </c>
      <c r="P32" s="79">
        <f>IFERROR(IF(ROUND(P31-$G31,3)&gt;0,ROUND(P31-$G31,3),""),"")</f>
        <v/>
      </c>
      <c r="Q32" s="79">
        <f>IFERROR(IF(ROUND(Q31-$G31,3)&gt;0,ROUND(Q31-$G31,3),""),"")</f>
        <v/>
      </c>
      <c r="R32" s="79">
        <f>IFERROR(IF(ROUND(R31-$G31,3)&gt;0,ROUND(R31-$G31,3),""),"")</f>
        <v/>
      </c>
      <c r="S32" s="79">
        <f>IFERROR(IF(ROUND(S31-$G31,3)&gt;0,ROUND(S31-$G31,3),""),"")</f>
        <v/>
      </c>
      <c r="T32" s="23" t="n"/>
      <c r="U32" s="23" t="inlineStr">
        <is>
          <t>Instant Tea</t>
        </is>
      </c>
      <c r="V32" s="101" t="inlineStr">
        <is>
          <t>Instant Tea</t>
        </is>
      </c>
    </row>
    <row r="33" ht="15" customHeight="1" s="5">
      <c r="A33" s="86" t="n"/>
      <c r="B33" s="86" t="n"/>
      <c r="C33" s="107" t="n"/>
      <c r="D33" s="72" t="inlineStr">
        <is>
          <t>Short Order</t>
        </is>
      </c>
      <c r="E33" s="109" t="n"/>
      <c r="F33" s="110" t="n"/>
      <c r="G33" s="110" t="n"/>
      <c r="H33" s="79">
        <f>IFERROR(IF(ROUND($G31-H31,3)&gt;0,ROUND($G31-H31,3),""),"")</f>
        <v/>
      </c>
      <c r="I33" s="79">
        <f>IFERROR(IF(ROUND($G31-I31,3)&gt;0,ROUND($G31-I31,3),""),"")</f>
        <v/>
      </c>
      <c r="J33" s="79">
        <f>IFERROR(IF(ROUND($G31-J31,3)&gt;0,ROUND($G31-J31,3),""),"")</f>
        <v/>
      </c>
      <c r="K33" s="79">
        <f>IFERROR(IF(ROUND($G31-K31,3)&gt;0,ROUND($G31-K31,3),""),"")</f>
        <v/>
      </c>
      <c r="L33" s="79">
        <f>IFERROR(IF(ROUND($G31-L31,3)&gt;0,ROUND($G31-L31,3),""),"")</f>
        <v/>
      </c>
      <c r="M33" s="79">
        <f>IFERROR(IF(ROUND($G31-M31,3)&gt;0,ROUND($G31-M31,3),""),"")</f>
        <v/>
      </c>
      <c r="N33" s="79">
        <f>IFERROR(IF(ROUND($G31-N31,3)&gt;0,ROUND($G31-N31,3),""),"")</f>
        <v/>
      </c>
      <c r="O33" s="79">
        <f>IFERROR(IF(ROUND($G31-O31,3)&gt;0,ROUND($G31-O31,3),""),"")</f>
        <v/>
      </c>
      <c r="P33" s="79">
        <f>IFERROR(IF(ROUND($G31-P31,3)&gt;0,ROUND($G31-P31,3),""),"")</f>
        <v/>
      </c>
      <c r="Q33" s="79">
        <f>IFERROR(IF(ROUND($G31-Q31,3)&gt;0,ROUND($G31-Q31,3),""),"")</f>
        <v/>
      </c>
      <c r="R33" s="79">
        <f>IFERROR(IF(ROUND($G31-R31,3)&gt;0,ROUND($G31-R31,3),""),"")</f>
        <v/>
      </c>
      <c r="S33" s="79">
        <f>IFERROR(IF(ROUND($G31-S31,3)&gt;0,ROUND($G31-S31,3),""),"")</f>
        <v/>
      </c>
      <c r="T33" s="23" t="n"/>
      <c r="U33" s="23" t="inlineStr">
        <is>
          <t>VIKING-MULTITRACK</t>
        </is>
      </c>
      <c r="V33" s="101" t="inlineStr">
        <is>
          <t>VIKING-MULTITRACK</t>
        </is>
      </c>
    </row>
    <row r="34" ht="15" customHeight="1" s="5">
      <c r="A34" s="102" t="inlineStr">
        <is>
          <t>Zone 2</t>
        </is>
      </c>
      <c r="B34" s="103" t="inlineStr">
        <is>
          <t>AFRICA</t>
        </is>
      </c>
      <c r="C34" s="65" t="inlineStr">
        <is>
          <t>SC</t>
        </is>
      </c>
      <c r="D34" s="52" t="inlineStr">
        <is>
          <t>MAISA TAGLESS</t>
        </is>
      </c>
      <c r="E34" s="53" t="n">
        <v>7</v>
      </c>
      <c r="F34" s="53" t="n">
        <v>1</v>
      </c>
      <c r="G34" s="75">
        <f>IFERROR(IF(OR($F34=0,VLOOKUP($D34,'MC MASTER'!$A:$R,18,0)=0),"-",ROUND(VLOOKUP($D34,'MC MASTER'!$A:$R,18,0)*$E34*$F34,3)),"-")</f>
        <v/>
      </c>
      <c r="H34" s="75">
        <f>IFERROR(SUMIFS(WORKING!$Y:$Y,WORKING!$X:$X,$D34,WORKING!$W:$W,H$500),"")</f>
        <v/>
      </c>
      <c r="I34" s="75">
        <f>IFERROR(SUMIFS(WORKING!$Y:$Y,WORKING!$X:$X,$D34,WORKING!$W:$W,I$500),"")</f>
        <v/>
      </c>
      <c r="J34" s="75">
        <f>IFERROR(SUMIFS(WORKING!$Y:$Y,WORKING!$X:$X,$D34,WORKING!$W:$W,J$500),"")</f>
        <v/>
      </c>
      <c r="K34" s="75">
        <f>IFERROR(SUMIFS(WORKING!$Y:$Y,WORKING!$X:$X,$D34,WORKING!$W:$W,K$500),"")</f>
        <v/>
      </c>
      <c r="L34" s="75">
        <f>IFERROR(SUMIFS(WORKING!$Y:$Y,WORKING!$X:$X,$D34,WORKING!$W:$W,L$500),"")</f>
        <v/>
      </c>
      <c r="M34" s="75">
        <f>IFERROR(SUMIFS(WORKING!$Y:$Y,WORKING!$X:$X,$D34,WORKING!$W:$W,M$500),"")</f>
        <v/>
      </c>
      <c r="N34" s="75">
        <f>IFERROR(SUMIFS(WORKING!$Y:$Y,WORKING!$X:$X,$D34,WORKING!$W:$W,N$500),"")</f>
        <v/>
      </c>
      <c r="O34" s="75">
        <f>IFERROR(SUMIFS(WORKING!$Y:$Y,WORKING!$X:$X,$D34,WORKING!$W:$W,O$500),"")</f>
        <v/>
      </c>
      <c r="P34" s="75">
        <f>IFERROR(SUMIFS(WORKING!$Y:$Y,WORKING!$X:$X,$D34,WORKING!$W:$W,P$500),"")</f>
        <v/>
      </c>
      <c r="Q34" s="75">
        <f>IFERROR(SUMIFS(WORKING!$Y:$Y,WORKING!$X:$X,$D34,WORKING!$W:$W,Q$500),"")</f>
        <v/>
      </c>
      <c r="R34" s="75">
        <f>IFERROR(SUMIFS(WORKING!$Y:$Y,WORKING!$X:$X,$D34,WORKING!$W:$W,R$500),"")</f>
        <v/>
      </c>
      <c r="S34" s="75">
        <f>IFERROR(SUMIFS(WORKING!$Y:$Y,WORKING!$X:$X,$D34,WORKING!$W:$W,S$500),"")</f>
        <v/>
      </c>
      <c r="T34" s="23" t="n"/>
      <c r="U34" s="23" t="inlineStr">
        <is>
          <t>Pearl Pack-FFS POUCH</t>
        </is>
      </c>
      <c r="V34" s="101" t="inlineStr">
        <is>
          <t>Pearl Pack-FFS POUCH</t>
        </is>
      </c>
    </row>
    <row r="35" ht="15" customHeight="1" s="5">
      <c r="A35" s="104" t="n"/>
      <c r="B35" s="104" t="n"/>
      <c r="C35" s="119" t="n"/>
      <c r="D35" s="71" t="inlineStr">
        <is>
          <t>TOTAL</t>
        </is>
      </c>
      <c r="E35" s="119" t="n"/>
      <c r="F35" s="119" t="n"/>
      <c r="G35" s="78">
        <f>SUM(G34:G34)</f>
        <v/>
      </c>
      <c r="H35" s="78">
        <f>SUM(H34:H34)</f>
        <v/>
      </c>
      <c r="I35" s="78">
        <f>SUM(I34:I34)</f>
        <v/>
      </c>
      <c r="J35" s="78">
        <f>SUM(J34:J34)</f>
        <v/>
      </c>
      <c r="K35" s="78">
        <f>SUM(K34:K34)</f>
        <v/>
      </c>
      <c r="L35" s="78">
        <f>SUM(L34:L34)</f>
        <v/>
      </c>
      <c r="M35" s="78">
        <f>SUM(M34:M34)</f>
        <v/>
      </c>
      <c r="N35" s="78">
        <f>SUM(N34:N34)</f>
        <v/>
      </c>
      <c r="O35" s="78">
        <f>SUM(O34:O34)</f>
        <v/>
      </c>
      <c r="P35" s="78">
        <f>SUM(P34:P34)</f>
        <v/>
      </c>
      <c r="Q35" s="78">
        <f>SUM(Q34:Q34)</f>
        <v/>
      </c>
      <c r="R35" s="78">
        <f>SUM(R34:R34)</f>
        <v/>
      </c>
      <c r="S35" s="78">
        <f>SUM(S34:S34)</f>
        <v/>
      </c>
      <c r="T35" s="23" t="n"/>
      <c r="U35" s="23" t="inlineStr">
        <is>
          <t>PEARL PACK-NANO</t>
        </is>
      </c>
      <c r="V35" s="101" t="inlineStr">
        <is>
          <t>PEARL PACK-NANO</t>
        </is>
      </c>
    </row>
    <row r="36" ht="15" customHeight="1" s="5">
      <c r="A36" s="104" t="n"/>
      <c r="B36" s="104" t="n"/>
      <c r="D36" s="72" t="inlineStr">
        <is>
          <t>Excess Order</t>
        </is>
      </c>
      <c r="E36" s="53" t="n"/>
      <c r="F36" s="53" t="n"/>
      <c r="G36" s="75" t="n"/>
      <c r="H36" s="79">
        <f>IFERROR(IF(ROUND(H35-$G35,3)&gt;0,ROUND(H35-$G35,3),""),"")</f>
        <v/>
      </c>
      <c r="I36" s="79">
        <f>IFERROR(IF(ROUND(I35-$G35,3)&gt;0,ROUND(I35-$G35,3),""),"")</f>
        <v/>
      </c>
      <c r="J36" s="79">
        <f>IFERROR(IF(ROUND(J35-$G35,3)&gt;0,ROUND(J35-$G35,3),""),"")</f>
        <v/>
      </c>
      <c r="K36" s="79">
        <f>IFERROR(IF(ROUND(K35-$G35,3)&gt;0,ROUND(K35-$G35,3),""),"")</f>
        <v/>
      </c>
      <c r="L36" s="79">
        <f>IFERROR(IF(ROUND(L35-$G35,3)&gt;0,ROUND(L35-$G35,3),""),"")</f>
        <v/>
      </c>
      <c r="M36" s="79">
        <f>IFERROR(IF(ROUND(M35-$G35,3)&gt;0,ROUND(M35-$G35,3),""),"")</f>
        <v/>
      </c>
      <c r="N36" s="79">
        <f>IFERROR(IF(ROUND(N35-$G35,3)&gt;0,ROUND(N35-$G35,3),""),"")</f>
        <v/>
      </c>
      <c r="O36" s="79">
        <f>IFERROR(IF(ROUND(O35-$G35,3)&gt;0,ROUND(O35-$G35,3),""),"")</f>
        <v/>
      </c>
      <c r="P36" s="79">
        <f>IFERROR(IF(ROUND(P35-$G35,3)&gt;0,ROUND(P35-$G35,3),""),"")</f>
        <v/>
      </c>
      <c r="Q36" s="79">
        <f>IFERROR(IF(ROUND(Q35-$G35,3)&gt;0,ROUND(Q35-$G35,3),""),"")</f>
        <v/>
      </c>
      <c r="R36" s="79">
        <f>IFERROR(IF(ROUND(R35-$G35,3)&gt;0,ROUND(R35-$G35,3),""),"")</f>
        <v/>
      </c>
      <c r="S36" s="79">
        <f>IFERROR(IF(ROUND(S35-$G35,3)&gt;0,ROUND(S35-$G35,3),""),"")</f>
        <v/>
      </c>
      <c r="T36" s="23" t="n"/>
      <c r="U36" s="23" t="inlineStr">
        <is>
          <t>VARIETIES PACK</t>
        </is>
      </c>
      <c r="V36" s="101" t="inlineStr">
        <is>
          <t>VARIETIES PACK</t>
        </is>
      </c>
    </row>
    <row r="37" ht="15" customHeight="1" s="5">
      <c r="A37" s="104" t="n"/>
      <c r="B37" s="86" t="n"/>
      <c r="D37" s="72" t="inlineStr">
        <is>
          <t>Short Order</t>
        </is>
      </c>
      <c r="E37" s="53" t="n"/>
      <c r="F37" s="53" t="n"/>
      <c r="G37" s="75" t="n"/>
      <c r="H37" s="79">
        <f>IFERROR(IF(ROUND($G35-H35,3)&gt;0,ROUND($G35-H35,3),""),"")</f>
        <v/>
      </c>
      <c r="I37" s="79">
        <f>IFERROR(IF(ROUND($G35-I35,3)&gt;0,ROUND($G35-I35,3),""),"")</f>
        <v/>
      </c>
      <c r="J37" s="79">
        <f>IFERROR(IF(ROUND($G35-J35,3)&gt;0,ROUND($G35-J35,3),""),"")</f>
        <v/>
      </c>
      <c r="K37" s="79">
        <f>IFERROR(IF(ROUND($G35-K35,3)&gt;0,ROUND($G35-K35,3),""),"")</f>
        <v/>
      </c>
      <c r="L37" s="79">
        <f>IFERROR(IF(ROUND($G35-L35,3)&gt;0,ROUND($G35-L35,3),""),"")</f>
        <v/>
      </c>
      <c r="M37" s="79">
        <f>IFERROR(IF(ROUND($G35-M35,3)&gt;0,ROUND($G35-M35,3),""),"")</f>
        <v/>
      </c>
      <c r="N37" s="79">
        <f>IFERROR(IF(ROUND($G35-N35,3)&gt;0,ROUND($G35-N35,3),""),"")</f>
        <v/>
      </c>
      <c r="O37" s="79">
        <f>IFERROR(IF(ROUND($G35-O35,3)&gt;0,ROUND($G35-O35,3),""),"")</f>
        <v/>
      </c>
      <c r="P37" s="79">
        <f>IFERROR(IF(ROUND($G35-P35,3)&gt;0,ROUND($G35-P35,3),""),"")</f>
        <v/>
      </c>
      <c r="Q37" s="79">
        <f>IFERROR(IF(ROUND($G35-Q35,3)&gt;0,ROUND($G35-Q35,3),""),"")</f>
        <v/>
      </c>
      <c r="R37" s="79">
        <f>IFERROR(IF(ROUND($G35-R35,3)&gt;0,ROUND($G35-R35,3),""),"")</f>
        <v/>
      </c>
      <c r="S37" s="79">
        <f>IFERROR(IF(ROUND($G35-S35,3)&gt;0,ROUND($G35-S35,3),""),"")</f>
        <v/>
      </c>
      <c r="T37" s="23" t="n"/>
      <c r="U37" s="23" t="inlineStr">
        <is>
          <t>PERFECTA ENV</t>
        </is>
      </c>
      <c r="V37" s="101" t="inlineStr">
        <is>
          <t>PERFECTA ENV</t>
        </is>
      </c>
    </row>
    <row r="38" ht="15" customHeight="1" s="5">
      <c r="A38" s="104" t="n"/>
      <c r="B38" s="103" t="inlineStr">
        <is>
          <t>EUROPE</t>
        </is>
      </c>
      <c r="C38" s="65" t="inlineStr">
        <is>
          <t>SC</t>
        </is>
      </c>
      <c r="D38" s="52" t="inlineStr">
        <is>
          <t>UNIVERSAL POT BAG</t>
        </is>
      </c>
      <c r="E38" s="53" t="n">
        <v>1</v>
      </c>
      <c r="F38" s="53" t="n">
        <v>0</v>
      </c>
      <c r="G38" s="75">
        <f>IFERROR(IF(OR($F38=0,VLOOKUP($D38,'MC MASTER'!$A:$R,18,0)=0),"-",ROUND(VLOOKUP($D38,'MC MASTER'!$A:$R,18,0)*$E38*$F38,3)),"-")</f>
        <v/>
      </c>
      <c r="H38" s="75">
        <f>IFERROR(SUMIFS(WORKING!$Y:$Y,WORKING!$X:$X,$D38,WORKING!$W:$W,H$500),"")</f>
        <v/>
      </c>
      <c r="I38" s="75">
        <f>IFERROR(SUMIFS(WORKING!$Y:$Y,WORKING!$X:$X,$D38,WORKING!$W:$W,I$500),"")</f>
        <v/>
      </c>
      <c r="J38" s="75">
        <f>IFERROR(SUMIFS(WORKING!$Y:$Y,WORKING!$X:$X,$D38,WORKING!$W:$W,J$500),"")</f>
        <v/>
      </c>
      <c r="K38" s="75">
        <f>IFERROR(SUMIFS(WORKING!$Y:$Y,WORKING!$X:$X,$D38,WORKING!$W:$W,K$500),"")</f>
        <v/>
      </c>
      <c r="L38" s="75">
        <f>IFERROR(SUMIFS(WORKING!$Y:$Y,WORKING!$X:$X,$D38,WORKING!$W:$W,L$500),"")</f>
        <v/>
      </c>
      <c r="M38" s="75">
        <f>IFERROR(SUMIFS(WORKING!$Y:$Y,WORKING!$X:$X,$D38,WORKING!$W:$W,M$500),"")</f>
        <v/>
      </c>
      <c r="N38" s="75">
        <f>IFERROR(SUMIFS(WORKING!$Y:$Y,WORKING!$X:$X,$D38,WORKING!$W:$W,N$500),"")</f>
        <v/>
      </c>
      <c r="O38" s="75">
        <f>IFERROR(SUMIFS(WORKING!$Y:$Y,WORKING!$X:$X,$D38,WORKING!$W:$W,O$500),"")</f>
        <v/>
      </c>
      <c r="P38" s="75">
        <f>IFERROR(SUMIFS(WORKING!$Y:$Y,WORKING!$X:$X,$D38,WORKING!$W:$W,P$500),"")</f>
        <v/>
      </c>
      <c r="Q38" s="75">
        <f>IFERROR(SUMIFS(WORKING!$Y:$Y,WORKING!$X:$X,$D38,WORKING!$W:$W,Q$500),"")</f>
        <v/>
      </c>
      <c r="R38" s="75">
        <f>IFERROR(SUMIFS(WORKING!$Y:$Y,WORKING!$X:$X,$D38,WORKING!$W:$W,R$500),"")</f>
        <v/>
      </c>
      <c r="S38" s="75">
        <f>IFERROR(SUMIFS(WORKING!$Y:$Y,WORKING!$X:$X,$D38,WORKING!$W:$W,S$500),"")</f>
        <v/>
      </c>
      <c r="T38" s="23" t="n"/>
      <c r="U38" s="23" t="inlineStr">
        <is>
          <t>CONSTANTA TAG D</t>
        </is>
      </c>
      <c r="V38" s="101" t="inlineStr">
        <is>
          <t>CONSTANTA TAG</t>
        </is>
      </c>
    </row>
    <row r="39" ht="15" customHeight="1" s="5">
      <c r="A39" s="104" t="n"/>
      <c r="B39" s="104" t="n"/>
      <c r="C39" s="86" t="n"/>
      <c r="D39" s="52" t="inlineStr">
        <is>
          <t>UNIVERSAL TWIN BAG</t>
        </is>
      </c>
      <c r="E39" s="53" t="n">
        <v>1</v>
      </c>
      <c r="F39" s="53" t="n">
        <v>1</v>
      </c>
      <c r="G39" s="75">
        <f>IFERROR(IF(OR($F39=0,VLOOKUP($D39,'MC MASTER'!$A:$R,18,0)=0),"-",ROUND(VLOOKUP($D39,'MC MASTER'!$A:$R,18,0)*$E39*$F39,3)),"-")</f>
        <v/>
      </c>
      <c r="H39" s="75">
        <f>IFERROR(SUMIFS(WORKING!$Y:$Y,WORKING!$X:$X,$D39,WORKING!$W:$W,H$500),"")</f>
        <v/>
      </c>
      <c r="I39" s="75">
        <f>IFERROR(SUMIFS(WORKING!$Y:$Y,WORKING!$X:$X,$D39,WORKING!$W:$W,I$500),"")</f>
        <v/>
      </c>
      <c r="J39" s="75">
        <f>IFERROR(SUMIFS(WORKING!$Y:$Y,WORKING!$X:$X,$D39,WORKING!$W:$W,J$500),"")</f>
        <v/>
      </c>
      <c r="K39" s="75">
        <f>IFERROR(SUMIFS(WORKING!$Y:$Y,WORKING!$X:$X,$D39,WORKING!$W:$W,K$500),"")</f>
        <v/>
      </c>
      <c r="L39" s="75">
        <f>IFERROR(SUMIFS(WORKING!$Y:$Y,WORKING!$X:$X,$D39,WORKING!$W:$W,L$500),"")</f>
        <v/>
      </c>
      <c r="M39" s="75">
        <f>IFERROR(SUMIFS(WORKING!$Y:$Y,WORKING!$X:$X,$D39,WORKING!$W:$W,M$500),"")</f>
        <v/>
      </c>
      <c r="N39" s="75">
        <f>IFERROR(SUMIFS(WORKING!$Y:$Y,WORKING!$X:$X,$D39,WORKING!$W:$W,N$500),"")</f>
        <v/>
      </c>
      <c r="O39" s="75">
        <f>IFERROR(SUMIFS(WORKING!$Y:$Y,WORKING!$X:$X,$D39,WORKING!$W:$W,O$500),"")</f>
        <v/>
      </c>
      <c r="P39" s="75">
        <f>IFERROR(SUMIFS(WORKING!$Y:$Y,WORKING!$X:$X,$D39,WORKING!$W:$W,P$500),"")</f>
        <v/>
      </c>
      <c r="Q39" s="75">
        <f>IFERROR(SUMIFS(WORKING!$Y:$Y,WORKING!$X:$X,$D39,WORKING!$W:$W,Q$500),"")</f>
        <v/>
      </c>
      <c r="R39" s="75">
        <f>IFERROR(SUMIFS(WORKING!$Y:$Y,WORKING!$X:$X,$D39,WORKING!$W:$W,R$500),"")</f>
        <v/>
      </c>
      <c r="S39" s="75">
        <f>IFERROR(SUMIFS(WORKING!$Y:$Y,WORKING!$X:$X,$D39,WORKING!$W:$W,S$500),"")</f>
        <v/>
      </c>
      <c r="T39" s="23" t="n"/>
      <c r="U39" s="23" t="inlineStr">
        <is>
          <t>MD 20 4GM</t>
        </is>
      </c>
      <c r="V39" s="101" t="inlineStr">
        <is>
          <t>MD20 4GM TAG</t>
        </is>
      </c>
    </row>
    <row r="40" ht="15" customHeight="1" s="5">
      <c r="A40" s="104" t="n"/>
      <c r="B40" s="104" t="n"/>
      <c r="C40" s="119" t="n"/>
      <c r="D40" s="71" t="inlineStr">
        <is>
          <t>TOTAL</t>
        </is>
      </c>
      <c r="E40" s="119" t="n"/>
      <c r="F40" s="119" t="n"/>
      <c r="G40" s="78">
        <f>SUM(G38:G39)</f>
        <v/>
      </c>
      <c r="H40" s="78">
        <f>SUM(H38:H39)</f>
        <v/>
      </c>
      <c r="I40" s="78">
        <f>SUM(I38:I39)</f>
        <v/>
      </c>
      <c r="J40" s="78">
        <f>SUM(J38:J39)</f>
        <v/>
      </c>
      <c r="K40" s="78">
        <f>SUM(K38:K39)</f>
        <v/>
      </c>
      <c r="L40" s="78">
        <f>SUM(L38:L39)</f>
        <v/>
      </c>
      <c r="M40" s="78">
        <f>SUM(M38:M39)</f>
        <v/>
      </c>
      <c r="N40" s="78">
        <f>SUM(N38:N39)</f>
        <v/>
      </c>
      <c r="O40" s="78">
        <f>SUM(O38:O39)</f>
        <v/>
      </c>
      <c r="P40" s="78">
        <f>SUM(P38:P39)</f>
        <v/>
      </c>
      <c r="Q40" s="78">
        <f>SUM(Q38:Q39)</f>
        <v/>
      </c>
      <c r="R40" s="78">
        <f>SUM(R38:R39)</f>
        <v/>
      </c>
      <c r="S40" s="78">
        <f>SUM(S38:S39)</f>
        <v/>
      </c>
      <c r="T40" s="23" t="n"/>
      <c r="U40" s="23" t="inlineStr">
        <is>
          <t>Pearl Pack Premix</t>
        </is>
      </c>
      <c r="V40" s="101" t="inlineStr">
        <is>
          <t>PEARL PACK-PREMIX</t>
        </is>
      </c>
    </row>
    <row r="41" ht="15" customHeight="1" s="5">
      <c r="A41" s="104" t="n"/>
      <c r="B41" s="104" t="n"/>
      <c r="C41" s="65" t="n"/>
      <c r="D41" s="72" t="inlineStr">
        <is>
          <t>Excess Order</t>
        </is>
      </c>
      <c r="E41" s="53" t="n"/>
      <c r="F41" s="53" t="n"/>
      <c r="G41" s="75" t="n"/>
      <c r="H41" s="79">
        <f>IFERROR(IF(ROUND(H40-$G40,3)&gt;0,ROUND(H40-$G40,3),""),"")</f>
        <v/>
      </c>
      <c r="I41" s="79">
        <f>IFERROR(IF(ROUND(I40-$G40,3)&gt;0,ROUND(I40-$G40,3),""),"")</f>
        <v/>
      </c>
      <c r="J41" s="79">
        <f>IFERROR(IF(ROUND(J40-$G40,3)&gt;0,ROUND(J40-$G40,3),""),"")</f>
        <v/>
      </c>
      <c r="K41" s="79">
        <f>IFERROR(IF(ROUND(K40-$G40,3)&gt;0,ROUND(K40-$G40,3),""),"")</f>
        <v/>
      </c>
      <c r="L41" s="79">
        <f>IFERROR(IF(ROUND(L40-$G40,3)&gt;0,ROUND(L40-$G40,3),""),"")</f>
        <v/>
      </c>
      <c r="M41" s="79">
        <f>IFERROR(IF(ROUND(M40-$G40,3)&gt;0,ROUND(M40-$G40,3),""),"")</f>
        <v/>
      </c>
      <c r="N41" s="79">
        <f>IFERROR(IF(ROUND(N40-$G40,3)&gt;0,ROUND(N40-$G40,3),""),"")</f>
        <v/>
      </c>
      <c r="O41" s="79">
        <f>IFERROR(IF(ROUND(O40-$G40,3)&gt;0,ROUND(O40-$G40,3),""),"")</f>
        <v/>
      </c>
      <c r="P41" s="79">
        <f>IFERROR(IF(ROUND(P40-$G40,3)&gt;0,ROUND(P40-$G40,3),""),"")</f>
        <v/>
      </c>
      <c r="Q41" s="79">
        <f>IFERROR(IF(ROUND(Q40-$G40,3)&gt;0,ROUND(Q40-$G40,3),""),"")</f>
        <v/>
      </c>
      <c r="R41" s="79">
        <f>IFERROR(IF(ROUND(R40-$G40,3)&gt;0,ROUND(R40-$G40,3),""),"")</f>
        <v/>
      </c>
      <c r="S41" s="79">
        <f>IFERROR(IF(ROUND(S40-$G40,3)&gt;0,ROUND(S40-$G40,3),""),"")</f>
        <v/>
      </c>
      <c r="T41" s="101" t="n"/>
      <c r="U41" s="101" t="n"/>
      <c r="V41" s="101" t="n"/>
    </row>
    <row r="42" ht="15" customHeight="1" s="5">
      <c r="A42" s="104" t="n"/>
      <c r="B42" s="86" t="n"/>
      <c r="C42" s="105" t="n"/>
      <c r="D42" s="72" t="inlineStr">
        <is>
          <t>Short Order</t>
        </is>
      </c>
      <c r="E42" s="105" t="n"/>
      <c r="F42" s="105" t="n"/>
      <c r="G42" s="78" t="n"/>
      <c r="H42" s="79">
        <f>IFERROR(IF(ROUND($G40-H40,3)&gt;0,ROUND($G40-H40,3),""),"")</f>
        <v/>
      </c>
      <c r="I42" s="79">
        <f>IFERROR(IF(ROUND($G40-I40,3)&gt;0,ROUND($G40-I40,3),""),"")</f>
        <v/>
      </c>
      <c r="J42" s="79">
        <f>IFERROR(IF(ROUND($G40-J40,3)&gt;0,ROUND($G40-J40,3),""),"")</f>
        <v/>
      </c>
      <c r="K42" s="79">
        <f>IFERROR(IF(ROUND($G40-K40,3)&gt;0,ROUND($G40-K40,3),""),"")</f>
        <v/>
      </c>
      <c r="L42" s="79">
        <f>IFERROR(IF(ROUND($G40-L40,3)&gt;0,ROUND($G40-L40,3),""),"")</f>
        <v/>
      </c>
      <c r="M42" s="79">
        <f>IFERROR(IF(ROUND($G40-M40,3)&gt;0,ROUND($G40-M40,3),""),"")</f>
        <v/>
      </c>
      <c r="N42" s="79">
        <f>IFERROR(IF(ROUND($G40-N40,3)&gt;0,ROUND($G40-N40,3),""),"")</f>
        <v/>
      </c>
      <c r="O42" s="79">
        <f>IFERROR(IF(ROUND($G40-O40,3)&gt;0,ROUND($G40-O40,3),""),"")</f>
        <v/>
      </c>
      <c r="P42" s="79">
        <f>IFERROR(IF(ROUND($G40-P40,3)&gt;0,ROUND($G40-P40,3),""),"")</f>
        <v/>
      </c>
      <c r="Q42" s="79">
        <f>IFERROR(IF(ROUND($G40-Q40,3)&gt;0,ROUND($G40-Q40,3),""),"")</f>
        <v/>
      </c>
      <c r="R42" s="79">
        <f>IFERROR(IF(ROUND($G40-R40,3)&gt;0,ROUND($G40-R40,3),""),"")</f>
        <v/>
      </c>
      <c r="S42" s="79">
        <f>IFERROR(IF(ROUND($G40-S40,3)&gt;0,ROUND($G40-S40,3),""),"")</f>
        <v/>
      </c>
      <c r="T42" s="101" t="n"/>
      <c r="U42" s="101" t="n"/>
      <c r="V42" s="101" t="n"/>
    </row>
    <row r="43" ht="15" customHeight="1" s="5">
      <c r="A43" s="104" t="n"/>
      <c r="B43" s="103" t="inlineStr">
        <is>
          <t>USA</t>
        </is>
      </c>
      <c r="C43" s="65" t="inlineStr">
        <is>
          <t>TREE HOUSE</t>
        </is>
      </c>
      <c r="D43" s="52" t="inlineStr">
        <is>
          <t>BREW MAGIC</t>
        </is>
      </c>
      <c r="E43" s="53" t="n">
        <v>1</v>
      </c>
      <c r="F43" s="53" t="n">
        <v>1</v>
      </c>
      <c r="G43" s="75">
        <f>IFERROR(IF(OR($F43=0,VLOOKUP($D43,'MC MASTER'!$A:$R,18,0)=0),"-",ROUND(VLOOKUP($D43,'MC MASTER'!$A:$R,18,0)*$E43*$F43,3)),"-")</f>
        <v/>
      </c>
      <c r="H43" s="75">
        <f>IFERROR(SUMIFS(WORKING!$Y:$Y,WORKING!$X:$X,$D43,WORKING!$W:$W,H$500),"")</f>
        <v/>
      </c>
      <c r="I43" s="75">
        <f>IFERROR(SUMIFS(WORKING!$Y:$Y,WORKING!$X:$X,$D43,WORKING!$W:$W,I$500),"")</f>
        <v/>
      </c>
      <c r="J43" s="75">
        <f>IFERROR(SUMIFS(WORKING!$Y:$Y,WORKING!$X:$X,$D43,WORKING!$W:$W,J$500),"")</f>
        <v/>
      </c>
      <c r="K43" s="75">
        <f>IFERROR(SUMIFS(WORKING!$Y:$Y,WORKING!$X:$X,$D43,WORKING!$W:$W,K$500),"")</f>
        <v/>
      </c>
      <c r="L43" s="75">
        <f>IFERROR(SUMIFS(WORKING!$Y:$Y,WORKING!$X:$X,$D43,WORKING!$W:$W,L$500),"")</f>
        <v/>
      </c>
      <c r="M43" s="75">
        <f>IFERROR(SUMIFS(WORKING!$Y:$Y,WORKING!$X:$X,$D43,WORKING!$W:$W,M$500),"")</f>
        <v/>
      </c>
      <c r="N43" s="75">
        <f>IFERROR(SUMIFS(WORKING!$Y:$Y,WORKING!$X:$X,$D43,WORKING!$W:$W,N$500),"")</f>
        <v/>
      </c>
      <c r="O43" s="75">
        <f>IFERROR(SUMIFS(WORKING!$Y:$Y,WORKING!$X:$X,$D43,WORKING!$W:$W,O$500),"")</f>
        <v/>
      </c>
      <c r="P43" s="75">
        <f>IFERROR(SUMIFS(WORKING!$Y:$Y,WORKING!$X:$X,$D43,WORKING!$W:$W,P$500),"")</f>
        <v/>
      </c>
      <c r="Q43" s="75">
        <f>IFERROR(SUMIFS(WORKING!$Y:$Y,WORKING!$X:$X,$D43,WORKING!$W:$W,Q$500),"")</f>
        <v/>
      </c>
      <c r="R43" s="75">
        <f>IFERROR(SUMIFS(WORKING!$Y:$Y,WORKING!$X:$X,$D43,WORKING!$W:$W,R$500),"")</f>
        <v/>
      </c>
      <c r="S43" s="75">
        <f>IFERROR(SUMIFS(WORKING!$Y:$Y,WORKING!$X:$X,$D43,WORKING!$W:$W,S$500),"")</f>
        <v/>
      </c>
      <c r="T43" s="101" t="n"/>
      <c r="U43" s="101" t="n"/>
      <c r="V43" s="101" t="n"/>
    </row>
    <row r="44" ht="15" customHeight="1" s="5">
      <c r="A44" s="104" t="n"/>
      <c r="B44" s="104" t="n"/>
      <c r="C44" s="86" t="n"/>
      <c r="D44" s="52" t="inlineStr">
        <is>
          <t>MAISA ENV</t>
        </is>
      </c>
      <c r="E44" s="53" t="n">
        <v>2</v>
      </c>
      <c r="F44" s="53" t="n">
        <v>1</v>
      </c>
      <c r="G44" s="75">
        <f>IFERROR(IF(OR($F44=0,VLOOKUP($D44,'MC MASTER'!$A:$R,18,0)=0),"-",ROUND(VLOOKUP($D44,'MC MASTER'!$A:$R,18,0)*$E44*$F44,3)),"-")</f>
        <v/>
      </c>
      <c r="H44" s="75">
        <f>IFERROR(SUMIFS(WORKING!$Y:$Y,WORKING!$X:$X,$D44,WORKING!$W:$W,H$500),"")</f>
        <v/>
      </c>
      <c r="I44" s="75">
        <f>IFERROR(SUMIFS(WORKING!$Y:$Y,WORKING!$X:$X,$D44,WORKING!$W:$W,I$500),"")</f>
        <v/>
      </c>
      <c r="J44" s="75">
        <f>IFERROR(SUMIFS(WORKING!$Y:$Y,WORKING!$X:$X,$D44,WORKING!$W:$W,J$500),"")</f>
        <v/>
      </c>
      <c r="K44" s="75">
        <f>IFERROR(SUMIFS(WORKING!$Y:$Y,WORKING!$X:$X,$D44,WORKING!$W:$W,K$500),"")</f>
        <v/>
      </c>
      <c r="L44" s="75">
        <f>IFERROR(SUMIFS(WORKING!$Y:$Y,WORKING!$X:$X,$D44,WORKING!$W:$W,L$500),"")</f>
        <v/>
      </c>
      <c r="M44" s="75">
        <f>IFERROR(SUMIFS(WORKING!$Y:$Y,WORKING!$X:$X,$D44,WORKING!$W:$W,M$500),"")</f>
        <v/>
      </c>
      <c r="N44" s="75">
        <f>IFERROR(SUMIFS(WORKING!$Y:$Y,WORKING!$X:$X,$D44,WORKING!$W:$W,N$500),"")</f>
        <v/>
      </c>
      <c r="O44" s="75">
        <f>IFERROR(SUMIFS(WORKING!$Y:$Y,WORKING!$X:$X,$D44,WORKING!$W:$W,O$500),"")</f>
        <v/>
      </c>
      <c r="P44" s="75">
        <f>IFERROR(SUMIFS(WORKING!$Y:$Y,WORKING!$X:$X,$D44,WORKING!$W:$W,P$500),"")</f>
        <v/>
      </c>
      <c r="Q44" s="75">
        <f>IFERROR(SUMIFS(WORKING!$Y:$Y,WORKING!$X:$X,$D44,WORKING!$W:$W,Q$500),"")</f>
        <v/>
      </c>
      <c r="R44" s="75">
        <f>IFERROR(SUMIFS(WORKING!$Y:$Y,WORKING!$X:$X,$D44,WORKING!$W:$W,R$500),"")</f>
        <v/>
      </c>
      <c r="S44" s="75">
        <f>IFERROR(SUMIFS(WORKING!$Y:$Y,WORKING!$X:$X,$D44,WORKING!$W:$W,S$500),"")</f>
        <v/>
      </c>
      <c r="T44" s="101" t="n"/>
      <c r="U44" s="101" t="n"/>
      <c r="V44" s="101" t="n"/>
    </row>
    <row r="45" ht="15" customHeight="1" s="5">
      <c r="A45" s="104" t="n"/>
      <c r="B45" s="104" t="n"/>
      <c r="C45" s="119" t="n"/>
      <c r="D45" s="71" t="inlineStr">
        <is>
          <t>TOTAL</t>
        </is>
      </c>
      <c r="E45" s="119" t="n"/>
      <c r="F45" s="119" t="n"/>
      <c r="G45" s="78">
        <f>SUM(G43:G44)</f>
        <v/>
      </c>
      <c r="H45" s="78">
        <f>SUM(H43:H44)</f>
        <v/>
      </c>
      <c r="I45" s="78">
        <f>SUM(I43:I44)</f>
        <v/>
      </c>
      <c r="J45" s="78">
        <f>SUM(J43:J44)</f>
        <v/>
      </c>
      <c r="K45" s="78">
        <f>SUM(K43:K44)</f>
        <v/>
      </c>
      <c r="L45" s="78">
        <f>SUM(L43:L44)</f>
        <v/>
      </c>
      <c r="M45" s="78">
        <f>SUM(M43:M44)</f>
        <v/>
      </c>
      <c r="N45" s="78">
        <f>SUM(N43:N44)</f>
        <v/>
      </c>
      <c r="O45" s="78">
        <f>SUM(O43:O44)</f>
        <v/>
      </c>
      <c r="P45" s="78">
        <f>SUM(P43:P44)</f>
        <v/>
      </c>
      <c r="Q45" s="78">
        <f>SUM(Q43:Q44)</f>
        <v/>
      </c>
      <c r="R45" s="78">
        <f>SUM(R43:R44)</f>
        <v/>
      </c>
      <c r="S45" s="78">
        <f>SUM(S43:S44)</f>
        <v/>
      </c>
      <c r="T45" s="101" t="n"/>
      <c r="U45" s="101" t="n"/>
      <c r="V45" s="101" t="n"/>
    </row>
    <row r="46" ht="15" customHeight="1" s="5">
      <c r="A46" s="104" t="n"/>
      <c r="B46" s="104" t="n"/>
      <c r="D46" s="72" t="inlineStr">
        <is>
          <t>Excess Order</t>
        </is>
      </c>
      <c r="E46" s="53" t="n"/>
      <c r="F46" s="53" t="n"/>
      <c r="G46" s="75" t="n"/>
      <c r="H46" s="79">
        <f>IFERROR(IF(ROUND(H45-$G45,3)&gt;0,ROUND(H45-$G45,3),""),"")</f>
        <v/>
      </c>
      <c r="I46" s="79">
        <f>IFERROR(IF(ROUND(I45-$G45,3)&gt;0,ROUND(I45-$G45,3),""),"")</f>
        <v/>
      </c>
      <c r="J46" s="79">
        <f>IFERROR(IF(ROUND(J45-$G45,3)&gt;0,ROUND(J45-$G45,3),""),"")</f>
        <v/>
      </c>
      <c r="K46" s="79">
        <f>IFERROR(IF(ROUND(K45-$G45,3)&gt;0,ROUND(K45-$G45,3),""),"")</f>
        <v/>
      </c>
      <c r="L46" s="79">
        <f>IFERROR(IF(ROUND(L45-$G45,3)&gt;0,ROUND(L45-$G45,3),""),"")</f>
        <v/>
      </c>
      <c r="M46" s="79">
        <f>IFERROR(IF(ROUND(M45-$G45,3)&gt;0,ROUND(M45-$G45,3),""),"")</f>
        <v/>
      </c>
      <c r="N46" s="79">
        <f>IFERROR(IF(ROUND(N45-$G45,3)&gt;0,ROUND(N45-$G45,3),""),"")</f>
        <v/>
      </c>
      <c r="O46" s="79">
        <f>IFERROR(IF(ROUND(O45-$G45,3)&gt;0,ROUND(O45-$G45,3),""),"")</f>
        <v/>
      </c>
      <c r="P46" s="79">
        <f>IFERROR(IF(ROUND(P45-$G45,3)&gt;0,ROUND(P45-$G45,3),""),"")</f>
        <v/>
      </c>
      <c r="Q46" s="79">
        <f>IFERROR(IF(ROUND(Q45-$G45,3)&gt;0,ROUND(Q45-$G45,3),""),"")</f>
        <v/>
      </c>
      <c r="R46" s="79">
        <f>IFERROR(IF(ROUND(R45-$G45,3)&gt;0,ROUND(R45-$G45,3),""),"")</f>
        <v/>
      </c>
      <c r="S46" s="79">
        <f>IFERROR(IF(ROUND(S45-$G45,3)&gt;0,ROUND(S45-$G45,3),""),"")</f>
        <v/>
      </c>
      <c r="T46" s="101" t="n"/>
      <c r="U46" s="101" t="n"/>
      <c r="V46" s="101" t="n"/>
    </row>
    <row r="47" ht="15" customHeight="1" s="5">
      <c r="A47" s="86" t="n"/>
      <c r="B47" s="86" t="n"/>
      <c r="C47" s="105" t="n"/>
      <c r="D47" s="72" t="inlineStr">
        <is>
          <t>Short Order</t>
        </is>
      </c>
      <c r="E47" s="105" t="n"/>
      <c r="F47" s="105" t="n"/>
      <c r="G47" s="78" t="n"/>
      <c r="H47" s="79">
        <f>IFERROR(IF(ROUND($G45-H45,3)&gt;0,ROUND($G45-H45,3),""),"")</f>
        <v/>
      </c>
      <c r="I47" s="79">
        <f>IFERROR(IF(ROUND($G45-I45,3)&gt;0,ROUND($G45-I45,3),""),"")</f>
        <v/>
      </c>
      <c r="J47" s="79">
        <f>IFERROR(IF(ROUND($G45-J45,3)&gt;0,ROUND($G45-J45,3),""),"")</f>
        <v/>
      </c>
      <c r="K47" s="79">
        <f>IFERROR(IF(ROUND($G45-K45,3)&gt;0,ROUND($G45-K45,3),""),"")</f>
        <v/>
      </c>
      <c r="L47" s="79">
        <f>IFERROR(IF(ROUND($G45-L45,3)&gt;0,ROUND($G45-L45,3),""),"")</f>
        <v/>
      </c>
      <c r="M47" s="79">
        <f>IFERROR(IF(ROUND($G45-M45,3)&gt;0,ROUND($G45-M45,3),""),"")</f>
        <v/>
      </c>
      <c r="N47" s="79">
        <f>IFERROR(IF(ROUND($G45-N45,3)&gt;0,ROUND($G45-N45,3),""),"")</f>
        <v/>
      </c>
      <c r="O47" s="79">
        <f>IFERROR(IF(ROUND($G45-O45,3)&gt;0,ROUND($G45-O45,3),""),"")</f>
        <v/>
      </c>
      <c r="P47" s="79">
        <f>IFERROR(IF(ROUND($G45-P45,3)&gt;0,ROUND($G45-P45,3),""),"")</f>
        <v/>
      </c>
      <c r="Q47" s="79">
        <f>IFERROR(IF(ROUND($G45-Q45,3)&gt;0,ROUND($G45-Q45,3),""),"")</f>
        <v/>
      </c>
      <c r="R47" s="79">
        <f>IFERROR(IF(ROUND($G45-R45,3)&gt;0,ROUND($G45-R45,3),""),"")</f>
        <v/>
      </c>
      <c r="S47" s="79">
        <f>IFERROR(IF(ROUND($G45-S45,3)&gt;0,ROUND($G45-S45,3),""),"")</f>
        <v/>
      </c>
      <c r="T47" s="101" t="n"/>
      <c r="U47" s="101" t="n"/>
      <c r="V47" s="101" t="n"/>
    </row>
    <row r="48" ht="15" customHeight="1" s="5">
      <c r="A48" s="102" t="inlineStr">
        <is>
          <t>Zone 3</t>
        </is>
      </c>
      <c r="B48" s="103" t="inlineStr">
        <is>
          <t>AFRICA</t>
        </is>
      </c>
      <c r="C48" s="65" t="inlineStr">
        <is>
          <t>PREMIX</t>
        </is>
      </c>
      <c r="D48" s="52" t="inlineStr">
        <is>
          <t>INSTANT COFFEE STICK PACK</t>
        </is>
      </c>
      <c r="E48" s="53" t="n">
        <v>1</v>
      </c>
      <c r="F48" s="53" t="n">
        <v>1</v>
      </c>
      <c r="G48" s="75">
        <f>IFERROR(IF(OR($F48=0,VLOOKUP($D48,'MC MASTER'!$A:$R,18,0)=0),"-",ROUND(VLOOKUP($D48,'MC MASTER'!$A:$R,18,0)*$E48*$F48,3)),"-")</f>
        <v/>
      </c>
      <c r="H48" s="75">
        <f>IFERROR(SUMIFS(WORKING!$Y:$Y,WORKING!$X:$X,$D48,WORKING!$W:$W,H$500),"")</f>
        <v/>
      </c>
      <c r="I48" s="75">
        <f>IFERROR(SUMIFS(WORKING!$Y:$Y,WORKING!$X:$X,$D48,WORKING!$W:$W,I$500),"")</f>
        <v/>
      </c>
      <c r="J48" s="75">
        <f>IFERROR(SUMIFS(WORKING!$Y:$Y,WORKING!$X:$X,$D48,WORKING!$W:$W,J$500),"")</f>
        <v/>
      </c>
      <c r="K48" s="75">
        <f>IFERROR(SUMIFS(WORKING!$Y:$Y,WORKING!$X:$X,$D48,WORKING!$W:$W,K$500),"")</f>
        <v/>
      </c>
      <c r="L48" s="75">
        <f>IFERROR(SUMIFS(WORKING!$Y:$Y,WORKING!$X:$X,$D48,WORKING!$W:$W,L$500),"")</f>
        <v/>
      </c>
      <c r="M48" s="75">
        <f>IFERROR(SUMIFS(WORKING!$Y:$Y,WORKING!$X:$X,$D48,WORKING!$W:$W,M$500),"")</f>
        <v/>
      </c>
      <c r="N48" s="75">
        <f>IFERROR(SUMIFS(WORKING!$Y:$Y,WORKING!$X:$X,$D48,WORKING!$W:$W,N$500),"")</f>
        <v/>
      </c>
      <c r="O48" s="75">
        <f>IFERROR(SUMIFS(WORKING!$Y:$Y,WORKING!$X:$X,$D48,WORKING!$W:$W,O$500),"")</f>
        <v/>
      </c>
      <c r="P48" s="75">
        <f>IFERROR(SUMIFS(WORKING!$Y:$Y,WORKING!$X:$X,$D48,WORKING!$W:$W,P$500),"")</f>
        <v/>
      </c>
      <c r="Q48" s="75">
        <f>IFERROR(SUMIFS(WORKING!$Y:$Y,WORKING!$X:$X,$D48,WORKING!$W:$W,Q$500),"")</f>
        <v/>
      </c>
      <c r="R48" s="75">
        <f>IFERROR(SUMIFS(WORKING!$Y:$Y,WORKING!$X:$X,$D48,WORKING!$W:$W,R$500),"")</f>
        <v/>
      </c>
      <c r="S48" s="75">
        <f>IFERROR(SUMIFS(WORKING!$Y:$Y,WORKING!$X:$X,$D48,WORKING!$W:$W,S$500),"")</f>
        <v/>
      </c>
      <c r="T48" s="101" t="n"/>
      <c r="U48" s="101" t="n"/>
      <c r="V48" s="101" t="n"/>
    </row>
    <row r="49" ht="15" customHeight="1" s="5">
      <c r="A49" s="104" t="n"/>
      <c r="B49" s="104" t="n"/>
      <c r="C49" s="104" t="n"/>
      <c r="D49" s="52" t="inlineStr">
        <is>
          <t>PEARL PACK-PREMIX</t>
        </is>
      </c>
      <c r="E49" s="53" t="n">
        <v>1</v>
      </c>
      <c r="F49" s="53" t="n">
        <v>1</v>
      </c>
      <c r="G49" s="75">
        <f>IFERROR(IF(OR($F49=0,VLOOKUP($D49,'MC MASTER'!$A:$R,18,0)=0),"-",ROUND(VLOOKUP($D49,'MC MASTER'!$A:$R,18,0)*$E49*$F49,3)),"-")</f>
        <v/>
      </c>
      <c r="H49" s="75">
        <f>IFERROR(SUMIFS(WORKING!$Y:$Y,WORKING!$X:$X,$D49,WORKING!$W:$W,H$500),"")</f>
        <v/>
      </c>
      <c r="I49" s="75">
        <f>IFERROR(SUMIFS(WORKING!$Y:$Y,WORKING!$X:$X,$D49,WORKING!$W:$W,I$500),"")</f>
        <v/>
      </c>
      <c r="J49" s="75">
        <f>IFERROR(SUMIFS(WORKING!$Y:$Y,WORKING!$X:$X,$D49,WORKING!$W:$W,J$500),"")</f>
        <v/>
      </c>
      <c r="K49" s="75">
        <f>IFERROR(SUMIFS(WORKING!$Y:$Y,WORKING!$X:$X,$D49,WORKING!$W:$W,K$500),"")</f>
        <v/>
      </c>
      <c r="L49" s="75">
        <f>IFERROR(SUMIFS(WORKING!$Y:$Y,WORKING!$X:$X,$D49,WORKING!$W:$W,L$500),"")</f>
        <v/>
      </c>
      <c r="M49" s="75">
        <f>IFERROR(SUMIFS(WORKING!$Y:$Y,WORKING!$X:$X,$D49,WORKING!$W:$W,M$500),"")</f>
        <v/>
      </c>
      <c r="N49" s="75">
        <f>IFERROR(SUMIFS(WORKING!$Y:$Y,WORKING!$X:$X,$D49,WORKING!$W:$W,N$500),"")</f>
        <v/>
      </c>
      <c r="O49" s="75">
        <f>IFERROR(SUMIFS(WORKING!$Y:$Y,WORKING!$X:$X,$D49,WORKING!$W:$W,O$500),"")</f>
        <v/>
      </c>
      <c r="P49" s="75">
        <f>IFERROR(SUMIFS(WORKING!$Y:$Y,WORKING!$X:$X,$D49,WORKING!$W:$W,P$500),"")</f>
        <v/>
      </c>
      <c r="Q49" s="75">
        <f>IFERROR(SUMIFS(WORKING!$Y:$Y,WORKING!$X:$X,$D49,WORKING!$W:$W,Q$500),"")</f>
        <v/>
      </c>
      <c r="R49" s="75">
        <f>IFERROR(SUMIFS(WORKING!$Y:$Y,WORKING!$X:$X,$D49,WORKING!$W:$W,R$500),"")</f>
        <v/>
      </c>
      <c r="S49" s="75">
        <f>IFERROR(SUMIFS(WORKING!$Y:$Y,WORKING!$X:$X,$D49,WORKING!$W:$W,S$500),"")</f>
        <v/>
      </c>
      <c r="T49" s="101" t="n"/>
      <c r="U49" s="101" t="n"/>
      <c r="V49" s="101" t="n"/>
    </row>
    <row r="50" ht="15" customHeight="1" s="5">
      <c r="A50" s="104" t="n"/>
      <c r="B50" s="104" t="n"/>
      <c r="C50" s="86" t="n"/>
      <c r="D50" s="52" t="inlineStr">
        <is>
          <t>PEARL PACK-PREMIX - cappuccino</t>
        </is>
      </c>
      <c r="E50" s="53" t="n">
        <v>2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101" t="n"/>
      <c r="V50" s="101" t="n"/>
    </row>
    <row r="51" ht="15" customHeight="1" s="5">
      <c r="A51" s="104" t="n"/>
      <c r="B51" s="104" t="n"/>
      <c r="C51" s="119" t="n"/>
      <c r="D51" s="71" t="inlineStr">
        <is>
          <t>TOTAL</t>
        </is>
      </c>
      <c r="E51" s="119" t="n"/>
      <c r="F51" s="119" t="n"/>
      <c r="G51" s="78">
        <f>SUM(G48:G50)</f>
        <v/>
      </c>
      <c r="H51" s="78">
        <f>SUM(H48:H50)</f>
        <v/>
      </c>
      <c r="I51" s="78">
        <f>SUM(I48:I50)</f>
        <v/>
      </c>
      <c r="J51" s="78">
        <f>SUM(J48:J50)</f>
        <v/>
      </c>
      <c r="K51" s="78">
        <f>SUM(K48:K50)</f>
        <v/>
      </c>
      <c r="L51" s="78">
        <f>SUM(L48:L50)</f>
        <v/>
      </c>
      <c r="M51" s="78">
        <f>SUM(M48:M50)</f>
        <v/>
      </c>
      <c r="N51" s="78">
        <f>SUM(N48:N50)</f>
        <v/>
      </c>
      <c r="O51" s="78">
        <f>SUM(O48:O50)</f>
        <v/>
      </c>
      <c r="P51" s="78">
        <f>SUM(P48:P50)</f>
        <v/>
      </c>
      <c r="Q51" s="78">
        <f>SUM(Q48:Q50)</f>
        <v/>
      </c>
      <c r="R51" s="78">
        <f>SUM(R48:R50)</f>
        <v/>
      </c>
      <c r="S51" s="78">
        <f>SUM(S48:S50)</f>
        <v/>
      </c>
      <c r="T51" s="101" t="n"/>
      <c r="U51" s="101" t="n"/>
      <c r="V51" s="101" t="n"/>
    </row>
    <row r="52" ht="15" customHeight="1" s="5">
      <c r="A52" s="104" t="n"/>
      <c r="B52" s="104" t="n"/>
      <c r="C52" s="105" t="n"/>
      <c r="D52" s="72" t="inlineStr">
        <is>
          <t>Excess Order</t>
        </is>
      </c>
      <c r="E52" s="105" t="n"/>
      <c r="F52" s="105" t="n"/>
      <c r="G52" s="78" t="n"/>
      <c r="H52" s="79">
        <f>IFERROR(IF(ROUND(H51-$G51,3)&gt;0,ROUND(H51-$G51,3),""),"")</f>
        <v/>
      </c>
      <c r="I52" s="79">
        <f>IFERROR(IF(ROUND(I51-$G51,3)&gt;0,ROUND(I51-$G51,3),""),"")</f>
        <v/>
      </c>
      <c r="J52" s="79">
        <f>IFERROR(IF(ROUND(J51-$G51,3)&gt;0,ROUND(J51-$G51,3),""),"")</f>
        <v/>
      </c>
      <c r="K52" s="79">
        <f>IFERROR(IF(ROUND(K51-$G51,3)&gt;0,ROUND(K51-$G51,3),""),"")</f>
        <v/>
      </c>
      <c r="L52" s="79">
        <f>IFERROR(IF(ROUND(L51-$G51,3)&gt;0,ROUND(L51-$G51,3),""),"")</f>
        <v/>
      </c>
      <c r="M52" s="79">
        <f>IFERROR(IF(ROUND(M51-$G51,3)&gt;0,ROUND(M51-$G51,3),""),"")</f>
        <v/>
      </c>
      <c r="N52" s="79">
        <f>IFERROR(IF(ROUND(N51-$G51,3)&gt;0,ROUND(N51-$G51,3),""),"")</f>
        <v/>
      </c>
      <c r="O52" s="79">
        <f>IFERROR(IF(ROUND(O51-$G51,3)&gt;0,ROUND(O51-$G51,3),""),"")</f>
        <v/>
      </c>
      <c r="P52" s="79">
        <f>IFERROR(IF(ROUND(P51-$G51,3)&gt;0,ROUND(P51-$G51,3),""),"")</f>
        <v/>
      </c>
      <c r="Q52" s="79">
        <f>IFERROR(IF(ROUND(Q51-$G51,3)&gt;0,ROUND(Q51-$G51,3),""),"")</f>
        <v/>
      </c>
      <c r="R52" s="79">
        <f>IFERROR(IF(ROUND(R51-$G51,3)&gt;0,ROUND(R51-$G51,3),""),"")</f>
        <v/>
      </c>
      <c r="S52" s="79">
        <f>IFERROR(IF(ROUND(S51-$G51,3)&gt;0,ROUND(S51-$G51,3),""),"")</f>
        <v/>
      </c>
      <c r="T52" s="101" t="n"/>
      <c r="U52" s="101" t="n"/>
      <c r="V52" s="101" t="n"/>
    </row>
    <row r="53" ht="15" customHeight="1" s="5">
      <c r="A53" s="104" t="n"/>
      <c r="B53" s="86" t="n"/>
      <c r="C53" s="113" t="n"/>
      <c r="D53" s="72" t="inlineStr">
        <is>
          <t>Short Order</t>
        </is>
      </c>
      <c r="E53" s="114" t="n"/>
      <c r="F53" s="115" t="n"/>
      <c r="G53" s="115" t="n"/>
      <c r="H53" s="79">
        <f>IFERROR(IF(ROUND($G51-H51,3)&gt;0,ROUND($G51-H51,3),""),"")</f>
        <v/>
      </c>
      <c r="I53" s="79">
        <f>IFERROR(IF(ROUND($G51-I51,3)&gt;0,ROUND($G51-I51,3),""),"")</f>
        <v/>
      </c>
      <c r="J53" s="79">
        <f>IFERROR(IF(ROUND($G51-J51,3)&gt;0,ROUND($G51-J51,3),""),"")</f>
        <v/>
      </c>
      <c r="K53" s="79">
        <f>IFERROR(IF(ROUND($G51-K51,3)&gt;0,ROUND($G51-K51,3),""),"")</f>
        <v/>
      </c>
      <c r="L53" s="79">
        <f>IFERROR(IF(ROUND($G51-L51,3)&gt;0,ROUND($G51-L51,3),""),"")</f>
        <v/>
      </c>
      <c r="M53" s="79">
        <f>IFERROR(IF(ROUND($G51-M51,3)&gt;0,ROUND($G51-M51,3),""),"")</f>
        <v/>
      </c>
      <c r="N53" s="79">
        <f>IFERROR(IF(ROUND($G51-N51,3)&gt;0,ROUND($G51-N51,3),""),"")</f>
        <v/>
      </c>
      <c r="O53" s="79">
        <f>IFERROR(IF(ROUND($G51-O51,3)&gt;0,ROUND($G51-O51,3),""),"")</f>
        <v/>
      </c>
      <c r="P53" s="79">
        <f>IFERROR(IF(ROUND($G51-P51,3)&gt;0,ROUND($G51-P51,3),""),"")</f>
        <v/>
      </c>
      <c r="Q53" s="79">
        <f>IFERROR(IF(ROUND($G51-Q51,3)&gt;0,ROUND($G51-Q51,3),""),"")</f>
        <v/>
      </c>
      <c r="R53" s="79">
        <f>IFERROR(IF(ROUND($G51-R51,3)&gt;0,ROUND($G51-R51,3),""),"")</f>
        <v/>
      </c>
      <c r="S53" s="79">
        <f>IFERROR(IF(ROUND($G51-S51,3)&gt;0,ROUND($G51-S51,3),""),"")</f>
        <v/>
      </c>
      <c r="T53" s="101" t="n"/>
      <c r="U53" s="101" t="n"/>
      <c r="V53" s="101" t="n"/>
    </row>
    <row r="54" ht="15" customHeight="1" s="5">
      <c r="A54" s="104" t="n"/>
      <c r="B54" s="103" t="inlineStr">
        <is>
          <t>USA</t>
        </is>
      </c>
      <c r="C54" s="65" t="inlineStr">
        <is>
          <t>TREE HOUSE</t>
        </is>
      </c>
      <c r="D54" s="52" t="inlineStr">
        <is>
          <t>Instant Tea</t>
        </is>
      </c>
      <c r="E54" s="53" t="n">
        <v>1</v>
      </c>
      <c r="F54" s="53" t="n">
        <v>0</v>
      </c>
      <c r="G54" s="75">
        <f>IFERROR(IF(OR($F54=0,VLOOKUP($D54,'MC MASTER'!$A:$R,18,0)=0),"-",ROUND(VLOOKUP($D54,'MC MASTER'!$A:$R,18,0)*$E54*$F54,3)),"-")</f>
        <v/>
      </c>
      <c r="H54" s="75">
        <f>IFERROR(SUMIFS(WORKING!$Y:$Y,WORKING!$X:$X,$D54,WORKING!$W:$W,H$500),"")</f>
        <v/>
      </c>
      <c r="I54" s="75">
        <f>IFERROR(SUMIFS(WORKING!$Y:$Y,WORKING!$X:$X,$D54,WORKING!$W:$W,I$500),"")</f>
        <v/>
      </c>
      <c r="J54" s="75">
        <f>IFERROR(SUMIFS(WORKING!$Y:$Y,WORKING!$X:$X,$D54,WORKING!$W:$W,J$500),"")</f>
        <v/>
      </c>
      <c r="K54" s="75">
        <f>IFERROR(SUMIFS(WORKING!$Y:$Y,WORKING!$X:$X,$D54,WORKING!$W:$W,K$500),"")</f>
        <v/>
      </c>
      <c r="L54" s="75">
        <f>IFERROR(SUMIFS(WORKING!$Y:$Y,WORKING!$X:$X,$D54,WORKING!$W:$W,L$500),"")</f>
        <v/>
      </c>
      <c r="M54" s="75">
        <f>IFERROR(SUMIFS(WORKING!$Y:$Y,WORKING!$X:$X,$D54,WORKING!$W:$W,M$500),"")</f>
        <v/>
      </c>
      <c r="N54" s="75">
        <f>IFERROR(SUMIFS(WORKING!$Y:$Y,WORKING!$X:$X,$D54,WORKING!$W:$W,N$500),"")</f>
        <v/>
      </c>
      <c r="O54" s="75">
        <f>IFERROR(SUMIFS(WORKING!$Y:$Y,WORKING!$X:$X,$D54,WORKING!$W:$W,O$500),"")</f>
        <v/>
      </c>
      <c r="P54" s="75">
        <f>IFERROR(SUMIFS(WORKING!$Y:$Y,WORKING!$X:$X,$D54,WORKING!$W:$W,P$500),"")</f>
        <v/>
      </c>
      <c r="Q54" s="75">
        <f>IFERROR(SUMIFS(WORKING!$Y:$Y,WORKING!$X:$X,$D54,WORKING!$W:$W,Q$500),"")</f>
        <v/>
      </c>
      <c r="R54" s="75">
        <f>IFERROR(SUMIFS(WORKING!$Y:$Y,WORKING!$X:$X,$D54,WORKING!$W:$W,R$500),"")</f>
        <v/>
      </c>
      <c r="S54" s="75">
        <f>IFERROR(SUMIFS(WORKING!$Y:$Y,WORKING!$X:$X,$D54,WORKING!$W:$W,S$500),"")</f>
        <v/>
      </c>
      <c r="T54" s="101" t="n"/>
      <c r="U54" s="101" t="n"/>
      <c r="V54" s="101" t="n"/>
    </row>
    <row r="55" ht="15" customHeight="1" s="5">
      <c r="A55" s="104" t="n"/>
      <c r="B55" s="104" t="n"/>
      <c r="C55" s="86" t="n"/>
      <c r="D55" s="52" t="inlineStr">
        <is>
          <t>VIKING-MULTITRACK</t>
        </is>
      </c>
      <c r="E55" s="53" t="n">
        <v>1</v>
      </c>
      <c r="F55" s="53" t="n">
        <v>0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101" t="n"/>
      <c r="V55" s="101" t="n"/>
    </row>
    <row r="56" ht="15" customHeight="1" s="5">
      <c r="A56" s="104" t="n"/>
      <c r="B56" s="104" t="n"/>
      <c r="C56" s="119" t="n"/>
      <c r="D56" s="71" t="inlineStr">
        <is>
          <t>TOTAL</t>
        </is>
      </c>
      <c r="E56" s="119" t="n"/>
      <c r="F56" s="119" t="n"/>
      <c r="G56" s="78">
        <f>SUM(G54:G55)</f>
        <v/>
      </c>
      <c r="H56" s="78">
        <f>SUM(H54:H55)</f>
        <v/>
      </c>
      <c r="I56" s="78">
        <f>SUM(I54:I55)</f>
        <v/>
      </c>
      <c r="J56" s="78">
        <f>SUM(J54:J55)</f>
        <v/>
      </c>
      <c r="K56" s="78">
        <f>SUM(K54:K55)</f>
        <v/>
      </c>
      <c r="L56" s="78">
        <f>SUM(L54:L55)</f>
        <v/>
      </c>
      <c r="M56" s="78">
        <f>SUM(M54:M55)</f>
        <v/>
      </c>
      <c r="N56" s="78">
        <f>SUM(N54:N55)</f>
        <v/>
      </c>
      <c r="O56" s="78">
        <f>SUM(O54:O55)</f>
        <v/>
      </c>
      <c r="P56" s="78">
        <f>SUM(P54:P55)</f>
        <v/>
      </c>
      <c r="Q56" s="78">
        <f>SUM(Q54:Q55)</f>
        <v/>
      </c>
      <c r="R56" s="78">
        <f>SUM(R54:R55)</f>
        <v/>
      </c>
      <c r="S56" s="78">
        <f>SUM(S54:S55)</f>
        <v/>
      </c>
      <c r="T56" s="101" t="n"/>
      <c r="U56" s="101" t="n"/>
      <c r="V56" s="101" t="n"/>
    </row>
    <row r="57" ht="15" customHeight="1" s="5">
      <c r="A57" s="104" t="n"/>
      <c r="B57" s="104" t="n"/>
      <c r="D57" s="72" t="inlineStr">
        <is>
          <t>Excess Order</t>
        </is>
      </c>
      <c r="E57" s="53" t="n"/>
      <c r="F57" s="53" t="n"/>
      <c r="G57" s="75" t="n"/>
      <c r="H57" s="79">
        <f>IFERROR(IF(ROUND(H56-$G56,3)&gt;0,ROUND(H56-$G56,3),""),"")</f>
        <v/>
      </c>
      <c r="I57" s="79">
        <f>IFERROR(IF(ROUND(I56-$G56,3)&gt;0,ROUND(I56-$G56,3),""),"")</f>
        <v/>
      </c>
      <c r="J57" s="79">
        <f>IFERROR(IF(ROUND(J56-$G56,3)&gt;0,ROUND(J56-$G56,3),""),"")</f>
        <v/>
      </c>
      <c r="K57" s="79">
        <f>IFERROR(IF(ROUND(K56-$G56,3)&gt;0,ROUND(K56-$G56,3),""),"")</f>
        <v/>
      </c>
      <c r="L57" s="79">
        <f>IFERROR(IF(ROUND(L56-$G56,3)&gt;0,ROUND(L56-$G56,3),""),"")</f>
        <v/>
      </c>
      <c r="M57" s="79">
        <f>IFERROR(IF(ROUND(M56-$G56,3)&gt;0,ROUND(M56-$G56,3),""),"")</f>
        <v/>
      </c>
      <c r="N57" s="79">
        <f>IFERROR(IF(ROUND(N56-$G56,3)&gt;0,ROUND(N56-$G56,3),""),"")</f>
        <v/>
      </c>
      <c r="O57" s="79">
        <f>IFERROR(IF(ROUND(O56-$G56,3)&gt;0,ROUND(O56-$G56,3),""),"")</f>
        <v/>
      </c>
      <c r="P57" s="79">
        <f>IFERROR(IF(ROUND(P56-$G56,3)&gt;0,ROUND(P56-$G56,3),""),"")</f>
        <v/>
      </c>
      <c r="Q57" s="79">
        <f>IFERROR(IF(ROUND(Q56-$G56,3)&gt;0,ROUND(Q56-$G56,3),""),"")</f>
        <v/>
      </c>
      <c r="R57" s="79">
        <f>IFERROR(IF(ROUND(R56-$G56,3)&gt;0,ROUND(R56-$G56,3),""),"")</f>
        <v/>
      </c>
      <c r="S57" s="79">
        <f>IFERROR(IF(ROUND(S56-$G56,3)&gt;0,ROUND(S56-$G56,3),""),"")</f>
        <v/>
      </c>
      <c r="T57" s="101" t="n"/>
      <c r="U57" s="101" t="n"/>
      <c r="V57" s="101" t="n"/>
    </row>
    <row r="58" ht="15" customHeight="1" s="5">
      <c r="A58" s="86" t="n"/>
      <c r="B58" s="86" t="n"/>
      <c r="D58" s="72" t="inlineStr">
        <is>
          <t>Short Order</t>
        </is>
      </c>
      <c r="E58" s="53" t="n"/>
      <c r="F58" s="53" t="n"/>
      <c r="G58" s="75" t="n"/>
      <c r="H58" s="79">
        <f>IFERROR(IF(ROUND($G56-H56,3)&gt;0,ROUND($G56-H56,3),""),"")</f>
        <v/>
      </c>
      <c r="I58" s="79">
        <f>IFERROR(IF(ROUND($G56-I56,3)&gt;0,ROUND($G56-I56,3),""),"")</f>
        <v/>
      </c>
      <c r="J58" s="79">
        <f>IFERROR(IF(ROUND($G56-J56,3)&gt;0,ROUND($G56-J56,3),""),"")</f>
        <v/>
      </c>
      <c r="K58" s="79">
        <f>IFERROR(IF(ROUND($G56-K56,3)&gt;0,ROUND($G56-K56,3),""),"")</f>
        <v/>
      </c>
      <c r="L58" s="79">
        <f>IFERROR(IF(ROUND($G56-L56,3)&gt;0,ROUND($G56-L56,3),""),"")</f>
        <v/>
      </c>
      <c r="M58" s="79">
        <f>IFERROR(IF(ROUND($G56-M56,3)&gt;0,ROUND($G56-M56,3),""),"")</f>
        <v/>
      </c>
      <c r="N58" s="79">
        <f>IFERROR(IF(ROUND($G56-N56,3)&gt;0,ROUND($G56-N56,3),""),"")</f>
        <v/>
      </c>
      <c r="O58" s="79">
        <f>IFERROR(IF(ROUND($G56-O56,3)&gt;0,ROUND($G56-O56,3),""),"")</f>
        <v/>
      </c>
      <c r="P58" s="79">
        <f>IFERROR(IF(ROUND($G56-P56,3)&gt;0,ROUND($G56-P56,3),""),"")</f>
        <v/>
      </c>
      <c r="Q58" s="79">
        <f>IFERROR(IF(ROUND($G56-Q56,3)&gt;0,ROUND($G56-Q56,3),""),"")</f>
        <v/>
      </c>
      <c r="R58" s="79">
        <f>IFERROR(IF(ROUND($G56-R56,3)&gt;0,ROUND($G56-R56,3),""),"")</f>
        <v/>
      </c>
      <c r="S58" s="79">
        <f>IFERROR(IF(ROUND($G56-S56,3)&gt;0,ROUND($G56-S56,3),""),"")</f>
        <v/>
      </c>
      <c r="T58" s="101" t="n"/>
      <c r="U58" s="101" t="n"/>
      <c r="V58" s="101" t="n"/>
    </row>
    <row r="59" ht="15" customHeight="1" s="5">
      <c r="A59" s="102" t="inlineStr">
        <is>
          <t>Zone 4</t>
        </is>
      </c>
      <c r="B59" s="103" t="inlineStr">
        <is>
          <t>INDIA</t>
        </is>
      </c>
      <c r="C59" s="65" t="inlineStr">
        <is>
          <t>HF Co</t>
        </is>
      </c>
      <c r="D59" s="52" t="inlineStr">
        <is>
          <t>Shubam-FFS POUCH</t>
        </is>
      </c>
      <c r="E59" s="53" t="n">
        <v>1</v>
      </c>
      <c r="F59" s="53" t="n">
        <v>1</v>
      </c>
      <c r="G59" s="75">
        <f>IFERROR(IF(OR($F59=0,VLOOKUP($D59,'MC MASTER'!$A:$R,18,0)=0),"-",ROUND(VLOOKUP($D59,'MC MASTER'!$A:$R,18,0)*$E59*$F59,3)),"-")</f>
        <v/>
      </c>
      <c r="H59" s="75">
        <f>IFERROR(SUMIFS(WORKING!$Y:$Y,WORKING!$X:$X,$D59,WORKING!$W:$W,H$500),"")</f>
        <v/>
      </c>
      <c r="I59" s="75">
        <f>IFERROR(SUMIFS(WORKING!$Y:$Y,WORKING!$X:$X,$D59,WORKING!$W:$W,I$500),"")</f>
        <v/>
      </c>
      <c r="J59" s="75">
        <f>IFERROR(SUMIFS(WORKING!$Y:$Y,WORKING!$X:$X,$D59,WORKING!$W:$W,J$500),"")</f>
        <v/>
      </c>
      <c r="K59" s="75">
        <f>IFERROR(SUMIFS(WORKING!$Y:$Y,WORKING!$X:$X,$D59,WORKING!$W:$W,K$500),"")</f>
        <v/>
      </c>
      <c r="L59" s="75">
        <f>IFERROR(SUMIFS(WORKING!$Y:$Y,WORKING!$X:$X,$D59,WORKING!$W:$W,L$500),"")</f>
        <v/>
      </c>
      <c r="M59" s="75">
        <f>IFERROR(SUMIFS(WORKING!$Y:$Y,WORKING!$X:$X,$D59,WORKING!$W:$W,M$500),"")</f>
        <v/>
      </c>
      <c r="N59" s="75">
        <f>IFERROR(SUMIFS(WORKING!$Y:$Y,WORKING!$X:$X,$D59,WORKING!$W:$W,N$500),"")</f>
        <v/>
      </c>
      <c r="O59" s="75">
        <f>IFERROR(SUMIFS(WORKING!$Y:$Y,WORKING!$X:$X,$D59,WORKING!$W:$W,O$500),"")</f>
        <v/>
      </c>
      <c r="P59" s="75">
        <f>IFERROR(SUMIFS(WORKING!$Y:$Y,WORKING!$X:$X,$D59,WORKING!$W:$W,P$500),"")</f>
        <v/>
      </c>
      <c r="Q59" s="75">
        <f>IFERROR(SUMIFS(WORKING!$Y:$Y,WORKING!$X:$X,$D59,WORKING!$W:$W,Q$500),"")</f>
        <v/>
      </c>
      <c r="R59" s="75">
        <f>IFERROR(SUMIFS(WORKING!$Y:$Y,WORKING!$X:$X,$D59,WORKING!$W:$W,R$500),"")</f>
        <v/>
      </c>
      <c r="S59" s="75">
        <f>IFERROR(SUMIFS(WORKING!$Y:$Y,WORKING!$X:$X,$D59,WORKING!$W:$W,S$500),"")</f>
        <v/>
      </c>
      <c r="T59" s="101" t="n"/>
      <c r="U59" s="101" t="n"/>
      <c r="V59" s="101" t="n"/>
    </row>
    <row r="60">
      <c r="A60" s="104" t="n"/>
      <c r="B60" s="104" t="n"/>
      <c r="C60" s="119" t="n"/>
      <c r="D60" s="71" t="inlineStr">
        <is>
          <t>TOTAL</t>
        </is>
      </c>
      <c r="E60" s="119" t="n"/>
      <c r="F60" s="119" t="n"/>
      <c r="G60" s="78">
        <f>SUM(G59:G59)</f>
        <v/>
      </c>
      <c r="H60" s="78">
        <f>SUM(H59:H59)</f>
        <v/>
      </c>
      <c r="I60" s="78">
        <f>SUM(I59:I59)</f>
        <v/>
      </c>
      <c r="J60" s="78">
        <f>SUM(J59:J59)</f>
        <v/>
      </c>
      <c r="K60" s="78">
        <f>SUM(K59:K59)</f>
        <v/>
      </c>
      <c r="L60" s="78">
        <f>SUM(L59:L59)</f>
        <v/>
      </c>
      <c r="M60" s="78">
        <f>SUM(M59:M59)</f>
        <v/>
      </c>
      <c r="N60" s="78">
        <f>SUM(N59:N59)</f>
        <v/>
      </c>
      <c r="O60" s="78">
        <f>SUM(O59:O59)</f>
        <v/>
      </c>
      <c r="P60" s="78">
        <f>SUM(P59:P59)</f>
        <v/>
      </c>
      <c r="Q60" s="78">
        <f>SUM(Q59:Q59)</f>
        <v/>
      </c>
      <c r="R60" s="78">
        <f>SUM(R59:R59)</f>
        <v/>
      </c>
      <c r="S60" s="78">
        <f>SUM(S59:S59)</f>
        <v/>
      </c>
      <c r="T60" s="101" t="n"/>
      <c r="U60" s="101" t="n"/>
      <c r="V60" s="101" t="n"/>
    </row>
    <row r="61">
      <c r="A61" s="104" t="n"/>
      <c r="B61" s="104" t="n"/>
      <c r="D61" s="72" t="inlineStr">
        <is>
          <t>Excess Order</t>
        </is>
      </c>
      <c r="E61" s="117" t="n"/>
      <c r="F61" s="117" t="n"/>
      <c r="G61" s="117" t="n"/>
      <c r="H61" s="79">
        <f>IFERROR(IF(ROUND(H60-$G60,3)&gt;0,ROUND(H60-$G60,3),""),"")</f>
        <v/>
      </c>
      <c r="I61" s="79">
        <f>IFERROR(IF(ROUND(I60-$G60,3)&gt;0,ROUND(I60-$G60,3),""),"")</f>
        <v/>
      </c>
      <c r="J61" s="79">
        <f>IFERROR(IF(ROUND(J60-$G60,3)&gt;0,ROUND(J60-$G60,3),""),"")</f>
        <v/>
      </c>
      <c r="K61" s="79">
        <f>IFERROR(IF(ROUND(K60-$G60,3)&gt;0,ROUND(K60-$G60,3),""),"")</f>
        <v/>
      </c>
      <c r="L61" s="79">
        <f>IFERROR(IF(ROUND(L60-$G60,3)&gt;0,ROUND(L60-$G60,3),""),"")</f>
        <v/>
      </c>
      <c r="M61" s="79">
        <f>IFERROR(IF(ROUND(M60-$G60,3)&gt;0,ROUND(M60-$G60,3),""),"")</f>
        <v/>
      </c>
      <c r="N61" s="79">
        <f>IFERROR(IF(ROUND(N60-$G60,3)&gt;0,ROUND(N60-$G60,3),""),"")</f>
        <v/>
      </c>
      <c r="O61" s="79">
        <f>IFERROR(IF(ROUND(O60-$G60,3)&gt;0,ROUND(O60-$G60,3),""),"")</f>
        <v/>
      </c>
      <c r="P61" s="79">
        <f>IFERROR(IF(ROUND(P60-$G60,3)&gt;0,ROUND(P60-$G60,3),""),"")</f>
        <v/>
      </c>
      <c r="Q61" s="79">
        <f>IFERROR(IF(ROUND(Q60-$G60,3)&gt;0,ROUND(Q60-$G60,3),""),"")</f>
        <v/>
      </c>
      <c r="R61" s="79">
        <f>IFERROR(IF(ROUND(R60-$G60,3)&gt;0,ROUND(R60-$G60,3),""),"")</f>
        <v/>
      </c>
      <c r="S61" s="79">
        <f>IFERROR(IF(ROUND(S60-$G60,3)&gt;0,ROUND(S60-$G60,3),""),"")</f>
        <v/>
      </c>
      <c r="T61" s="101" t="n"/>
      <c r="U61" s="101" t="n"/>
      <c r="V61" s="101" t="n"/>
    </row>
    <row r="62">
      <c r="A62" s="104" t="n"/>
      <c r="B62" s="86" t="n"/>
      <c r="C62" s="65" t="n"/>
      <c r="D62" s="72" t="inlineStr">
        <is>
          <t>Short Order</t>
        </is>
      </c>
      <c r="E62" s="53" t="n"/>
      <c r="F62" s="53" t="n"/>
      <c r="G62" s="75" t="n"/>
      <c r="H62" s="79">
        <f>IFERROR(IF(ROUND($G60-H60,3)&gt;0,ROUND($G60-H60,3),""),"")</f>
        <v/>
      </c>
      <c r="I62" s="79">
        <f>IFERROR(IF(ROUND($G60-I60,3)&gt;0,ROUND($G60-I60,3),""),"")</f>
        <v/>
      </c>
      <c r="J62" s="79">
        <f>IFERROR(IF(ROUND($G60-J60,3)&gt;0,ROUND($G60-J60,3),""),"")</f>
        <v/>
      </c>
      <c r="K62" s="79">
        <f>IFERROR(IF(ROUND($G60-K60,3)&gt;0,ROUND($G60-K60,3),""),"")</f>
        <v/>
      </c>
      <c r="L62" s="79">
        <f>IFERROR(IF(ROUND($G60-L60,3)&gt;0,ROUND($G60-L60,3),""),"")</f>
        <v/>
      </c>
      <c r="M62" s="79">
        <f>IFERROR(IF(ROUND($G60-M60,3)&gt;0,ROUND($G60-M60,3),""),"")</f>
        <v/>
      </c>
      <c r="N62" s="79">
        <f>IFERROR(IF(ROUND($G60-N60,3)&gt;0,ROUND($G60-N60,3),""),"")</f>
        <v/>
      </c>
      <c r="O62" s="79">
        <f>IFERROR(IF(ROUND($G60-O60,3)&gt;0,ROUND($G60-O60,3),""),"")</f>
        <v/>
      </c>
      <c r="P62" s="79">
        <f>IFERROR(IF(ROUND($G60-P60,3)&gt;0,ROUND($G60-P60,3),""),"")</f>
        <v/>
      </c>
      <c r="Q62" s="79">
        <f>IFERROR(IF(ROUND($G60-Q60,3)&gt;0,ROUND($G60-Q60,3),""),"")</f>
        <v/>
      </c>
      <c r="R62" s="79">
        <f>IFERROR(IF(ROUND($G60-R60,3)&gt;0,ROUND($G60-R60,3),""),"")</f>
        <v/>
      </c>
      <c r="S62" s="79">
        <f>IFERROR(IF(ROUND($G60-S60,3)&gt;0,ROUND($G60-S60,3),""),"")</f>
        <v/>
      </c>
      <c r="T62" s="101" t="n"/>
      <c r="U62" s="101" t="n"/>
      <c r="V62" s="101" t="n"/>
    </row>
    <row r="63">
      <c r="A63" s="104" t="n"/>
      <c r="B63" s="103" t="inlineStr">
        <is>
          <t>USA</t>
        </is>
      </c>
      <c r="C63" s="65" t="inlineStr">
        <is>
          <t>HF Co</t>
        </is>
      </c>
      <c r="D63" s="52" t="inlineStr">
        <is>
          <t>Pearl Pack-FFS POUCH</t>
        </is>
      </c>
      <c r="E63" s="53" t="n">
        <v>0.5</v>
      </c>
      <c r="F63" s="53" t="n">
        <v>1</v>
      </c>
      <c r="G63" s="75">
        <f>IFERROR(IF(OR($F63=0,VLOOKUP($D63,'MC MASTER'!$A:$R,18,0)=0),"-",ROUND(VLOOKUP($D63,'MC MASTER'!$A:$R,18,0)*$E63*$F63,3)),"-")</f>
        <v/>
      </c>
      <c r="H63" s="75">
        <f>IFERROR(SUMIFS(WORKING!$Y:$Y,WORKING!$X:$X,$D63,WORKING!$W:$W,H$500),"")</f>
        <v/>
      </c>
      <c r="I63" s="75">
        <f>IFERROR(SUMIFS(WORKING!$Y:$Y,WORKING!$X:$X,$D63,WORKING!$W:$W,I$500),"")</f>
        <v/>
      </c>
      <c r="J63" s="75">
        <f>IFERROR(SUMIFS(WORKING!$Y:$Y,WORKING!$X:$X,$D63,WORKING!$W:$W,J$500),"")</f>
        <v/>
      </c>
      <c r="K63" s="75">
        <f>IFERROR(SUMIFS(WORKING!$Y:$Y,WORKING!$X:$X,$D63,WORKING!$W:$W,K$500),"")</f>
        <v/>
      </c>
      <c r="L63" s="75">
        <f>IFERROR(SUMIFS(WORKING!$Y:$Y,WORKING!$X:$X,$D63,WORKING!$W:$W,L$500),"")</f>
        <v/>
      </c>
      <c r="M63" s="75">
        <f>IFERROR(SUMIFS(WORKING!$Y:$Y,WORKING!$X:$X,$D63,WORKING!$W:$W,M$500),"")</f>
        <v/>
      </c>
      <c r="N63" s="75">
        <f>IFERROR(SUMIFS(WORKING!$Y:$Y,WORKING!$X:$X,$D63,WORKING!$W:$W,N$500),"")</f>
        <v/>
      </c>
      <c r="O63" s="75">
        <f>IFERROR(SUMIFS(WORKING!$Y:$Y,WORKING!$X:$X,$D63,WORKING!$W:$W,O$500),"")</f>
        <v/>
      </c>
      <c r="P63" s="75">
        <f>IFERROR(SUMIFS(WORKING!$Y:$Y,WORKING!$X:$X,$D63,WORKING!$W:$W,P$500),"")</f>
        <v/>
      </c>
      <c r="Q63" s="75">
        <f>IFERROR(SUMIFS(WORKING!$Y:$Y,WORKING!$X:$X,$D63,WORKING!$W:$W,Q$500),"")</f>
        <v/>
      </c>
      <c r="R63" s="75">
        <f>IFERROR(SUMIFS(WORKING!$Y:$Y,WORKING!$X:$X,$D63,WORKING!$W:$W,R$500),"")</f>
        <v/>
      </c>
      <c r="S63" s="75">
        <f>IFERROR(SUMIFS(WORKING!$Y:$Y,WORKING!$X:$X,$D63,WORKING!$W:$W,S$500),"")</f>
        <v/>
      </c>
      <c r="T63" s="101" t="n"/>
      <c r="U63" s="101" t="n"/>
      <c r="V63" s="101" t="n"/>
    </row>
    <row r="64">
      <c r="A64" s="104" t="n"/>
      <c r="B64" s="104" t="n"/>
      <c r="C64" s="119" t="n"/>
      <c r="D64" s="71" t="inlineStr">
        <is>
          <t>TOTAL</t>
        </is>
      </c>
      <c r="E64" s="119" t="n"/>
      <c r="F64" s="119" t="n"/>
      <c r="G64" s="78">
        <f>SUM(G63:G63)</f>
        <v/>
      </c>
      <c r="H64" s="78">
        <f>SUM(H63:H63)</f>
        <v/>
      </c>
      <c r="I64" s="78">
        <f>SUM(I63:I63)</f>
        <v/>
      </c>
      <c r="J64" s="78">
        <f>SUM(J63:J63)</f>
        <v/>
      </c>
      <c r="K64" s="78">
        <f>SUM(K63:K63)</f>
        <v/>
      </c>
      <c r="L64" s="78">
        <f>SUM(L63:L63)</f>
        <v/>
      </c>
      <c r="M64" s="78">
        <f>SUM(M63:M63)</f>
        <v/>
      </c>
      <c r="N64" s="78">
        <f>SUM(N63:N63)</f>
        <v/>
      </c>
      <c r="O64" s="78">
        <f>SUM(O63:O63)</f>
        <v/>
      </c>
      <c r="P64" s="78">
        <f>SUM(P63:P63)</f>
        <v/>
      </c>
      <c r="Q64" s="78">
        <f>SUM(Q63:Q63)</f>
        <v/>
      </c>
      <c r="R64" s="78">
        <f>SUM(R63:R63)</f>
        <v/>
      </c>
      <c r="S64" s="78">
        <f>SUM(S63:S63)</f>
        <v/>
      </c>
      <c r="T64" s="101" t="n"/>
      <c r="U64" s="101" t="n"/>
      <c r="V64" s="101" t="n"/>
    </row>
    <row r="65">
      <c r="A65" s="104" t="n"/>
      <c r="B65" s="104" t="n"/>
      <c r="D65" s="72" t="inlineStr">
        <is>
          <t>Excess Order</t>
        </is>
      </c>
      <c r="E65" s="117" t="n"/>
      <c r="F65" s="117" t="n"/>
      <c r="G65" s="117" t="n"/>
      <c r="H65" s="79">
        <f>IFERROR(IF(ROUND(H64-$G64,3)&gt;0,ROUND(H64-$G64,3),""),"")</f>
        <v/>
      </c>
      <c r="I65" s="79">
        <f>IFERROR(IF(ROUND(I64-$G64,3)&gt;0,ROUND(I64-$G64,3),""),"")</f>
        <v/>
      </c>
      <c r="J65" s="79">
        <f>IFERROR(IF(ROUND(J64-$G64,3)&gt;0,ROUND(J64-$G64,3),""),"")</f>
        <v/>
      </c>
      <c r="K65" s="79">
        <f>IFERROR(IF(ROUND(K64-$G64,3)&gt;0,ROUND(K64-$G64,3),""),"")</f>
        <v/>
      </c>
      <c r="L65" s="79">
        <f>IFERROR(IF(ROUND(L64-$G64,3)&gt;0,ROUND(L64-$G64,3),""),"")</f>
        <v/>
      </c>
      <c r="M65" s="79">
        <f>IFERROR(IF(ROUND(M64-$G64,3)&gt;0,ROUND(M64-$G64,3),""),"")</f>
        <v/>
      </c>
      <c r="N65" s="79">
        <f>IFERROR(IF(ROUND(N64-$G64,3)&gt;0,ROUND(N64-$G64,3),""),"")</f>
        <v/>
      </c>
      <c r="O65" s="79">
        <f>IFERROR(IF(ROUND(O64-$G64,3)&gt;0,ROUND(O64-$G64,3),""),"")</f>
        <v/>
      </c>
      <c r="P65" s="79">
        <f>IFERROR(IF(ROUND(P64-$G64,3)&gt;0,ROUND(P64-$G64,3),""),"")</f>
        <v/>
      </c>
      <c r="Q65" s="79">
        <f>IFERROR(IF(ROUND(Q64-$G64,3)&gt;0,ROUND(Q64-$G64,3),""),"")</f>
        <v/>
      </c>
      <c r="R65" s="79">
        <f>IFERROR(IF(ROUND(R64-$G64,3)&gt;0,ROUND(R64-$G64,3),""),"")</f>
        <v/>
      </c>
      <c r="S65" s="79">
        <f>IFERROR(IF(ROUND(S64-$G64,3)&gt;0,ROUND(S64-$G64,3),""),"")</f>
        <v/>
      </c>
      <c r="T65" s="101" t="n"/>
      <c r="U65" s="101" t="n"/>
      <c r="V65" s="101" t="n"/>
    </row>
    <row r="66">
      <c r="A66" s="86" t="n"/>
      <c r="B66" s="86" t="n"/>
      <c r="C66" s="101" t="n"/>
      <c r="D66" s="72" t="inlineStr">
        <is>
          <t>Short Order</t>
        </is>
      </c>
      <c r="E66" s="101" t="n"/>
      <c r="F66" s="101" t="n"/>
      <c r="G66" s="101" t="n"/>
      <c r="H66" s="79">
        <f>IFERROR(IF(ROUND($G64-H64,3)&gt;0,ROUND($G64-H64,3),""),"")</f>
        <v/>
      </c>
      <c r="I66" s="79">
        <f>IFERROR(IF(ROUND($G64-I64,3)&gt;0,ROUND($G64-I64,3),""),"")</f>
        <v/>
      </c>
      <c r="J66" s="79">
        <f>IFERROR(IF(ROUND($G64-J64,3)&gt;0,ROUND($G64-J64,3),""),"")</f>
        <v/>
      </c>
      <c r="K66" s="79">
        <f>IFERROR(IF(ROUND($G64-K64,3)&gt;0,ROUND($G64-K64,3),""),"")</f>
        <v/>
      </c>
      <c r="L66" s="79">
        <f>IFERROR(IF(ROUND($G64-L64,3)&gt;0,ROUND($G64-L64,3),""),"")</f>
        <v/>
      </c>
      <c r="M66" s="79">
        <f>IFERROR(IF(ROUND($G64-M64,3)&gt;0,ROUND($G64-M64,3),""),"")</f>
        <v/>
      </c>
      <c r="N66" s="79">
        <f>IFERROR(IF(ROUND($G64-N64,3)&gt;0,ROUND($G64-N64,3),""),"")</f>
        <v/>
      </c>
      <c r="O66" s="79">
        <f>IFERROR(IF(ROUND($G64-O64,3)&gt;0,ROUND($G64-O64,3),""),"")</f>
        <v/>
      </c>
      <c r="P66" s="79">
        <f>IFERROR(IF(ROUND($G64-P64,3)&gt;0,ROUND($G64-P64,3),""),"")</f>
        <v/>
      </c>
      <c r="Q66" s="79">
        <f>IFERROR(IF(ROUND($G64-Q64,3)&gt;0,ROUND($G64-Q64,3),""),"")</f>
        <v/>
      </c>
      <c r="R66" s="79">
        <f>IFERROR(IF(ROUND($G64-R64,3)&gt;0,ROUND($G64-R64,3),""),"")</f>
        <v/>
      </c>
      <c r="S66" s="79">
        <f>IFERROR(IF(ROUND($G64-S64,3)&gt;0,ROUND($G64-S64,3),""),"")</f>
        <v/>
      </c>
      <c r="T66" s="101" t="n"/>
      <c r="U66" s="101" t="n"/>
      <c r="V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26">
    <mergeCell ref="B29:B33"/>
    <mergeCell ref="C20:C21"/>
    <mergeCell ref="C48:C50"/>
    <mergeCell ref="B38:B42"/>
    <mergeCell ref="C29:C30"/>
    <mergeCell ref="A3:A33"/>
    <mergeCell ref="A59:A66"/>
    <mergeCell ref="B59:B62"/>
    <mergeCell ref="B3:B10"/>
    <mergeCell ref="B11:B14"/>
    <mergeCell ref="C54:C55"/>
    <mergeCell ref="B48:B53"/>
    <mergeCell ref="C3:C7"/>
    <mergeCell ref="B54:B58"/>
    <mergeCell ref="B63:B66"/>
    <mergeCell ref="A34:A47"/>
    <mergeCell ref="C43:C44"/>
    <mergeCell ref="A1:G1"/>
    <mergeCell ref="B34:B37"/>
    <mergeCell ref="B43:B47"/>
    <mergeCell ref="C38:C39"/>
    <mergeCell ref="H1:S1"/>
    <mergeCell ref="C15:C16"/>
    <mergeCell ref="B15:B24"/>
    <mergeCell ref="B25:B28"/>
    <mergeCell ref="A48:A58"/>
  </mergeCells>
  <conditionalFormatting sqref="H3:S66">
    <cfRule type="expression" priority="2" dxfId="0">
      <formula>AND(ISNUMBER(H3),ISNUMBER($G3),$G3&gt;0,H3&gt;$G3)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H1" s="120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</row>
    <row r="4">
      <c r="A4" s="104" t="n"/>
      <c r="B4" s="104" t="n"/>
      <c r="C4" s="65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</row>
    <row r="5">
      <c r="A5" s="104" t="n"/>
      <c r="B5" s="104" t="n"/>
      <c r="C5" s="65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</row>
    <row r="6">
      <c r="A6" s="104" t="n"/>
      <c r="B6" s="104" t="n"/>
      <c r="C6" s="65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</row>
    <row r="7">
      <c r="A7" s="104" t="n"/>
      <c r="B7" s="104" t="n"/>
      <c r="C7" s="65">
        <f>IF('ORDER VS WEEK DISTRIBUTION'!C7="","",'ORDER VS WEEK DISTRIBUTION'!C7)</f>
        <v/>
      </c>
      <c r="D7" s="52">
        <f>IF('ORDER VS WEEK DISTRIBUTION'!D7="","",'ORDER VS WEEK DISTRIBUTION'!D7)</f>
        <v/>
      </c>
      <c r="E7" s="53">
        <f>IF('ORDER VS WEEK DISTRIBUTION'!E7="","",'ORDER VS WEEK DISTRIBUTION'!E7)</f>
        <v/>
      </c>
      <c r="F7" s="53">
        <f>IF('ORDER VS WEEK DISTRIBUTION'!F7="","",'ORDER VS WEEK DISTRIBUTION'!F7)</f>
        <v/>
      </c>
      <c r="G7" s="75">
        <f>IF('ORDER VS WEEK DISTRIBUTION'!G7="","",'ORDER VS WEEK DISTRIBUTION'!G7)</f>
        <v/>
      </c>
      <c r="H7" s="75">
        <f>IF('ORDER VS WEEK DISTRIBUTION'!H7="","",'ORDER VS WEEK DISTRIBUTION'!H7)</f>
        <v/>
      </c>
      <c r="I7" s="75">
        <f>IF('ORDER VS WEEK DISTRIBUTION'!I7="","",'ORDER VS WEEK DISTRIBUTION'!I7)</f>
        <v/>
      </c>
      <c r="J7" s="75">
        <f>IF('ORDER VS WEEK DISTRIBUTION'!J7="","",'ORDER VS WEEK DISTRIBUTION'!J7)</f>
        <v/>
      </c>
      <c r="K7" s="75">
        <f>IF('ORDER VS WEEK DISTRIBUTION'!K7="","",'ORDER VS WEEK DISTRIBUTION'!K7)</f>
        <v/>
      </c>
      <c r="L7" s="75">
        <f>IF('ORDER VS WEEK DISTRIBUTION'!L7="","",'ORDER VS WEEK DISTRIBUTION'!L7)</f>
        <v/>
      </c>
      <c r="M7" s="75">
        <f>IF('ORDER VS WEEK DISTRIBUTION'!M7="","",'ORDER VS WEEK DISTRIBUTION'!M7)</f>
        <v/>
      </c>
      <c r="N7" s="75">
        <f>IF('ORDER VS WEEK DISTRIBUTION'!N7="","",'ORDER VS WEEK DISTRIBUTION'!N7)</f>
        <v/>
      </c>
      <c r="O7" s="75">
        <f>IF('ORDER VS WEEK DISTRIBUTION'!O7="","",'ORDER VS WEEK DISTRIBUTION'!O7)</f>
        <v/>
      </c>
      <c r="P7" s="75">
        <f>IF('ORDER VS WEEK DISTRIBUTION'!P7="","",'ORDER VS WEEK DISTRIBUTION'!P7)</f>
        <v/>
      </c>
      <c r="Q7" s="75">
        <f>IF('ORDER VS WEEK DISTRIBUTION'!Q7="","",'ORDER VS WEEK DISTRIBUTION'!Q7)</f>
        <v/>
      </c>
      <c r="R7" s="75">
        <f>IF('ORDER VS WEEK DISTRIBUTION'!R7="","",'ORDER VS WEEK DISTRIBUTION'!R7)</f>
        <v/>
      </c>
      <c r="S7" s="75">
        <f>IF('ORDER VS WEEK DISTRIBUTION'!S7="","",'ORDER VS WEEK DISTRIBUTION'!S7)</f>
        <v/>
      </c>
    </row>
    <row r="8">
      <c r="A8" s="104" t="n"/>
      <c r="B8" s="104" t="n"/>
      <c r="C8" s="119">
        <f>IF('ORDER VS WEEK DISTRIBUTION'!C8="","",'ORDER VS WEEK DISTRIBUTION'!C8)</f>
        <v/>
      </c>
      <c r="D8" s="71">
        <f>IF('ORDER VS WEEK DISTRIBUTION'!D8="","",'ORDER VS WEEK DISTRIBUTION'!D8)</f>
        <v/>
      </c>
      <c r="E8" s="119">
        <f>IF('ORDER VS WEEK DISTRIBUTION'!E8="","",'ORDER VS WEEK DISTRIBUTION'!E8)</f>
        <v/>
      </c>
      <c r="F8" s="119">
        <f>IF('ORDER VS WEEK DISTRIBUTION'!F8="","",'ORDER VS WEEK DISTRIBUTION'!F8)</f>
        <v/>
      </c>
      <c r="G8" s="78">
        <f>IF('ORDER VS WEEK DISTRIBUTION'!G8="","",'ORDER VS WEEK DISTRIBUTION'!G8)</f>
        <v/>
      </c>
      <c r="H8" s="78">
        <f>IF('ORDER VS WEEK DISTRIBUTION'!H8="","",'ORDER VS WEEK DISTRIBUTION'!H8)</f>
        <v/>
      </c>
      <c r="I8" s="78">
        <f>IF('ORDER VS WEEK DISTRIBUTION'!I8="","",'ORDER VS WEEK DISTRIBUTION'!I8)</f>
        <v/>
      </c>
      <c r="J8" s="78">
        <f>IF('ORDER VS WEEK DISTRIBUTION'!J8="","",'ORDER VS WEEK DISTRIBUTION'!J8)</f>
        <v/>
      </c>
      <c r="K8" s="78">
        <f>IF('ORDER VS WEEK DISTRIBUTION'!K8="","",'ORDER VS WEEK DISTRIBUTION'!K8)</f>
        <v/>
      </c>
      <c r="L8" s="78">
        <f>IF('ORDER VS WEEK DISTRIBUTION'!L8="","",'ORDER VS WEEK DISTRIBUTION'!L8)</f>
        <v/>
      </c>
      <c r="M8" s="78">
        <f>IF('ORDER VS WEEK DISTRIBUTION'!M8="","",'ORDER VS WEEK DISTRIBUTION'!M8)</f>
        <v/>
      </c>
      <c r="N8" s="78">
        <f>IF('ORDER VS WEEK DISTRIBUTION'!N8="","",'ORDER VS WEEK DISTRIBUTION'!N8)</f>
        <v/>
      </c>
      <c r="O8" s="78">
        <f>IF('ORDER VS WEEK DISTRIBUTION'!O8="","",'ORDER VS WEEK DISTRIBUTION'!O8)</f>
        <v/>
      </c>
      <c r="P8" s="78">
        <f>IF('ORDER VS WEEK DISTRIBUTION'!P8="","",'ORDER VS WEEK DISTRIBUTION'!P8)</f>
        <v/>
      </c>
      <c r="Q8" s="78">
        <f>IF('ORDER VS WEEK DISTRIBUTION'!Q8="","",'ORDER VS WEEK DISTRIBUTION'!Q8)</f>
        <v/>
      </c>
      <c r="R8" s="78">
        <f>IF('ORDER VS WEEK DISTRIBUTION'!R8="","",'ORDER VS WEEK DISTRIBUTION'!R8)</f>
        <v/>
      </c>
      <c r="S8" s="78">
        <f>IF('ORDER VS WEEK DISTRIBUTION'!S8="","",'ORDER VS WEEK DISTRIBUTION'!S8)</f>
        <v/>
      </c>
    </row>
    <row r="9">
      <c r="A9" s="104" t="n"/>
      <c r="B9" s="104" t="n"/>
      <c r="C9" s="65">
        <f>IF('ORDER VS WEEK DISTRIBUTION'!C9="","",'ORDER VS WEEK DISTRIBUTION'!C9)</f>
        <v/>
      </c>
      <c r="D9" s="52">
        <f>IF('ORDER VS WEEK DISTRIBUTION'!D9="","",'ORDER VS WEEK DISTRIBUTION'!D9)</f>
        <v/>
      </c>
      <c r="E9" s="53">
        <f>IF('ORDER VS WEEK DISTRIBUTION'!E9="","",'ORDER VS WEEK DISTRIBUTION'!E9)</f>
        <v/>
      </c>
      <c r="F9" s="53">
        <f>IF('ORDER VS WEEK DISTRIBUTION'!F9="","",'ORDER VS WEEK DISTRIBUTION'!F9)</f>
        <v/>
      </c>
      <c r="G9" s="75">
        <f>IF('ORDER VS WEEK DISTRIBUTION'!G9="","",'ORDER VS WEEK DISTRIBUTION'!G9)</f>
        <v/>
      </c>
      <c r="H9" s="75">
        <f>IF('ORDER VS WEEK DISTRIBUTION'!H9="","",'ORDER VS WEEK DISTRIBUTION'!H9)</f>
        <v/>
      </c>
      <c r="I9" s="75">
        <f>IF('ORDER VS WEEK DISTRIBUTION'!I9="","",'ORDER VS WEEK DISTRIBUTION'!I9)</f>
        <v/>
      </c>
      <c r="J9" s="75">
        <f>IF('ORDER VS WEEK DISTRIBUTION'!J9="","",'ORDER VS WEEK DISTRIBUTION'!J9)</f>
        <v/>
      </c>
      <c r="K9" s="75">
        <f>IF('ORDER VS WEEK DISTRIBUTION'!K9="","",'ORDER VS WEEK DISTRIBUTION'!K9)</f>
        <v/>
      </c>
      <c r="L9" s="75">
        <f>IF('ORDER VS WEEK DISTRIBUTION'!L9="","",'ORDER VS WEEK DISTRIBUTION'!L9)</f>
        <v/>
      </c>
      <c r="M9" s="75">
        <f>IF('ORDER VS WEEK DISTRIBUTION'!M9="","",'ORDER VS WEEK DISTRIBUTION'!M9)</f>
        <v/>
      </c>
      <c r="N9" s="75">
        <f>IF('ORDER VS WEEK DISTRIBUTION'!N9="","",'ORDER VS WEEK DISTRIBUTION'!N9)</f>
        <v/>
      </c>
      <c r="O9" s="75">
        <f>IF('ORDER VS WEEK DISTRIBUTION'!O9="","",'ORDER VS WEEK DISTRIBUTION'!O9)</f>
        <v/>
      </c>
      <c r="P9" s="75">
        <f>IF('ORDER VS WEEK DISTRIBUTION'!P9="","",'ORDER VS WEEK DISTRIBUTION'!P9)</f>
        <v/>
      </c>
      <c r="Q9" s="75">
        <f>IF('ORDER VS WEEK DISTRIBUTION'!Q9="","",'ORDER VS WEEK DISTRIBUTION'!Q9)</f>
        <v/>
      </c>
      <c r="R9" s="75">
        <f>IF('ORDER VS WEEK DISTRIBUTION'!R9="","",'ORDER VS WEEK DISTRIBUTION'!R9)</f>
        <v/>
      </c>
      <c r="S9" s="75">
        <f>IF('ORDER VS WEEK DISTRIBUTION'!S9="","",'ORDER VS WEEK DISTRIBUTION'!S9)</f>
        <v/>
      </c>
    </row>
    <row r="10">
      <c r="A10" s="86" t="n"/>
      <c r="B10" s="104" t="n"/>
      <c r="C10" s="65">
        <f>IF('ORDER VS WEEK DISTRIBUTION'!C10="","",'ORDER VS WEEK DISTRIBUTION'!C10)</f>
        <v/>
      </c>
      <c r="D10" s="52">
        <f>IF('ORDER VS WEEK DISTRIBUTION'!D10="","",'ORDER VS WEEK DISTRIBUTION'!D10)</f>
        <v/>
      </c>
      <c r="E10" s="53">
        <f>IF('ORDER VS WEEK DISTRIBUTION'!E10="","",'ORDER VS WEEK DISTRIBUTION'!E10)</f>
        <v/>
      </c>
      <c r="F10" s="53">
        <f>IF('ORDER VS WEEK DISTRIBUTION'!F10="","",'ORDER VS WEEK DISTRIBUTION'!F10)</f>
        <v/>
      </c>
      <c r="G10" s="75">
        <f>IF('ORDER VS WEEK DISTRIBUTION'!G10="","",'ORDER VS WEEK DISTRIBUTION'!G10)</f>
        <v/>
      </c>
      <c r="H10" s="75">
        <f>IF('ORDER VS WEEK DISTRIBUTION'!H10="","",'ORDER VS WEEK DISTRIBUTION'!H10)</f>
        <v/>
      </c>
      <c r="I10" s="75">
        <f>IF('ORDER VS WEEK DISTRIBUTION'!I10="","",'ORDER VS WEEK DISTRIBUTION'!I10)</f>
        <v/>
      </c>
      <c r="J10" s="75">
        <f>IF('ORDER VS WEEK DISTRIBUTION'!J10="","",'ORDER VS WEEK DISTRIBUTION'!J10)</f>
        <v/>
      </c>
      <c r="K10" s="75">
        <f>IF('ORDER VS WEEK DISTRIBUTION'!K10="","",'ORDER VS WEEK DISTRIBUTION'!K10)</f>
        <v/>
      </c>
      <c r="L10" s="75">
        <f>IF('ORDER VS WEEK DISTRIBUTION'!L10="","",'ORDER VS WEEK DISTRIBUTION'!L10)</f>
        <v/>
      </c>
      <c r="M10" s="75">
        <f>IF('ORDER VS WEEK DISTRIBUTION'!M10="","",'ORDER VS WEEK DISTRIBUTION'!M10)</f>
        <v/>
      </c>
      <c r="N10" s="75">
        <f>IF('ORDER VS WEEK DISTRIBUTION'!N10="","",'ORDER VS WEEK DISTRIBUTION'!N10)</f>
        <v/>
      </c>
      <c r="O10" s="75">
        <f>IF('ORDER VS WEEK DISTRIBUTION'!O10="","",'ORDER VS WEEK DISTRIBUTION'!O10)</f>
        <v/>
      </c>
      <c r="P10" s="75">
        <f>IF('ORDER VS WEEK DISTRIBUTION'!P10="","",'ORDER VS WEEK DISTRIBUTION'!P10)</f>
        <v/>
      </c>
      <c r="Q10" s="75">
        <f>IF('ORDER VS WEEK DISTRIBUTION'!Q10="","",'ORDER VS WEEK DISTRIBUTION'!Q10)</f>
        <v/>
      </c>
      <c r="R10" s="75">
        <f>IF('ORDER VS WEEK DISTRIBUTION'!R10="","",'ORDER VS WEEK DISTRIBUTION'!R10)</f>
        <v/>
      </c>
      <c r="S10" s="75">
        <f>IF('ORDER VS WEEK DISTRIBUTION'!S10="","",'ORDER VS WEEK DISTRIBUTION'!S10)</f>
        <v/>
      </c>
    </row>
    <row r="11">
      <c r="A11" s="102">
        <f>IF('ORDER VS WEEK DISTRIBUTION'!A34="","",'ORDER VS WEEK DISTRIBUTION'!A34)</f>
        <v/>
      </c>
      <c r="B11" s="104" t="n"/>
      <c r="C11" s="65">
        <f>IF('ORDER VS WEEK DISTRIBUTION'!C34="","",'ORDER VS WEEK DISTRIBUTION'!C34)</f>
        <v/>
      </c>
      <c r="D11" s="52">
        <f>IF('ORDER VS WEEK DISTRIBUTION'!D34="","",'ORDER VS WEEK DISTRIBUTION'!D34)</f>
        <v/>
      </c>
      <c r="E11" s="53">
        <f>IF('ORDER VS WEEK DISTRIBUTION'!E34="","",'ORDER VS WEEK DISTRIBUTION'!E34)</f>
        <v/>
      </c>
      <c r="F11" s="53">
        <f>IF('ORDER VS WEEK DISTRIBUTION'!F34="","",'ORDER VS WEEK DISTRIBUTION'!F34)</f>
        <v/>
      </c>
      <c r="G11" s="75">
        <f>IF('ORDER VS WEEK DISTRIBUTION'!G34="","",'ORDER VS WEEK DISTRIBUTION'!G34)</f>
        <v/>
      </c>
      <c r="H11" s="75">
        <f>IF('ORDER VS WEEK DISTRIBUTION'!H34="","",'ORDER VS WEEK DISTRIBUTION'!H34)</f>
        <v/>
      </c>
      <c r="I11" s="75">
        <f>IF('ORDER VS WEEK DISTRIBUTION'!I34="","",'ORDER VS WEEK DISTRIBUTION'!I34)</f>
        <v/>
      </c>
      <c r="J11" s="75">
        <f>IF('ORDER VS WEEK DISTRIBUTION'!J34="","",'ORDER VS WEEK DISTRIBUTION'!J34)</f>
        <v/>
      </c>
      <c r="K11" s="75">
        <f>IF('ORDER VS WEEK DISTRIBUTION'!K34="","",'ORDER VS WEEK DISTRIBUTION'!K34)</f>
        <v/>
      </c>
      <c r="L11" s="75">
        <f>IF('ORDER VS WEEK DISTRIBUTION'!L34="","",'ORDER VS WEEK DISTRIBUTION'!L34)</f>
        <v/>
      </c>
      <c r="M11" s="75">
        <f>IF('ORDER VS WEEK DISTRIBUTION'!M34="","",'ORDER VS WEEK DISTRIBUTION'!M34)</f>
        <v/>
      </c>
      <c r="N11" s="75">
        <f>IF('ORDER VS WEEK DISTRIBUTION'!N34="","",'ORDER VS WEEK DISTRIBUTION'!N34)</f>
        <v/>
      </c>
      <c r="O11" s="75">
        <f>IF('ORDER VS WEEK DISTRIBUTION'!O34="","",'ORDER VS WEEK DISTRIBUTION'!O34)</f>
        <v/>
      </c>
      <c r="P11" s="75">
        <f>IF('ORDER VS WEEK DISTRIBUTION'!P34="","",'ORDER VS WEEK DISTRIBUTION'!P34)</f>
        <v/>
      </c>
      <c r="Q11" s="75">
        <f>IF('ORDER VS WEEK DISTRIBUTION'!Q34="","",'ORDER VS WEEK DISTRIBUTION'!Q34)</f>
        <v/>
      </c>
      <c r="R11" s="75">
        <f>IF('ORDER VS WEEK DISTRIBUTION'!R34="","",'ORDER VS WEEK DISTRIBUTION'!R34)</f>
        <v/>
      </c>
      <c r="S11" s="75">
        <f>IF('ORDER VS WEEK DISTRIBUTION'!S34="","",'ORDER VS WEEK DISTRIBUTION'!S34)</f>
        <v/>
      </c>
    </row>
    <row r="12">
      <c r="A12" s="104" t="n"/>
      <c r="B12" s="104" t="n"/>
      <c r="C12" s="119">
        <f>IF('ORDER VS WEEK DISTRIBUTION'!C35="","",'ORDER VS WEEK DISTRIBUTION'!C35)</f>
        <v/>
      </c>
      <c r="D12" s="71">
        <f>IF('ORDER VS WEEK DISTRIBUTION'!D35="","",'ORDER VS WEEK DISTRIBUTION'!D35)</f>
        <v/>
      </c>
      <c r="E12" s="119">
        <f>IF('ORDER VS WEEK DISTRIBUTION'!E35="","",'ORDER VS WEEK DISTRIBUTION'!E35)</f>
        <v/>
      </c>
      <c r="F12" s="119">
        <f>IF('ORDER VS WEEK DISTRIBUTION'!F35="","",'ORDER VS WEEK DISTRIBUTION'!F35)</f>
        <v/>
      </c>
      <c r="G12" s="78">
        <f>IF('ORDER VS WEEK DISTRIBUTION'!G35="","",'ORDER VS WEEK DISTRIBUTION'!G35)</f>
        <v/>
      </c>
      <c r="H12" s="78">
        <f>IF('ORDER VS WEEK DISTRIBUTION'!H35="","",'ORDER VS WEEK DISTRIBUTION'!H35)</f>
        <v/>
      </c>
      <c r="I12" s="78">
        <f>IF('ORDER VS WEEK DISTRIBUTION'!I35="","",'ORDER VS WEEK DISTRIBUTION'!I35)</f>
        <v/>
      </c>
      <c r="J12" s="78">
        <f>IF('ORDER VS WEEK DISTRIBUTION'!J35="","",'ORDER VS WEEK DISTRIBUTION'!J35)</f>
        <v/>
      </c>
      <c r="K12" s="78">
        <f>IF('ORDER VS WEEK DISTRIBUTION'!K35="","",'ORDER VS WEEK DISTRIBUTION'!K35)</f>
        <v/>
      </c>
      <c r="L12" s="78">
        <f>IF('ORDER VS WEEK DISTRIBUTION'!L35="","",'ORDER VS WEEK DISTRIBUTION'!L35)</f>
        <v/>
      </c>
      <c r="M12" s="78">
        <f>IF('ORDER VS WEEK DISTRIBUTION'!M35="","",'ORDER VS WEEK DISTRIBUTION'!M35)</f>
        <v/>
      </c>
      <c r="N12" s="78">
        <f>IF('ORDER VS WEEK DISTRIBUTION'!N35="","",'ORDER VS WEEK DISTRIBUTION'!N35)</f>
        <v/>
      </c>
      <c r="O12" s="78">
        <f>IF('ORDER VS WEEK DISTRIBUTION'!O35="","",'ORDER VS WEEK DISTRIBUTION'!O35)</f>
        <v/>
      </c>
      <c r="P12" s="78">
        <f>IF('ORDER VS WEEK DISTRIBUTION'!P35="","",'ORDER VS WEEK DISTRIBUTION'!P35)</f>
        <v/>
      </c>
      <c r="Q12" s="78">
        <f>IF('ORDER VS WEEK DISTRIBUTION'!Q35="","",'ORDER VS WEEK DISTRIBUTION'!Q35)</f>
        <v/>
      </c>
      <c r="R12" s="78">
        <f>IF('ORDER VS WEEK DISTRIBUTION'!R35="","",'ORDER VS WEEK DISTRIBUTION'!R35)</f>
        <v/>
      </c>
      <c r="S12" s="78">
        <f>IF('ORDER VS WEEK DISTRIBUTION'!S35="","",'ORDER VS WEEK DISTRIBUTION'!S35)</f>
        <v/>
      </c>
    </row>
    <row r="13">
      <c r="A13" s="104" t="n"/>
      <c r="B13" s="104" t="n"/>
      <c r="C13" s="65">
        <f>IF('ORDER VS WEEK DISTRIBUTION'!C36="","",'ORDER VS WEEK DISTRIBUTION'!C36)</f>
        <v/>
      </c>
      <c r="D13" s="52">
        <f>IF('ORDER VS WEEK DISTRIBUTION'!D36="","",'ORDER VS WEEK DISTRIBUTION'!D36)</f>
        <v/>
      </c>
      <c r="E13" s="53">
        <f>IF('ORDER VS WEEK DISTRIBUTION'!E36="","",'ORDER VS WEEK DISTRIBUTION'!E36)</f>
        <v/>
      </c>
      <c r="F13" s="53">
        <f>IF('ORDER VS WEEK DISTRIBUTION'!F36="","",'ORDER VS WEEK DISTRIBUTION'!F36)</f>
        <v/>
      </c>
      <c r="G13" s="75">
        <f>IF('ORDER VS WEEK DISTRIBUTION'!G36="","",'ORDER VS WEEK DISTRIBUTION'!G36)</f>
        <v/>
      </c>
      <c r="H13" s="75">
        <f>IF('ORDER VS WEEK DISTRIBUTION'!H36="","",'ORDER VS WEEK DISTRIBUTION'!H36)</f>
        <v/>
      </c>
      <c r="I13" s="75">
        <f>IF('ORDER VS WEEK DISTRIBUTION'!I36="","",'ORDER VS WEEK DISTRIBUTION'!I36)</f>
        <v/>
      </c>
      <c r="J13" s="75">
        <f>IF('ORDER VS WEEK DISTRIBUTION'!J36="","",'ORDER VS WEEK DISTRIBUTION'!J36)</f>
        <v/>
      </c>
      <c r="K13" s="75">
        <f>IF('ORDER VS WEEK DISTRIBUTION'!K36="","",'ORDER VS WEEK DISTRIBUTION'!K36)</f>
        <v/>
      </c>
      <c r="L13" s="75">
        <f>IF('ORDER VS WEEK DISTRIBUTION'!L36="","",'ORDER VS WEEK DISTRIBUTION'!L36)</f>
        <v/>
      </c>
      <c r="M13" s="75">
        <f>IF('ORDER VS WEEK DISTRIBUTION'!M36="","",'ORDER VS WEEK DISTRIBUTION'!M36)</f>
        <v/>
      </c>
      <c r="N13" s="75">
        <f>IF('ORDER VS WEEK DISTRIBUTION'!N36="","",'ORDER VS WEEK DISTRIBUTION'!N36)</f>
        <v/>
      </c>
      <c r="O13" s="75">
        <f>IF('ORDER VS WEEK DISTRIBUTION'!O36="","",'ORDER VS WEEK DISTRIBUTION'!O36)</f>
        <v/>
      </c>
      <c r="P13" s="75">
        <f>IF('ORDER VS WEEK DISTRIBUTION'!P36="","",'ORDER VS WEEK DISTRIBUTION'!P36)</f>
        <v/>
      </c>
      <c r="Q13" s="75">
        <f>IF('ORDER VS WEEK DISTRIBUTION'!Q36="","",'ORDER VS WEEK DISTRIBUTION'!Q36)</f>
        <v/>
      </c>
      <c r="R13" s="75">
        <f>IF('ORDER VS WEEK DISTRIBUTION'!R36="","",'ORDER VS WEEK DISTRIBUTION'!R36)</f>
        <v/>
      </c>
      <c r="S13" s="75">
        <f>IF('ORDER VS WEEK DISTRIBUTION'!S36="","",'ORDER VS WEEK DISTRIBUTION'!S36)</f>
        <v/>
      </c>
    </row>
    <row r="14">
      <c r="A14" s="86" t="n"/>
      <c r="B14" s="104" t="n"/>
      <c r="C14" s="65">
        <f>IF('ORDER VS WEEK DISTRIBUTION'!C37="","",'ORDER VS WEEK DISTRIBUTION'!C37)</f>
        <v/>
      </c>
      <c r="D14" s="52">
        <f>IF('ORDER VS WEEK DISTRIBUTION'!D37="","",'ORDER VS WEEK DISTRIBUTION'!D37)</f>
        <v/>
      </c>
      <c r="E14" s="53">
        <f>IF('ORDER VS WEEK DISTRIBUTION'!E37="","",'ORDER VS WEEK DISTRIBUTION'!E37)</f>
        <v/>
      </c>
      <c r="F14" s="53">
        <f>IF('ORDER VS WEEK DISTRIBUTION'!F37="","",'ORDER VS WEEK DISTRIBUTION'!F37)</f>
        <v/>
      </c>
      <c r="G14" s="75">
        <f>IF('ORDER VS WEEK DISTRIBUTION'!G37="","",'ORDER VS WEEK DISTRIBUTION'!G37)</f>
        <v/>
      </c>
      <c r="H14" s="75">
        <f>IF('ORDER VS WEEK DISTRIBUTION'!H37="","",'ORDER VS WEEK DISTRIBUTION'!H37)</f>
        <v/>
      </c>
      <c r="I14" s="75">
        <f>IF('ORDER VS WEEK DISTRIBUTION'!I37="","",'ORDER VS WEEK DISTRIBUTION'!I37)</f>
        <v/>
      </c>
      <c r="J14" s="75">
        <f>IF('ORDER VS WEEK DISTRIBUTION'!J37="","",'ORDER VS WEEK DISTRIBUTION'!J37)</f>
        <v/>
      </c>
      <c r="K14" s="75">
        <f>IF('ORDER VS WEEK DISTRIBUTION'!K37="","",'ORDER VS WEEK DISTRIBUTION'!K37)</f>
        <v/>
      </c>
      <c r="L14" s="75">
        <f>IF('ORDER VS WEEK DISTRIBUTION'!L37="","",'ORDER VS WEEK DISTRIBUTION'!L37)</f>
        <v/>
      </c>
      <c r="M14" s="75">
        <f>IF('ORDER VS WEEK DISTRIBUTION'!M37="","",'ORDER VS WEEK DISTRIBUTION'!M37)</f>
        <v/>
      </c>
      <c r="N14" s="75">
        <f>IF('ORDER VS WEEK DISTRIBUTION'!N37="","",'ORDER VS WEEK DISTRIBUTION'!N37)</f>
        <v/>
      </c>
      <c r="O14" s="75">
        <f>IF('ORDER VS WEEK DISTRIBUTION'!O37="","",'ORDER VS WEEK DISTRIBUTION'!O37)</f>
        <v/>
      </c>
      <c r="P14" s="75">
        <f>IF('ORDER VS WEEK DISTRIBUTION'!P37="","",'ORDER VS WEEK DISTRIBUTION'!P37)</f>
        <v/>
      </c>
      <c r="Q14" s="75">
        <f>IF('ORDER VS WEEK DISTRIBUTION'!Q37="","",'ORDER VS WEEK DISTRIBUTION'!Q37)</f>
        <v/>
      </c>
      <c r="R14" s="75">
        <f>IF('ORDER VS WEEK DISTRIBUTION'!R37="","",'ORDER VS WEEK DISTRIBUTION'!R37)</f>
        <v/>
      </c>
      <c r="S14" s="75">
        <f>IF('ORDER VS WEEK DISTRIBUTION'!S37="","",'ORDER VS WEEK DISTRIBUTION'!S37)</f>
        <v/>
      </c>
    </row>
    <row r="15">
      <c r="A15" s="102">
        <f>IF('ORDER VS WEEK DISTRIBUTION'!A48="","",'ORDER VS WEEK DISTRIBUTION'!A48)</f>
        <v/>
      </c>
      <c r="B15" s="104" t="n"/>
      <c r="C15" s="65">
        <f>IF('ORDER VS WEEK DISTRIBUTION'!C48="","",'ORDER VS WEEK DISTRIBUTION'!C48)</f>
        <v/>
      </c>
      <c r="D15" s="52">
        <f>IF('ORDER VS WEEK DISTRIBUTION'!D48="","",'ORDER VS WEEK DISTRIBUTION'!D48)</f>
        <v/>
      </c>
      <c r="E15" s="53">
        <f>IF('ORDER VS WEEK DISTRIBUTION'!E48="","",'ORDER VS WEEK DISTRIBUTION'!E48)</f>
        <v/>
      </c>
      <c r="F15" s="53">
        <f>IF('ORDER VS WEEK DISTRIBUTION'!F48="","",'ORDER VS WEEK DISTRIBUTION'!F48)</f>
        <v/>
      </c>
      <c r="G15" s="75">
        <f>IF('ORDER VS WEEK DISTRIBUTION'!G48="","",'ORDER VS WEEK DISTRIBUTION'!G48)</f>
        <v/>
      </c>
      <c r="H15" s="75">
        <f>IF('ORDER VS WEEK DISTRIBUTION'!H48="","",'ORDER VS WEEK DISTRIBUTION'!H48)</f>
        <v/>
      </c>
      <c r="I15" s="75">
        <f>IF('ORDER VS WEEK DISTRIBUTION'!I48="","",'ORDER VS WEEK DISTRIBUTION'!I48)</f>
        <v/>
      </c>
      <c r="J15" s="75">
        <f>IF('ORDER VS WEEK DISTRIBUTION'!J48="","",'ORDER VS WEEK DISTRIBUTION'!J48)</f>
        <v/>
      </c>
      <c r="K15" s="75">
        <f>IF('ORDER VS WEEK DISTRIBUTION'!K48="","",'ORDER VS WEEK DISTRIBUTION'!K48)</f>
        <v/>
      </c>
      <c r="L15" s="75">
        <f>IF('ORDER VS WEEK DISTRIBUTION'!L48="","",'ORDER VS WEEK DISTRIBUTION'!L48)</f>
        <v/>
      </c>
      <c r="M15" s="75">
        <f>IF('ORDER VS WEEK DISTRIBUTION'!M48="","",'ORDER VS WEEK DISTRIBUTION'!M48)</f>
        <v/>
      </c>
      <c r="N15" s="75">
        <f>IF('ORDER VS WEEK DISTRIBUTION'!N48="","",'ORDER VS WEEK DISTRIBUTION'!N48)</f>
        <v/>
      </c>
      <c r="O15" s="75">
        <f>IF('ORDER VS WEEK DISTRIBUTION'!O48="","",'ORDER VS WEEK DISTRIBUTION'!O48)</f>
        <v/>
      </c>
      <c r="P15" s="75">
        <f>IF('ORDER VS WEEK DISTRIBUTION'!P48="","",'ORDER VS WEEK DISTRIBUTION'!P48)</f>
        <v/>
      </c>
      <c r="Q15" s="75">
        <f>IF('ORDER VS WEEK DISTRIBUTION'!Q48="","",'ORDER VS WEEK DISTRIBUTION'!Q48)</f>
        <v/>
      </c>
      <c r="R15" s="75">
        <f>IF('ORDER VS WEEK DISTRIBUTION'!R48="","",'ORDER VS WEEK DISTRIBUTION'!R48)</f>
        <v/>
      </c>
      <c r="S15" s="75">
        <f>IF('ORDER VS WEEK DISTRIBUTION'!S48="","",'ORDER VS WEEK DISTRIBUTION'!S48)</f>
        <v/>
      </c>
    </row>
    <row r="16">
      <c r="A16" s="104" t="n"/>
      <c r="B16" s="104" t="n"/>
      <c r="C16" s="65">
        <f>IF('ORDER VS WEEK DISTRIBUTION'!C49="","",'ORDER VS WEEK DISTRIBUTION'!C49)</f>
        <v/>
      </c>
      <c r="D16" s="52">
        <f>IF('ORDER VS WEEK DISTRIBUTION'!D49="","",'ORDER VS WEEK DISTRIBUTION'!D49)</f>
        <v/>
      </c>
      <c r="E16" s="53">
        <f>IF('ORDER VS WEEK DISTRIBUTION'!E49="","",'ORDER VS WEEK DISTRIBUTION'!E49)</f>
        <v/>
      </c>
      <c r="F16" s="53">
        <f>IF('ORDER VS WEEK DISTRIBUTION'!F49="","",'ORDER VS WEEK DISTRIBUTION'!F49)</f>
        <v/>
      </c>
      <c r="G16" s="75">
        <f>IF('ORDER VS WEEK DISTRIBUTION'!G49="","",'ORDER VS WEEK DISTRIBUTION'!G49)</f>
        <v/>
      </c>
      <c r="H16" s="75">
        <f>IF('ORDER VS WEEK DISTRIBUTION'!H49="","",'ORDER VS WEEK DISTRIBUTION'!H49)</f>
        <v/>
      </c>
      <c r="I16" s="75">
        <f>IF('ORDER VS WEEK DISTRIBUTION'!I49="","",'ORDER VS WEEK DISTRIBUTION'!I49)</f>
        <v/>
      </c>
      <c r="J16" s="75">
        <f>IF('ORDER VS WEEK DISTRIBUTION'!J49="","",'ORDER VS WEEK DISTRIBUTION'!J49)</f>
        <v/>
      </c>
      <c r="K16" s="75">
        <f>IF('ORDER VS WEEK DISTRIBUTION'!K49="","",'ORDER VS WEEK DISTRIBUTION'!K49)</f>
        <v/>
      </c>
      <c r="L16" s="75">
        <f>IF('ORDER VS WEEK DISTRIBUTION'!L49="","",'ORDER VS WEEK DISTRIBUTION'!L49)</f>
        <v/>
      </c>
      <c r="M16" s="75">
        <f>IF('ORDER VS WEEK DISTRIBUTION'!M49="","",'ORDER VS WEEK DISTRIBUTION'!M49)</f>
        <v/>
      </c>
      <c r="N16" s="75">
        <f>IF('ORDER VS WEEK DISTRIBUTION'!N49="","",'ORDER VS WEEK DISTRIBUTION'!N49)</f>
        <v/>
      </c>
      <c r="O16" s="75">
        <f>IF('ORDER VS WEEK DISTRIBUTION'!O49="","",'ORDER VS WEEK DISTRIBUTION'!O49)</f>
        <v/>
      </c>
      <c r="P16" s="75">
        <f>IF('ORDER VS WEEK DISTRIBUTION'!P49="","",'ORDER VS WEEK DISTRIBUTION'!P49)</f>
        <v/>
      </c>
      <c r="Q16" s="75">
        <f>IF('ORDER VS WEEK DISTRIBUTION'!Q49="","",'ORDER VS WEEK DISTRIBUTION'!Q49)</f>
        <v/>
      </c>
      <c r="R16" s="75">
        <f>IF('ORDER VS WEEK DISTRIBUTION'!R49="","",'ORDER VS WEEK DISTRIBUTION'!R49)</f>
        <v/>
      </c>
      <c r="S16" s="75">
        <f>IF('ORDER VS WEEK DISTRIBUTION'!S49="","",'ORDER VS WEEK DISTRIBUTION'!S49)</f>
        <v/>
      </c>
    </row>
    <row r="17">
      <c r="A17" s="104" t="n"/>
      <c r="B17" s="104" t="n"/>
      <c r="C17" s="65">
        <f>IF('ORDER VS WEEK DISTRIBUTION'!C50="","",'ORDER VS WEEK DISTRIBUTION'!C50)</f>
        <v/>
      </c>
      <c r="D17" s="52">
        <f>IF('ORDER VS WEEK DISTRIBUTION'!D50="","",'ORDER VS WEEK DISTRIBUTION'!D50)</f>
        <v/>
      </c>
      <c r="E17" s="53">
        <f>IF('ORDER VS WEEK DISTRIBUTION'!E50="","",'ORDER VS WEEK DISTRIBUTION'!E50)</f>
        <v/>
      </c>
      <c r="F17" s="53">
        <f>IF('ORDER VS WEEK DISTRIBUTION'!F50="","",'ORDER VS WEEK DISTRIBUTION'!F50)</f>
        <v/>
      </c>
      <c r="G17" s="75">
        <f>IF('ORDER VS WEEK DISTRIBUTION'!G50="","",'ORDER VS WEEK DISTRIBUTION'!G50)</f>
        <v/>
      </c>
      <c r="H17" s="75">
        <f>IF('ORDER VS WEEK DISTRIBUTION'!H50="","",'ORDER VS WEEK DISTRIBUTION'!H50)</f>
        <v/>
      </c>
      <c r="I17" s="75">
        <f>IF('ORDER VS WEEK DISTRIBUTION'!I50="","",'ORDER VS WEEK DISTRIBUTION'!I50)</f>
        <v/>
      </c>
      <c r="J17" s="75">
        <f>IF('ORDER VS WEEK DISTRIBUTION'!J50="","",'ORDER VS WEEK DISTRIBUTION'!J50)</f>
        <v/>
      </c>
      <c r="K17" s="75">
        <f>IF('ORDER VS WEEK DISTRIBUTION'!K50="","",'ORDER VS WEEK DISTRIBUTION'!K50)</f>
        <v/>
      </c>
      <c r="L17" s="75">
        <f>IF('ORDER VS WEEK DISTRIBUTION'!L50="","",'ORDER VS WEEK DISTRIBUTION'!L50)</f>
        <v/>
      </c>
      <c r="M17" s="75">
        <f>IF('ORDER VS WEEK DISTRIBUTION'!M50="","",'ORDER VS WEEK DISTRIBUTION'!M50)</f>
        <v/>
      </c>
      <c r="N17" s="75">
        <f>IF('ORDER VS WEEK DISTRIBUTION'!N50="","",'ORDER VS WEEK DISTRIBUTION'!N50)</f>
        <v/>
      </c>
      <c r="O17" s="75">
        <f>IF('ORDER VS WEEK DISTRIBUTION'!O50="","",'ORDER VS WEEK DISTRIBUTION'!O50)</f>
        <v/>
      </c>
      <c r="P17" s="75">
        <f>IF('ORDER VS WEEK DISTRIBUTION'!P50="","",'ORDER VS WEEK DISTRIBUTION'!P50)</f>
        <v/>
      </c>
      <c r="Q17" s="75">
        <f>IF('ORDER VS WEEK DISTRIBUTION'!Q50="","",'ORDER VS WEEK DISTRIBUTION'!Q50)</f>
        <v/>
      </c>
      <c r="R17" s="75">
        <f>IF('ORDER VS WEEK DISTRIBUTION'!R50="","",'ORDER VS WEEK DISTRIBUTION'!R50)</f>
        <v/>
      </c>
      <c r="S17" s="75">
        <f>IF('ORDER VS WEEK DISTRIBUTION'!S50="","",'ORDER VS WEEK DISTRIBUTION'!S50)</f>
        <v/>
      </c>
    </row>
    <row r="18">
      <c r="A18" s="104" t="n"/>
      <c r="B18" s="104" t="n"/>
      <c r="C18" s="119">
        <f>IF('ORDER VS WEEK DISTRIBUTION'!C51="","",'ORDER VS WEEK DISTRIBUTION'!C51)</f>
        <v/>
      </c>
      <c r="D18" s="71">
        <f>IF('ORDER VS WEEK DISTRIBUTION'!D51="","",'ORDER VS WEEK DISTRIBUTION'!D51)</f>
        <v/>
      </c>
      <c r="E18" s="119">
        <f>IF('ORDER VS WEEK DISTRIBUTION'!E51="","",'ORDER VS WEEK DISTRIBUTION'!E51)</f>
        <v/>
      </c>
      <c r="F18" s="119">
        <f>IF('ORDER VS WEEK DISTRIBUTION'!F51="","",'ORDER VS WEEK DISTRIBUTION'!F51)</f>
        <v/>
      </c>
      <c r="G18" s="78">
        <f>IF('ORDER VS WEEK DISTRIBUTION'!G51="","",'ORDER VS WEEK DISTRIBUTION'!G51)</f>
        <v/>
      </c>
      <c r="H18" s="78">
        <f>IF('ORDER VS WEEK DISTRIBUTION'!H51="","",'ORDER VS WEEK DISTRIBUTION'!H51)</f>
        <v/>
      </c>
      <c r="I18" s="78">
        <f>IF('ORDER VS WEEK DISTRIBUTION'!I51="","",'ORDER VS WEEK DISTRIBUTION'!I51)</f>
        <v/>
      </c>
      <c r="J18" s="78">
        <f>IF('ORDER VS WEEK DISTRIBUTION'!J51="","",'ORDER VS WEEK DISTRIBUTION'!J51)</f>
        <v/>
      </c>
      <c r="K18" s="78">
        <f>IF('ORDER VS WEEK DISTRIBUTION'!K51="","",'ORDER VS WEEK DISTRIBUTION'!K51)</f>
        <v/>
      </c>
      <c r="L18" s="78">
        <f>IF('ORDER VS WEEK DISTRIBUTION'!L51="","",'ORDER VS WEEK DISTRIBUTION'!L51)</f>
        <v/>
      </c>
      <c r="M18" s="78">
        <f>IF('ORDER VS WEEK DISTRIBUTION'!M51="","",'ORDER VS WEEK DISTRIBUTION'!M51)</f>
        <v/>
      </c>
      <c r="N18" s="78">
        <f>IF('ORDER VS WEEK DISTRIBUTION'!N51="","",'ORDER VS WEEK DISTRIBUTION'!N51)</f>
        <v/>
      </c>
      <c r="O18" s="78">
        <f>IF('ORDER VS WEEK DISTRIBUTION'!O51="","",'ORDER VS WEEK DISTRIBUTION'!O51)</f>
        <v/>
      </c>
      <c r="P18" s="78">
        <f>IF('ORDER VS WEEK DISTRIBUTION'!P51="","",'ORDER VS WEEK DISTRIBUTION'!P51)</f>
        <v/>
      </c>
      <c r="Q18" s="78">
        <f>IF('ORDER VS WEEK DISTRIBUTION'!Q51="","",'ORDER VS WEEK DISTRIBUTION'!Q51)</f>
        <v/>
      </c>
      <c r="R18" s="78">
        <f>IF('ORDER VS WEEK DISTRIBUTION'!R51="","",'ORDER VS WEEK DISTRIBUTION'!R51)</f>
        <v/>
      </c>
      <c r="S18" s="78">
        <f>IF('ORDER VS WEEK DISTRIBUTION'!S51="","",'ORDER VS WEEK DISTRIBUTION'!S51)</f>
        <v/>
      </c>
    </row>
    <row r="19">
      <c r="A19" s="104" t="n"/>
      <c r="B19" s="104" t="n"/>
      <c r="C19" s="65">
        <f>IF('ORDER VS WEEK DISTRIBUTION'!C52="","",'ORDER VS WEEK DISTRIBUTION'!C52)</f>
        <v/>
      </c>
      <c r="D19" s="52">
        <f>IF('ORDER VS WEEK DISTRIBUTION'!D52="","",'ORDER VS WEEK DISTRIBUTION'!D52)</f>
        <v/>
      </c>
      <c r="E19" s="53">
        <f>IF('ORDER VS WEEK DISTRIBUTION'!E52="","",'ORDER VS WEEK DISTRIBUTION'!E52)</f>
        <v/>
      </c>
      <c r="F19" s="53">
        <f>IF('ORDER VS WEEK DISTRIBUTION'!F52="","",'ORDER VS WEEK DISTRIBUTION'!F52)</f>
        <v/>
      </c>
      <c r="G19" s="75">
        <f>IF('ORDER VS WEEK DISTRIBUTION'!G52="","",'ORDER VS WEEK DISTRIBUTION'!G52)</f>
        <v/>
      </c>
      <c r="H19" s="75">
        <f>IF('ORDER VS WEEK DISTRIBUTION'!H52="","",'ORDER VS WEEK DISTRIBUTION'!H52)</f>
        <v/>
      </c>
      <c r="I19" s="75">
        <f>IF('ORDER VS WEEK DISTRIBUTION'!I52="","",'ORDER VS WEEK DISTRIBUTION'!I52)</f>
        <v/>
      </c>
      <c r="J19" s="75">
        <f>IF('ORDER VS WEEK DISTRIBUTION'!J52="","",'ORDER VS WEEK DISTRIBUTION'!J52)</f>
        <v/>
      </c>
      <c r="K19" s="75">
        <f>IF('ORDER VS WEEK DISTRIBUTION'!K52="","",'ORDER VS WEEK DISTRIBUTION'!K52)</f>
        <v/>
      </c>
      <c r="L19" s="75">
        <f>IF('ORDER VS WEEK DISTRIBUTION'!L52="","",'ORDER VS WEEK DISTRIBUTION'!L52)</f>
        <v/>
      </c>
      <c r="M19" s="75">
        <f>IF('ORDER VS WEEK DISTRIBUTION'!M52="","",'ORDER VS WEEK DISTRIBUTION'!M52)</f>
        <v/>
      </c>
      <c r="N19" s="75">
        <f>IF('ORDER VS WEEK DISTRIBUTION'!N52="","",'ORDER VS WEEK DISTRIBUTION'!N52)</f>
        <v/>
      </c>
      <c r="O19" s="75">
        <f>IF('ORDER VS WEEK DISTRIBUTION'!O52="","",'ORDER VS WEEK DISTRIBUTION'!O52)</f>
        <v/>
      </c>
      <c r="P19" s="75">
        <f>IF('ORDER VS WEEK DISTRIBUTION'!P52="","",'ORDER VS WEEK DISTRIBUTION'!P52)</f>
        <v/>
      </c>
      <c r="Q19" s="75">
        <f>IF('ORDER VS WEEK DISTRIBUTION'!Q52="","",'ORDER VS WEEK DISTRIBUTION'!Q52)</f>
        <v/>
      </c>
      <c r="R19" s="75">
        <f>IF('ORDER VS WEEK DISTRIBUTION'!R52="","",'ORDER VS WEEK DISTRIBUTION'!R52)</f>
        <v/>
      </c>
      <c r="S19" s="75">
        <f>IF('ORDER VS WEEK DISTRIBUTION'!S52="","",'ORDER VS WEEK DISTRIBUTION'!S52)</f>
        <v/>
      </c>
    </row>
    <row r="20">
      <c r="A20" s="86" t="n"/>
      <c r="B20" s="86" t="n"/>
      <c r="C20" s="65">
        <f>IF('ORDER VS WEEK DISTRIBUTION'!C53="","",'ORDER VS WEEK DISTRIBUTION'!C53)</f>
        <v/>
      </c>
      <c r="D20" s="52">
        <f>IF('ORDER VS WEEK DISTRIBUTION'!D53="","",'ORDER VS WEEK DISTRIBUTION'!D53)</f>
        <v/>
      </c>
      <c r="E20" s="53">
        <f>IF('ORDER VS WEEK DISTRIBUTION'!E53="","",'ORDER VS WEEK DISTRIBUTION'!E53)</f>
        <v/>
      </c>
      <c r="F20" s="53">
        <f>IF('ORDER VS WEEK DISTRIBUTION'!F53="","",'ORDER VS WEEK DISTRIBUTION'!F53)</f>
        <v/>
      </c>
      <c r="G20" s="75">
        <f>IF('ORDER VS WEEK DISTRIBUTION'!G53="","",'ORDER VS WEEK DISTRIBUTION'!G53)</f>
        <v/>
      </c>
      <c r="H20" s="75">
        <f>IF('ORDER VS WEEK DISTRIBUTION'!H53="","",'ORDER VS WEEK DISTRIBUTION'!H53)</f>
        <v/>
      </c>
      <c r="I20" s="75">
        <f>IF('ORDER VS WEEK DISTRIBUTION'!I53="","",'ORDER VS WEEK DISTRIBUTION'!I53)</f>
        <v/>
      </c>
      <c r="J20" s="75">
        <f>IF('ORDER VS WEEK DISTRIBUTION'!J53="","",'ORDER VS WEEK DISTRIBUTION'!J53)</f>
        <v/>
      </c>
      <c r="K20" s="75">
        <f>IF('ORDER VS WEEK DISTRIBUTION'!K53="","",'ORDER VS WEEK DISTRIBUTION'!K53)</f>
        <v/>
      </c>
      <c r="L20" s="75">
        <f>IF('ORDER VS WEEK DISTRIBUTION'!L53="","",'ORDER VS WEEK DISTRIBUTION'!L53)</f>
        <v/>
      </c>
      <c r="M20" s="75">
        <f>IF('ORDER VS WEEK DISTRIBUTION'!M53="","",'ORDER VS WEEK DISTRIBUTION'!M53)</f>
        <v/>
      </c>
      <c r="N20" s="75">
        <f>IF('ORDER VS WEEK DISTRIBUTION'!N53="","",'ORDER VS WEEK DISTRIBUTION'!N53)</f>
        <v/>
      </c>
      <c r="O20" s="75">
        <f>IF('ORDER VS WEEK DISTRIBUTION'!O53="","",'ORDER VS WEEK DISTRIBUTION'!O53)</f>
        <v/>
      </c>
      <c r="P20" s="75">
        <f>IF('ORDER VS WEEK DISTRIBUTION'!P53="","",'ORDER VS WEEK DISTRIBUTION'!P53)</f>
        <v/>
      </c>
      <c r="Q20" s="75">
        <f>IF('ORDER VS WEEK DISTRIBUTION'!Q53="","",'ORDER VS WEEK DISTRIBUTION'!Q53)</f>
        <v/>
      </c>
      <c r="R20" s="75">
        <f>IF('ORDER VS WEEK DISTRIBUTION'!R53="","",'ORDER VS WEEK DISTRIBUTION'!R53)</f>
        <v/>
      </c>
      <c r="S20" s="75">
        <f>IF('ORDER VS WEEK DISTRIBUTION'!S53="","",'ORDER VS WEEK DISTRIBUTION'!S53)</f>
        <v/>
      </c>
    </row>
  </sheetData>
  <mergeCells count="6">
    <mergeCell ref="A1:G1"/>
    <mergeCell ref="B3:B20"/>
    <mergeCell ref="A15:A20"/>
    <mergeCell ref="A3:A10"/>
    <mergeCell ref="H1:S1"/>
    <mergeCell ref="A11:A14"/>
  </mergeCells>
  <conditionalFormatting sqref="H3:S20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H1" s="120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DISTRIBUTION'!B11="","",'ORDER VS WEEK DISTRIBUTION'!B11)</f>
        <v/>
      </c>
      <c r="C3" s="65">
        <f>IF('ORDER VS WEEK DISTRIBUTION'!C11="","",'ORDER VS WEEK DISTRIBUTION'!C11)</f>
        <v/>
      </c>
      <c r="D3" s="52">
        <f>IF('ORDER VS WEEK DISTRIBUTION'!D11="","",'ORDER VS WEEK DISTRIBUTION'!D11)</f>
        <v/>
      </c>
      <c r="E3" s="53">
        <f>IF('ORDER VS WEEK DISTRIBUTION'!E11="","",'ORDER VS WEEK DISTRIBUTION'!E11)</f>
        <v/>
      </c>
      <c r="F3" s="53">
        <f>IF('ORDER VS WEEK DISTRIBUTION'!F11="","",'ORDER VS WEEK DISTRIBUTION'!F11)</f>
        <v/>
      </c>
      <c r="G3" s="75">
        <f>IF('ORDER VS WEEK DISTRIBUTION'!G11="","",'ORDER VS WEEK DISTRIBUTION'!G11)</f>
        <v/>
      </c>
      <c r="H3" s="75">
        <f>IF('ORDER VS WEEK DISTRIBUTION'!H11="","",'ORDER VS WEEK DISTRIBUTION'!H11)</f>
        <v/>
      </c>
      <c r="I3" s="75">
        <f>IF('ORDER VS WEEK DISTRIBUTION'!I11="","",'ORDER VS WEEK DISTRIBUTION'!I11)</f>
        <v/>
      </c>
      <c r="J3" s="75">
        <f>IF('ORDER VS WEEK DISTRIBUTION'!J11="","",'ORDER VS WEEK DISTRIBUTION'!J11)</f>
        <v/>
      </c>
      <c r="K3" s="75">
        <f>IF('ORDER VS WEEK DISTRIBUTION'!K11="","",'ORDER VS WEEK DISTRIBUTION'!K11)</f>
        <v/>
      </c>
      <c r="L3" s="75">
        <f>IF('ORDER VS WEEK DISTRIBUTION'!L11="","",'ORDER VS WEEK DISTRIBUTION'!L11)</f>
        <v/>
      </c>
      <c r="M3" s="75">
        <f>IF('ORDER VS WEEK DISTRIBUTION'!M11="","",'ORDER VS WEEK DISTRIBUTION'!M11)</f>
        <v/>
      </c>
      <c r="N3" s="75">
        <f>IF('ORDER VS WEEK DISTRIBUTION'!N11="","",'ORDER VS WEEK DISTRIBUTION'!N11)</f>
        <v/>
      </c>
      <c r="O3" s="75">
        <f>IF('ORDER VS WEEK DISTRIBUTION'!O11="","",'ORDER VS WEEK DISTRIBUTION'!O11)</f>
        <v/>
      </c>
      <c r="P3" s="75">
        <f>IF('ORDER VS WEEK DISTRIBUTION'!P11="","",'ORDER VS WEEK DISTRIBUTION'!P11)</f>
        <v/>
      </c>
      <c r="Q3" s="75">
        <f>IF('ORDER VS WEEK DISTRIBUTION'!Q11="","",'ORDER VS WEEK DISTRIBUTION'!Q11)</f>
        <v/>
      </c>
      <c r="R3" s="75">
        <f>IF('ORDER VS WEEK DISTRIBUTION'!R11="","",'ORDER VS WEEK DISTRIBUTION'!R11)</f>
        <v/>
      </c>
      <c r="S3" s="75">
        <f>IF('ORDER VS WEEK DISTRIBUTION'!S11="","",'ORDER VS WEEK DISTRIBUTION'!S11)</f>
        <v/>
      </c>
    </row>
    <row r="4">
      <c r="A4" s="104" t="n"/>
      <c r="B4" s="104" t="n"/>
      <c r="C4" s="119">
        <f>IF('ORDER VS WEEK DISTRIBUTION'!C12="","",'ORDER VS WEEK DISTRIBUTION'!C12)</f>
        <v/>
      </c>
      <c r="D4" s="71">
        <f>IF('ORDER VS WEEK DISTRIBUTION'!D12="","",'ORDER VS WEEK DISTRIBUTION'!D12)</f>
        <v/>
      </c>
      <c r="E4" s="119">
        <f>IF('ORDER VS WEEK DISTRIBUTION'!E12="","",'ORDER VS WEEK DISTRIBUTION'!E12)</f>
        <v/>
      </c>
      <c r="F4" s="119">
        <f>IF('ORDER VS WEEK DISTRIBUTION'!F12="","",'ORDER VS WEEK DISTRIBUTION'!F12)</f>
        <v/>
      </c>
      <c r="G4" s="78">
        <f>IF('ORDER VS WEEK DISTRIBUTION'!G12="","",'ORDER VS WEEK DISTRIBUTION'!G12)</f>
        <v/>
      </c>
      <c r="H4" s="78">
        <f>IF('ORDER VS WEEK DISTRIBUTION'!H12="","",'ORDER VS WEEK DISTRIBUTION'!H12)</f>
        <v/>
      </c>
      <c r="I4" s="78">
        <f>IF('ORDER VS WEEK DISTRIBUTION'!I12="","",'ORDER VS WEEK DISTRIBUTION'!I12)</f>
        <v/>
      </c>
      <c r="J4" s="78">
        <f>IF('ORDER VS WEEK DISTRIBUTION'!J12="","",'ORDER VS WEEK DISTRIBUTION'!J12)</f>
        <v/>
      </c>
      <c r="K4" s="78">
        <f>IF('ORDER VS WEEK DISTRIBUTION'!K12="","",'ORDER VS WEEK DISTRIBUTION'!K12)</f>
        <v/>
      </c>
      <c r="L4" s="78">
        <f>IF('ORDER VS WEEK DISTRIBUTION'!L12="","",'ORDER VS WEEK DISTRIBUTION'!L12)</f>
        <v/>
      </c>
      <c r="M4" s="78">
        <f>IF('ORDER VS WEEK DISTRIBUTION'!M12="","",'ORDER VS WEEK DISTRIBUTION'!M12)</f>
        <v/>
      </c>
      <c r="N4" s="78">
        <f>IF('ORDER VS WEEK DISTRIBUTION'!N12="","",'ORDER VS WEEK DISTRIBUTION'!N12)</f>
        <v/>
      </c>
      <c r="O4" s="78">
        <f>IF('ORDER VS WEEK DISTRIBUTION'!O12="","",'ORDER VS WEEK DISTRIBUTION'!O12)</f>
        <v/>
      </c>
      <c r="P4" s="78">
        <f>IF('ORDER VS WEEK DISTRIBUTION'!P12="","",'ORDER VS WEEK DISTRIBUTION'!P12)</f>
        <v/>
      </c>
      <c r="Q4" s="78">
        <f>IF('ORDER VS WEEK DISTRIBUTION'!Q12="","",'ORDER VS WEEK DISTRIBUTION'!Q12)</f>
        <v/>
      </c>
      <c r="R4" s="78">
        <f>IF('ORDER VS WEEK DISTRIBUTION'!R12="","",'ORDER VS WEEK DISTRIBUTION'!R12)</f>
        <v/>
      </c>
      <c r="S4" s="78">
        <f>IF('ORDER VS WEEK DISTRIBUTION'!S12="","",'ORDER VS WEEK DISTRIBUTION'!S12)</f>
        <v/>
      </c>
    </row>
    <row r="5">
      <c r="A5" s="104" t="n"/>
      <c r="B5" s="104" t="n"/>
      <c r="C5" s="65">
        <f>IF('ORDER VS WEEK DISTRIBUTION'!C13="","",'ORDER VS WEEK DISTRIBUTION'!C13)</f>
        <v/>
      </c>
      <c r="D5" s="52">
        <f>IF('ORDER VS WEEK DISTRIBUTION'!D13="","",'ORDER VS WEEK DISTRIBUTION'!D13)</f>
        <v/>
      </c>
      <c r="E5" s="53">
        <f>IF('ORDER VS WEEK DISTRIBUTION'!E13="","",'ORDER VS WEEK DISTRIBUTION'!E13)</f>
        <v/>
      </c>
      <c r="F5" s="53">
        <f>IF('ORDER VS WEEK DISTRIBUTION'!F13="","",'ORDER VS WEEK DISTRIBUTION'!F13)</f>
        <v/>
      </c>
      <c r="G5" s="75">
        <f>IF('ORDER VS WEEK DISTRIBUTION'!G13="","",'ORDER VS WEEK DISTRIBUTION'!G13)</f>
        <v/>
      </c>
      <c r="H5" s="75">
        <f>IF('ORDER VS WEEK DISTRIBUTION'!H13="","",'ORDER VS WEEK DISTRIBUTION'!H13)</f>
        <v/>
      </c>
      <c r="I5" s="75">
        <f>IF('ORDER VS WEEK DISTRIBUTION'!I13="","",'ORDER VS WEEK DISTRIBUTION'!I13)</f>
        <v/>
      </c>
      <c r="J5" s="75">
        <f>IF('ORDER VS WEEK DISTRIBUTION'!J13="","",'ORDER VS WEEK DISTRIBUTION'!J13)</f>
        <v/>
      </c>
      <c r="K5" s="75">
        <f>IF('ORDER VS WEEK DISTRIBUTION'!K13="","",'ORDER VS WEEK DISTRIBUTION'!K13)</f>
        <v/>
      </c>
      <c r="L5" s="75">
        <f>IF('ORDER VS WEEK DISTRIBUTION'!L13="","",'ORDER VS WEEK DISTRIBUTION'!L13)</f>
        <v/>
      </c>
      <c r="M5" s="75">
        <f>IF('ORDER VS WEEK DISTRIBUTION'!M13="","",'ORDER VS WEEK DISTRIBUTION'!M13)</f>
        <v/>
      </c>
      <c r="N5" s="75">
        <f>IF('ORDER VS WEEK DISTRIBUTION'!N13="","",'ORDER VS WEEK DISTRIBUTION'!N13)</f>
        <v/>
      </c>
      <c r="O5" s="75">
        <f>IF('ORDER VS WEEK DISTRIBUTION'!O13="","",'ORDER VS WEEK DISTRIBUTION'!O13)</f>
        <v/>
      </c>
      <c r="P5" s="75">
        <f>IF('ORDER VS WEEK DISTRIBUTION'!P13="","",'ORDER VS WEEK DISTRIBUTION'!P13)</f>
        <v/>
      </c>
      <c r="Q5" s="75">
        <f>IF('ORDER VS WEEK DISTRIBUTION'!Q13="","",'ORDER VS WEEK DISTRIBUTION'!Q13)</f>
        <v/>
      </c>
      <c r="R5" s="75">
        <f>IF('ORDER VS WEEK DISTRIBUTION'!R13="","",'ORDER VS WEEK DISTRIBUTION'!R13)</f>
        <v/>
      </c>
      <c r="S5" s="75">
        <f>IF('ORDER VS WEEK DISTRIBUTION'!S13="","",'ORDER VS WEEK DISTRIBUTION'!S13)</f>
        <v/>
      </c>
    </row>
    <row r="6">
      <c r="A6" s="104" t="n"/>
      <c r="B6" s="86" t="n"/>
      <c r="C6" s="65">
        <f>IF('ORDER VS WEEK DISTRIBUTION'!C14="","",'ORDER VS WEEK DISTRIBUTION'!C14)</f>
        <v/>
      </c>
      <c r="D6" s="52">
        <f>IF('ORDER VS WEEK DISTRIBUTION'!D14="","",'ORDER VS WEEK DISTRIBUTION'!D14)</f>
        <v/>
      </c>
      <c r="E6" s="53">
        <f>IF('ORDER VS WEEK DISTRIBUTION'!E14="","",'ORDER VS WEEK DISTRIBUTION'!E14)</f>
        <v/>
      </c>
      <c r="F6" s="53">
        <f>IF('ORDER VS WEEK DISTRIBUTION'!F14="","",'ORDER VS WEEK DISTRIBUTION'!F14)</f>
        <v/>
      </c>
      <c r="G6" s="75">
        <f>IF('ORDER VS WEEK DISTRIBUTION'!G14="","",'ORDER VS WEEK DISTRIBUTION'!G14)</f>
        <v/>
      </c>
      <c r="H6" s="75">
        <f>IF('ORDER VS WEEK DISTRIBUTION'!H14="","",'ORDER VS WEEK DISTRIBUTION'!H14)</f>
        <v/>
      </c>
      <c r="I6" s="75">
        <f>IF('ORDER VS WEEK DISTRIBUTION'!I14="","",'ORDER VS WEEK DISTRIBUTION'!I14)</f>
        <v/>
      </c>
      <c r="J6" s="75">
        <f>IF('ORDER VS WEEK DISTRIBUTION'!J14="","",'ORDER VS WEEK DISTRIBUTION'!J14)</f>
        <v/>
      </c>
      <c r="K6" s="75">
        <f>IF('ORDER VS WEEK DISTRIBUTION'!K14="","",'ORDER VS WEEK DISTRIBUTION'!K14)</f>
        <v/>
      </c>
      <c r="L6" s="75">
        <f>IF('ORDER VS WEEK DISTRIBUTION'!L14="","",'ORDER VS WEEK DISTRIBUTION'!L14)</f>
        <v/>
      </c>
      <c r="M6" s="75">
        <f>IF('ORDER VS WEEK DISTRIBUTION'!M14="","",'ORDER VS WEEK DISTRIBUTION'!M14)</f>
        <v/>
      </c>
      <c r="N6" s="75">
        <f>IF('ORDER VS WEEK DISTRIBUTION'!N14="","",'ORDER VS WEEK DISTRIBUTION'!N14)</f>
        <v/>
      </c>
      <c r="O6" s="75">
        <f>IF('ORDER VS WEEK DISTRIBUTION'!O14="","",'ORDER VS WEEK DISTRIBUTION'!O14)</f>
        <v/>
      </c>
      <c r="P6" s="75">
        <f>IF('ORDER VS WEEK DISTRIBUTION'!P14="","",'ORDER VS WEEK DISTRIBUTION'!P14)</f>
        <v/>
      </c>
      <c r="Q6" s="75">
        <f>IF('ORDER VS WEEK DISTRIBUTION'!Q14="","",'ORDER VS WEEK DISTRIBUTION'!Q14)</f>
        <v/>
      </c>
      <c r="R6" s="75">
        <f>IF('ORDER VS WEEK DISTRIBUTION'!R14="","",'ORDER VS WEEK DISTRIBUTION'!R14)</f>
        <v/>
      </c>
      <c r="S6" s="75">
        <f>IF('ORDER VS WEEK DISTRIBUTION'!S14="","",'ORDER VS WEEK DISTRIBUTION'!S14)</f>
        <v/>
      </c>
    </row>
    <row r="7">
      <c r="A7" s="104" t="n"/>
      <c r="B7" s="102">
        <f>IF('ORDER VS WEEK DISTRIBUTION'!B15="","",'ORDER VS WEEK DISTRIBUTION'!B15)</f>
        <v/>
      </c>
      <c r="C7" s="65">
        <f>IF('ORDER VS WEEK DISTRIBUTION'!C15="","",'ORDER VS WEEK DISTRIBUTION'!C15)</f>
        <v/>
      </c>
      <c r="D7" s="52">
        <f>IF('ORDER VS WEEK DISTRIBUTION'!D15="","",'ORDER VS WEEK DISTRIBUTION'!D15)</f>
        <v/>
      </c>
      <c r="E7" s="53">
        <f>IF('ORDER VS WEEK DISTRIBUTION'!E15="","",'ORDER VS WEEK DISTRIBUTION'!E15)</f>
        <v/>
      </c>
      <c r="F7" s="53">
        <f>IF('ORDER VS WEEK DISTRIBUTION'!F15="","",'ORDER VS WEEK DISTRIBUTION'!F15)</f>
        <v/>
      </c>
      <c r="G7" s="75">
        <f>IF('ORDER VS WEEK DISTRIBUTION'!G15="","",'ORDER VS WEEK DISTRIBUTION'!G15)</f>
        <v/>
      </c>
      <c r="H7" s="75">
        <f>IF('ORDER VS WEEK DISTRIBUTION'!H15="","",'ORDER VS WEEK DISTRIBUTION'!H15)</f>
        <v/>
      </c>
      <c r="I7" s="75">
        <f>IF('ORDER VS WEEK DISTRIBUTION'!I15="","",'ORDER VS WEEK DISTRIBUTION'!I15)</f>
        <v/>
      </c>
      <c r="J7" s="75">
        <f>IF('ORDER VS WEEK DISTRIBUTION'!J15="","",'ORDER VS WEEK DISTRIBUTION'!J15)</f>
        <v/>
      </c>
      <c r="K7" s="75">
        <f>IF('ORDER VS WEEK DISTRIBUTION'!K15="","",'ORDER VS WEEK DISTRIBUTION'!K15)</f>
        <v/>
      </c>
      <c r="L7" s="75">
        <f>IF('ORDER VS WEEK DISTRIBUTION'!L15="","",'ORDER VS WEEK DISTRIBUTION'!L15)</f>
        <v/>
      </c>
      <c r="M7" s="75">
        <f>IF('ORDER VS WEEK DISTRIBUTION'!M15="","",'ORDER VS WEEK DISTRIBUTION'!M15)</f>
        <v/>
      </c>
      <c r="N7" s="75">
        <f>IF('ORDER VS WEEK DISTRIBUTION'!N15="","",'ORDER VS WEEK DISTRIBUTION'!N15)</f>
        <v/>
      </c>
      <c r="O7" s="75">
        <f>IF('ORDER VS WEEK DISTRIBUTION'!O15="","",'ORDER VS WEEK DISTRIBUTION'!O15)</f>
        <v/>
      </c>
      <c r="P7" s="75">
        <f>IF('ORDER VS WEEK DISTRIBUTION'!P15="","",'ORDER VS WEEK DISTRIBUTION'!P15)</f>
        <v/>
      </c>
      <c r="Q7" s="75">
        <f>IF('ORDER VS WEEK DISTRIBUTION'!Q15="","",'ORDER VS WEEK DISTRIBUTION'!Q15)</f>
        <v/>
      </c>
      <c r="R7" s="75">
        <f>IF('ORDER VS WEEK DISTRIBUTION'!R15="","",'ORDER VS WEEK DISTRIBUTION'!R15)</f>
        <v/>
      </c>
      <c r="S7" s="75">
        <f>IF('ORDER VS WEEK DISTRIBUTION'!S15="","",'ORDER VS WEEK DISTRIBUTION'!S15)</f>
        <v/>
      </c>
    </row>
    <row r="8">
      <c r="A8" s="104" t="n"/>
      <c r="B8" s="104" t="n"/>
      <c r="C8" s="65">
        <f>IF('ORDER VS WEEK DISTRIBUTION'!C16="","",'ORDER VS WEEK DISTRIBUTION'!C16)</f>
        <v/>
      </c>
      <c r="D8" s="52">
        <f>IF('ORDER VS WEEK DISTRIBUTION'!D16="","",'ORDER VS WEEK DISTRIBUTION'!D16)</f>
        <v/>
      </c>
      <c r="E8" s="53">
        <f>IF('ORDER VS WEEK DISTRIBUTION'!E16="","",'ORDER VS WEEK DISTRIBUTION'!E16)</f>
        <v/>
      </c>
      <c r="F8" s="53">
        <f>IF('ORDER VS WEEK DISTRIBUTION'!F16="","",'ORDER VS WEEK DISTRIBUTION'!F16)</f>
        <v/>
      </c>
      <c r="G8" s="75">
        <f>IF('ORDER VS WEEK DISTRIBUTION'!G16="","",'ORDER VS WEEK DISTRIBUTION'!G16)</f>
        <v/>
      </c>
      <c r="H8" s="75">
        <f>IF('ORDER VS WEEK DISTRIBUTION'!H16="","",'ORDER VS WEEK DISTRIBUTION'!H16)</f>
        <v/>
      </c>
      <c r="I8" s="75">
        <f>IF('ORDER VS WEEK DISTRIBUTION'!I16="","",'ORDER VS WEEK DISTRIBUTION'!I16)</f>
        <v/>
      </c>
      <c r="J8" s="75">
        <f>IF('ORDER VS WEEK DISTRIBUTION'!J16="","",'ORDER VS WEEK DISTRIBUTION'!J16)</f>
        <v/>
      </c>
      <c r="K8" s="75">
        <f>IF('ORDER VS WEEK DISTRIBUTION'!K16="","",'ORDER VS WEEK DISTRIBUTION'!K16)</f>
        <v/>
      </c>
      <c r="L8" s="75">
        <f>IF('ORDER VS WEEK DISTRIBUTION'!L16="","",'ORDER VS WEEK DISTRIBUTION'!L16)</f>
        <v/>
      </c>
      <c r="M8" s="75">
        <f>IF('ORDER VS WEEK DISTRIBUTION'!M16="","",'ORDER VS WEEK DISTRIBUTION'!M16)</f>
        <v/>
      </c>
      <c r="N8" s="75">
        <f>IF('ORDER VS WEEK DISTRIBUTION'!N16="","",'ORDER VS WEEK DISTRIBUTION'!N16)</f>
        <v/>
      </c>
      <c r="O8" s="75">
        <f>IF('ORDER VS WEEK DISTRIBUTION'!O16="","",'ORDER VS WEEK DISTRIBUTION'!O16)</f>
        <v/>
      </c>
      <c r="P8" s="75">
        <f>IF('ORDER VS WEEK DISTRIBUTION'!P16="","",'ORDER VS WEEK DISTRIBUTION'!P16)</f>
        <v/>
      </c>
      <c r="Q8" s="75">
        <f>IF('ORDER VS WEEK DISTRIBUTION'!Q16="","",'ORDER VS WEEK DISTRIBUTION'!Q16)</f>
        <v/>
      </c>
      <c r="R8" s="75">
        <f>IF('ORDER VS WEEK DISTRIBUTION'!R16="","",'ORDER VS WEEK DISTRIBUTION'!R16)</f>
        <v/>
      </c>
      <c r="S8" s="75">
        <f>IF('ORDER VS WEEK DISTRIBUTION'!S16="","",'ORDER VS WEEK DISTRIBUTION'!S16)</f>
        <v/>
      </c>
    </row>
    <row r="9">
      <c r="A9" s="104" t="n"/>
      <c r="B9" s="104" t="n"/>
      <c r="C9" s="119">
        <f>IF('ORDER VS WEEK DISTRIBUTION'!C17="","",'ORDER VS WEEK DISTRIBUTION'!C17)</f>
        <v/>
      </c>
      <c r="D9" s="71">
        <f>IF('ORDER VS WEEK DISTRIBUTION'!D17="","",'ORDER VS WEEK DISTRIBUTION'!D17)</f>
        <v/>
      </c>
      <c r="E9" s="119">
        <f>IF('ORDER VS WEEK DISTRIBUTION'!E17="","",'ORDER VS WEEK DISTRIBUTION'!E17)</f>
        <v/>
      </c>
      <c r="F9" s="119">
        <f>IF('ORDER VS WEEK DISTRIBUTION'!F17="","",'ORDER VS WEEK DISTRIBUTION'!F17)</f>
        <v/>
      </c>
      <c r="G9" s="78">
        <f>IF('ORDER VS WEEK DISTRIBUTION'!G17="","",'ORDER VS WEEK DISTRIBUTION'!G17)</f>
        <v/>
      </c>
      <c r="H9" s="78">
        <f>IF('ORDER VS WEEK DISTRIBUTION'!H17="","",'ORDER VS WEEK DISTRIBUTION'!H17)</f>
        <v/>
      </c>
      <c r="I9" s="78">
        <f>IF('ORDER VS WEEK DISTRIBUTION'!I17="","",'ORDER VS WEEK DISTRIBUTION'!I17)</f>
        <v/>
      </c>
      <c r="J9" s="78">
        <f>IF('ORDER VS WEEK DISTRIBUTION'!J17="","",'ORDER VS WEEK DISTRIBUTION'!J17)</f>
        <v/>
      </c>
      <c r="K9" s="78">
        <f>IF('ORDER VS WEEK DISTRIBUTION'!K17="","",'ORDER VS WEEK DISTRIBUTION'!K17)</f>
        <v/>
      </c>
      <c r="L9" s="78">
        <f>IF('ORDER VS WEEK DISTRIBUTION'!L17="","",'ORDER VS WEEK DISTRIBUTION'!L17)</f>
        <v/>
      </c>
      <c r="M9" s="78">
        <f>IF('ORDER VS WEEK DISTRIBUTION'!M17="","",'ORDER VS WEEK DISTRIBUTION'!M17)</f>
        <v/>
      </c>
      <c r="N9" s="78">
        <f>IF('ORDER VS WEEK DISTRIBUTION'!N17="","",'ORDER VS WEEK DISTRIBUTION'!N17)</f>
        <v/>
      </c>
      <c r="O9" s="78">
        <f>IF('ORDER VS WEEK DISTRIBUTION'!O17="","",'ORDER VS WEEK DISTRIBUTION'!O17)</f>
        <v/>
      </c>
      <c r="P9" s="78">
        <f>IF('ORDER VS WEEK DISTRIBUTION'!P17="","",'ORDER VS WEEK DISTRIBUTION'!P17)</f>
        <v/>
      </c>
      <c r="Q9" s="78">
        <f>IF('ORDER VS WEEK DISTRIBUTION'!Q17="","",'ORDER VS WEEK DISTRIBUTION'!Q17)</f>
        <v/>
      </c>
      <c r="R9" s="78">
        <f>IF('ORDER VS WEEK DISTRIBUTION'!R17="","",'ORDER VS WEEK DISTRIBUTION'!R17)</f>
        <v/>
      </c>
      <c r="S9" s="78">
        <f>IF('ORDER VS WEEK DISTRIBUTION'!S17="","",'ORDER VS WEEK DISTRIBUTION'!S17)</f>
        <v/>
      </c>
    </row>
    <row r="10">
      <c r="A10" s="104" t="n"/>
      <c r="B10" s="104" t="n"/>
      <c r="C10" s="65">
        <f>IF('ORDER VS WEEK DISTRIBUTION'!C18="","",'ORDER VS WEEK DISTRIBUTION'!C18)</f>
        <v/>
      </c>
      <c r="D10" s="52">
        <f>IF('ORDER VS WEEK DISTRIBUTION'!D18="","",'ORDER VS WEEK DISTRIBUTION'!D18)</f>
        <v/>
      </c>
      <c r="E10" s="53">
        <f>IF('ORDER VS WEEK DISTRIBUTION'!E18="","",'ORDER VS WEEK DISTRIBUTION'!E18)</f>
        <v/>
      </c>
      <c r="F10" s="53">
        <f>IF('ORDER VS WEEK DISTRIBUTION'!F18="","",'ORDER VS WEEK DISTRIBUTION'!F18)</f>
        <v/>
      </c>
      <c r="G10" s="75">
        <f>IF('ORDER VS WEEK DISTRIBUTION'!G18="","",'ORDER VS WEEK DISTRIBUTION'!G18)</f>
        <v/>
      </c>
      <c r="H10" s="75">
        <f>IF('ORDER VS WEEK DISTRIBUTION'!H18="","",'ORDER VS WEEK DISTRIBUTION'!H18)</f>
        <v/>
      </c>
      <c r="I10" s="75">
        <f>IF('ORDER VS WEEK DISTRIBUTION'!I18="","",'ORDER VS WEEK DISTRIBUTION'!I18)</f>
        <v/>
      </c>
      <c r="J10" s="75">
        <f>IF('ORDER VS WEEK DISTRIBUTION'!J18="","",'ORDER VS WEEK DISTRIBUTION'!J18)</f>
        <v/>
      </c>
      <c r="K10" s="75">
        <f>IF('ORDER VS WEEK DISTRIBUTION'!K18="","",'ORDER VS WEEK DISTRIBUTION'!K18)</f>
        <v/>
      </c>
      <c r="L10" s="75">
        <f>IF('ORDER VS WEEK DISTRIBUTION'!L18="","",'ORDER VS WEEK DISTRIBUTION'!L18)</f>
        <v/>
      </c>
      <c r="M10" s="75">
        <f>IF('ORDER VS WEEK DISTRIBUTION'!M18="","",'ORDER VS WEEK DISTRIBUTION'!M18)</f>
        <v/>
      </c>
      <c r="N10" s="75">
        <f>IF('ORDER VS WEEK DISTRIBUTION'!N18="","",'ORDER VS WEEK DISTRIBUTION'!N18)</f>
        <v/>
      </c>
      <c r="O10" s="75">
        <f>IF('ORDER VS WEEK DISTRIBUTION'!O18="","",'ORDER VS WEEK DISTRIBUTION'!O18)</f>
        <v/>
      </c>
      <c r="P10" s="75">
        <f>IF('ORDER VS WEEK DISTRIBUTION'!P18="","",'ORDER VS WEEK DISTRIBUTION'!P18)</f>
        <v/>
      </c>
      <c r="Q10" s="75">
        <f>IF('ORDER VS WEEK DISTRIBUTION'!Q18="","",'ORDER VS WEEK DISTRIBUTION'!Q18)</f>
        <v/>
      </c>
      <c r="R10" s="75">
        <f>IF('ORDER VS WEEK DISTRIBUTION'!R18="","",'ORDER VS WEEK DISTRIBUTION'!R18)</f>
        <v/>
      </c>
      <c r="S10" s="75">
        <f>IF('ORDER VS WEEK DISTRIBUTION'!S18="","",'ORDER VS WEEK DISTRIBUTION'!S18)</f>
        <v/>
      </c>
    </row>
    <row r="11">
      <c r="A11" s="104" t="n"/>
      <c r="B11" s="104" t="n"/>
      <c r="C11" s="65">
        <f>IF('ORDER VS WEEK DISTRIBUTION'!C19="","",'ORDER VS WEEK DISTRIBUTION'!C19)</f>
        <v/>
      </c>
      <c r="D11" s="52">
        <f>IF('ORDER VS WEEK DISTRIBUTION'!D19="","",'ORDER VS WEEK DISTRIBUTION'!D19)</f>
        <v/>
      </c>
      <c r="E11" s="53">
        <f>IF('ORDER VS WEEK DISTRIBUTION'!E19="","",'ORDER VS WEEK DISTRIBUTION'!E19)</f>
        <v/>
      </c>
      <c r="F11" s="53">
        <f>IF('ORDER VS WEEK DISTRIBUTION'!F19="","",'ORDER VS WEEK DISTRIBUTION'!F19)</f>
        <v/>
      </c>
      <c r="G11" s="75">
        <f>IF('ORDER VS WEEK DISTRIBUTION'!G19="","",'ORDER VS WEEK DISTRIBUTION'!G19)</f>
        <v/>
      </c>
      <c r="H11" s="75">
        <f>IF('ORDER VS WEEK DISTRIBUTION'!H19="","",'ORDER VS WEEK DISTRIBUTION'!H19)</f>
        <v/>
      </c>
      <c r="I11" s="75">
        <f>IF('ORDER VS WEEK DISTRIBUTION'!I19="","",'ORDER VS WEEK DISTRIBUTION'!I19)</f>
        <v/>
      </c>
      <c r="J11" s="75">
        <f>IF('ORDER VS WEEK DISTRIBUTION'!J19="","",'ORDER VS WEEK DISTRIBUTION'!J19)</f>
        <v/>
      </c>
      <c r="K11" s="75">
        <f>IF('ORDER VS WEEK DISTRIBUTION'!K19="","",'ORDER VS WEEK DISTRIBUTION'!K19)</f>
        <v/>
      </c>
      <c r="L11" s="75">
        <f>IF('ORDER VS WEEK DISTRIBUTION'!L19="","",'ORDER VS WEEK DISTRIBUTION'!L19)</f>
        <v/>
      </c>
      <c r="M11" s="75">
        <f>IF('ORDER VS WEEK DISTRIBUTION'!M19="","",'ORDER VS WEEK DISTRIBUTION'!M19)</f>
        <v/>
      </c>
      <c r="N11" s="75">
        <f>IF('ORDER VS WEEK DISTRIBUTION'!N19="","",'ORDER VS WEEK DISTRIBUTION'!N19)</f>
        <v/>
      </c>
      <c r="O11" s="75">
        <f>IF('ORDER VS WEEK DISTRIBUTION'!O19="","",'ORDER VS WEEK DISTRIBUTION'!O19)</f>
        <v/>
      </c>
      <c r="P11" s="75">
        <f>IF('ORDER VS WEEK DISTRIBUTION'!P19="","",'ORDER VS WEEK DISTRIBUTION'!P19)</f>
        <v/>
      </c>
      <c r="Q11" s="75">
        <f>IF('ORDER VS WEEK DISTRIBUTION'!Q19="","",'ORDER VS WEEK DISTRIBUTION'!Q19)</f>
        <v/>
      </c>
      <c r="R11" s="75">
        <f>IF('ORDER VS WEEK DISTRIBUTION'!R19="","",'ORDER VS WEEK DISTRIBUTION'!R19)</f>
        <v/>
      </c>
      <c r="S11" s="75">
        <f>IF('ORDER VS WEEK DISTRIBUTION'!S19="","",'ORDER VS WEEK DISTRIBUTION'!S19)</f>
        <v/>
      </c>
    </row>
    <row r="12">
      <c r="A12" s="104" t="n"/>
      <c r="B12" s="104" t="n"/>
      <c r="C12" s="65">
        <f>IF('ORDER VS WEEK DISTRIBUTION'!C20="","",'ORDER VS WEEK DISTRIBUTION'!C20)</f>
        <v/>
      </c>
      <c r="D12" s="52">
        <f>IF('ORDER VS WEEK DISTRIBUTION'!D20="","",'ORDER VS WEEK DISTRIBUTION'!D20)</f>
        <v/>
      </c>
      <c r="E12" s="53">
        <f>IF('ORDER VS WEEK DISTRIBUTION'!E20="","",'ORDER VS WEEK DISTRIBUTION'!E20)</f>
        <v/>
      </c>
      <c r="F12" s="53">
        <f>IF('ORDER VS WEEK DISTRIBUTION'!F20="","",'ORDER VS WEEK DISTRIBUTION'!F20)</f>
        <v/>
      </c>
      <c r="G12" s="75">
        <f>IF('ORDER VS WEEK DISTRIBUTION'!G20="","",'ORDER VS WEEK DISTRIBUTION'!G20)</f>
        <v/>
      </c>
      <c r="H12" s="75">
        <f>IF('ORDER VS WEEK DISTRIBUTION'!H20="","",'ORDER VS WEEK DISTRIBUTION'!H20)</f>
        <v/>
      </c>
      <c r="I12" s="75">
        <f>IF('ORDER VS WEEK DISTRIBUTION'!I20="","",'ORDER VS WEEK DISTRIBUTION'!I20)</f>
        <v/>
      </c>
      <c r="J12" s="75">
        <f>IF('ORDER VS WEEK DISTRIBUTION'!J20="","",'ORDER VS WEEK DISTRIBUTION'!J20)</f>
        <v/>
      </c>
      <c r="K12" s="75">
        <f>IF('ORDER VS WEEK DISTRIBUTION'!K20="","",'ORDER VS WEEK DISTRIBUTION'!K20)</f>
        <v/>
      </c>
      <c r="L12" s="75">
        <f>IF('ORDER VS WEEK DISTRIBUTION'!L20="","",'ORDER VS WEEK DISTRIBUTION'!L20)</f>
        <v/>
      </c>
      <c r="M12" s="75">
        <f>IF('ORDER VS WEEK DISTRIBUTION'!M20="","",'ORDER VS WEEK DISTRIBUTION'!M20)</f>
        <v/>
      </c>
      <c r="N12" s="75">
        <f>IF('ORDER VS WEEK DISTRIBUTION'!N20="","",'ORDER VS WEEK DISTRIBUTION'!N20)</f>
        <v/>
      </c>
      <c r="O12" s="75">
        <f>IF('ORDER VS WEEK DISTRIBUTION'!O20="","",'ORDER VS WEEK DISTRIBUTION'!O20)</f>
        <v/>
      </c>
      <c r="P12" s="75">
        <f>IF('ORDER VS WEEK DISTRIBUTION'!P20="","",'ORDER VS WEEK DISTRIBUTION'!P20)</f>
        <v/>
      </c>
      <c r="Q12" s="75">
        <f>IF('ORDER VS WEEK DISTRIBUTION'!Q20="","",'ORDER VS WEEK DISTRIBUTION'!Q20)</f>
        <v/>
      </c>
      <c r="R12" s="75">
        <f>IF('ORDER VS WEEK DISTRIBUTION'!R20="","",'ORDER VS WEEK DISTRIBUTION'!R20)</f>
        <v/>
      </c>
      <c r="S12" s="75">
        <f>IF('ORDER VS WEEK DISTRIBUTION'!S20="","",'ORDER VS WEEK DISTRIBUTION'!S20)</f>
        <v/>
      </c>
    </row>
    <row r="13">
      <c r="A13" s="104" t="n"/>
      <c r="B13" s="104" t="n"/>
      <c r="C13" s="65">
        <f>IF('ORDER VS WEEK DISTRIBUTION'!C21="","",'ORDER VS WEEK DISTRIBUTION'!C21)</f>
        <v/>
      </c>
      <c r="D13" s="52">
        <f>IF('ORDER VS WEEK DISTRIBUTION'!D21="","",'ORDER VS WEEK DISTRIBUTION'!D21)</f>
        <v/>
      </c>
      <c r="E13" s="53">
        <f>IF('ORDER VS WEEK DISTRIBUTION'!E21="","",'ORDER VS WEEK DISTRIBUTION'!E21)</f>
        <v/>
      </c>
      <c r="F13" s="53">
        <f>IF('ORDER VS WEEK DISTRIBUTION'!F21="","",'ORDER VS WEEK DISTRIBUTION'!F21)</f>
        <v/>
      </c>
      <c r="G13" s="75">
        <f>IF('ORDER VS WEEK DISTRIBUTION'!G21="","",'ORDER VS WEEK DISTRIBUTION'!G21)</f>
        <v/>
      </c>
      <c r="H13" s="75">
        <f>IF('ORDER VS WEEK DISTRIBUTION'!H21="","",'ORDER VS WEEK DISTRIBUTION'!H21)</f>
        <v/>
      </c>
      <c r="I13" s="75">
        <f>IF('ORDER VS WEEK DISTRIBUTION'!I21="","",'ORDER VS WEEK DISTRIBUTION'!I21)</f>
        <v/>
      </c>
      <c r="J13" s="75">
        <f>IF('ORDER VS WEEK DISTRIBUTION'!J21="","",'ORDER VS WEEK DISTRIBUTION'!J21)</f>
        <v/>
      </c>
      <c r="K13" s="75">
        <f>IF('ORDER VS WEEK DISTRIBUTION'!K21="","",'ORDER VS WEEK DISTRIBUTION'!K21)</f>
        <v/>
      </c>
      <c r="L13" s="75">
        <f>IF('ORDER VS WEEK DISTRIBUTION'!L21="","",'ORDER VS WEEK DISTRIBUTION'!L21)</f>
        <v/>
      </c>
      <c r="M13" s="75">
        <f>IF('ORDER VS WEEK DISTRIBUTION'!M21="","",'ORDER VS WEEK DISTRIBUTION'!M21)</f>
        <v/>
      </c>
      <c r="N13" s="75">
        <f>IF('ORDER VS WEEK DISTRIBUTION'!N21="","",'ORDER VS WEEK DISTRIBUTION'!N21)</f>
        <v/>
      </c>
      <c r="O13" s="75">
        <f>IF('ORDER VS WEEK DISTRIBUTION'!O21="","",'ORDER VS WEEK DISTRIBUTION'!O21)</f>
        <v/>
      </c>
      <c r="P13" s="75">
        <f>IF('ORDER VS WEEK DISTRIBUTION'!P21="","",'ORDER VS WEEK DISTRIBUTION'!P21)</f>
        <v/>
      </c>
      <c r="Q13" s="75">
        <f>IF('ORDER VS WEEK DISTRIBUTION'!Q21="","",'ORDER VS WEEK DISTRIBUTION'!Q21)</f>
        <v/>
      </c>
      <c r="R13" s="75">
        <f>IF('ORDER VS WEEK DISTRIBUTION'!R21="","",'ORDER VS WEEK DISTRIBUTION'!R21)</f>
        <v/>
      </c>
      <c r="S13" s="75">
        <f>IF('ORDER VS WEEK DISTRIBUTION'!S21="","",'ORDER VS WEEK DISTRIBUTION'!S21)</f>
        <v/>
      </c>
    </row>
    <row r="14">
      <c r="A14" s="104" t="n"/>
      <c r="B14" s="104" t="n"/>
      <c r="C14" s="119">
        <f>IF('ORDER VS WEEK DISTRIBUTION'!C22="","",'ORDER VS WEEK DISTRIBUTION'!C22)</f>
        <v/>
      </c>
      <c r="D14" s="71">
        <f>IF('ORDER VS WEEK DISTRIBUTION'!D22="","",'ORDER VS WEEK DISTRIBUTION'!D22)</f>
        <v/>
      </c>
      <c r="E14" s="119">
        <f>IF('ORDER VS WEEK DISTRIBUTION'!E22="","",'ORDER VS WEEK DISTRIBUTION'!E22)</f>
        <v/>
      </c>
      <c r="F14" s="119">
        <f>IF('ORDER VS WEEK DISTRIBUTION'!F22="","",'ORDER VS WEEK DISTRIBUTION'!F22)</f>
        <v/>
      </c>
      <c r="G14" s="78">
        <f>IF('ORDER VS WEEK DISTRIBUTION'!G22="","",'ORDER VS WEEK DISTRIBUTION'!G22)</f>
        <v/>
      </c>
      <c r="H14" s="78">
        <f>IF('ORDER VS WEEK DISTRIBUTION'!H22="","",'ORDER VS WEEK DISTRIBUTION'!H22)</f>
        <v/>
      </c>
      <c r="I14" s="78">
        <f>IF('ORDER VS WEEK DISTRIBUTION'!I22="","",'ORDER VS WEEK DISTRIBUTION'!I22)</f>
        <v/>
      </c>
      <c r="J14" s="78">
        <f>IF('ORDER VS WEEK DISTRIBUTION'!J22="","",'ORDER VS WEEK DISTRIBUTION'!J22)</f>
        <v/>
      </c>
      <c r="K14" s="78">
        <f>IF('ORDER VS WEEK DISTRIBUTION'!K22="","",'ORDER VS WEEK DISTRIBUTION'!K22)</f>
        <v/>
      </c>
      <c r="L14" s="78">
        <f>IF('ORDER VS WEEK DISTRIBUTION'!L22="","",'ORDER VS WEEK DISTRIBUTION'!L22)</f>
        <v/>
      </c>
      <c r="M14" s="78">
        <f>IF('ORDER VS WEEK DISTRIBUTION'!M22="","",'ORDER VS WEEK DISTRIBUTION'!M22)</f>
        <v/>
      </c>
      <c r="N14" s="78">
        <f>IF('ORDER VS WEEK DISTRIBUTION'!N22="","",'ORDER VS WEEK DISTRIBUTION'!N22)</f>
        <v/>
      </c>
      <c r="O14" s="78">
        <f>IF('ORDER VS WEEK DISTRIBUTION'!O22="","",'ORDER VS WEEK DISTRIBUTION'!O22)</f>
        <v/>
      </c>
      <c r="P14" s="78">
        <f>IF('ORDER VS WEEK DISTRIBUTION'!P22="","",'ORDER VS WEEK DISTRIBUTION'!P22)</f>
        <v/>
      </c>
      <c r="Q14" s="78">
        <f>IF('ORDER VS WEEK DISTRIBUTION'!Q22="","",'ORDER VS WEEK DISTRIBUTION'!Q22)</f>
        <v/>
      </c>
      <c r="R14" s="78">
        <f>IF('ORDER VS WEEK DISTRIBUTION'!R22="","",'ORDER VS WEEK DISTRIBUTION'!R22)</f>
        <v/>
      </c>
      <c r="S14" s="78">
        <f>IF('ORDER VS WEEK DISTRIBUTION'!S22="","",'ORDER VS WEEK DISTRIBUTION'!S22)</f>
        <v/>
      </c>
    </row>
    <row r="15">
      <c r="A15" s="104" t="n"/>
      <c r="B15" s="104" t="n"/>
      <c r="C15" s="65">
        <f>IF('ORDER VS WEEK DISTRIBUTION'!C23="","",'ORDER VS WEEK DISTRIBUTION'!C23)</f>
        <v/>
      </c>
      <c r="D15" s="52">
        <f>IF('ORDER VS WEEK DISTRIBUTION'!D23="","",'ORDER VS WEEK DISTRIBUTION'!D23)</f>
        <v/>
      </c>
      <c r="E15" s="53">
        <f>IF('ORDER VS WEEK DISTRIBUTION'!E23="","",'ORDER VS WEEK DISTRIBUTION'!E23)</f>
        <v/>
      </c>
      <c r="F15" s="53">
        <f>IF('ORDER VS WEEK DISTRIBUTION'!F23="","",'ORDER VS WEEK DISTRIBUTION'!F23)</f>
        <v/>
      </c>
      <c r="G15" s="75">
        <f>IF('ORDER VS WEEK DISTRIBUTION'!G23="","",'ORDER VS WEEK DISTRIBUTION'!G23)</f>
        <v/>
      </c>
      <c r="H15" s="75">
        <f>IF('ORDER VS WEEK DISTRIBUTION'!H23="","",'ORDER VS WEEK DISTRIBUTION'!H23)</f>
        <v/>
      </c>
      <c r="I15" s="75">
        <f>IF('ORDER VS WEEK DISTRIBUTION'!I23="","",'ORDER VS WEEK DISTRIBUTION'!I23)</f>
        <v/>
      </c>
      <c r="J15" s="75">
        <f>IF('ORDER VS WEEK DISTRIBUTION'!J23="","",'ORDER VS WEEK DISTRIBUTION'!J23)</f>
        <v/>
      </c>
      <c r="K15" s="75">
        <f>IF('ORDER VS WEEK DISTRIBUTION'!K23="","",'ORDER VS WEEK DISTRIBUTION'!K23)</f>
        <v/>
      </c>
      <c r="L15" s="75">
        <f>IF('ORDER VS WEEK DISTRIBUTION'!L23="","",'ORDER VS WEEK DISTRIBUTION'!L23)</f>
        <v/>
      </c>
      <c r="M15" s="75">
        <f>IF('ORDER VS WEEK DISTRIBUTION'!M23="","",'ORDER VS WEEK DISTRIBUTION'!M23)</f>
        <v/>
      </c>
      <c r="N15" s="75">
        <f>IF('ORDER VS WEEK DISTRIBUTION'!N23="","",'ORDER VS WEEK DISTRIBUTION'!N23)</f>
        <v/>
      </c>
      <c r="O15" s="75">
        <f>IF('ORDER VS WEEK DISTRIBUTION'!O23="","",'ORDER VS WEEK DISTRIBUTION'!O23)</f>
        <v/>
      </c>
      <c r="P15" s="75">
        <f>IF('ORDER VS WEEK DISTRIBUTION'!P23="","",'ORDER VS WEEK DISTRIBUTION'!P23)</f>
        <v/>
      </c>
      <c r="Q15" s="75">
        <f>IF('ORDER VS WEEK DISTRIBUTION'!Q23="","",'ORDER VS WEEK DISTRIBUTION'!Q23)</f>
        <v/>
      </c>
      <c r="R15" s="75">
        <f>IF('ORDER VS WEEK DISTRIBUTION'!R23="","",'ORDER VS WEEK DISTRIBUTION'!R23)</f>
        <v/>
      </c>
      <c r="S15" s="75">
        <f>IF('ORDER VS WEEK DISTRIBUTION'!S23="","",'ORDER VS WEEK DISTRIBUTION'!S23)</f>
        <v/>
      </c>
    </row>
    <row r="16">
      <c r="A16" s="86" t="n"/>
      <c r="B16" s="104" t="n"/>
      <c r="C16" s="65">
        <f>IF('ORDER VS WEEK DISTRIBUTION'!C24="","",'ORDER VS WEEK DISTRIBUTION'!C24)</f>
        <v/>
      </c>
      <c r="D16" s="52">
        <f>IF('ORDER VS WEEK DISTRIBUTION'!D24="","",'ORDER VS WEEK DISTRIBUTION'!D24)</f>
        <v/>
      </c>
      <c r="E16" s="53">
        <f>IF('ORDER VS WEEK DISTRIBUTION'!E24="","",'ORDER VS WEEK DISTRIBUTION'!E24)</f>
        <v/>
      </c>
      <c r="F16" s="53">
        <f>IF('ORDER VS WEEK DISTRIBUTION'!F24="","",'ORDER VS WEEK DISTRIBUTION'!F24)</f>
        <v/>
      </c>
      <c r="G16" s="75">
        <f>IF('ORDER VS WEEK DISTRIBUTION'!G24="","",'ORDER VS WEEK DISTRIBUTION'!G24)</f>
        <v/>
      </c>
      <c r="H16" s="75">
        <f>IF('ORDER VS WEEK DISTRIBUTION'!H24="","",'ORDER VS WEEK DISTRIBUTION'!H24)</f>
        <v/>
      </c>
      <c r="I16" s="75">
        <f>IF('ORDER VS WEEK DISTRIBUTION'!I24="","",'ORDER VS WEEK DISTRIBUTION'!I24)</f>
        <v/>
      </c>
      <c r="J16" s="75">
        <f>IF('ORDER VS WEEK DISTRIBUTION'!J24="","",'ORDER VS WEEK DISTRIBUTION'!J24)</f>
        <v/>
      </c>
      <c r="K16" s="75">
        <f>IF('ORDER VS WEEK DISTRIBUTION'!K24="","",'ORDER VS WEEK DISTRIBUTION'!K24)</f>
        <v/>
      </c>
      <c r="L16" s="75">
        <f>IF('ORDER VS WEEK DISTRIBUTION'!L24="","",'ORDER VS WEEK DISTRIBUTION'!L24)</f>
        <v/>
      </c>
      <c r="M16" s="75">
        <f>IF('ORDER VS WEEK DISTRIBUTION'!M24="","",'ORDER VS WEEK DISTRIBUTION'!M24)</f>
        <v/>
      </c>
      <c r="N16" s="75">
        <f>IF('ORDER VS WEEK DISTRIBUTION'!N24="","",'ORDER VS WEEK DISTRIBUTION'!N24)</f>
        <v/>
      </c>
      <c r="O16" s="75">
        <f>IF('ORDER VS WEEK DISTRIBUTION'!O24="","",'ORDER VS WEEK DISTRIBUTION'!O24)</f>
        <v/>
      </c>
      <c r="P16" s="75">
        <f>IF('ORDER VS WEEK DISTRIBUTION'!P24="","",'ORDER VS WEEK DISTRIBUTION'!P24)</f>
        <v/>
      </c>
      <c r="Q16" s="75">
        <f>IF('ORDER VS WEEK DISTRIBUTION'!Q24="","",'ORDER VS WEEK DISTRIBUTION'!Q24)</f>
        <v/>
      </c>
      <c r="R16" s="75">
        <f>IF('ORDER VS WEEK DISTRIBUTION'!R24="","",'ORDER VS WEEK DISTRIBUTION'!R24)</f>
        <v/>
      </c>
      <c r="S16" s="75">
        <f>IF('ORDER VS WEEK DISTRIBUTION'!S24="","",'ORDER VS WEEK DISTRIBUTION'!S24)</f>
        <v/>
      </c>
    </row>
    <row r="17">
      <c r="A17" s="102">
        <f>IF('ORDER VS WEEK DISTRIBUTION'!A34="","",'ORDER VS WEEK DISTRIBUTION'!A34)</f>
        <v/>
      </c>
      <c r="B17" s="104" t="n"/>
      <c r="C17" s="65">
        <f>IF('ORDER VS WEEK DISTRIBUTION'!C38="","",'ORDER VS WEEK DISTRIBUTION'!C38)</f>
        <v/>
      </c>
      <c r="D17" s="52">
        <f>IF('ORDER VS WEEK DISTRIBUTION'!D38="","",'ORDER VS WEEK DISTRIBUTION'!D38)</f>
        <v/>
      </c>
      <c r="E17" s="53">
        <f>IF('ORDER VS WEEK DISTRIBUTION'!E38="","",'ORDER VS WEEK DISTRIBUTION'!E38)</f>
        <v/>
      </c>
      <c r="F17" s="53">
        <f>IF('ORDER VS WEEK DISTRIBUTION'!F38="","",'ORDER VS WEEK DISTRIBUTION'!F38)</f>
        <v/>
      </c>
      <c r="G17" s="75">
        <f>IF('ORDER VS WEEK DISTRIBUTION'!G38="","",'ORDER VS WEEK DISTRIBUTION'!G38)</f>
        <v/>
      </c>
      <c r="H17" s="75">
        <f>IF('ORDER VS WEEK DISTRIBUTION'!H38="","",'ORDER VS WEEK DISTRIBUTION'!H38)</f>
        <v/>
      </c>
      <c r="I17" s="75">
        <f>IF('ORDER VS WEEK DISTRIBUTION'!I38="","",'ORDER VS WEEK DISTRIBUTION'!I38)</f>
        <v/>
      </c>
      <c r="J17" s="75">
        <f>IF('ORDER VS WEEK DISTRIBUTION'!J38="","",'ORDER VS WEEK DISTRIBUTION'!J38)</f>
        <v/>
      </c>
      <c r="K17" s="75">
        <f>IF('ORDER VS WEEK DISTRIBUTION'!K38="","",'ORDER VS WEEK DISTRIBUTION'!K38)</f>
        <v/>
      </c>
      <c r="L17" s="75">
        <f>IF('ORDER VS WEEK DISTRIBUTION'!L38="","",'ORDER VS WEEK DISTRIBUTION'!L38)</f>
        <v/>
      </c>
      <c r="M17" s="75">
        <f>IF('ORDER VS WEEK DISTRIBUTION'!M38="","",'ORDER VS WEEK DISTRIBUTION'!M38)</f>
        <v/>
      </c>
      <c r="N17" s="75">
        <f>IF('ORDER VS WEEK DISTRIBUTION'!N38="","",'ORDER VS WEEK DISTRIBUTION'!N38)</f>
        <v/>
      </c>
      <c r="O17" s="75">
        <f>IF('ORDER VS WEEK DISTRIBUTION'!O38="","",'ORDER VS WEEK DISTRIBUTION'!O38)</f>
        <v/>
      </c>
      <c r="P17" s="75">
        <f>IF('ORDER VS WEEK DISTRIBUTION'!P38="","",'ORDER VS WEEK DISTRIBUTION'!P38)</f>
        <v/>
      </c>
      <c r="Q17" s="75">
        <f>IF('ORDER VS WEEK DISTRIBUTION'!Q38="","",'ORDER VS WEEK DISTRIBUTION'!Q38)</f>
        <v/>
      </c>
      <c r="R17" s="75">
        <f>IF('ORDER VS WEEK DISTRIBUTION'!R38="","",'ORDER VS WEEK DISTRIBUTION'!R38)</f>
        <v/>
      </c>
      <c r="S17" s="75">
        <f>IF('ORDER VS WEEK DISTRIBUTION'!S38="","",'ORDER VS WEEK DISTRIBUTION'!S38)</f>
        <v/>
      </c>
    </row>
    <row r="18">
      <c r="A18" s="104" t="n"/>
      <c r="B18" s="104" t="n"/>
      <c r="C18" s="65">
        <f>IF('ORDER VS WEEK DISTRIBUTION'!C39="","",'ORDER VS WEEK DISTRIBUTION'!C39)</f>
        <v/>
      </c>
      <c r="D18" s="52">
        <f>IF('ORDER VS WEEK DISTRIBUTION'!D39="","",'ORDER VS WEEK DISTRIBUTION'!D39)</f>
        <v/>
      </c>
      <c r="E18" s="53">
        <f>IF('ORDER VS WEEK DISTRIBUTION'!E39="","",'ORDER VS WEEK DISTRIBUTION'!E39)</f>
        <v/>
      </c>
      <c r="F18" s="53">
        <f>IF('ORDER VS WEEK DISTRIBUTION'!F39="","",'ORDER VS WEEK DISTRIBUTION'!F39)</f>
        <v/>
      </c>
      <c r="G18" s="75">
        <f>IF('ORDER VS WEEK DISTRIBUTION'!G39="","",'ORDER VS WEEK DISTRIBUTION'!G39)</f>
        <v/>
      </c>
      <c r="H18" s="75">
        <f>IF('ORDER VS WEEK DISTRIBUTION'!H39="","",'ORDER VS WEEK DISTRIBUTION'!H39)</f>
        <v/>
      </c>
      <c r="I18" s="75">
        <f>IF('ORDER VS WEEK DISTRIBUTION'!I39="","",'ORDER VS WEEK DISTRIBUTION'!I39)</f>
        <v/>
      </c>
      <c r="J18" s="75">
        <f>IF('ORDER VS WEEK DISTRIBUTION'!J39="","",'ORDER VS WEEK DISTRIBUTION'!J39)</f>
        <v/>
      </c>
      <c r="K18" s="75">
        <f>IF('ORDER VS WEEK DISTRIBUTION'!K39="","",'ORDER VS WEEK DISTRIBUTION'!K39)</f>
        <v/>
      </c>
      <c r="L18" s="75">
        <f>IF('ORDER VS WEEK DISTRIBUTION'!L39="","",'ORDER VS WEEK DISTRIBUTION'!L39)</f>
        <v/>
      </c>
      <c r="M18" s="75">
        <f>IF('ORDER VS WEEK DISTRIBUTION'!M39="","",'ORDER VS WEEK DISTRIBUTION'!M39)</f>
        <v/>
      </c>
      <c r="N18" s="75">
        <f>IF('ORDER VS WEEK DISTRIBUTION'!N39="","",'ORDER VS WEEK DISTRIBUTION'!N39)</f>
        <v/>
      </c>
      <c r="O18" s="75">
        <f>IF('ORDER VS WEEK DISTRIBUTION'!O39="","",'ORDER VS WEEK DISTRIBUTION'!O39)</f>
        <v/>
      </c>
      <c r="P18" s="75">
        <f>IF('ORDER VS WEEK DISTRIBUTION'!P39="","",'ORDER VS WEEK DISTRIBUTION'!P39)</f>
        <v/>
      </c>
      <c r="Q18" s="75">
        <f>IF('ORDER VS WEEK DISTRIBUTION'!Q39="","",'ORDER VS WEEK DISTRIBUTION'!Q39)</f>
        <v/>
      </c>
      <c r="R18" s="75">
        <f>IF('ORDER VS WEEK DISTRIBUTION'!R39="","",'ORDER VS WEEK DISTRIBUTION'!R39)</f>
        <v/>
      </c>
      <c r="S18" s="75">
        <f>IF('ORDER VS WEEK DISTRIBUTION'!S39="","",'ORDER VS WEEK DISTRIBUTION'!S39)</f>
        <v/>
      </c>
    </row>
    <row r="19">
      <c r="A19" s="104" t="n"/>
      <c r="B19" s="104" t="n"/>
      <c r="C19" s="119">
        <f>IF('ORDER VS WEEK DISTRIBUTION'!C40="","",'ORDER VS WEEK DISTRIBUTION'!C40)</f>
        <v/>
      </c>
      <c r="D19" s="71">
        <f>IF('ORDER VS WEEK DISTRIBUTION'!D40="","",'ORDER VS WEEK DISTRIBUTION'!D40)</f>
        <v/>
      </c>
      <c r="E19" s="119">
        <f>IF('ORDER VS WEEK DISTRIBUTION'!E40="","",'ORDER VS WEEK DISTRIBUTION'!E40)</f>
        <v/>
      </c>
      <c r="F19" s="119">
        <f>IF('ORDER VS WEEK DISTRIBUTION'!F40="","",'ORDER VS WEEK DISTRIBUTION'!F40)</f>
        <v/>
      </c>
      <c r="G19" s="78">
        <f>IF('ORDER VS WEEK DISTRIBUTION'!G40="","",'ORDER VS WEEK DISTRIBUTION'!G40)</f>
        <v/>
      </c>
      <c r="H19" s="78">
        <f>IF('ORDER VS WEEK DISTRIBUTION'!H40="","",'ORDER VS WEEK DISTRIBUTION'!H40)</f>
        <v/>
      </c>
      <c r="I19" s="78">
        <f>IF('ORDER VS WEEK DISTRIBUTION'!I40="","",'ORDER VS WEEK DISTRIBUTION'!I40)</f>
        <v/>
      </c>
      <c r="J19" s="78">
        <f>IF('ORDER VS WEEK DISTRIBUTION'!J40="","",'ORDER VS WEEK DISTRIBUTION'!J40)</f>
        <v/>
      </c>
      <c r="K19" s="78">
        <f>IF('ORDER VS WEEK DISTRIBUTION'!K40="","",'ORDER VS WEEK DISTRIBUTION'!K40)</f>
        <v/>
      </c>
      <c r="L19" s="78">
        <f>IF('ORDER VS WEEK DISTRIBUTION'!L40="","",'ORDER VS WEEK DISTRIBUTION'!L40)</f>
        <v/>
      </c>
      <c r="M19" s="78">
        <f>IF('ORDER VS WEEK DISTRIBUTION'!M40="","",'ORDER VS WEEK DISTRIBUTION'!M40)</f>
        <v/>
      </c>
      <c r="N19" s="78">
        <f>IF('ORDER VS WEEK DISTRIBUTION'!N40="","",'ORDER VS WEEK DISTRIBUTION'!N40)</f>
        <v/>
      </c>
      <c r="O19" s="78">
        <f>IF('ORDER VS WEEK DISTRIBUTION'!O40="","",'ORDER VS WEEK DISTRIBUTION'!O40)</f>
        <v/>
      </c>
      <c r="P19" s="78">
        <f>IF('ORDER VS WEEK DISTRIBUTION'!P40="","",'ORDER VS WEEK DISTRIBUTION'!P40)</f>
        <v/>
      </c>
      <c r="Q19" s="78">
        <f>IF('ORDER VS WEEK DISTRIBUTION'!Q40="","",'ORDER VS WEEK DISTRIBUTION'!Q40)</f>
        <v/>
      </c>
      <c r="R19" s="78">
        <f>IF('ORDER VS WEEK DISTRIBUTION'!R40="","",'ORDER VS WEEK DISTRIBUTION'!R40)</f>
        <v/>
      </c>
      <c r="S19" s="78">
        <f>IF('ORDER VS WEEK DISTRIBUTION'!S40="","",'ORDER VS WEEK DISTRIBUTION'!S40)</f>
        <v/>
      </c>
    </row>
    <row r="20">
      <c r="A20" s="104" t="n"/>
      <c r="B20" s="104" t="n"/>
      <c r="C20" s="65">
        <f>IF('ORDER VS WEEK DISTRIBUTION'!C41="","",'ORDER VS WEEK DISTRIBUTION'!C41)</f>
        <v/>
      </c>
      <c r="D20" s="52">
        <f>IF('ORDER VS WEEK DISTRIBUTION'!D41="","",'ORDER VS WEEK DISTRIBUTION'!D41)</f>
        <v/>
      </c>
      <c r="E20" s="53">
        <f>IF('ORDER VS WEEK DISTRIBUTION'!E41="","",'ORDER VS WEEK DISTRIBUTION'!E41)</f>
        <v/>
      </c>
      <c r="F20" s="53">
        <f>IF('ORDER VS WEEK DISTRIBUTION'!F41="","",'ORDER VS WEEK DISTRIBUTION'!F41)</f>
        <v/>
      </c>
      <c r="G20" s="75">
        <f>IF('ORDER VS WEEK DISTRIBUTION'!G41="","",'ORDER VS WEEK DISTRIBUTION'!G41)</f>
        <v/>
      </c>
      <c r="H20" s="75">
        <f>IF('ORDER VS WEEK DISTRIBUTION'!H41="","",'ORDER VS WEEK DISTRIBUTION'!H41)</f>
        <v/>
      </c>
      <c r="I20" s="75">
        <f>IF('ORDER VS WEEK DISTRIBUTION'!I41="","",'ORDER VS WEEK DISTRIBUTION'!I41)</f>
        <v/>
      </c>
      <c r="J20" s="75">
        <f>IF('ORDER VS WEEK DISTRIBUTION'!J41="","",'ORDER VS WEEK DISTRIBUTION'!J41)</f>
        <v/>
      </c>
      <c r="K20" s="75">
        <f>IF('ORDER VS WEEK DISTRIBUTION'!K41="","",'ORDER VS WEEK DISTRIBUTION'!K41)</f>
        <v/>
      </c>
      <c r="L20" s="75">
        <f>IF('ORDER VS WEEK DISTRIBUTION'!L41="","",'ORDER VS WEEK DISTRIBUTION'!L41)</f>
        <v/>
      </c>
      <c r="M20" s="75">
        <f>IF('ORDER VS WEEK DISTRIBUTION'!M41="","",'ORDER VS WEEK DISTRIBUTION'!M41)</f>
        <v/>
      </c>
      <c r="N20" s="75">
        <f>IF('ORDER VS WEEK DISTRIBUTION'!N41="","",'ORDER VS WEEK DISTRIBUTION'!N41)</f>
        <v/>
      </c>
      <c r="O20" s="75">
        <f>IF('ORDER VS WEEK DISTRIBUTION'!O41="","",'ORDER VS WEEK DISTRIBUTION'!O41)</f>
        <v/>
      </c>
      <c r="P20" s="75">
        <f>IF('ORDER VS WEEK DISTRIBUTION'!P41="","",'ORDER VS WEEK DISTRIBUTION'!P41)</f>
        <v/>
      </c>
      <c r="Q20" s="75">
        <f>IF('ORDER VS WEEK DISTRIBUTION'!Q41="","",'ORDER VS WEEK DISTRIBUTION'!Q41)</f>
        <v/>
      </c>
      <c r="R20" s="75">
        <f>IF('ORDER VS WEEK DISTRIBUTION'!R41="","",'ORDER VS WEEK DISTRIBUTION'!R41)</f>
        <v/>
      </c>
      <c r="S20" s="75">
        <f>IF('ORDER VS WEEK DISTRIBUTION'!S41="","",'ORDER VS WEEK DISTRIBUTION'!S41)</f>
        <v/>
      </c>
    </row>
    <row r="21">
      <c r="A21" s="86" t="n"/>
      <c r="B21" s="86" t="n"/>
      <c r="C21" s="65">
        <f>IF('ORDER VS WEEK DISTRIBUTION'!C42="","",'ORDER VS WEEK DISTRIBUTION'!C42)</f>
        <v/>
      </c>
      <c r="D21" s="52">
        <f>IF('ORDER VS WEEK DISTRIBUTION'!D42="","",'ORDER VS WEEK DISTRIBUTION'!D42)</f>
        <v/>
      </c>
      <c r="E21" s="53">
        <f>IF('ORDER VS WEEK DISTRIBUTION'!E42="","",'ORDER VS WEEK DISTRIBUTION'!E42)</f>
        <v/>
      </c>
      <c r="F21" s="53">
        <f>IF('ORDER VS WEEK DISTRIBUTION'!F42="","",'ORDER VS WEEK DISTRIBUTION'!F42)</f>
        <v/>
      </c>
      <c r="G21" s="75">
        <f>IF('ORDER VS WEEK DISTRIBUTION'!G42="","",'ORDER VS WEEK DISTRIBUTION'!G42)</f>
        <v/>
      </c>
      <c r="H21" s="75">
        <f>IF('ORDER VS WEEK DISTRIBUTION'!H42="","",'ORDER VS WEEK DISTRIBUTION'!H42)</f>
        <v/>
      </c>
      <c r="I21" s="75">
        <f>IF('ORDER VS WEEK DISTRIBUTION'!I42="","",'ORDER VS WEEK DISTRIBUTION'!I42)</f>
        <v/>
      </c>
      <c r="J21" s="75">
        <f>IF('ORDER VS WEEK DISTRIBUTION'!J42="","",'ORDER VS WEEK DISTRIBUTION'!J42)</f>
        <v/>
      </c>
      <c r="K21" s="75">
        <f>IF('ORDER VS WEEK DISTRIBUTION'!K42="","",'ORDER VS WEEK DISTRIBUTION'!K42)</f>
        <v/>
      </c>
      <c r="L21" s="75">
        <f>IF('ORDER VS WEEK DISTRIBUTION'!L42="","",'ORDER VS WEEK DISTRIBUTION'!L42)</f>
        <v/>
      </c>
      <c r="M21" s="75">
        <f>IF('ORDER VS WEEK DISTRIBUTION'!M42="","",'ORDER VS WEEK DISTRIBUTION'!M42)</f>
        <v/>
      </c>
      <c r="N21" s="75">
        <f>IF('ORDER VS WEEK DISTRIBUTION'!N42="","",'ORDER VS WEEK DISTRIBUTION'!N42)</f>
        <v/>
      </c>
      <c r="O21" s="75">
        <f>IF('ORDER VS WEEK DISTRIBUTION'!O42="","",'ORDER VS WEEK DISTRIBUTION'!O42)</f>
        <v/>
      </c>
      <c r="P21" s="75">
        <f>IF('ORDER VS WEEK DISTRIBUTION'!P42="","",'ORDER VS WEEK DISTRIBUTION'!P42)</f>
        <v/>
      </c>
      <c r="Q21" s="75">
        <f>IF('ORDER VS WEEK DISTRIBUTION'!Q42="","",'ORDER VS WEEK DISTRIBUTION'!Q42)</f>
        <v/>
      </c>
      <c r="R21" s="75">
        <f>IF('ORDER VS WEEK DISTRIBUTION'!R42="","",'ORDER VS WEEK DISTRIBUTION'!R42)</f>
        <v/>
      </c>
      <c r="S21" s="75">
        <f>IF('ORDER VS WEEK DISTRIBUTION'!S42="","",'ORDER VS WEEK DISTRIBUTION'!S42)</f>
        <v/>
      </c>
    </row>
  </sheetData>
  <mergeCells count="6">
    <mergeCell ref="A17:A21"/>
    <mergeCell ref="A1:G1"/>
    <mergeCell ref="H1:S1"/>
    <mergeCell ref="A3:A16"/>
    <mergeCell ref="B3:B6"/>
    <mergeCell ref="B7:B21"/>
  </mergeCells>
  <conditionalFormatting sqref="H3:S21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0" customWidth="1" style="5" min="2" max="2"/>
    <col width="12" customWidth="1" style="5" min="3" max="3"/>
    <col width="13" customWidth="1" style="5" min="4" max="4"/>
    <col width="27" customWidth="1" style="5" min="5" max="5"/>
    <col width="12" customWidth="1" style="5" min="6" max="6"/>
    <col width="10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99" t="inlineStr">
        <is>
          <t>Order Vs Week Distribution</t>
        </is>
      </c>
      <c r="H1" s="120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DISTRIBUTION'!H2="","",'ORDER VS WEEK DISTRIBUTION'!H2)</f>
        <v/>
      </c>
      <c r="I2" s="67">
        <f>IF('ORDER VS WEEK DISTRIBUTION'!I2="","",'ORDER VS WEEK DISTRIBUTION'!I2)</f>
        <v/>
      </c>
      <c r="J2" s="67">
        <f>IF('ORDER VS WEEK DISTRIBUTION'!J2="","",'ORDER VS WEEK DISTRIBUTION'!J2)</f>
        <v/>
      </c>
      <c r="K2" s="67">
        <f>IF('ORDER VS WEEK DISTRIBUTION'!K2="","",'ORDER VS WEEK DISTRIBUTION'!K2)</f>
        <v/>
      </c>
      <c r="L2" s="67">
        <f>IF('ORDER VS WEEK DISTRIBUTION'!L2="","",'ORDER VS WEEK DISTRIBUTION'!L2)</f>
        <v/>
      </c>
      <c r="M2" s="67">
        <f>IF('ORDER VS WEEK DISTRIBUTION'!M2="","",'ORDER VS WEEK DISTRIBUTION'!M2)</f>
        <v/>
      </c>
      <c r="N2" s="67">
        <f>IF('ORDER VS WEEK DISTRIBUTION'!N2="","",'ORDER VS WEEK DISTRIBUTION'!N2)</f>
        <v/>
      </c>
      <c r="O2" s="67">
        <f>IF('ORDER VS WEEK DISTRIBUTION'!O2="","",'ORDER VS WEEK DISTRIBUTION'!O2)</f>
        <v/>
      </c>
      <c r="P2" s="67">
        <f>IF('ORDER VS WEEK DISTRIBUTION'!P2="","",'ORDER VS WEEK DISTRIBUTION'!P2)</f>
        <v/>
      </c>
      <c r="Q2" s="67">
        <f>IF('ORDER VS WEEK DISTRIBUTION'!Q2="","",'ORDER VS WEEK DISTRIBUTION'!Q2)</f>
        <v/>
      </c>
      <c r="R2" s="67">
        <f>IF('ORDER VS WEEK DISTRIBUTION'!R2="","",'ORDER VS WEEK DISTRIBUTION'!R2)</f>
        <v/>
      </c>
      <c r="S2" s="67">
        <f>IF('ORDER VS WEEK DISTRIBUTION'!S2="","",'ORDER VS WEEK DISTRIBUTION'!S2)</f>
        <v/>
      </c>
    </row>
    <row r="3">
      <c r="A3" s="102">
        <f>IF('ORDER VS WEEK DISTRIBUTION'!A3="","",'ORDER VS WEEK DISTRIBUTION'!A3)</f>
        <v/>
      </c>
      <c r="B3" s="102">
        <f>IF('ORDER VS WEEK DISTRIBUTION'!B29="","",'ORDER VS WEEK DISTRIBUTION'!B29)</f>
        <v/>
      </c>
      <c r="C3" s="65">
        <f>IF('ORDER VS WEEK DISTRIBUTION'!C29="","",'ORDER VS WEEK DISTRIBUTION'!C29)</f>
        <v/>
      </c>
      <c r="D3" s="52">
        <f>IF('ORDER VS WEEK DISTRIBUTION'!D29="","",'ORDER VS WEEK DISTRIBUTION'!D29)</f>
        <v/>
      </c>
      <c r="E3" s="53">
        <f>IF('ORDER VS WEEK DISTRIBUTION'!E29="","",'ORDER VS WEEK DISTRIBUTION'!E29)</f>
        <v/>
      </c>
      <c r="F3" s="53">
        <f>IF('ORDER VS WEEK DISTRIBUTION'!F29="","",'ORDER VS WEEK DISTRIBUTION'!F29)</f>
        <v/>
      </c>
      <c r="G3" s="75">
        <f>IF('ORDER VS WEEK DISTRIBUTION'!G29="","",'ORDER VS WEEK DISTRIBUTION'!G29)</f>
        <v/>
      </c>
      <c r="H3" s="75">
        <f>IF('ORDER VS WEEK DISTRIBUTION'!H29="","",'ORDER VS WEEK DISTRIBUTION'!H29)</f>
        <v/>
      </c>
      <c r="I3" s="75">
        <f>IF('ORDER VS WEEK DISTRIBUTION'!I29="","",'ORDER VS WEEK DISTRIBUTION'!I29)</f>
        <v/>
      </c>
      <c r="J3" s="75">
        <f>IF('ORDER VS WEEK DISTRIBUTION'!J29="","",'ORDER VS WEEK DISTRIBUTION'!J29)</f>
        <v/>
      </c>
      <c r="K3" s="75">
        <f>IF('ORDER VS WEEK DISTRIBUTION'!K29="","",'ORDER VS WEEK DISTRIBUTION'!K29)</f>
        <v/>
      </c>
      <c r="L3" s="75">
        <f>IF('ORDER VS WEEK DISTRIBUTION'!L29="","",'ORDER VS WEEK DISTRIBUTION'!L29)</f>
        <v/>
      </c>
      <c r="M3" s="75">
        <f>IF('ORDER VS WEEK DISTRIBUTION'!M29="","",'ORDER VS WEEK DISTRIBUTION'!M29)</f>
        <v/>
      </c>
      <c r="N3" s="75">
        <f>IF('ORDER VS WEEK DISTRIBUTION'!N29="","",'ORDER VS WEEK DISTRIBUTION'!N29)</f>
        <v/>
      </c>
      <c r="O3" s="75">
        <f>IF('ORDER VS WEEK DISTRIBUTION'!O29="","",'ORDER VS WEEK DISTRIBUTION'!O29)</f>
        <v/>
      </c>
      <c r="P3" s="75">
        <f>IF('ORDER VS WEEK DISTRIBUTION'!P29="","",'ORDER VS WEEK DISTRIBUTION'!P29)</f>
        <v/>
      </c>
      <c r="Q3" s="75">
        <f>IF('ORDER VS WEEK DISTRIBUTION'!Q29="","",'ORDER VS WEEK DISTRIBUTION'!Q29)</f>
        <v/>
      </c>
      <c r="R3" s="75">
        <f>IF('ORDER VS WEEK DISTRIBUTION'!R29="","",'ORDER VS WEEK DISTRIBUTION'!R29)</f>
        <v/>
      </c>
      <c r="S3" s="75">
        <f>IF('ORDER VS WEEK DISTRIBUTION'!S29="","",'ORDER VS WEEK DISTRIBUTION'!S29)</f>
        <v/>
      </c>
    </row>
    <row r="4">
      <c r="A4" s="104" t="n"/>
      <c r="B4" s="104" t="n"/>
      <c r="C4" s="65">
        <f>IF('ORDER VS WEEK DISTRIBUTION'!C30="","",'ORDER VS WEEK DISTRIBUTION'!C30)</f>
        <v/>
      </c>
      <c r="D4" s="52">
        <f>IF('ORDER VS WEEK DISTRIBUTION'!D30="","",'ORDER VS WEEK DISTRIBUTION'!D30)</f>
        <v/>
      </c>
      <c r="E4" s="53">
        <f>IF('ORDER VS WEEK DISTRIBUTION'!E30="","",'ORDER VS WEEK DISTRIBUTION'!E30)</f>
        <v/>
      </c>
      <c r="F4" s="53">
        <f>IF('ORDER VS WEEK DISTRIBUTION'!F30="","",'ORDER VS WEEK DISTRIBUTION'!F30)</f>
        <v/>
      </c>
      <c r="G4" s="75">
        <f>IF('ORDER VS WEEK DISTRIBUTION'!G30="","",'ORDER VS WEEK DISTRIBUTION'!G30)</f>
        <v/>
      </c>
      <c r="H4" s="75">
        <f>IF('ORDER VS WEEK DISTRIBUTION'!H30="","",'ORDER VS WEEK DISTRIBUTION'!H30)</f>
        <v/>
      </c>
      <c r="I4" s="75">
        <f>IF('ORDER VS WEEK DISTRIBUTION'!I30="","",'ORDER VS WEEK DISTRIBUTION'!I30)</f>
        <v/>
      </c>
      <c r="J4" s="75">
        <f>IF('ORDER VS WEEK DISTRIBUTION'!J30="","",'ORDER VS WEEK DISTRIBUTION'!J30)</f>
        <v/>
      </c>
      <c r="K4" s="75">
        <f>IF('ORDER VS WEEK DISTRIBUTION'!K30="","",'ORDER VS WEEK DISTRIBUTION'!K30)</f>
        <v/>
      </c>
      <c r="L4" s="75">
        <f>IF('ORDER VS WEEK DISTRIBUTION'!L30="","",'ORDER VS WEEK DISTRIBUTION'!L30)</f>
        <v/>
      </c>
      <c r="M4" s="75">
        <f>IF('ORDER VS WEEK DISTRIBUTION'!M30="","",'ORDER VS WEEK DISTRIBUTION'!M30)</f>
        <v/>
      </c>
      <c r="N4" s="75">
        <f>IF('ORDER VS WEEK DISTRIBUTION'!N30="","",'ORDER VS WEEK DISTRIBUTION'!N30)</f>
        <v/>
      </c>
      <c r="O4" s="75">
        <f>IF('ORDER VS WEEK DISTRIBUTION'!O30="","",'ORDER VS WEEK DISTRIBUTION'!O30)</f>
        <v/>
      </c>
      <c r="P4" s="75">
        <f>IF('ORDER VS WEEK DISTRIBUTION'!P30="","",'ORDER VS WEEK DISTRIBUTION'!P30)</f>
        <v/>
      </c>
      <c r="Q4" s="75">
        <f>IF('ORDER VS WEEK DISTRIBUTION'!Q30="","",'ORDER VS WEEK DISTRIBUTION'!Q30)</f>
        <v/>
      </c>
      <c r="R4" s="75">
        <f>IF('ORDER VS WEEK DISTRIBUTION'!R30="","",'ORDER VS WEEK DISTRIBUTION'!R30)</f>
        <v/>
      </c>
      <c r="S4" s="75">
        <f>IF('ORDER VS WEEK DISTRIBUTION'!S30="","",'ORDER VS WEEK DISTRIBUTION'!S30)</f>
        <v/>
      </c>
    </row>
    <row r="5">
      <c r="A5" s="104" t="n"/>
      <c r="B5" s="104" t="n"/>
      <c r="C5" s="119">
        <f>IF('ORDER VS WEEK DISTRIBUTION'!C31="","",'ORDER VS WEEK DISTRIBUTION'!C31)</f>
        <v/>
      </c>
      <c r="D5" s="71">
        <f>IF('ORDER VS WEEK DISTRIBUTION'!D31="","",'ORDER VS WEEK DISTRIBUTION'!D31)</f>
        <v/>
      </c>
      <c r="E5" s="119">
        <f>IF('ORDER VS WEEK DISTRIBUTION'!E31="","",'ORDER VS WEEK DISTRIBUTION'!E31)</f>
        <v/>
      </c>
      <c r="F5" s="119">
        <f>IF('ORDER VS WEEK DISTRIBUTION'!F31="","",'ORDER VS WEEK DISTRIBUTION'!F31)</f>
        <v/>
      </c>
      <c r="G5" s="78">
        <f>IF('ORDER VS WEEK DISTRIBUTION'!G31="","",'ORDER VS WEEK DISTRIBUTION'!G31)</f>
        <v/>
      </c>
      <c r="H5" s="78">
        <f>IF('ORDER VS WEEK DISTRIBUTION'!H31="","",'ORDER VS WEEK DISTRIBUTION'!H31)</f>
        <v/>
      </c>
      <c r="I5" s="78">
        <f>IF('ORDER VS WEEK DISTRIBUTION'!I31="","",'ORDER VS WEEK DISTRIBUTION'!I31)</f>
        <v/>
      </c>
      <c r="J5" s="78">
        <f>IF('ORDER VS WEEK DISTRIBUTION'!J31="","",'ORDER VS WEEK DISTRIBUTION'!J31)</f>
        <v/>
      </c>
      <c r="K5" s="78">
        <f>IF('ORDER VS WEEK DISTRIBUTION'!K31="","",'ORDER VS WEEK DISTRIBUTION'!K31)</f>
        <v/>
      </c>
      <c r="L5" s="78">
        <f>IF('ORDER VS WEEK DISTRIBUTION'!L31="","",'ORDER VS WEEK DISTRIBUTION'!L31)</f>
        <v/>
      </c>
      <c r="M5" s="78">
        <f>IF('ORDER VS WEEK DISTRIBUTION'!M31="","",'ORDER VS WEEK DISTRIBUTION'!M31)</f>
        <v/>
      </c>
      <c r="N5" s="78">
        <f>IF('ORDER VS WEEK DISTRIBUTION'!N31="","",'ORDER VS WEEK DISTRIBUTION'!N31)</f>
        <v/>
      </c>
      <c r="O5" s="78">
        <f>IF('ORDER VS WEEK DISTRIBUTION'!O31="","",'ORDER VS WEEK DISTRIBUTION'!O31)</f>
        <v/>
      </c>
      <c r="P5" s="78">
        <f>IF('ORDER VS WEEK DISTRIBUTION'!P31="","",'ORDER VS WEEK DISTRIBUTION'!P31)</f>
        <v/>
      </c>
      <c r="Q5" s="78">
        <f>IF('ORDER VS WEEK DISTRIBUTION'!Q31="","",'ORDER VS WEEK DISTRIBUTION'!Q31)</f>
        <v/>
      </c>
      <c r="R5" s="78">
        <f>IF('ORDER VS WEEK DISTRIBUTION'!R31="","",'ORDER VS WEEK DISTRIBUTION'!R31)</f>
        <v/>
      </c>
      <c r="S5" s="78">
        <f>IF('ORDER VS WEEK DISTRIBUTION'!S31="","",'ORDER VS WEEK DISTRIBUTION'!S31)</f>
        <v/>
      </c>
    </row>
    <row r="6">
      <c r="A6" s="104" t="n"/>
      <c r="B6" s="104" t="n"/>
      <c r="C6" s="65">
        <f>IF('ORDER VS WEEK DISTRIBUTION'!C32="","",'ORDER VS WEEK DISTRIBUTION'!C32)</f>
        <v/>
      </c>
      <c r="D6" s="52">
        <f>IF('ORDER VS WEEK DISTRIBUTION'!D32="","",'ORDER VS WEEK DISTRIBUTION'!D32)</f>
        <v/>
      </c>
      <c r="E6" s="53">
        <f>IF('ORDER VS WEEK DISTRIBUTION'!E32="","",'ORDER VS WEEK DISTRIBUTION'!E32)</f>
        <v/>
      </c>
      <c r="F6" s="53">
        <f>IF('ORDER VS WEEK DISTRIBUTION'!F32="","",'ORDER VS WEEK DISTRIBUTION'!F32)</f>
        <v/>
      </c>
      <c r="G6" s="75">
        <f>IF('ORDER VS WEEK DISTRIBUTION'!G32="","",'ORDER VS WEEK DISTRIBUTION'!G32)</f>
        <v/>
      </c>
      <c r="H6" s="75">
        <f>IF('ORDER VS WEEK DISTRIBUTION'!H32="","",'ORDER VS WEEK DISTRIBUTION'!H32)</f>
        <v/>
      </c>
      <c r="I6" s="75">
        <f>IF('ORDER VS WEEK DISTRIBUTION'!I32="","",'ORDER VS WEEK DISTRIBUTION'!I32)</f>
        <v/>
      </c>
      <c r="J6" s="75">
        <f>IF('ORDER VS WEEK DISTRIBUTION'!J32="","",'ORDER VS WEEK DISTRIBUTION'!J32)</f>
        <v/>
      </c>
      <c r="K6" s="75">
        <f>IF('ORDER VS WEEK DISTRIBUTION'!K32="","",'ORDER VS WEEK DISTRIBUTION'!K32)</f>
        <v/>
      </c>
      <c r="L6" s="75">
        <f>IF('ORDER VS WEEK DISTRIBUTION'!L32="","",'ORDER VS WEEK DISTRIBUTION'!L32)</f>
        <v/>
      </c>
      <c r="M6" s="75">
        <f>IF('ORDER VS WEEK DISTRIBUTION'!M32="","",'ORDER VS WEEK DISTRIBUTION'!M32)</f>
        <v/>
      </c>
      <c r="N6" s="75">
        <f>IF('ORDER VS WEEK DISTRIBUTION'!N32="","",'ORDER VS WEEK DISTRIBUTION'!N32)</f>
        <v/>
      </c>
      <c r="O6" s="75">
        <f>IF('ORDER VS WEEK DISTRIBUTION'!O32="","",'ORDER VS WEEK DISTRIBUTION'!O32)</f>
        <v/>
      </c>
      <c r="P6" s="75">
        <f>IF('ORDER VS WEEK DISTRIBUTION'!P32="","",'ORDER VS WEEK DISTRIBUTION'!P32)</f>
        <v/>
      </c>
      <c r="Q6" s="75">
        <f>IF('ORDER VS WEEK DISTRIBUTION'!Q32="","",'ORDER VS WEEK DISTRIBUTION'!Q32)</f>
        <v/>
      </c>
      <c r="R6" s="75">
        <f>IF('ORDER VS WEEK DISTRIBUTION'!R32="","",'ORDER VS WEEK DISTRIBUTION'!R32)</f>
        <v/>
      </c>
      <c r="S6" s="75">
        <f>IF('ORDER VS WEEK DISTRIBUTION'!S32="","",'ORDER VS WEEK DISTRIBUTION'!S32)</f>
        <v/>
      </c>
    </row>
    <row r="7">
      <c r="A7" s="86" t="n"/>
      <c r="B7" s="104" t="n"/>
      <c r="C7" s="65">
        <f>IF('ORDER VS WEEK DISTRIBUTION'!C33="","",'ORDER VS WEEK DISTRIBUTION'!C33)</f>
        <v/>
      </c>
      <c r="D7" s="52">
        <f>IF('ORDER VS WEEK DISTRIBUTION'!D33="","",'ORDER VS WEEK DISTRIBUTION'!D33)</f>
        <v/>
      </c>
      <c r="E7" s="53">
        <f>IF('ORDER VS WEEK DISTRIBUTION'!E33="","",'ORDER VS WEEK DISTRIBUTION'!E33)</f>
        <v/>
      </c>
      <c r="F7" s="53">
        <f>IF('ORDER VS WEEK DISTRIBUTION'!F33="","",'ORDER VS WEEK DISTRIBUTION'!F33)</f>
        <v/>
      </c>
      <c r="G7" s="75">
        <f>IF('ORDER VS WEEK DISTRIBUTION'!G33="","",'ORDER VS WEEK DISTRIBUTION'!G33)</f>
        <v/>
      </c>
      <c r="H7" s="75">
        <f>IF('ORDER VS WEEK DISTRIBUTION'!H33="","",'ORDER VS WEEK DISTRIBUTION'!H33)</f>
        <v/>
      </c>
      <c r="I7" s="75">
        <f>IF('ORDER VS WEEK DISTRIBUTION'!I33="","",'ORDER VS WEEK DISTRIBUTION'!I33)</f>
        <v/>
      </c>
      <c r="J7" s="75">
        <f>IF('ORDER VS WEEK DISTRIBUTION'!J33="","",'ORDER VS WEEK DISTRIBUTION'!J33)</f>
        <v/>
      </c>
      <c r="K7" s="75">
        <f>IF('ORDER VS WEEK DISTRIBUTION'!K33="","",'ORDER VS WEEK DISTRIBUTION'!K33)</f>
        <v/>
      </c>
      <c r="L7" s="75">
        <f>IF('ORDER VS WEEK DISTRIBUTION'!L33="","",'ORDER VS WEEK DISTRIBUTION'!L33)</f>
        <v/>
      </c>
      <c r="M7" s="75">
        <f>IF('ORDER VS WEEK DISTRIBUTION'!M33="","",'ORDER VS WEEK DISTRIBUTION'!M33)</f>
        <v/>
      </c>
      <c r="N7" s="75">
        <f>IF('ORDER VS WEEK DISTRIBUTION'!N33="","",'ORDER VS WEEK DISTRIBUTION'!N33)</f>
        <v/>
      </c>
      <c r="O7" s="75">
        <f>IF('ORDER VS WEEK DISTRIBUTION'!O33="","",'ORDER VS WEEK DISTRIBUTION'!O33)</f>
        <v/>
      </c>
      <c r="P7" s="75">
        <f>IF('ORDER VS WEEK DISTRIBUTION'!P33="","",'ORDER VS WEEK DISTRIBUTION'!P33)</f>
        <v/>
      </c>
      <c r="Q7" s="75">
        <f>IF('ORDER VS WEEK DISTRIBUTION'!Q33="","",'ORDER VS WEEK DISTRIBUTION'!Q33)</f>
        <v/>
      </c>
      <c r="R7" s="75">
        <f>IF('ORDER VS WEEK DISTRIBUTION'!R33="","",'ORDER VS WEEK DISTRIBUTION'!R33)</f>
        <v/>
      </c>
      <c r="S7" s="75">
        <f>IF('ORDER VS WEEK DISTRIBUTION'!S33="","",'ORDER VS WEEK DISTRIBUTION'!S33)</f>
        <v/>
      </c>
    </row>
    <row r="8">
      <c r="A8" s="102">
        <f>IF('ORDER VS WEEK DISTRIBUTION'!A34="","",'ORDER VS WEEK DISTRIBUTION'!A34)</f>
        <v/>
      </c>
      <c r="B8" s="104" t="n"/>
      <c r="C8" s="65">
        <f>IF('ORDER VS WEEK DISTRIBUTION'!C43="","",'ORDER VS WEEK DISTRIBUTION'!C43)</f>
        <v/>
      </c>
      <c r="D8" s="52">
        <f>IF('ORDER VS WEEK DISTRIBUTION'!D43="","",'ORDER VS WEEK DISTRIBUTION'!D43)</f>
        <v/>
      </c>
      <c r="E8" s="53">
        <f>IF('ORDER VS WEEK DISTRIBUTION'!E43="","",'ORDER VS WEEK DISTRIBUTION'!E43)</f>
        <v/>
      </c>
      <c r="F8" s="53">
        <f>IF('ORDER VS WEEK DISTRIBUTION'!F43="","",'ORDER VS WEEK DISTRIBUTION'!F43)</f>
        <v/>
      </c>
      <c r="G8" s="75">
        <f>IF('ORDER VS WEEK DISTRIBUTION'!G43="","",'ORDER VS WEEK DISTRIBUTION'!G43)</f>
        <v/>
      </c>
      <c r="H8" s="75">
        <f>IF('ORDER VS WEEK DISTRIBUTION'!H43="","",'ORDER VS WEEK DISTRIBUTION'!H43)</f>
        <v/>
      </c>
      <c r="I8" s="75">
        <f>IF('ORDER VS WEEK DISTRIBUTION'!I43="","",'ORDER VS WEEK DISTRIBUTION'!I43)</f>
        <v/>
      </c>
      <c r="J8" s="75">
        <f>IF('ORDER VS WEEK DISTRIBUTION'!J43="","",'ORDER VS WEEK DISTRIBUTION'!J43)</f>
        <v/>
      </c>
      <c r="K8" s="75">
        <f>IF('ORDER VS WEEK DISTRIBUTION'!K43="","",'ORDER VS WEEK DISTRIBUTION'!K43)</f>
        <v/>
      </c>
      <c r="L8" s="75">
        <f>IF('ORDER VS WEEK DISTRIBUTION'!L43="","",'ORDER VS WEEK DISTRIBUTION'!L43)</f>
        <v/>
      </c>
      <c r="M8" s="75">
        <f>IF('ORDER VS WEEK DISTRIBUTION'!M43="","",'ORDER VS WEEK DISTRIBUTION'!M43)</f>
        <v/>
      </c>
      <c r="N8" s="75">
        <f>IF('ORDER VS WEEK DISTRIBUTION'!N43="","",'ORDER VS WEEK DISTRIBUTION'!N43)</f>
        <v/>
      </c>
      <c r="O8" s="75">
        <f>IF('ORDER VS WEEK DISTRIBUTION'!O43="","",'ORDER VS WEEK DISTRIBUTION'!O43)</f>
        <v/>
      </c>
      <c r="P8" s="75">
        <f>IF('ORDER VS WEEK DISTRIBUTION'!P43="","",'ORDER VS WEEK DISTRIBUTION'!P43)</f>
        <v/>
      </c>
      <c r="Q8" s="75">
        <f>IF('ORDER VS WEEK DISTRIBUTION'!Q43="","",'ORDER VS WEEK DISTRIBUTION'!Q43)</f>
        <v/>
      </c>
      <c r="R8" s="75">
        <f>IF('ORDER VS WEEK DISTRIBUTION'!R43="","",'ORDER VS WEEK DISTRIBUTION'!R43)</f>
        <v/>
      </c>
      <c r="S8" s="75">
        <f>IF('ORDER VS WEEK DISTRIBUTION'!S43="","",'ORDER VS WEEK DISTRIBUTION'!S43)</f>
        <v/>
      </c>
    </row>
    <row r="9">
      <c r="A9" s="104" t="n"/>
      <c r="B9" s="104" t="n"/>
      <c r="C9" s="65">
        <f>IF('ORDER VS WEEK DISTRIBUTION'!C44="","",'ORDER VS WEEK DISTRIBUTION'!C44)</f>
        <v/>
      </c>
      <c r="D9" s="52">
        <f>IF('ORDER VS WEEK DISTRIBUTION'!D44="","",'ORDER VS WEEK DISTRIBUTION'!D44)</f>
        <v/>
      </c>
      <c r="E9" s="53">
        <f>IF('ORDER VS WEEK DISTRIBUTION'!E44="","",'ORDER VS WEEK DISTRIBUTION'!E44)</f>
        <v/>
      </c>
      <c r="F9" s="53">
        <f>IF('ORDER VS WEEK DISTRIBUTION'!F44="","",'ORDER VS WEEK DISTRIBUTION'!F44)</f>
        <v/>
      </c>
      <c r="G9" s="75">
        <f>IF('ORDER VS WEEK DISTRIBUTION'!G44="","",'ORDER VS WEEK DISTRIBUTION'!G44)</f>
        <v/>
      </c>
      <c r="H9" s="75">
        <f>IF('ORDER VS WEEK DISTRIBUTION'!H44="","",'ORDER VS WEEK DISTRIBUTION'!H44)</f>
        <v/>
      </c>
      <c r="I9" s="75">
        <f>IF('ORDER VS WEEK DISTRIBUTION'!I44="","",'ORDER VS WEEK DISTRIBUTION'!I44)</f>
        <v/>
      </c>
      <c r="J9" s="75">
        <f>IF('ORDER VS WEEK DISTRIBUTION'!J44="","",'ORDER VS WEEK DISTRIBUTION'!J44)</f>
        <v/>
      </c>
      <c r="K9" s="75">
        <f>IF('ORDER VS WEEK DISTRIBUTION'!K44="","",'ORDER VS WEEK DISTRIBUTION'!K44)</f>
        <v/>
      </c>
      <c r="L9" s="75">
        <f>IF('ORDER VS WEEK DISTRIBUTION'!L44="","",'ORDER VS WEEK DISTRIBUTION'!L44)</f>
        <v/>
      </c>
      <c r="M9" s="75">
        <f>IF('ORDER VS WEEK DISTRIBUTION'!M44="","",'ORDER VS WEEK DISTRIBUTION'!M44)</f>
        <v/>
      </c>
      <c r="N9" s="75">
        <f>IF('ORDER VS WEEK DISTRIBUTION'!N44="","",'ORDER VS WEEK DISTRIBUTION'!N44)</f>
        <v/>
      </c>
      <c r="O9" s="75">
        <f>IF('ORDER VS WEEK DISTRIBUTION'!O44="","",'ORDER VS WEEK DISTRIBUTION'!O44)</f>
        <v/>
      </c>
      <c r="P9" s="75">
        <f>IF('ORDER VS WEEK DISTRIBUTION'!P44="","",'ORDER VS WEEK DISTRIBUTION'!P44)</f>
        <v/>
      </c>
      <c r="Q9" s="75">
        <f>IF('ORDER VS WEEK DISTRIBUTION'!Q44="","",'ORDER VS WEEK DISTRIBUTION'!Q44)</f>
        <v/>
      </c>
      <c r="R9" s="75">
        <f>IF('ORDER VS WEEK DISTRIBUTION'!R44="","",'ORDER VS WEEK DISTRIBUTION'!R44)</f>
        <v/>
      </c>
      <c r="S9" s="75">
        <f>IF('ORDER VS WEEK DISTRIBUTION'!S44="","",'ORDER VS WEEK DISTRIBUTION'!S44)</f>
        <v/>
      </c>
    </row>
    <row r="10">
      <c r="A10" s="104" t="n"/>
      <c r="B10" s="104" t="n"/>
      <c r="C10" s="119">
        <f>IF('ORDER VS WEEK DISTRIBUTION'!C45="","",'ORDER VS WEEK DISTRIBUTION'!C45)</f>
        <v/>
      </c>
      <c r="D10" s="71">
        <f>IF('ORDER VS WEEK DISTRIBUTION'!D45="","",'ORDER VS WEEK DISTRIBUTION'!D45)</f>
        <v/>
      </c>
      <c r="E10" s="119">
        <f>IF('ORDER VS WEEK DISTRIBUTION'!E45="","",'ORDER VS WEEK DISTRIBUTION'!E45)</f>
        <v/>
      </c>
      <c r="F10" s="119">
        <f>IF('ORDER VS WEEK DISTRIBUTION'!F45="","",'ORDER VS WEEK DISTRIBUTION'!F45)</f>
        <v/>
      </c>
      <c r="G10" s="78">
        <f>IF('ORDER VS WEEK DISTRIBUTION'!G45="","",'ORDER VS WEEK DISTRIBUTION'!G45)</f>
        <v/>
      </c>
      <c r="H10" s="78">
        <f>IF('ORDER VS WEEK DISTRIBUTION'!H45="","",'ORDER VS WEEK DISTRIBUTION'!H45)</f>
        <v/>
      </c>
      <c r="I10" s="78">
        <f>IF('ORDER VS WEEK DISTRIBUTION'!I45="","",'ORDER VS WEEK DISTRIBUTION'!I45)</f>
        <v/>
      </c>
      <c r="J10" s="78">
        <f>IF('ORDER VS WEEK DISTRIBUTION'!J45="","",'ORDER VS WEEK DISTRIBUTION'!J45)</f>
        <v/>
      </c>
      <c r="K10" s="78">
        <f>IF('ORDER VS WEEK DISTRIBUTION'!K45="","",'ORDER VS WEEK DISTRIBUTION'!K45)</f>
        <v/>
      </c>
      <c r="L10" s="78">
        <f>IF('ORDER VS WEEK DISTRIBUTION'!L45="","",'ORDER VS WEEK DISTRIBUTION'!L45)</f>
        <v/>
      </c>
      <c r="M10" s="78">
        <f>IF('ORDER VS WEEK DISTRIBUTION'!M45="","",'ORDER VS WEEK DISTRIBUTION'!M45)</f>
        <v/>
      </c>
      <c r="N10" s="78">
        <f>IF('ORDER VS WEEK DISTRIBUTION'!N45="","",'ORDER VS WEEK DISTRIBUTION'!N45)</f>
        <v/>
      </c>
      <c r="O10" s="78">
        <f>IF('ORDER VS WEEK DISTRIBUTION'!O45="","",'ORDER VS WEEK DISTRIBUTION'!O45)</f>
        <v/>
      </c>
      <c r="P10" s="78">
        <f>IF('ORDER VS WEEK DISTRIBUTION'!P45="","",'ORDER VS WEEK DISTRIBUTION'!P45)</f>
        <v/>
      </c>
      <c r="Q10" s="78">
        <f>IF('ORDER VS WEEK DISTRIBUTION'!Q45="","",'ORDER VS WEEK DISTRIBUTION'!Q45)</f>
        <v/>
      </c>
      <c r="R10" s="78">
        <f>IF('ORDER VS WEEK DISTRIBUTION'!R45="","",'ORDER VS WEEK DISTRIBUTION'!R45)</f>
        <v/>
      </c>
      <c r="S10" s="78">
        <f>IF('ORDER VS WEEK DISTRIBUTION'!S45="","",'ORDER VS WEEK DISTRIBUTION'!S45)</f>
        <v/>
      </c>
    </row>
    <row r="11">
      <c r="A11" s="104" t="n"/>
      <c r="B11" s="104" t="n"/>
      <c r="C11" s="65">
        <f>IF('ORDER VS WEEK DISTRIBUTION'!C46="","",'ORDER VS WEEK DISTRIBUTION'!C46)</f>
        <v/>
      </c>
      <c r="D11" s="52">
        <f>IF('ORDER VS WEEK DISTRIBUTION'!D46="","",'ORDER VS WEEK DISTRIBUTION'!D46)</f>
        <v/>
      </c>
      <c r="E11" s="53">
        <f>IF('ORDER VS WEEK DISTRIBUTION'!E46="","",'ORDER VS WEEK DISTRIBUTION'!E46)</f>
        <v/>
      </c>
      <c r="F11" s="53">
        <f>IF('ORDER VS WEEK DISTRIBUTION'!F46="","",'ORDER VS WEEK DISTRIBUTION'!F46)</f>
        <v/>
      </c>
      <c r="G11" s="75">
        <f>IF('ORDER VS WEEK DISTRIBUTION'!G46="","",'ORDER VS WEEK DISTRIBUTION'!G46)</f>
        <v/>
      </c>
      <c r="H11" s="75">
        <f>IF('ORDER VS WEEK DISTRIBUTION'!H46="","",'ORDER VS WEEK DISTRIBUTION'!H46)</f>
        <v/>
      </c>
      <c r="I11" s="75">
        <f>IF('ORDER VS WEEK DISTRIBUTION'!I46="","",'ORDER VS WEEK DISTRIBUTION'!I46)</f>
        <v/>
      </c>
      <c r="J11" s="75">
        <f>IF('ORDER VS WEEK DISTRIBUTION'!J46="","",'ORDER VS WEEK DISTRIBUTION'!J46)</f>
        <v/>
      </c>
      <c r="K11" s="75">
        <f>IF('ORDER VS WEEK DISTRIBUTION'!K46="","",'ORDER VS WEEK DISTRIBUTION'!K46)</f>
        <v/>
      </c>
      <c r="L11" s="75">
        <f>IF('ORDER VS WEEK DISTRIBUTION'!L46="","",'ORDER VS WEEK DISTRIBUTION'!L46)</f>
        <v/>
      </c>
      <c r="M11" s="75">
        <f>IF('ORDER VS WEEK DISTRIBUTION'!M46="","",'ORDER VS WEEK DISTRIBUTION'!M46)</f>
        <v/>
      </c>
      <c r="N11" s="75">
        <f>IF('ORDER VS WEEK DISTRIBUTION'!N46="","",'ORDER VS WEEK DISTRIBUTION'!N46)</f>
        <v/>
      </c>
      <c r="O11" s="75">
        <f>IF('ORDER VS WEEK DISTRIBUTION'!O46="","",'ORDER VS WEEK DISTRIBUTION'!O46)</f>
        <v/>
      </c>
      <c r="P11" s="75">
        <f>IF('ORDER VS WEEK DISTRIBUTION'!P46="","",'ORDER VS WEEK DISTRIBUTION'!P46)</f>
        <v/>
      </c>
      <c r="Q11" s="75">
        <f>IF('ORDER VS WEEK DISTRIBUTION'!Q46="","",'ORDER VS WEEK DISTRIBUTION'!Q46)</f>
        <v/>
      </c>
      <c r="R11" s="75">
        <f>IF('ORDER VS WEEK DISTRIBUTION'!R46="","",'ORDER VS WEEK DISTRIBUTION'!R46)</f>
        <v/>
      </c>
      <c r="S11" s="75">
        <f>IF('ORDER VS WEEK DISTRIBUTION'!S46="","",'ORDER VS WEEK DISTRIBUTION'!S46)</f>
        <v/>
      </c>
    </row>
    <row r="12">
      <c r="A12" s="86" t="n"/>
      <c r="B12" s="104" t="n"/>
      <c r="C12" s="65">
        <f>IF('ORDER VS WEEK DISTRIBUTION'!C47="","",'ORDER VS WEEK DISTRIBUTION'!C47)</f>
        <v/>
      </c>
      <c r="D12" s="52">
        <f>IF('ORDER VS WEEK DISTRIBUTION'!D47="","",'ORDER VS WEEK DISTRIBUTION'!D47)</f>
        <v/>
      </c>
      <c r="E12" s="53">
        <f>IF('ORDER VS WEEK DISTRIBUTION'!E47="","",'ORDER VS WEEK DISTRIBUTION'!E47)</f>
        <v/>
      </c>
      <c r="F12" s="53">
        <f>IF('ORDER VS WEEK DISTRIBUTION'!F47="","",'ORDER VS WEEK DISTRIBUTION'!F47)</f>
        <v/>
      </c>
      <c r="G12" s="75">
        <f>IF('ORDER VS WEEK DISTRIBUTION'!G47="","",'ORDER VS WEEK DISTRIBUTION'!G47)</f>
        <v/>
      </c>
      <c r="H12" s="75">
        <f>IF('ORDER VS WEEK DISTRIBUTION'!H47="","",'ORDER VS WEEK DISTRIBUTION'!H47)</f>
        <v/>
      </c>
      <c r="I12" s="75">
        <f>IF('ORDER VS WEEK DISTRIBUTION'!I47="","",'ORDER VS WEEK DISTRIBUTION'!I47)</f>
        <v/>
      </c>
      <c r="J12" s="75">
        <f>IF('ORDER VS WEEK DISTRIBUTION'!J47="","",'ORDER VS WEEK DISTRIBUTION'!J47)</f>
        <v/>
      </c>
      <c r="K12" s="75">
        <f>IF('ORDER VS WEEK DISTRIBUTION'!K47="","",'ORDER VS WEEK DISTRIBUTION'!K47)</f>
        <v/>
      </c>
      <c r="L12" s="75">
        <f>IF('ORDER VS WEEK DISTRIBUTION'!L47="","",'ORDER VS WEEK DISTRIBUTION'!L47)</f>
        <v/>
      </c>
      <c r="M12" s="75">
        <f>IF('ORDER VS WEEK DISTRIBUTION'!M47="","",'ORDER VS WEEK DISTRIBUTION'!M47)</f>
        <v/>
      </c>
      <c r="N12" s="75">
        <f>IF('ORDER VS WEEK DISTRIBUTION'!N47="","",'ORDER VS WEEK DISTRIBUTION'!N47)</f>
        <v/>
      </c>
      <c r="O12" s="75">
        <f>IF('ORDER VS WEEK DISTRIBUTION'!O47="","",'ORDER VS WEEK DISTRIBUTION'!O47)</f>
        <v/>
      </c>
      <c r="P12" s="75">
        <f>IF('ORDER VS WEEK DISTRIBUTION'!P47="","",'ORDER VS WEEK DISTRIBUTION'!P47)</f>
        <v/>
      </c>
      <c r="Q12" s="75">
        <f>IF('ORDER VS WEEK DISTRIBUTION'!Q47="","",'ORDER VS WEEK DISTRIBUTION'!Q47)</f>
        <v/>
      </c>
      <c r="R12" s="75">
        <f>IF('ORDER VS WEEK DISTRIBUTION'!R47="","",'ORDER VS WEEK DISTRIBUTION'!R47)</f>
        <v/>
      </c>
      <c r="S12" s="75">
        <f>IF('ORDER VS WEEK DISTRIBUTION'!S47="","",'ORDER VS WEEK DISTRIBUTION'!S47)</f>
        <v/>
      </c>
    </row>
    <row r="13">
      <c r="A13" s="102">
        <f>IF('ORDER VS WEEK DISTRIBUTION'!A48="","",'ORDER VS WEEK DISTRIBUTION'!A48)</f>
        <v/>
      </c>
      <c r="B13" s="104" t="n"/>
      <c r="C13" s="65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DISTRIBUTION'!H54="","",'ORDER VS WEEK DISTRIBUTION'!H54)</f>
        <v/>
      </c>
      <c r="I13" s="75">
        <f>IF('ORDER VS WEEK DISTRIBUTION'!I54="","",'ORDER VS WEEK DISTRIBUTION'!I54)</f>
        <v/>
      </c>
      <c r="J13" s="75">
        <f>IF('ORDER VS WEEK DISTRIBUTION'!J54="","",'ORDER VS WEEK DISTRIBUTION'!J54)</f>
        <v/>
      </c>
      <c r="K13" s="75">
        <f>IF('ORDER VS WEEK DISTRIBUTION'!K54="","",'ORDER VS WEEK DISTRIBUTION'!K54)</f>
        <v/>
      </c>
      <c r="L13" s="75">
        <f>IF('ORDER VS WEEK DISTRIBUTION'!L54="","",'ORDER VS WEEK DISTRIBUTION'!L54)</f>
        <v/>
      </c>
      <c r="M13" s="75">
        <f>IF('ORDER VS WEEK DISTRIBUTION'!M54="","",'ORDER VS WEEK DISTRIBUTION'!M54)</f>
        <v/>
      </c>
      <c r="N13" s="75">
        <f>IF('ORDER VS WEEK DISTRIBUTION'!N54="","",'ORDER VS WEEK DISTRIBUTION'!N54)</f>
        <v/>
      </c>
      <c r="O13" s="75">
        <f>IF('ORDER VS WEEK DISTRIBUTION'!O54="","",'ORDER VS WEEK DISTRIBUTION'!O54)</f>
        <v/>
      </c>
      <c r="P13" s="75">
        <f>IF('ORDER VS WEEK DISTRIBUTION'!P54="","",'ORDER VS WEEK DISTRIBUTION'!P54)</f>
        <v/>
      </c>
      <c r="Q13" s="75">
        <f>IF('ORDER VS WEEK DISTRIBUTION'!Q54="","",'ORDER VS WEEK DISTRIBUTION'!Q54)</f>
        <v/>
      </c>
      <c r="R13" s="75">
        <f>IF('ORDER VS WEEK DISTRIBUTION'!R54="","",'ORDER VS WEEK DISTRIBUTION'!R54)</f>
        <v/>
      </c>
      <c r="S13" s="75">
        <f>IF('ORDER VS WEEK DISTRIBUTION'!S54="","",'ORDER VS WEEK DISTRIBUTION'!S54)</f>
        <v/>
      </c>
    </row>
    <row r="14">
      <c r="A14" s="104" t="n"/>
      <c r="B14" s="104" t="n"/>
      <c r="C14" s="65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DISTRIBUTION'!H55="","",'ORDER VS WEEK DISTRIBUTION'!H55)</f>
        <v/>
      </c>
      <c r="I14" s="75">
        <f>IF('ORDER VS WEEK DISTRIBUTION'!I55="","",'ORDER VS WEEK DISTRIBUTION'!I55)</f>
        <v/>
      </c>
      <c r="J14" s="75">
        <f>IF('ORDER VS WEEK DISTRIBUTION'!J55="","",'ORDER VS WEEK DISTRIBUTION'!J55)</f>
        <v/>
      </c>
      <c r="K14" s="75">
        <f>IF('ORDER VS WEEK DISTRIBUTION'!K55="","",'ORDER VS WEEK DISTRIBUTION'!K55)</f>
        <v/>
      </c>
      <c r="L14" s="75">
        <f>IF('ORDER VS WEEK DISTRIBUTION'!L55="","",'ORDER VS WEEK DISTRIBUTION'!L55)</f>
        <v/>
      </c>
      <c r="M14" s="75">
        <f>IF('ORDER VS WEEK DISTRIBUTION'!M55="","",'ORDER VS WEEK DISTRIBUTION'!M55)</f>
        <v/>
      </c>
      <c r="N14" s="75">
        <f>IF('ORDER VS WEEK DISTRIBUTION'!N55="","",'ORDER VS WEEK DISTRIBUTION'!N55)</f>
        <v/>
      </c>
      <c r="O14" s="75">
        <f>IF('ORDER VS WEEK DISTRIBUTION'!O55="","",'ORDER VS WEEK DISTRIBUTION'!O55)</f>
        <v/>
      </c>
      <c r="P14" s="75">
        <f>IF('ORDER VS WEEK DISTRIBUTION'!P55="","",'ORDER VS WEEK DISTRIBUTION'!P55)</f>
        <v/>
      </c>
      <c r="Q14" s="75">
        <f>IF('ORDER VS WEEK DISTRIBUTION'!Q55="","",'ORDER VS WEEK DISTRIBUTION'!Q55)</f>
        <v/>
      </c>
      <c r="R14" s="75">
        <f>IF('ORDER VS WEEK DISTRIBUTION'!R55="","",'ORDER VS WEEK DISTRIBUTION'!R55)</f>
        <v/>
      </c>
      <c r="S14" s="75">
        <f>IF('ORDER VS WEEK DISTRIBUTION'!S55="","",'ORDER VS WEEK DISTRIBUTION'!S55)</f>
        <v/>
      </c>
    </row>
    <row r="15">
      <c r="A15" s="104" t="n"/>
      <c r="B15" s="104" t="n"/>
      <c r="C15" s="119">
        <f>IF('ORDER VS WEEK DISTRIBUTION'!C56="","",'ORDER VS WEEK DISTRIBUTION'!C56)</f>
        <v/>
      </c>
      <c r="D15" s="71">
        <f>IF('ORDER VS WEEK DISTRIBUTION'!D56="","",'ORDER VS WEEK DISTRIBUTION'!D56)</f>
        <v/>
      </c>
      <c r="E15" s="119">
        <f>IF('ORDER VS WEEK DISTRIBUTION'!E56="","",'ORDER VS WEEK DISTRIBUTION'!E56)</f>
        <v/>
      </c>
      <c r="F15" s="119">
        <f>IF('ORDER VS WEEK DISTRIBUTION'!F56="","",'ORDER VS WEEK DISTRIBUTION'!F56)</f>
        <v/>
      </c>
      <c r="G15" s="78">
        <f>IF('ORDER VS WEEK DISTRIBUTION'!G56="","",'ORDER VS WEEK DISTRIBUTION'!G56)</f>
        <v/>
      </c>
      <c r="H15" s="78">
        <f>IF('ORDER VS WEEK DISTRIBUTION'!H56="","",'ORDER VS WEEK DISTRIBUTION'!H56)</f>
        <v/>
      </c>
      <c r="I15" s="78">
        <f>IF('ORDER VS WEEK DISTRIBUTION'!I56="","",'ORDER VS WEEK DISTRIBUTION'!I56)</f>
        <v/>
      </c>
      <c r="J15" s="78">
        <f>IF('ORDER VS WEEK DISTRIBUTION'!J56="","",'ORDER VS WEEK DISTRIBUTION'!J56)</f>
        <v/>
      </c>
      <c r="K15" s="78">
        <f>IF('ORDER VS WEEK DISTRIBUTION'!K56="","",'ORDER VS WEEK DISTRIBUTION'!K56)</f>
        <v/>
      </c>
      <c r="L15" s="78">
        <f>IF('ORDER VS WEEK DISTRIBUTION'!L56="","",'ORDER VS WEEK DISTRIBUTION'!L56)</f>
        <v/>
      </c>
      <c r="M15" s="78">
        <f>IF('ORDER VS WEEK DISTRIBUTION'!M56="","",'ORDER VS WEEK DISTRIBUTION'!M56)</f>
        <v/>
      </c>
      <c r="N15" s="78">
        <f>IF('ORDER VS WEEK DISTRIBUTION'!N56="","",'ORDER VS WEEK DISTRIBUTION'!N56)</f>
        <v/>
      </c>
      <c r="O15" s="78">
        <f>IF('ORDER VS WEEK DISTRIBUTION'!O56="","",'ORDER VS WEEK DISTRIBUTION'!O56)</f>
        <v/>
      </c>
      <c r="P15" s="78">
        <f>IF('ORDER VS WEEK DISTRIBUTION'!P56="","",'ORDER VS WEEK DISTRIBUTION'!P56)</f>
        <v/>
      </c>
      <c r="Q15" s="78">
        <f>IF('ORDER VS WEEK DISTRIBUTION'!Q56="","",'ORDER VS WEEK DISTRIBUTION'!Q56)</f>
        <v/>
      </c>
      <c r="R15" s="78">
        <f>IF('ORDER VS WEEK DISTRIBUTION'!R56="","",'ORDER VS WEEK DISTRIBUTION'!R56)</f>
        <v/>
      </c>
      <c r="S15" s="78">
        <f>IF('ORDER VS WEEK DISTRIBUTION'!S56="","",'ORDER VS WEEK DISTRIBUTION'!S56)</f>
        <v/>
      </c>
    </row>
    <row r="16">
      <c r="A16" s="104" t="n"/>
      <c r="B16" s="104" t="n"/>
      <c r="C16" s="65">
        <f>IF('ORDER VS WEEK DISTRIBUTION'!C57="","",'ORDER VS WEEK DISTRIBUTION'!C57)</f>
        <v/>
      </c>
      <c r="D16" s="52">
        <f>IF('ORDER VS WEEK DISTRIBUTION'!D57="","",'ORDER VS WEEK DISTRIBUTION'!D57)</f>
        <v/>
      </c>
      <c r="E16" s="53">
        <f>IF('ORDER VS WEEK DISTRIBUTION'!E57="","",'ORDER VS WEEK DISTRIBUTION'!E57)</f>
        <v/>
      </c>
      <c r="F16" s="53">
        <f>IF('ORDER VS WEEK DISTRIBUTION'!F57="","",'ORDER VS WEEK DISTRIBUTION'!F57)</f>
        <v/>
      </c>
      <c r="G16" s="75">
        <f>IF('ORDER VS WEEK DISTRIBUTION'!G57="","",'ORDER VS WEEK DISTRIBUTION'!G57)</f>
        <v/>
      </c>
      <c r="H16" s="75">
        <f>IF('ORDER VS WEEK DISTRIBUTION'!H57="","",'ORDER VS WEEK DISTRIBUTION'!H57)</f>
        <v/>
      </c>
      <c r="I16" s="75">
        <f>IF('ORDER VS WEEK DISTRIBUTION'!I57="","",'ORDER VS WEEK DISTRIBUTION'!I57)</f>
        <v/>
      </c>
      <c r="J16" s="75">
        <f>IF('ORDER VS WEEK DISTRIBUTION'!J57="","",'ORDER VS WEEK DISTRIBUTION'!J57)</f>
        <v/>
      </c>
      <c r="K16" s="75">
        <f>IF('ORDER VS WEEK DISTRIBUTION'!K57="","",'ORDER VS WEEK DISTRIBUTION'!K57)</f>
        <v/>
      </c>
      <c r="L16" s="75">
        <f>IF('ORDER VS WEEK DISTRIBUTION'!L57="","",'ORDER VS WEEK DISTRIBUTION'!L57)</f>
        <v/>
      </c>
      <c r="M16" s="75">
        <f>IF('ORDER VS WEEK DISTRIBUTION'!M57="","",'ORDER VS WEEK DISTRIBUTION'!M57)</f>
        <v/>
      </c>
      <c r="N16" s="75">
        <f>IF('ORDER VS WEEK DISTRIBUTION'!N57="","",'ORDER VS WEEK DISTRIBUTION'!N57)</f>
        <v/>
      </c>
      <c r="O16" s="75">
        <f>IF('ORDER VS WEEK DISTRIBUTION'!O57="","",'ORDER VS WEEK DISTRIBUTION'!O57)</f>
        <v/>
      </c>
      <c r="P16" s="75">
        <f>IF('ORDER VS WEEK DISTRIBUTION'!P57="","",'ORDER VS WEEK DISTRIBUTION'!P57)</f>
        <v/>
      </c>
      <c r="Q16" s="75">
        <f>IF('ORDER VS WEEK DISTRIBUTION'!Q57="","",'ORDER VS WEEK DISTRIBUTION'!Q57)</f>
        <v/>
      </c>
      <c r="R16" s="75">
        <f>IF('ORDER VS WEEK DISTRIBUTION'!R57="","",'ORDER VS WEEK DISTRIBUTION'!R57)</f>
        <v/>
      </c>
      <c r="S16" s="75">
        <f>IF('ORDER VS WEEK DISTRIBUTION'!S57="","",'ORDER VS WEEK DISTRIBUTION'!S57)</f>
        <v/>
      </c>
    </row>
    <row r="17">
      <c r="A17" s="86" t="n"/>
      <c r="B17" s="104" t="n"/>
      <c r="C17" s="65">
        <f>IF('ORDER VS WEEK DISTRIBUTION'!C58="","",'ORDER VS WEEK DISTRIBUTION'!C58)</f>
        <v/>
      </c>
      <c r="D17" s="52">
        <f>IF('ORDER VS WEEK DISTRIBUTION'!D58="","",'ORDER VS WEEK DISTRIBUTION'!D58)</f>
        <v/>
      </c>
      <c r="E17" s="53">
        <f>IF('ORDER VS WEEK DISTRIBUTION'!E58="","",'ORDER VS WEEK DISTRIBUTION'!E58)</f>
        <v/>
      </c>
      <c r="F17" s="53">
        <f>IF('ORDER VS WEEK DISTRIBUTION'!F58="","",'ORDER VS WEEK DISTRIBUTION'!F58)</f>
        <v/>
      </c>
      <c r="G17" s="75">
        <f>IF('ORDER VS WEEK DISTRIBUTION'!G58="","",'ORDER VS WEEK DISTRIBUTION'!G58)</f>
        <v/>
      </c>
      <c r="H17" s="75">
        <f>IF('ORDER VS WEEK DISTRIBUTION'!H58="","",'ORDER VS WEEK DISTRIBUTION'!H58)</f>
        <v/>
      </c>
      <c r="I17" s="75">
        <f>IF('ORDER VS WEEK DISTRIBUTION'!I58="","",'ORDER VS WEEK DISTRIBUTION'!I58)</f>
        <v/>
      </c>
      <c r="J17" s="75">
        <f>IF('ORDER VS WEEK DISTRIBUTION'!J58="","",'ORDER VS WEEK DISTRIBUTION'!J58)</f>
        <v/>
      </c>
      <c r="K17" s="75">
        <f>IF('ORDER VS WEEK DISTRIBUTION'!K58="","",'ORDER VS WEEK DISTRIBUTION'!K58)</f>
        <v/>
      </c>
      <c r="L17" s="75">
        <f>IF('ORDER VS WEEK DISTRIBUTION'!L58="","",'ORDER VS WEEK DISTRIBUTION'!L58)</f>
        <v/>
      </c>
      <c r="M17" s="75">
        <f>IF('ORDER VS WEEK DISTRIBUTION'!M58="","",'ORDER VS WEEK DISTRIBUTION'!M58)</f>
        <v/>
      </c>
      <c r="N17" s="75">
        <f>IF('ORDER VS WEEK DISTRIBUTION'!N58="","",'ORDER VS WEEK DISTRIBUTION'!N58)</f>
        <v/>
      </c>
      <c r="O17" s="75">
        <f>IF('ORDER VS WEEK DISTRIBUTION'!O58="","",'ORDER VS WEEK DISTRIBUTION'!O58)</f>
        <v/>
      </c>
      <c r="P17" s="75">
        <f>IF('ORDER VS WEEK DISTRIBUTION'!P58="","",'ORDER VS WEEK DISTRIBUTION'!P58)</f>
        <v/>
      </c>
      <c r="Q17" s="75">
        <f>IF('ORDER VS WEEK DISTRIBUTION'!Q58="","",'ORDER VS WEEK DISTRIBUTION'!Q58)</f>
        <v/>
      </c>
      <c r="R17" s="75">
        <f>IF('ORDER VS WEEK DISTRIBUTION'!R58="","",'ORDER VS WEEK DISTRIBUTION'!R58)</f>
        <v/>
      </c>
      <c r="S17" s="75">
        <f>IF('ORDER VS WEEK DISTRIBUTION'!S58="","",'ORDER VS WEEK DISTRIBUTION'!S58)</f>
        <v/>
      </c>
    </row>
    <row r="18">
      <c r="A18" s="102">
        <f>IF('ORDER VS WEEK DISTRIBUTION'!A59="","",'ORDER VS WEEK DISTRIBUTION'!A59)</f>
        <v/>
      </c>
      <c r="B18" s="104" t="n"/>
      <c r="C18" s="65">
        <f>IF('ORDER VS WEEK DISTRIBUTION'!C63="","",'ORDER VS WEEK DISTRIBUTION'!C63)</f>
        <v/>
      </c>
      <c r="D18" s="52">
        <f>IF('ORDER VS WEEK DISTRIBUTION'!D63="","",'ORDER VS WEEK DISTRIBUTION'!D63)</f>
        <v/>
      </c>
      <c r="E18" s="53">
        <f>IF('ORDER VS WEEK DISTRIBUTION'!E63="","",'ORDER VS WEEK DISTRIBUTION'!E63)</f>
        <v/>
      </c>
      <c r="F18" s="53">
        <f>IF('ORDER VS WEEK DISTRIBUTION'!F63="","",'ORDER VS WEEK DISTRIBUTION'!F63)</f>
        <v/>
      </c>
      <c r="G18" s="75">
        <f>IF('ORDER VS WEEK DISTRIBUTION'!G63="","",'ORDER VS WEEK DISTRIBUTION'!G63)</f>
        <v/>
      </c>
      <c r="H18" s="75">
        <f>IF('ORDER VS WEEK DISTRIBUTION'!H63="","",'ORDER VS WEEK DISTRIBUTION'!H63)</f>
        <v/>
      </c>
      <c r="I18" s="75">
        <f>IF('ORDER VS WEEK DISTRIBUTION'!I63="","",'ORDER VS WEEK DISTRIBUTION'!I63)</f>
        <v/>
      </c>
      <c r="J18" s="75">
        <f>IF('ORDER VS WEEK DISTRIBUTION'!J63="","",'ORDER VS WEEK DISTRIBUTION'!J63)</f>
        <v/>
      </c>
      <c r="K18" s="75">
        <f>IF('ORDER VS WEEK DISTRIBUTION'!K63="","",'ORDER VS WEEK DISTRIBUTION'!K63)</f>
        <v/>
      </c>
      <c r="L18" s="75">
        <f>IF('ORDER VS WEEK DISTRIBUTION'!L63="","",'ORDER VS WEEK DISTRIBUTION'!L63)</f>
        <v/>
      </c>
      <c r="M18" s="75">
        <f>IF('ORDER VS WEEK DISTRIBUTION'!M63="","",'ORDER VS WEEK DISTRIBUTION'!M63)</f>
        <v/>
      </c>
      <c r="N18" s="75">
        <f>IF('ORDER VS WEEK DISTRIBUTION'!N63="","",'ORDER VS WEEK DISTRIBUTION'!N63)</f>
        <v/>
      </c>
      <c r="O18" s="75">
        <f>IF('ORDER VS WEEK DISTRIBUTION'!O63="","",'ORDER VS WEEK DISTRIBUTION'!O63)</f>
        <v/>
      </c>
      <c r="P18" s="75">
        <f>IF('ORDER VS WEEK DISTRIBUTION'!P63="","",'ORDER VS WEEK DISTRIBUTION'!P63)</f>
        <v/>
      </c>
      <c r="Q18" s="75">
        <f>IF('ORDER VS WEEK DISTRIBUTION'!Q63="","",'ORDER VS WEEK DISTRIBUTION'!Q63)</f>
        <v/>
      </c>
      <c r="R18" s="75">
        <f>IF('ORDER VS WEEK DISTRIBUTION'!R63="","",'ORDER VS WEEK DISTRIBUTION'!R63)</f>
        <v/>
      </c>
      <c r="S18" s="75">
        <f>IF('ORDER VS WEEK DISTRIBUTION'!S63="","",'ORDER VS WEEK DISTRIBUTION'!S63)</f>
        <v/>
      </c>
    </row>
    <row r="19">
      <c r="A19" s="104" t="n"/>
      <c r="B19" s="104" t="n"/>
      <c r="C19" s="119">
        <f>IF('ORDER VS WEEK DISTRIBUTION'!C64="","",'ORDER VS WEEK DISTRIBUTION'!C64)</f>
        <v/>
      </c>
      <c r="D19" s="71">
        <f>IF('ORDER VS WEEK DISTRIBUTION'!D64="","",'ORDER VS WEEK DISTRIBUTION'!D64)</f>
        <v/>
      </c>
      <c r="E19" s="119">
        <f>IF('ORDER VS WEEK DISTRIBUTION'!E64="","",'ORDER VS WEEK DISTRIBUTION'!E64)</f>
        <v/>
      </c>
      <c r="F19" s="119">
        <f>IF('ORDER VS WEEK DISTRIBUTION'!F64="","",'ORDER VS WEEK DISTRIBUTION'!F64)</f>
        <v/>
      </c>
      <c r="G19" s="78">
        <f>IF('ORDER VS WEEK DISTRIBUTION'!G64="","",'ORDER VS WEEK DISTRIBUTION'!G64)</f>
        <v/>
      </c>
      <c r="H19" s="78">
        <f>IF('ORDER VS WEEK DISTRIBUTION'!H64="","",'ORDER VS WEEK DISTRIBUTION'!H64)</f>
        <v/>
      </c>
      <c r="I19" s="78">
        <f>IF('ORDER VS WEEK DISTRIBUTION'!I64="","",'ORDER VS WEEK DISTRIBUTION'!I64)</f>
        <v/>
      </c>
      <c r="J19" s="78">
        <f>IF('ORDER VS WEEK DISTRIBUTION'!J64="","",'ORDER VS WEEK DISTRIBUTION'!J64)</f>
        <v/>
      </c>
      <c r="K19" s="78">
        <f>IF('ORDER VS WEEK DISTRIBUTION'!K64="","",'ORDER VS WEEK DISTRIBUTION'!K64)</f>
        <v/>
      </c>
      <c r="L19" s="78">
        <f>IF('ORDER VS WEEK DISTRIBUTION'!L64="","",'ORDER VS WEEK DISTRIBUTION'!L64)</f>
        <v/>
      </c>
      <c r="M19" s="78">
        <f>IF('ORDER VS WEEK DISTRIBUTION'!M64="","",'ORDER VS WEEK DISTRIBUTION'!M64)</f>
        <v/>
      </c>
      <c r="N19" s="78">
        <f>IF('ORDER VS WEEK DISTRIBUTION'!N64="","",'ORDER VS WEEK DISTRIBUTION'!N64)</f>
        <v/>
      </c>
      <c r="O19" s="78">
        <f>IF('ORDER VS WEEK DISTRIBUTION'!O64="","",'ORDER VS WEEK DISTRIBUTION'!O64)</f>
        <v/>
      </c>
      <c r="P19" s="78">
        <f>IF('ORDER VS WEEK DISTRIBUTION'!P64="","",'ORDER VS WEEK DISTRIBUTION'!P64)</f>
        <v/>
      </c>
      <c r="Q19" s="78">
        <f>IF('ORDER VS WEEK DISTRIBUTION'!Q64="","",'ORDER VS WEEK DISTRIBUTION'!Q64)</f>
        <v/>
      </c>
      <c r="R19" s="78">
        <f>IF('ORDER VS WEEK DISTRIBUTION'!R64="","",'ORDER VS WEEK DISTRIBUTION'!R64)</f>
        <v/>
      </c>
      <c r="S19" s="78">
        <f>IF('ORDER VS WEEK DISTRIBUTION'!S64="","",'ORDER VS WEEK DISTRIBUTION'!S64)</f>
        <v/>
      </c>
    </row>
    <row r="20">
      <c r="A20" s="104" t="n"/>
      <c r="B20" s="104" t="n"/>
      <c r="C20" s="65">
        <f>IF('ORDER VS WEEK DISTRIBUTION'!C65="","",'ORDER VS WEEK DISTRIBUTION'!C65)</f>
        <v/>
      </c>
      <c r="D20" s="52">
        <f>IF('ORDER VS WEEK DISTRIBUTION'!D65="","",'ORDER VS WEEK DISTRIBUTION'!D65)</f>
        <v/>
      </c>
      <c r="E20" s="53">
        <f>IF('ORDER VS WEEK DISTRIBUTION'!E65="","",'ORDER VS WEEK DISTRIBUTION'!E65)</f>
        <v/>
      </c>
      <c r="F20" s="53">
        <f>IF('ORDER VS WEEK DISTRIBUTION'!F65="","",'ORDER VS WEEK DISTRIBUTION'!F65)</f>
        <v/>
      </c>
      <c r="G20" s="75">
        <f>IF('ORDER VS WEEK DISTRIBUTION'!G65="","",'ORDER VS WEEK DISTRIBUTION'!G65)</f>
        <v/>
      </c>
      <c r="H20" s="75">
        <f>IF('ORDER VS WEEK DISTRIBUTION'!H65="","",'ORDER VS WEEK DISTRIBUTION'!H65)</f>
        <v/>
      </c>
      <c r="I20" s="75">
        <f>IF('ORDER VS WEEK DISTRIBUTION'!I65="","",'ORDER VS WEEK DISTRIBUTION'!I65)</f>
        <v/>
      </c>
      <c r="J20" s="75">
        <f>IF('ORDER VS WEEK DISTRIBUTION'!J65="","",'ORDER VS WEEK DISTRIBUTION'!J65)</f>
        <v/>
      </c>
      <c r="K20" s="75">
        <f>IF('ORDER VS WEEK DISTRIBUTION'!K65="","",'ORDER VS WEEK DISTRIBUTION'!K65)</f>
        <v/>
      </c>
      <c r="L20" s="75">
        <f>IF('ORDER VS WEEK DISTRIBUTION'!L65="","",'ORDER VS WEEK DISTRIBUTION'!L65)</f>
        <v/>
      </c>
      <c r="M20" s="75">
        <f>IF('ORDER VS WEEK DISTRIBUTION'!M65="","",'ORDER VS WEEK DISTRIBUTION'!M65)</f>
        <v/>
      </c>
      <c r="N20" s="75">
        <f>IF('ORDER VS WEEK DISTRIBUTION'!N65="","",'ORDER VS WEEK DISTRIBUTION'!N65)</f>
        <v/>
      </c>
      <c r="O20" s="75">
        <f>IF('ORDER VS WEEK DISTRIBUTION'!O65="","",'ORDER VS WEEK DISTRIBUTION'!O65)</f>
        <v/>
      </c>
      <c r="P20" s="75">
        <f>IF('ORDER VS WEEK DISTRIBUTION'!P65="","",'ORDER VS WEEK DISTRIBUTION'!P65)</f>
        <v/>
      </c>
      <c r="Q20" s="75">
        <f>IF('ORDER VS WEEK DISTRIBUTION'!Q65="","",'ORDER VS WEEK DISTRIBUTION'!Q65)</f>
        <v/>
      </c>
      <c r="R20" s="75">
        <f>IF('ORDER VS WEEK DISTRIBUTION'!R65="","",'ORDER VS WEEK DISTRIBUTION'!R65)</f>
        <v/>
      </c>
      <c r="S20" s="75">
        <f>IF('ORDER VS WEEK DISTRIBUTION'!S65="","",'ORDER VS WEEK DISTRIBUTION'!S65)</f>
        <v/>
      </c>
    </row>
    <row r="21">
      <c r="A21" s="86" t="n"/>
      <c r="B21" s="86" t="n"/>
      <c r="C21" s="65">
        <f>IF('ORDER VS WEEK DISTRIBUTION'!C66="","",'ORDER VS WEEK DISTRIBUTION'!C66)</f>
        <v/>
      </c>
      <c r="D21" s="52">
        <f>IF('ORDER VS WEEK DISTRIBUTION'!D66="","",'ORDER VS WEEK DISTRIBUTION'!D66)</f>
        <v/>
      </c>
      <c r="E21" s="53">
        <f>IF('ORDER VS WEEK DISTRIBUTION'!E66="","",'ORDER VS WEEK DISTRIBUTION'!E66)</f>
        <v/>
      </c>
      <c r="F21" s="53">
        <f>IF('ORDER VS WEEK DISTRIBUTION'!F66="","",'ORDER VS WEEK DISTRIBUTION'!F66)</f>
        <v/>
      </c>
      <c r="G21" s="75">
        <f>IF('ORDER VS WEEK DISTRIBUTION'!G66="","",'ORDER VS WEEK DISTRIBUTION'!G66)</f>
        <v/>
      </c>
      <c r="H21" s="75">
        <f>IF('ORDER VS WEEK DISTRIBUTION'!H66="","",'ORDER VS WEEK DISTRIBUTION'!H66)</f>
        <v/>
      </c>
      <c r="I21" s="75">
        <f>IF('ORDER VS WEEK DISTRIBUTION'!I66="","",'ORDER VS WEEK DISTRIBUTION'!I66)</f>
        <v/>
      </c>
      <c r="J21" s="75">
        <f>IF('ORDER VS WEEK DISTRIBUTION'!J66="","",'ORDER VS WEEK DISTRIBUTION'!J66)</f>
        <v/>
      </c>
      <c r="K21" s="75">
        <f>IF('ORDER VS WEEK DISTRIBUTION'!K66="","",'ORDER VS WEEK DISTRIBUTION'!K66)</f>
        <v/>
      </c>
      <c r="L21" s="75">
        <f>IF('ORDER VS WEEK DISTRIBUTION'!L66="","",'ORDER VS WEEK DISTRIBUTION'!L66)</f>
        <v/>
      </c>
      <c r="M21" s="75">
        <f>IF('ORDER VS WEEK DISTRIBUTION'!M66="","",'ORDER VS WEEK DISTRIBUTION'!M66)</f>
        <v/>
      </c>
      <c r="N21" s="75">
        <f>IF('ORDER VS WEEK DISTRIBUTION'!N66="","",'ORDER VS WEEK DISTRIBUTION'!N66)</f>
        <v/>
      </c>
      <c r="O21" s="75">
        <f>IF('ORDER VS WEEK DISTRIBUTION'!O66="","",'ORDER VS WEEK DISTRIBUTION'!O66)</f>
        <v/>
      </c>
      <c r="P21" s="75">
        <f>IF('ORDER VS WEEK DISTRIBUTION'!P66="","",'ORDER VS WEEK DISTRIBUTION'!P66)</f>
        <v/>
      </c>
      <c r="Q21" s="75">
        <f>IF('ORDER VS WEEK DISTRIBUTION'!Q66="","",'ORDER VS WEEK DISTRIBUTION'!Q66)</f>
        <v/>
      </c>
      <c r="R21" s="75">
        <f>IF('ORDER VS WEEK DISTRIBUTION'!R66="","",'ORDER VS WEEK DISTRIBUTION'!R66)</f>
        <v/>
      </c>
      <c r="S21" s="75">
        <f>IF('ORDER VS WEEK DISTRIBUTION'!S66="","",'ORDER VS WEEK DISTRIBUTION'!S66)</f>
        <v/>
      </c>
    </row>
  </sheetData>
  <mergeCells count="7">
    <mergeCell ref="A18:A21"/>
    <mergeCell ref="A1:G1"/>
    <mergeCell ref="A8:A12"/>
    <mergeCell ref="H1:S1"/>
    <mergeCell ref="B3:B21"/>
    <mergeCell ref="A3:A7"/>
    <mergeCell ref="A13:A17"/>
  </mergeCells>
  <conditionalFormatting sqref="H3:S21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2026-10-12T06:16:45Z</dcterms:modified>
  <cp:lastModifiedBy>LOKESHWARAN</cp:lastModifiedBy>
  <cp:revision>0</cp:revision>
  <cp:lastPrinted>2026-04-29T06:57:02Z</cp:lastPrinted>
</cp:coreProperties>
</file>