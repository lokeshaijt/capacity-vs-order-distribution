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525" firstSheet="5" activeTab="6" autoFilterDateGrouping="1"/>
  </bookViews>
  <sheets>
    <sheet name="ITEM MASTER" sheetId="1" state="hidden" r:id="rId1"/>
    <sheet name="TBGS PER CTN" sheetId="2" state="hidden" r:id="rId2"/>
    <sheet name="MC CAPACITY MASTER" sheetId="3" state="hidden" r:id="rId3"/>
    <sheet name="MC MASTER" sheetId="4" state="hidden" r:id="rId4"/>
    <sheet name="ITEM CFC PER CONTAINER" sheetId="5" state="hidden" r:id="rId5"/>
    <sheet name="ORDER VS WEEK DISTRIBUTION" sheetId="6" state="hidden" r:id="rId6"/>
    <sheet name="AFR" sheetId="7" state="visible" r:id="rId7"/>
    <sheet name="AUS&amp;EU" sheetId="8" state="visible" r:id="rId8"/>
    <sheet name="USA" sheetId="9" state="visible" r:id="rId9"/>
    <sheet name="WORKING" sheetId="10" state="hidden" r:id="rId10"/>
    <sheet name="MACHINE CAPACITY MASTER" sheetId="11" state="hidden" r:id="rId11"/>
  </sheets>
  <externalReferences>
    <externalReference r:id="rId12"/>
  </externalReferences>
  <definedNames>
    <definedName name="Currency">'[1]Fixed&amp;Misc Charges-Assumptions'!$K$2:$K$6</definedName>
    <definedName name="kk">'[1]Master FG'!$B$2:$B$172</definedName>
    <definedName name="Slicer_MC_ROUTING">#N/A</definedName>
    <definedName name="Slicer_MC_ROUTING1">#N/A</definedName>
    <definedName name="_xlnm._FilterDatabase" localSheetId="0" hidden="1">'ITEM MASTER'!$A$1:$H$2471</definedName>
    <definedName name="_xlnm._FilterDatabase" localSheetId="1" hidden="1">'TBGS PER CTN'!$A$1:$C$1577</definedName>
    <definedName name="_xlnm._FilterDatabase" localSheetId="3" hidden="1">'MC MASTER'!$A$2:$Q$31</definedName>
    <definedName name="_xlnm._FilterDatabase" localSheetId="4" hidden="1">'ITEM CFC PER CONTAINER'!$A$1:$B$242</definedName>
    <definedName name="_xlnm._FilterDatabase" localSheetId="9" hidden="1">'WORKING'!$A$1:$Y$724</definedName>
  </definedNames>
  <calcPr calcId="152511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dd\-mmm\-yy"/>
    <numFmt numFmtId="166" formatCode="mmm\-yy"/>
    <numFmt numFmtId="167" formatCode="_ * #,##0_ ;_ * \-#,##0_ ;_ * \-??_ ;_ @_ "/>
    <numFmt numFmtId="168" formatCode="_ * #,##0.0_ ;_ * \-#,##0.0_ ;_ * \-??_ ;_ @_ "/>
    <numFmt numFmtId="169" formatCode="d\-mmm"/>
    <numFmt numFmtId="170" formatCode="_ * #,##0.00_ ;_ * \-#,##0.00_ ;_ * \-??_ ;_ @_ "/>
    <numFmt numFmtId="171" formatCode="_(* #,##0.00_);_(* \(#,##0.00\);_(* \-??_);_(@_)"/>
  </numFmts>
  <fonts count="21">
    <font>
      <name val="Trebuchet MS"/>
      <charset val="1"/>
      <family val="2"/>
      <color theme="1"/>
      <sz val="11"/>
    </font>
    <font>
      <name val="Trebuchet MS"/>
      <charset val="1"/>
      <family val="2"/>
      <b val="1"/>
      <color theme="1"/>
      <sz val="11"/>
    </font>
    <font>
      <name val="Calibri"/>
      <charset val="1"/>
      <family val="2"/>
      <color rgb="FF000000"/>
      <sz val="11"/>
    </font>
    <font>
      <name val="Trebuchet MS"/>
      <charset val="1"/>
      <family val="2"/>
      <b val="1"/>
      <sz val="11"/>
    </font>
    <font>
      <name val="Trebuchet MS"/>
      <charset val="1"/>
      <family val="2"/>
      <sz val="10"/>
    </font>
    <font>
      <name val="Calibri"/>
      <charset val="1"/>
      <family val="2"/>
      <b val="1"/>
      <color rgb="FF000000"/>
      <sz val="11"/>
    </font>
    <font>
      <name val="Trebuchet MS"/>
      <charset val="1"/>
      <sz val="11"/>
    </font>
    <font>
      <name val="Trebuchet MS"/>
      <charset val="1"/>
      <color rgb="FFAAAAAA"/>
      <sz val="9"/>
    </font>
    <font>
      <name val="Trebuchet MS"/>
      <charset val="1"/>
      <b val="1"/>
      <color rgb="FFC00000"/>
      <sz val="10"/>
    </font>
    <font>
      <name val="Trebuchet MS"/>
      <charset val="1"/>
      <sz val="10"/>
    </font>
    <font>
      <name val="Trebuchet MS"/>
      <charset val="1"/>
      <family val="2"/>
      <color rgb="FF002060"/>
      <sz val="10"/>
    </font>
    <font>
      <name val="Trebuchet MS"/>
      <charset val="1"/>
      <family val="2"/>
      <b val="1"/>
      <color rgb="FF002060"/>
      <sz val="10"/>
    </font>
    <font>
      <name val="Trebuchet MS"/>
      <charset val="1"/>
      <family val="2"/>
      <b val="1"/>
      <color rgb="FFFF0000"/>
      <sz val="10"/>
    </font>
    <font>
      <name val="Trebuchet MS"/>
      <charset val="1"/>
      <family val="2"/>
      <b val="1"/>
      <color theme="3"/>
      <sz val="10"/>
    </font>
    <font>
      <name val="Trebuchet MS"/>
      <charset val="1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b val="1"/>
      <color rgb="FF9D360E"/>
      <sz val="12"/>
    </font>
    <font>
      <name val="Calibri"/>
      <family val="2"/>
      <b val="1"/>
      <color rgb="FFFFFFFF"/>
      <sz val="12"/>
    </font>
    <font>
      <name val="Calibri"/>
      <family val="2"/>
      <b val="1"/>
      <color rgb="FF000000"/>
      <sz val="11"/>
    </font>
    <font>
      <name val="Calibri"/>
      <family val="2"/>
      <b val="1"/>
      <sz val="11"/>
    </font>
  </fonts>
  <fills count="22">
    <fill>
      <patternFill/>
    </fill>
    <fill>
      <patternFill patternType="gray125"/>
    </fill>
    <fill>
      <patternFill patternType="solid">
        <fgColor rgb="FFFFF8E1"/>
        <bgColor rgb="FFFFF2CC"/>
      </patternFill>
    </fill>
    <fill>
      <patternFill patternType="solid">
        <fgColor rgb="FFEBF1DE"/>
        <bgColor rgb="FFD9EAD3"/>
      </patternFill>
    </fill>
    <fill>
      <patternFill patternType="solid">
        <fgColor rgb="FFB6C6DE"/>
        <bgColor rgb="FFBFBFBF"/>
      </patternFill>
    </fill>
    <fill>
      <patternFill patternType="solid">
        <fgColor theme="5" tint="0.3998840296639912"/>
        <bgColor rgb="FFD9D9D9"/>
      </patternFill>
    </fill>
    <fill>
      <patternFill patternType="solid">
        <fgColor theme="5" tint="-0.499984740745262"/>
        <bgColor rgb="FF666699"/>
      </patternFill>
    </fill>
    <fill>
      <patternFill patternType="solid">
        <fgColor rgb="FFD9D9D9"/>
        <bgColor rgb="FFDCE6F1"/>
      </patternFill>
    </fill>
    <fill>
      <patternFill patternType="solid">
        <fgColor rgb="FFFFF2CC"/>
        <bgColor rgb="FFFFF8E1"/>
      </patternFill>
    </fill>
    <fill>
      <patternFill patternType="solid">
        <fgColor theme="4" tint="0.3998840296639912"/>
        <bgColor rgb="FFFFE082"/>
      </patternFill>
    </fill>
    <fill>
      <patternFill patternType="solid">
        <fgColor rgb="FFDCE6F1"/>
        <bgColor rgb="FFD9EAD3"/>
      </patternFill>
    </fill>
    <fill>
      <patternFill patternType="solid">
        <fgColor rgb="FFD9EAD3"/>
        <bgColor rgb="FFDCE6F1"/>
      </patternFill>
    </fill>
    <fill>
      <patternFill patternType="solid">
        <fgColor rgb="FF00B050"/>
        <bgColor rgb="FF008080"/>
      </patternFill>
    </fill>
    <fill>
      <patternFill patternType="solid">
        <fgColor rgb="FFBFBFBF"/>
        <bgColor rgb="FFBFBFBF"/>
      </patternFill>
    </fill>
    <fill>
      <patternFill patternType="solid">
        <fgColor theme="4" tint="0.3999755851924192"/>
        <bgColor rgb="FFFFE082"/>
      </patternFill>
    </fill>
    <fill>
      <patternFill patternType="solid">
        <fgColor theme="4" tint="0.3999755851924192"/>
        <bgColor rgb="FFD9D9D9"/>
      </patternFill>
    </fill>
    <fill>
      <patternFill patternType="solid">
        <fgColor theme="4" tint="0.3999755851924192"/>
        <bgColor rgb="FFFFF8E1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rgb="FFBFBFBF"/>
      </patternFill>
    </fill>
    <fill>
      <patternFill patternType="solid">
        <fgColor theme="5" tint="0.3999755851924192"/>
        <bgColor rgb="FFD9D9D9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rgb="FFBFBFBF"/>
      </patternFill>
    </fill>
  </fills>
  <borders count="15">
    <border>
      <left/>
      <right/>
      <top/>
      <bottom/>
      <diagonal/>
    </border>
    <border>
      <left style="thin">
        <color rgb="FFFFE082"/>
      </left>
      <right style="thin">
        <color rgb="FFFFE082"/>
      </right>
      <top style="thin">
        <color rgb="FFFFE082"/>
      </top>
      <bottom style="thin">
        <color rgb="FFFFE08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14" fillId="0" borderId="0"/>
    <xf numFmtId="171" fontId="14" fillId="0" borderId="0"/>
    <xf numFmtId="0" fontId="14" fillId="0" borderId="0" applyAlignment="1">
      <alignment horizontal="left"/>
    </xf>
    <xf numFmtId="0" fontId="14" fillId="0" borderId="0"/>
    <xf numFmtId="0" fontId="14" fillId="0" borderId="0"/>
    <xf numFmtId="0" fontId="1" fillId="0" borderId="0"/>
    <xf numFmtId="0" fontId="1" fillId="0" borderId="0" applyAlignment="1">
      <alignment horizontal="left"/>
    </xf>
    <xf numFmtId="0" fontId="14" fillId="0" borderId="0"/>
  </cellStyleXfs>
  <cellXfs count="129">
    <xf numFmtId="0" fontId="0" fillId="0" borderId="0" pivotButton="0" quotePrefix="0" xfId="0"/>
    <xf numFmtId="0" fontId="12" fillId="0" borderId="2" applyAlignment="1" pivotButton="0" quotePrefix="0" xfId="0">
      <alignment horizontal="center" vertical="center" textRotation="90" wrapText="1"/>
    </xf>
    <xf numFmtId="0" fontId="11" fillId="0" borderId="2" applyAlignment="1" pivotButton="0" quotePrefix="0" xfId="0">
      <alignment horizontal="center" vertical="center" textRotation="90" wrapText="1"/>
    </xf>
    <xf numFmtId="0" fontId="1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/>
    </xf>
    <xf numFmtId="0" fontId="0" fillId="0" borderId="0" pivotButton="0" quotePrefix="0" xfId="0"/>
    <xf numFmtId="0" fontId="2" fillId="2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3" fillId="0" borderId="0" pivotButton="0" quotePrefix="0" xfId="0"/>
    <xf numFmtId="0" fontId="3" fillId="0" borderId="3" applyAlignment="1" pivotButton="0" quotePrefix="0" xfId="0">
      <alignment horizontal="center" wrapText="1"/>
    </xf>
    <xf numFmtId="0" fontId="4" fillId="0" borderId="3" pivotButton="0" quotePrefix="0" xfId="0"/>
    <xf numFmtId="0" fontId="2" fillId="0" borderId="2" applyAlignment="1" pivotButton="0" quotePrefix="0" xfId="0">
      <alignment horizont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right" textRotation="90" wrapText="1"/>
    </xf>
    <xf numFmtId="9" fontId="5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0" fontId="2" fillId="0" borderId="2" pivotButton="0" quotePrefix="0" xfId="0"/>
    <xf numFmtId="0" fontId="6" fillId="0" borderId="2" pivotButton="0" quotePrefix="0" xfId="0"/>
    <xf numFmtId="164" fontId="2" fillId="0" borderId="2" pivotButton="0" quotePrefix="0" xfId="0"/>
    <xf numFmtId="0" fontId="3" fillId="4" borderId="2" pivotButton="0" quotePrefix="0" xfId="0"/>
    <xf numFmtId="0" fontId="4" fillId="0" borderId="2" pivotButton="0" quotePrefix="0" xfId="0"/>
    <xf numFmtId="0" fontId="7" fillId="0" borderId="0" pivotButton="0" quotePrefix="0" xfId="0"/>
    <xf numFmtId="165" fontId="7" fillId="0" borderId="0" pivotButton="0" quotePrefix="0" xfId="0"/>
    <xf numFmtId="0" fontId="8" fillId="10" borderId="3" applyAlignment="1" pivotButton="0" quotePrefix="0" xfId="0">
      <alignment horizontal="center" wrapText="1"/>
    </xf>
    <xf numFmtId="0" fontId="9" fillId="0" borderId="3" pivotButton="0" quotePrefix="0" xfId="0"/>
    <xf numFmtId="165" fontId="9" fillId="0" borderId="3" pivotButton="0" quotePrefix="0" xfId="0"/>
    <xf numFmtId="166" fontId="9" fillId="0" borderId="3" pivotButton="0" quotePrefix="0" xfId="0"/>
    <xf numFmtId="3" fontId="9" fillId="0" borderId="3" pivotButton="0" quotePrefix="0" xfId="0"/>
    <xf numFmtId="0" fontId="9" fillId="11" borderId="3" pivotButton="0" quotePrefix="0" xfId="0"/>
    <xf numFmtId="0" fontId="10" fillId="0" borderId="2" applyAlignment="1" pivotButton="0" quotePrefix="0" xfId="0">
      <alignment horizontal="center"/>
    </xf>
    <xf numFmtId="0" fontId="10" fillId="0" borderId="6" pivotButton="0" quotePrefix="0" xfId="0"/>
    <xf numFmtId="0" fontId="11" fillId="12" borderId="0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 textRotation="90" wrapText="1"/>
    </xf>
    <xf numFmtId="167" fontId="10" fillId="0" borderId="2" applyAlignment="1" pivotButton="0" quotePrefix="0" xfId="0">
      <alignment vertical="center" wrapText="1"/>
    </xf>
    <xf numFmtId="167" fontId="13" fillId="0" borderId="2" pivotButton="0" quotePrefix="0" xfId="0"/>
    <xf numFmtId="0" fontId="10" fillId="0" borderId="2" pivotButton="0" quotePrefix="0" xfId="0"/>
    <xf numFmtId="167" fontId="10" fillId="0" borderId="2" applyAlignment="1" pivotButton="0" quotePrefix="0" xfId="0">
      <alignment horizontal="center" vertical="center" wrapText="1"/>
    </xf>
    <xf numFmtId="167" fontId="10" fillId="0" borderId="2" pivotButton="0" quotePrefix="0" xfId="0"/>
    <xf numFmtId="9" fontId="10" fillId="0" borderId="2" pivotButton="0" quotePrefix="0" xfId="0"/>
    <xf numFmtId="168" fontId="10" fillId="0" borderId="2" pivotButton="0" quotePrefix="0" xfId="0"/>
    <xf numFmtId="0" fontId="10" fillId="0" borderId="2" applyAlignment="1" pivotButton="0" quotePrefix="0" xfId="0">
      <alignment horizontal="left"/>
    </xf>
    <xf numFmtId="0" fontId="11" fillId="0" borderId="2" pivotButton="0" quotePrefix="0" xfId="0"/>
    <xf numFmtId="166" fontId="10" fillId="0" borderId="2" pivotButton="0" quotePrefix="0" xfId="0"/>
    <xf numFmtId="169" fontId="10" fillId="0" borderId="2" pivotButton="0" quotePrefix="0" xfId="0"/>
    <xf numFmtId="167" fontId="10" fillId="0" borderId="2" applyAlignment="1" pivotButton="0" quotePrefix="0" xfId="0">
      <alignment horizontal="left" wrapText="1"/>
    </xf>
    <xf numFmtId="167" fontId="10" fillId="0" borderId="2" applyAlignment="1" pivotButton="0" quotePrefix="0" xfId="0">
      <alignment horizontal="center" wrapText="1"/>
    </xf>
    <xf numFmtId="167" fontId="13" fillId="0" borderId="2" applyAlignment="1" pivotButton="0" quotePrefix="0" xfId="0">
      <alignment horizontal="center"/>
    </xf>
    <xf numFmtId="170" fontId="10" fillId="0" borderId="2" pivotButton="0" quotePrefix="0" xfId="0"/>
    <xf numFmtId="168" fontId="10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2" pivotButton="0" quotePrefix="0" xfId="0"/>
    <xf numFmtId="0" fontId="16" fillId="8" borderId="2" pivotButton="0" quotePrefix="0" xfId="0"/>
    <xf numFmtId="168" fontId="16" fillId="0" borderId="2" pivotButton="0" quotePrefix="0" xfId="0"/>
    <xf numFmtId="0" fontId="15" fillId="5" borderId="2" pivotButton="0" quotePrefix="0" xfId="0"/>
    <xf numFmtId="168" fontId="16" fillId="5" borderId="2" pivotButton="0" quotePrefix="0" xfId="0"/>
    <xf numFmtId="0" fontId="15" fillId="9" borderId="2" pivotButton="0" quotePrefix="0" xfId="0"/>
    <xf numFmtId="168" fontId="16" fillId="9" borderId="2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2" pivotButton="0" quotePrefix="0" xfId="0"/>
    <xf numFmtId="1" fontId="16" fillId="8" borderId="2" applyAlignment="1" pivotButton="0" quotePrefix="0" xfId="0">
      <alignment horizontal="right"/>
    </xf>
    <xf numFmtId="0" fontId="15" fillId="0" borderId="5" applyAlignment="1" pivotButton="0" quotePrefix="0" xfId="0">
      <alignment horizontal="center" vertical="center"/>
    </xf>
    <xf numFmtId="0" fontId="17" fillId="5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" fillId="0" borderId="0" pivotButton="0" quotePrefix="0" xfId="0"/>
    <xf numFmtId="0" fontId="19" fillId="4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/>
    </xf>
    <xf numFmtId="0" fontId="20" fillId="7" borderId="4" applyAlignment="1" pivotButton="0" quotePrefix="0" xfId="0">
      <alignment horizontal="center" vertical="center"/>
    </xf>
    <xf numFmtId="0" fontId="1" fillId="0" borderId="0" pivotButton="0" quotePrefix="0" xfId="0"/>
    <xf numFmtId="0" fontId="19" fillId="5" borderId="2" pivotButton="0" quotePrefix="0" xfId="0"/>
    <xf numFmtId="0" fontId="19" fillId="9" borderId="2" applyAlignment="1" pivotButton="0" quotePrefix="0" xfId="0">
      <alignment horizontal="left" vertical="center"/>
    </xf>
    <xf numFmtId="164" fontId="2" fillId="0" borderId="2" pivotButton="0" quotePrefix="0" xfId="0"/>
    <xf numFmtId="0" fontId="20" fillId="13" borderId="4" applyAlignment="1" pivotButton="0" quotePrefix="0" xfId="0">
      <alignment horizontal="center" vertical="center"/>
    </xf>
    <xf numFmtId="168" fontId="16" fillId="0" borderId="2" pivotButton="0" quotePrefix="0" xfId="0"/>
    <xf numFmtId="0" fontId="0" fillId="0" borderId="7" pivotButton="0" quotePrefix="0" xfId="0"/>
    <xf numFmtId="0" fontId="14" fillId="0" borderId="7" pivotButton="0" quotePrefix="0" xfId="0"/>
    <xf numFmtId="168" fontId="16" fillId="5" borderId="2" pivotButton="0" quotePrefix="0" xfId="0"/>
    <xf numFmtId="168" fontId="16" fillId="9" borderId="2" pivotButton="0" quotePrefix="0" xfId="0"/>
    <xf numFmtId="0" fontId="0" fillId="0" borderId="4" pivotButton="0" quotePrefix="0" xfId="0"/>
    <xf numFmtId="165" fontId="7" fillId="0" borderId="0" pivotButton="0" quotePrefix="0" xfId="0"/>
    <xf numFmtId="165" fontId="9" fillId="0" borderId="3" pivotButton="0" quotePrefix="0" xfId="0"/>
    <xf numFmtId="166" fontId="9" fillId="0" borderId="3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10" pivotButton="0" quotePrefix="0" xfId="0"/>
    <xf numFmtId="167" fontId="10" fillId="0" borderId="2" applyAlignment="1" pivotButton="0" quotePrefix="0" xfId="0">
      <alignment vertical="center" wrapText="1"/>
    </xf>
    <xf numFmtId="167" fontId="13" fillId="0" borderId="2" pivotButton="0" quotePrefix="0" xfId="0"/>
    <xf numFmtId="167" fontId="10" fillId="0" borderId="2" applyAlignment="1" pivotButton="0" quotePrefix="0" xfId="0">
      <alignment horizontal="center" vertical="center" wrapText="1"/>
    </xf>
    <xf numFmtId="167" fontId="10" fillId="0" borderId="2" pivotButton="0" quotePrefix="0" xfId="0"/>
    <xf numFmtId="168" fontId="10" fillId="0" borderId="2" pivotButton="0" quotePrefix="0" xfId="0"/>
    <xf numFmtId="166" fontId="10" fillId="0" borderId="2" pivotButton="0" quotePrefix="0" xfId="0"/>
    <xf numFmtId="169" fontId="10" fillId="0" borderId="2" pivotButton="0" quotePrefix="0" xfId="0"/>
    <xf numFmtId="167" fontId="10" fillId="0" borderId="2" applyAlignment="1" pivotButton="0" quotePrefix="0" xfId="0">
      <alignment horizontal="left" wrapText="1"/>
    </xf>
    <xf numFmtId="167" fontId="10" fillId="0" borderId="2" applyAlignment="1" pivotButton="0" quotePrefix="0" xfId="0">
      <alignment horizontal="center" wrapText="1"/>
    </xf>
    <xf numFmtId="167" fontId="13" fillId="0" borderId="2" applyAlignment="1" pivotButton="0" quotePrefix="0" xfId="0">
      <alignment horizontal="center"/>
    </xf>
    <xf numFmtId="170" fontId="10" fillId="0" borderId="2" pivotButton="0" quotePrefix="0" xfId="0"/>
    <xf numFmtId="168" fontId="10" fillId="0" borderId="0" pivotButton="0" quotePrefix="0" xfId="0"/>
    <xf numFmtId="0" fontId="17" fillId="5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center" vertical="center"/>
    </xf>
    <xf numFmtId="0" fontId="14" fillId="0" borderId="0" pivotButton="0" quotePrefix="0" xfId="0"/>
    <xf numFmtId="0" fontId="20" fillId="13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0" fillId="0" borderId="9" pivotButton="0" quotePrefix="0" xfId="0"/>
    <xf numFmtId="0" fontId="14" fillId="0" borderId="2" pivotButton="0" quotePrefix="0" xfId="0"/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/>
    </xf>
    <xf numFmtId="0" fontId="19" fillId="14" borderId="2" applyAlignment="1" pivotButton="0" quotePrefix="0" xfId="0">
      <alignment horizontal="left" vertical="center"/>
    </xf>
    <xf numFmtId="0" fontId="15" fillId="15" borderId="2" pivotButton="0" quotePrefix="0" xfId="0"/>
    <xf numFmtId="168" fontId="16" fillId="15" borderId="2" pivotButton="0" quotePrefix="0" xfId="0"/>
    <xf numFmtId="168" fontId="16" fillId="14" borderId="2" pivotButton="0" quotePrefix="0" xfId="0"/>
    <xf numFmtId="0" fontId="15" fillId="14" borderId="2" pivotButton="0" quotePrefix="0" xfId="0"/>
    <xf numFmtId="0" fontId="15" fillId="0" borderId="2" applyAlignment="1" pivotButton="0" quotePrefix="0" xfId="0">
      <alignment horizontal="center"/>
    </xf>
    <xf numFmtId="0" fontId="16" fillId="16" borderId="2" pivotButton="0" quotePrefix="0" xfId="0"/>
    <xf numFmtId="168" fontId="16" fillId="17" borderId="2" pivotButton="0" quotePrefix="0" xfId="0"/>
    <xf numFmtId="0" fontId="14" fillId="0" borderId="2" applyAlignment="1" pivotButton="0" quotePrefix="0" xfId="0">
      <alignment horizontal="center"/>
    </xf>
    <xf numFmtId="0" fontId="14" fillId="17" borderId="2" pivotButton="0" quotePrefix="0" xfId="0"/>
    <xf numFmtId="0" fontId="15" fillId="0" borderId="2" applyAlignment="1" pivotButton="0" quotePrefix="0" xfId="0">
      <alignment horizontal="center" vertical="center" wrapText="1"/>
    </xf>
    <xf numFmtId="0" fontId="14" fillId="0" borderId="9" pivotButton="0" quotePrefix="0" xfId="0"/>
    <xf numFmtId="0" fontId="14" fillId="0" borderId="6" pivotButton="0" quotePrefix="0" xfId="0"/>
    <xf numFmtId="0" fontId="14" fillId="0" borderId="13" pivotButton="0" quotePrefix="0" xfId="0"/>
    <xf numFmtId="0" fontId="17" fillId="5" borderId="14" applyAlignment="1" pivotButton="0" quotePrefix="0" xfId="0">
      <alignment horizontal="center" vertical="center"/>
    </xf>
    <xf numFmtId="0" fontId="20" fillId="18" borderId="2" applyAlignment="1" pivotButton="0" quotePrefix="0" xfId="0">
      <alignment horizontal="center" vertical="center"/>
    </xf>
    <xf numFmtId="0" fontId="14" fillId="0" borderId="10" pivotButton="0" quotePrefix="0" xfId="0"/>
    <xf numFmtId="0" fontId="19" fillId="19" borderId="2" pivotButton="0" quotePrefix="0" xfId="0"/>
    <xf numFmtId="0" fontId="14" fillId="20" borderId="2" pivotButton="0" quotePrefix="0" xfId="0"/>
    <xf numFmtId="168" fontId="16" fillId="19" borderId="2" pivotButton="0" quotePrefix="0" xfId="0"/>
    <xf numFmtId="0" fontId="20" fillId="21" borderId="2" applyAlignment="1" pivotButton="0" quotePrefix="0" xfId="0">
      <alignment horizontal="center" vertical="center"/>
    </xf>
  </cellXfs>
  <cellStyles count="8">
    <cellStyle name="Normal" xfId="0" builtinId="0"/>
    <cellStyle name="Comma 2" xfId="1"/>
    <cellStyle name="Pivot Table Category" xfId="2"/>
    <cellStyle name="Pivot Table Corner" xfId="3"/>
    <cellStyle name="Pivot Table Field" xfId="4"/>
    <cellStyle name="Pivot Table Result" xfId="5"/>
    <cellStyle name="Pivot Table Title" xfId="6"/>
    <cellStyle name="Pivot Table Value" xfId="7"/>
  </cellStyles>
  <dxfs count="4">
    <dxf>
      <font>
        <name val="Trebuchet MS"/>
        <color rgb="FFCC0000"/>
        <sz val="11"/>
      </font>
    </dxf>
    <dxf>
      <font>
        <name val="Trebuchet MS"/>
        <color rgb="FFCC0000"/>
        <sz val="11"/>
      </font>
    </dxf>
    <dxf>
      <font>
        <name val="Trebuchet MS"/>
        <color rgb="FFCC0000"/>
        <sz val="11"/>
      </font>
    </dxf>
    <dxf>
      <font>
        <name val="Trebuchet MS"/>
        <color rgb="FFCC0000"/>
        <sz val="1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6A612C"/>
      <rgbColor rgb="FF800080"/>
      <rgbColor rgb="FF008080"/>
      <rgbColor rgb="FFBFBFBF"/>
      <rgbColor rgb="FF808080"/>
      <rgbColor rgb="FF9999FF"/>
      <rgbColor rgb="FF993366"/>
      <rgbColor rgb="FFFFF8E1"/>
      <rgbColor rgb="FFDCE6F1"/>
      <rgbColor rgb="FF660066"/>
      <rgbColor rgb="FFFF8080"/>
      <rgbColor rgb="FF0066CC"/>
      <rgbColor rgb="FFB6C6DE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EBF1DE"/>
      <rgbColor rgb="FFD9EAD3"/>
      <rgbColor rgb="FFFFF2CC"/>
      <rgbColor rgb="FFD9D9D9"/>
      <rgbColor rgb="FFDAD3A6"/>
      <rgbColor rgb="FFCC99FF"/>
      <rgbColor rgb="FFF6BF73"/>
      <rgbColor rgb="FF3366FF"/>
      <rgbColor rgb="FF33CCCC"/>
      <rgbColor rgb="FF99CC00"/>
      <rgbColor rgb="FFFFE082"/>
      <rgbColor rgb="FFFF9900"/>
      <rgbColor rgb="FFFF6600"/>
      <rgbColor rgb="FF666699"/>
      <rgbColor rgb="FFAAAAAA"/>
      <rgbColor rgb="FF002060"/>
      <rgbColor rgb="FF00B050"/>
      <rgbColor rgb="FF003300"/>
      <rgbColor rgb="FF333300"/>
      <rgbColor rgb="FF9D360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data/data/data/data/data/C:/COST%20SHEET/EOU%20Cost%20Sheet(K9316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UOM Master"/>
      <sheetName val="BHlend Master"/>
      <sheetName val="PM Master File"/>
      <sheetName val="Sheet1"/>
      <sheetName val="BOM Master Sheet"/>
      <sheetName val="EXCISE BOM "/>
      <sheetName val="Master-Main"/>
      <sheetName val="Sheet2"/>
      <sheetName val="Summary"/>
      <sheetName val="Russia Tbgs"/>
      <sheetName val="Te-A-Me"/>
      <sheetName val="Ahold-4 Gms"/>
      <sheetName val="Ahold-2 Gms Env"/>
      <sheetName val="Diplomat"/>
      <sheetName val="Coop"/>
      <sheetName val="Delhaize"/>
      <sheetName val="Amway"/>
      <sheetName val="Unil"/>
      <sheetName val="FTA"/>
      <sheetName val="Axfood Tbgs"/>
      <sheetName val="Axfood Pouch"/>
      <sheetName val="Russia Bulk"/>
      <sheetName val="Alfina"/>
      <sheetName val="G.Victoria"/>
      <sheetName val="Khaima"/>
      <sheetName val="Richmond"/>
      <sheetName val="Gold Bond"/>
      <sheetName val="Gamelia"/>
      <sheetName val="Ginny"/>
      <sheetName val="Chaya"/>
      <sheetName val="Q Gold"/>
      <sheetName val="Indus"/>
      <sheetName val="BOM"/>
      <sheetName val="FG-wise Labour Cost"/>
      <sheetName val="Master FG"/>
      <sheetName val="FG Master"/>
      <sheetName val="Fixed&amp;Misc Charges-Assumptions"/>
      <sheetName val="Master_Shipmnt and Misc Charge"/>
      <sheetName val="Master-Labour Charge"/>
      <sheetName val="Master-Tag_Env Costing"/>
      <sheetName val="Master-PM COST"/>
      <sheetName val="Master Blend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Berlin">
  <a:themeElements>
    <a:clrScheme name="Berlin">
      <a:dk1>
        <a:srgbClr val="000000"/>
      </a:dk1>
      <a:lt1>
        <a:srgbClr val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</a:majorFont>
      <a:minorFont>
        <a:latin typeface="Trebuchet MS" panose="020B0603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70000"/>
                <a:lumMod val="100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6000"/>
                <a:shade val="100000"/>
                <a:lumMod val="128000"/>
              </a:schemeClr>
            </a:gs>
            <a:gs pos="50000">
              <a:schemeClr val="phClr">
                <a:shade val="100000"/>
                <a:lumMod val="130000"/>
              </a:schemeClr>
            </a:gs>
            <a:gs pos="100000">
              <a:schemeClr val="phClr">
                <a:shade val="78000"/>
                <a:lumMod val="69000"/>
              </a:schemeClr>
            </a:gs>
          </a:gsLst>
          <a:lin ang="252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1"/>
  <sheetViews>
    <sheetView tabSelected="0" topLeftCell="D1" zoomScaleNormal="100" workbookViewId="0">
      <selection activeCell="E61" sqref="E61"/>
    </sheetView>
  </sheetViews>
  <sheetFormatPr baseColWidth="8" defaultColWidth="8.5546875" defaultRowHeight="14.4"/>
  <cols>
    <col width="78.33203125" customWidth="1" style="5" min="2" max="2"/>
    <col width="88.33203125" customWidth="1" style="5" min="5" max="5"/>
  </cols>
  <sheetData>
    <row r="1" ht="14.25" customHeight="1" s="5">
      <c r="A1" s="6" t="inlineStr">
        <is>
          <t>Item Id</t>
        </is>
      </c>
      <c r="B1" s="6" t="inlineStr">
        <is>
          <t>BOM Hdr Item Name</t>
        </is>
      </c>
      <c r="C1" s="6" t="inlineStr">
        <is>
          <t>Brand</t>
        </is>
      </c>
      <c r="D1" s="6" t="inlineStr">
        <is>
          <t>Item Id1</t>
        </is>
      </c>
      <c r="E1" s="6" t="inlineStr">
        <is>
          <t>Item_Name</t>
        </is>
      </c>
      <c r="F1" s="6" t="inlineStr">
        <is>
          <t>Qty</t>
        </is>
      </c>
      <c r="G1" s="6" t="inlineStr">
        <is>
          <t>UOM_Name</t>
        </is>
      </c>
    </row>
    <row r="2" ht="14.25" customHeight="1" s="5">
      <c r="A2" s="7" t="n">
        <v>34540</v>
      </c>
      <c r="B2" s="7" t="inlineStr">
        <is>
          <t>108 LIFE DETOX 24/30 PYRAMID ENV TBGS</t>
        </is>
      </c>
      <c r="C2" s="7" t="inlineStr">
        <is>
          <t>108 LIFE</t>
        </is>
      </c>
      <c r="D2" s="7" t="n">
        <v>34543</v>
      </c>
      <c r="E2" s="7" t="inlineStr">
        <is>
          <t>108 LIFE DETOX 30 PYRAMID ENV TBGS</t>
        </is>
      </c>
      <c r="F2" s="7" t="n">
        <v>24</v>
      </c>
      <c r="G2" s="7" t="inlineStr">
        <is>
          <t>CTN</t>
        </is>
      </c>
      <c r="H2" t="inlineStr">
        <is>
          <t>BLEND DETOX HERBAL 108 PY TB</t>
        </is>
      </c>
    </row>
    <row r="3" ht="14.25" customHeight="1" s="5">
      <c r="A3" s="7" t="n">
        <v>34541</v>
      </c>
      <c r="B3" s="7" t="inlineStr">
        <is>
          <t>108 LIFE HIBISCUS LEMON GINGER 24/30 PYRAMID ENV TBGS</t>
        </is>
      </c>
      <c r="C3" s="7" t="inlineStr">
        <is>
          <t>108 LIFE</t>
        </is>
      </c>
      <c r="D3" s="7" t="n">
        <v>34542</v>
      </c>
      <c r="E3" s="7" t="inlineStr">
        <is>
          <t>108 LIFE HIBISCUS LEMON GINGER 30 PYRAMID ENV TBGS</t>
        </is>
      </c>
      <c r="F3" s="7" t="n">
        <v>24</v>
      </c>
      <c r="G3" s="7" t="inlineStr">
        <is>
          <t>CTN</t>
        </is>
      </c>
      <c r="H3" t="inlineStr">
        <is>
          <t>BLEND HERBAL LEMON GINGER CC EXOTIC</t>
        </is>
      </c>
    </row>
    <row r="4" ht="14.25" customHeight="1" s="5">
      <c r="A4" s="7" t="n">
        <v>34539</v>
      </c>
      <c r="B4" s="7" t="inlineStr">
        <is>
          <t>108 LIFE KASHMIRI KAHWA 24/30 PYRAMID ENV TBGS</t>
        </is>
      </c>
      <c r="C4" s="7" t="inlineStr">
        <is>
          <t>108 LIFE</t>
        </is>
      </c>
      <c r="D4" s="7" t="n">
        <v>34544</v>
      </c>
      <c r="E4" s="7" t="inlineStr">
        <is>
          <t>108 LIFE KASHMIRI KAHWA 30 PYRAMID ENV TBGS</t>
        </is>
      </c>
      <c r="F4" s="7" t="n">
        <v>24</v>
      </c>
      <c r="G4" s="7" t="inlineStr">
        <is>
          <t>CTN</t>
        </is>
      </c>
      <c r="H4" t="inlineStr">
        <is>
          <t>BLEND GREEN TEA KASHMIRI KAHWA CC EXOTIC</t>
        </is>
      </c>
    </row>
    <row r="5" ht="14.25" customHeight="1" s="5">
      <c r="A5" s="7" t="n">
        <v>2738</v>
      </c>
      <c r="B5" s="7" t="inlineStr">
        <is>
          <t>AARAMBHA ASSAM BOGO 48/25  DC SF TAG TBGS</t>
        </is>
      </c>
      <c r="C5" s="7" t="inlineStr">
        <is>
          <t>AARAMBHA</t>
        </is>
      </c>
      <c r="D5" s="7" t="n">
        <v>2739</v>
      </c>
      <c r="E5" s="7" t="inlineStr">
        <is>
          <t>AARAMBHA ASSAM 25  DC SF TAG TBGS</t>
        </is>
      </c>
      <c r="F5" s="7" t="n">
        <v>48</v>
      </c>
      <c r="G5" s="7" t="inlineStr">
        <is>
          <t>CTN</t>
        </is>
      </c>
      <c r="H5" t="inlineStr">
        <is>
          <t>BLEND 909</t>
        </is>
      </c>
    </row>
    <row r="6" ht="14.25" customHeight="1" s="5">
      <c r="A6" s="7" t="n">
        <v>19192</v>
      </c>
      <c r="B6" s="7" t="inlineStr">
        <is>
          <t>AARAMBHA ASSAM CTC TEA 36/100 DC SF HS TAG TBGS</t>
        </is>
      </c>
      <c r="C6" s="7" t="inlineStr">
        <is>
          <t>AARAMBHA</t>
        </is>
      </c>
      <c r="D6" s="7" t="n">
        <v>19191</v>
      </c>
      <c r="E6" s="7" t="inlineStr">
        <is>
          <t>AARAMBHA ASSAM CTC TEA 100 DC SF HS TAG TBGS</t>
        </is>
      </c>
      <c r="F6" s="7" t="n">
        <v>36</v>
      </c>
      <c r="G6" s="7" t="inlineStr">
        <is>
          <t>CTN</t>
        </is>
      </c>
      <c r="H6" t="inlineStr">
        <is>
          <t>BLEND 909</t>
        </is>
      </c>
    </row>
    <row r="7" ht="14.25" customHeight="1" s="5">
      <c r="A7" s="7" t="n">
        <v>2751</v>
      </c>
      <c r="B7" s="7" t="inlineStr">
        <is>
          <t>AARAMBHA GREEN 24/25 DC SF HS ENV TBGS</t>
        </is>
      </c>
      <c r="C7" s="7" t="inlineStr">
        <is>
          <t>AARAMBHA</t>
        </is>
      </c>
      <c r="D7" s="7" t="n">
        <v>2752</v>
      </c>
      <c r="E7" s="7" t="inlineStr">
        <is>
          <t>AARAMBHA GREEN 25 DC SF HS ENV TBGS</t>
        </is>
      </c>
      <c r="F7" s="7" t="n">
        <v>24</v>
      </c>
      <c r="G7" s="7" t="inlineStr">
        <is>
          <t>CTN</t>
        </is>
      </c>
      <c r="H7" t="inlineStr">
        <is>
          <t>BLEND TEAME GREEN</t>
        </is>
      </c>
    </row>
    <row r="8" ht="14.25" customHeight="1" s="5">
      <c r="A8" s="7" t="n">
        <v>18991</v>
      </c>
      <c r="B8" s="7" t="inlineStr">
        <is>
          <t>AARAMBHA HONEY LEMON GREEN 24/25 DC SF HS ENV TBGS</t>
        </is>
      </c>
      <c r="C8" s="7" t="inlineStr">
        <is>
          <t>AARAMBHA</t>
        </is>
      </c>
      <c r="D8" s="7" t="n">
        <v>2758</v>
      </c>
      <c r="E8" s="7" t="inlineStr">
        <is>
          <t>AARAMBHA HONEY LEMON GREEN 25 DC SF HS ENV TBGS</t>
        </is>
      </c>
      <c r="F8" s="7" t="n">
        <v>24</v>
      </c>
      <c r="G8" s="7" t="inlineStr">
        <is>
          <t>CTN</t>
        </is>
      </c>
      <c r="H8" t="inlineStr">
        <is>
          <t>BLEND GREEN TEA HONEY LEMON RELIANCE TBC</t>
        </is>
      </c>
    </row>
    <row r="9" ht="14.25" customHeight="1" s="5">
      <c r="A9" s="7" t="n">
        <v>28708</v>
      </c>
      <c r="B9" s="7" t="inlineStr">
        <is>
          <t>AFRICA CHOICE 12/100 DC ENV TBGS</t>
        </is>
      </c>
      <c r="C9" s="7" t="inlineStr">
        <is>
          <t>AFRICA`S CHOICE</t>
        </is>
      </c>
      <c r="D9" s="7" t="n">
        <v>28717</v>
      </c>
      <c r="E9" s="7" t="inlineStr">
        <is>
          <t>AFRICA CHOICE 100 DC ENV TBGS</t>
        </is>
      </c>
      <c r="F9" s="7" t="n">
        <v>12</v>
      </c>
      <c r="G9" s="7" t="inlineStr">
        <is>
          <t>CTN</t>
        </is>
      </c>
      <c r="H9" t="inlineStr">
        <is>
          <t>BLEND 786</t>
        </is>
      </c>
    </row>
    <row r="10" ht="14.25" customHeight="1" s="5">
      <c r="A10" s="7" t="n">
        <v>26730</v>
      </c>
      <c r="B10" s="7" t="inlineStr">
        <is>
          <t>AFRICA CHOICE 24/25 DC ENV TBGS</t>
        </is>
      </c>
      <c r="C10" s="7" t="inlineStr">
        <is>
          <t>AFRICA`S CHOICE</t>
        </is>
      </c>
      <c r="D10" s="7" t="n">
        <v>26752</v>
      </c>
      <c r="E10" s="7" t="inlineStr">
        <is>
          <t>AFRICA  CHOICE 25 DC ENV TBGS</t>
        </is>
      </c>
      <c r="F10" s="7" t="n">
        <v>24</v>
      </c>
      <c r="G10" s="7" t="inlineStr">
        <is>
          <t>CTN</t>
        </is>
      </c>
      <c r="H10" t="inlineStr">
        <is>
          <t>BLEND 786</t>
        </is>
      </c>
    </row>
    <row r="11" ht="14.25" customHeight="1" s="5">
      <c r="A11" s="7" t="n">
        <v>21745</v>
      </c>
      <c r="B11" s="7" t="inlineStr">
        <is>
          <t>AHOLD RFA 12/100 DCF PENV TBGS</t>
        </is>
      </c>
      <c r="C11" s="7" t="inlineStr">
        <is>
          <t>AHOLD</t>
        </is>
      </c>
      <c r="D11" s="7" t="n">
        <v>21757</v>
      </c>
      <c r="E11" s="7" t="inlineStr">
        <is>
          <t>AHOLD RFA 100 DCF PENV TBGS</t>
        </is>
      </c>
      <c r="F11" s="7" t="n">
        <v>12</v>
      </c>
      <c r="G11" s="7" t="inlineStr">
        <is>
          <t>CTN</t>
        </is>
      </c>
      <c r="H11" t="inlineStr">
        <is>
          <t>BLEND 7001RF</t>
        </is>
      </c>
    </row>
    <row r="12" ht="14.25" customHeight="1" s="5">
      <c r="A12" s="7" t="n">
        <v>21758</v>
      </c>
      <c r="B12" s="7" t="inlineStr">
        <is>
          <t>AHOLD RFA 12/100 PENV TBGS</t>
        </is>
      </c>
      <c r="C12" s="7" t="inlineStr">
        <is>
          <t>AHOLD</t>
        </is>
      </c>
      <c r="D12" s="7" t="n">
        <v>21765</v>
      </c>
      <c r="E12" s="7" t="inlineStr">
        <is>
          <t>AHOLD RFA 100 PENV TBGS</t>
        </is>
      </c>
      <c r="F12" s="7" t="n">
        <v>12</v>
      </c>
      <c r="G12" s="7" t="inlineStr">
        <is>
          <t>CTN</t>
        </is>
      </c>
      <c r="H12" t="inlineStr">
        <is>
          <t>BLEND 7002RF</t>
        </is>
      </c>
    </row>
    <row r="13" ht="14.25" customHeight="1" s="5">
      <c r="A13" s="7" t="n">
        <v>22180</v>
      </c>
      <c r="B13" s="7" t="inlineStr">
        <is>
          <t>AHOLD STOP SHOP 12/24 PFSTAG TBGS</t>
        </is>
      </c>
      <c r="C13" s="7" t="inlineStr">
        <is>
          <t>AHOLD</t>
        </is>
      </c>
      <c r="D13" s="7" t="n">
        <v>22801</v>
      </c>
      <c r="E13" s="7" t="inlineStr">
        <is>
          <t>AHOLD STOP SHOP 24 PFSTAG TBGS</t>
        </is>
      </c>
      <c r="F13" s="7" t="n">
        <v>12</v>
      </c>
      <c r="G13" s="7" t="inlineStr">
        <is>
          <t>CTN</t>
        </is>
      </c>
      <c r="H13" t="inlineStr">
        <is>
          <t>BLEND 7004RF</t>
        </is>
      </c>
    </row>
    <row r="14" ht="14.25" customHeight="1" s="5">
      <c r="A14" s="7" t="n">
        <v>263</v>
      </c>
      <c r="B14" s="7" t="inlineStr">
        <is>
          <t>AKOUNA 12/100 DC ENV TBGS</t>
        </is>
      </c>
      <c r="C14" s="7" t="inlineStr">
        <is>
          <t>AKOUNA</t>
        </is>
      </c>
      <c r="D14" s="7" t="n">
        <v>264</v>
      </c>
      <c r="E14" s="7" t="inlineStr">
        <is>
          <t>AKOUNA 100 DC ENV TBGS</t>
        </is>
      </c>
      <c r="F14" s="7" t="n">
        <v>12</v>
      </c>
      <c r="G14" s="7" t="inlineStr">
        <is>
          <t>CTN</t>
        </is>
      </c>
      <c r="H14" t="inlineStr">
        <is>
          <t>BLEND 786</t>
        </is>
      </c>
    </row>
    <row r="15" ht="14.25" customHeight="1" s="5">
      <c r="A15" s="7" t="n">
        <v>274</v>
      </c>
      <c r="B15" s="7" t="inlineStr">
        <is>
          <t>AKOUNA 24/100 SC TBGS TAGLESS</t>
        </is>
      </c>
      <c r="C15" s="7" t="inlineStr">
        <is>
          <t>AKOUNA</t>
        </is>
      </c>
      <c r="D15" s="7" t="n">
        <v>275</v>
      </c>
      <c r="E15" s="7" t="inlineStr">
        <is>
          <t>AKOUNA 100 SC TBGS TAGLESS</t>
        </is>
      </c>
      <c r="F15" s="7" t="n">
        <v>24</v>
      </c>
      <c r="G15" s="7" t="inlineStr">
        <is>
          <t>CTN</t>
        </is>
      </c>
      <c r="H15" t="inlineStr">
        <is>
          <t>BLEND CHAYA PLUS</t>
        </is>
      </c>
    </row>
    <row r="16" ht="14.25" customHeight="1" s="5">
      <c r="A16" s="7" t="n">
        <v>35243</v>
      </c>
      <c r="B16" s="7" t="inlineStr">
        <is>
          <t>AKOUNA CAPPUCCINO 3 IN 1 (25GMS) 12 STRIPS X 10 SACHETS WITH HANGER</t>
        </is>
      </c>
      <c r="C16" s="7" t="inlineStr">
        <is>
          <t>AKOUNA</t>
        </is>
      </c>
      <c r="D16" s="7" t="n">
        <v>35294</v>
      </c>
      <c r="E16" s="7" t="inlineStr">
        <is>
          <t>AKOUNA CAPPUCCINO 3 IN 1 (25GMS)</t>
        </is>
      </c>
      <c r="F16" s="7" t="n">
        <v>120</v>
      </c>
      <c r="G16" s="7" t="inlineStr">
        <is>
          <t>POUCH</t>
        </is>
      </c>
      <c r="H16" t="inlineStr">
        <is>
          <t>BLEND INSTANT CAPPUCCINO AFRICA</t>
        </is>
      </c>
    </row>
    <row r="17" ht="14.25" customHeight="1" s="5">
      <c r="A17" s="7" t="n">
        <v>35724</v>
      </c>
      <c r="B17" s="7" t="inlineStr">
        <is>
          <t>AKOUNA INSTANT COFFEE 9/150 SACHETS (15 STRIPS X 10 SACHETS X 1.5 GMS) WITH HANGER</t>
        </is>
      </c>
      <c r="C17" s="7" t="inlineStr">
        <is>
          <t>AKOUNA</t>
        </is>
      </c>
      <c r="D17" s="7" t="n">
        <v>36052</v>
      </c>
      <c r="E17" s="7" t="inlineStr">
        <is>
          <t>AKOUNA INSTANT COFFEE 150 SACHETS (1.5 GMS)</t>
        </is>
      </c>
      <c r="F17" s="7" t="n">
        <v>9</v>
      </c>
      <c r="G17" s="7" t="inlineStr">
        <is>
          <t>CTN</t>
        </is>
      </c>
      <c r="H17" t="inlineStr">
        <is>
          <t>BLEND PURE COFFEE AFRICA INSTANT</t>
        </is>
      </c>
    </row>
    <row r="18" ht="14.25" customHeight="1" s="5">
      <c r="A18" s="7" t="n">
        <v>34585</v>
      </c>
      <c r="B18" s="7" t="inlineStr">
        <is>
          <t>AKOUNA COFFEE 3 IN 1 (25 GMS) 12 STRIPS X 10 SACHETS WITH HANGER</t>
        </is>
      </c>
      <c r="C18" s="7" t="inlineStr">
        <is>
          <t>AKOUNA</t>
        </is>
      </c>
      <c r="D18" s="7" t="n">
        <v>34598</v>
      </c>
      <c r="E18" s="7" t="inlineStr">
        <is>
          <t>AKOUNA COFFEE 3 IN 1 (25GMS)</t>
        </is>
      </c>
      <c r="F18" s="7" t="n">
        <v>120</v>
      </c>
      <c r="G18" s="7" t="inlineStr">
        <is>
          <t>POUCH</t>
        </is>
      </c>
      <c r="H18" t="inlineStr">
        <is>
          <t>BLEND INSTANT COFFEE AFRICA</t>
        </is>
      </c>
    </row>
    <row r="19" ht="14.25" customHeight="1" s="5">
      <c r="A19" s="7" t="n">
        <v>34586</v>
      </c>
      <c r="B19" s="7" t="inlineStr">
        <is>
          <t>AKOUNA COFFEE 3 IN 1 (32 GMS) 12 STRIPS X 10 SACHETS WITH HANGER</t>
        </is>
      </c>
      <c r="C19" s="7" t="inlineStr">
        <is>
          <t>AKOUNA</t>
        </is>
      </c>
      <c r="D19" s="7" t="n">
        <v>34599</v>
      </c>
      <c r="E19" s="7" t="inlineStr">
        <is>
          <t>AKOUNA COFFEE 3 IN 1 (32GMS)</t>
        </is>
      </c>
      <c r="F19" s="7" t="n">
        <v>120</v>
      </c>
      <c r="G19" s="7" t="inlineStr">
        <is>
          <t>POUCH</t>
        </is>
      </c>
      <c r="H19" t="inlineStr">
        <is>
          <t>BLEND INSTANT COFFEE AFRICA</t>
        </is>
      </c>
    </row>
    <row r="20" ht="14.25" customHeight="1" s="5">
      <c r="A20" s="7" t="n">
        <v>34587</v>
      </c>
      <c r="B20" s="7" t="inlineStr">
        <is>
          <t>AKOUNA HOT CHOCOLATE 3 IN 1 (15GMS) 12 STRIPS X 10 SACHETS WITH HANGER</t>
        </is>
      </c>
      <c r="C20" s="7" t="inlineStr">
        <is>
          <t>AKOUNA</t>
        </is>
      </c>
      <c r="D20" s="7" t="n">
        <v>34600</v>
      </c>
      <c r="E20" s="7" t="inlineStr">
        <is>
          <t>AKOUNA HOT CHOCOLATE 3 IN 1 (15GMS)</t>
        </is>
      </c>
      <c r="F20" s="7" t="n">
        <v>120</v>
      </c>
      <c r="G20" s="7" t="inlineStr">
        <is>
          <t>POUCH</t>
        </is>
      </c>
      <c r="H20" t="inlineStr">
        <is>
          <t>BLEND INSTANT COFFEE AFRICA</t>
        </is>
      </c>
    </row>
    <row r="21" ht="14.25" customHeight="1" s="5">
      <c r="A21" s="7" t="n">
        <v>20485</v>
      </c>
      <c r="B21" s="7" t="inlineStr">
        <is>
          <t>AL FINA 12/100 DC ENV TBGS</t>
        </is>
      </c>
      <c r="C21" s="7" t="inlineStr">
        <is>
          <t>AL FINA</t>
        </is>
      </c>
      <c r="D21" s="7" t="n">
        <v>20488</v>
      </c>
      <c r="E21" s="7" t="inlineStr">
        <is>
          <t>AL FINA 100 DC ENV TBGS WITHOUT SPOON</t>
        </is>
      </c>
      <c r="F21" s="7" t="n">
        <v>12</v>
      </c>
      <c r="G21" s="7" t="inlineStr">
        <is>
          <t>CTN</t>
        </is>
      </c>
      <c r="H21" t="inlineStr">
        <is>
          <t>BLEND A33</t>
        </is>
      </c>
    </row>
    <row r="22" ht="14.25" customHeight="1" s="5">
      <c r="A22" s="7" t="n">
        <v>990</v>
      </c>
      <c r="B22" s="7" t="inlineStr">
        <is>
          <t>AL FINA 12/100 DC ENV TBGS WITH SPOON</t>
        </is>
      </c>
      <c r="C22" s="7" t="inlineStr">
        <is>
          <t>AL FINA</t>
        </is>
      </c>
      <c r="D22" s="7" t="n">
        <v>991</v>
      </c>
      <c r="E22" s="7" t="inlineStr">
        <is>
          <t>AL FINA 100 DC ENV TBGS</t>
        </is>
      </c>
      <c r="F22" s="7" t="n">
        <v>12</v>
      </c>
      <c r="G22" s="7" t="inlineStr">
        <is>
          <t>CTN</t>
        </is>
      </c>
      <c r="H22">
        <f>#N/A</f>
        <v/>
      </c>
    </row>
    <row r="23" ht="14.25" customHeight="1" s="5">
      <c r="A23" s="7" t="n">
        <v>996</v>
      </c>
      <c r="B23" s="7" t="inlineStr">
        <is>
          <t>AL FINA 12/100 DC ENV TBGS WITH SPOON AND TSHIRT</t>
        </is>
      </c>
      <c r="C23" s="7" t="inlineStr">
        <is>
          <t>AL FINA</t>
        </is>
      </c>
      <c r="D23" s="7" t="n">
        <v>991</v>
      </c>
      <c r="E23" s="7" t="inlineStr">
        <is>
          <t>AL FINA 100 DC ENV TBGS</t>
        </is>
      </c>
      <c r="F23" s="7" t="n">
        <v>12</v>
      </c>
      <c r="G23" s="7" t="inlineStr">
        <is>
          <t>CTN</t>
        </is>
      </c>
      <c r="H23">
        <f>#N/A</f>
        <v/>
      </c>
    </row>
    <row r="24" ht="14.25" customHeight="1" s="5">
      <c r="A24" s="7" t="n">
        <v>22432</v>
      </c>
      <c r="B24" s="7" t="inlineStr">
        <is>
          <t>AL FINA 12/100 DC ENV TBGS WITH SPOON AND TSHIRT NPBQ</t>
        </is>
      </c>
      <c r="C24" s="7" t="inlineStr">
        <is>
          <t>AL FINA</t>
        </is>
      </c>
      <c r="D24" s="7" t="n">
        <v>22430</v>
      </c>
      <c r="E24" s="7" t="inlineStr">
        <is>
          <t>AL FINA 100 DC ENV TBGS WITH SPOON (NPBQ)</t>
        </is>
      </c>
      <c r="F24" s="7" t="n">
        <v>12</v>
      </c>
      <c r="G24" s="7" t="inlineStr">
        <is>
          <t>CTN</t>
        </is>
      </c>
      <c r="H24" t="inlineStr">
        <is>
          <t>BLEND A33</t>
        </is>
      </c>
    </row>
    <row r="25" ht="14.25" customHeight="1" s="5">
      <c r="A25" s="7" t="n">
        <v>22432</v>
      </c>
      <c r="B25" s="7" t="inlineStr">
        <is>
          <t>AL FINA 12/100 DC ENV TBGS WITH SPOON AND TSHIRT NPBQ</t>
        </is>
      </c>
      <c r="C25" s="7" t="inlineStr">
        <is>
          <t>AL FINA</t>
        </is>
      </c>
      <c r="D25" s="7" t="n">
        <v>22948</v>
      </c>
      <c r="E25" s="7" t="inlineStr">
        <is>
          <t>AL FINA 12/100 DC ENV TBGS WITH SPOON NPBQ</t>
        </is>
      </c>
      <c r="F25" s="7" t="n">
        <v>1</v>
      </c>
      <c r="G25" s="7" t="inlineStr">
        <is>
          <t>CFC</t>
        </is>
      </c>
      <c r="H25">
        <f>#N/A</f>
        <v/>
      </c>
    </row>
    <row r="26" ht="14.25" customHeight="1" s="5">
      <c r="A26" s="7" t="n">
        <v>22948</v>
      </c>
      <c r="B26" s="7" t="inlineStr">
        <is>
          <t>AL FINA 12/100 DC ENV TBGS WITH SPOON NPBQ</t>
        </is>
      </c>
      <c r="C26" s="7" t="inlineStr">
        <is>
          <t>AL FINA</t>
        </is>
      </c>
      <c r="D26" s="7" t="n">
        <v>22430</v>
      </c>
      <c r="E26" s="7" t="inlineStr">
        <is>
          <t>AL FINA 100 DC ENV TBGS WITH SPOON (NPBQ)</t>
        </is>
      </c>
      <c r="F26" s="7" t="n">
        <v>12</v>
      </c>
      <c r="G26" s="7" t="inlineStr">
        <is>
          <t>CTN</t>
        </is>
      </c>
      <c r="H26" t="inlineStr">
        <is>
          <t>BLEND A33</t>
        </is>
      </c>
    </row>
    <row r="27" ht="14.25" customHeight="1" s="5">
      <c r="A27" s="7" t="n">
        <v>28506</v>
      </c>
      <c r="B27" s="7" t="inlineStr">
        <is>
          <t>AL FINA 12/100 DC ENV TBGS WITH T-SHIRT</t>
        </is>
      </c>
      <c r="C27" s="7" t="inlineStr">
        <is>
          <t>AL FINA</t>
        </is>
      </c>
      <c r="D27" s="7" t="n">
        <v>20488</v>
      </c>
      <c r="E27" s="7" t="inlineStr">
        <is>
          <t>AL FINA 100 DC ENV TBGS WITHOUT SPOON</t>
        </is>
      </c>
      <c r="F27" s="7" t="n">
        <v>12</v>
      </c>
      <c r="G27" s="7" t="inlineStr">
        <is>
          <t>CTN</t>
        </is>
      </c>
      <c r="H27" t="inlineStr">
        <is>
          <t>BLEND A33</t>
        </is>
      </c>
    </row>
    <row r="28" ht="14.25" customHeight="1" s="5">
      <c r="A28" s="7" t="n">
        <v>1003</v>
      </c>
      <c r="B28" s="7" t="inlineStr">
        <is>
          <t>AL FINA 12/100 SC ENV TBGS WITH SPOON</t>
        </is>
      </c>
      <c r="C28" s="7" t="inlineStr">
        <is>
          <t>AL FINA</t>
        </is>
      </c>
      <c r="D28" s="7" t="n">
        <v>1004</v>
      </c>
      <c r="E28" s="7" t="inlineStr">
        <is>
          <t>AL FINA 100 SC ENV TBGS</t>
        </is>
      </c>
      <c r="F28" s="7" t="n">
        <v>12</v>
      </c>
      <c r="G28" s="7" t="inlineStr">
        <is>
          <t>CTN</t>
        </is>
      </c>
      <c r="H28">
        <f>#N/A</f>
        <v/>
      </c>
    </row>
    <row r="29" ht="14.25" customHeight="1" s="5">
      <c r="A29" s="7" t="n">
        <v>1010</v>
      </c>
      <c r="B29" s="7" t="inlineStr">
        <is>
          <t>AL FINA 12/106 SC TAG TBGS</t>
        </is>
      </c>
      <c r="C29" s="7" t="inlineStr">
        <is>
          <t>AL FINA</t>
        </is>
      </c>
      <c r="D29" s="7" t="n">
        <v>1011</v>
      </c>
      <c r="E29" s="7" t="inlineStr">
        <is>
          <t>AL FINA 106 SC TAG TBGS</t>
        </is>
      </c>
      <c r="F29" s="7" t="n">
        <v>12</v>
      </c>
      <c r="G29" s="7" t="inlineStr">
        <is>
          <t>CTN</t>
        </is>
      </c>
      <c r="H29">
        <f>#N/A</f>
        <v/>
      </c>
    </row>
    <row r="30" ht="14.25" customHeight="1" s="5">
      <c r="A30" s="7" t="n">
        <v>17796</v>
      </c>
      <c r="B30" s="7" t="inlineStr">
        <is>
          <t>AL FINA 12/107 DC ENV TBGS (SKV)</t>
        </is>
      </c>
      <c r="C30" s="7" t="inlineStr">
        <is>
          <t>AL FINA</t>
        </is>
      </c>
      <c r="D30" s="7" t="n">
        <v>17872</v>
      </c>
      <c r="E30" s="7" t="inlineStr">
        <is>
          <t>AL FINA 107 DC ENV TBGS (SKV)</t>
        </is>
      </c>
      <c r="F30" s="7" t="n">
        <v>12</v>
      </c>
      <c r="G30" s="7" t="inlineStr">
        <is>
          <t>CTN</t>
        </is>
      </c>
      <c r="H30" t="inlineStr">
        <is>
          <t>BLEND A33</t>
        </is>
      </c>
    </row>
    <row r="31" ht="14.25" customHeight="1" s="5">
      <c r="A31" s="7" t="n">
        <v>1016</v>
      </c>
      <c r="B31" s="7" t="inlineStr">
        <is>
          <t>AL FINA 24/25 DC ENV TBGS</t>
        </is>
      </c>
      <c r="C31" s="7" t="inlineStr">
        <is>
          <t>AL FINA</t>
        </is>
      </c>
      <c r="D31" s="7" t="n">
        <v>1021</v>
      </c>
      <c r="E31" s="7" t="inlineStr">
        <is>
          <t>AL FINA 25 DC ENV TBGS</t>
        </is>
      </c>
      <c r="F31" s="7" t="n">
        <v>24</v>
      </c>
      <c r="G31" s="7" t="inlineStr">
        <is>
          <t>CTN</t>
        </is>
      </c>
      <c r="H31" t="inlineStr">
        <is>
          <t>BLEND A33</t>
        </is>
      </c>
    </row>
    <row r="32" ht="14.25" customHeight="1" s="5">
      <c r="A32" s="7" t="n">
        <v>17798</v>
      </c>
      <c r="B32" s="7" t="inlineStr">
        <is>
          <t>AL FINA 24/25 DC ENV TBGS (SKV)</t>
        </is>
      </c>
      <c r="C32" s="7" t="inlineStr">
        <is>
          <t>AL FINA</t>
        </is>
      </c>
      <c r="D32" s="7" t="n">
        <v>17873</v>
      </c>
      <c r="E32" s="7" t="inlineStr">
        <is>
          <t>AL FINA 25 DC ENV TBGS (SKV)</t>
        </is>
      </c>
      <c r="F32" s="7" t="n">
        <v>24</v>
      </c>
      <c r="G32" s="7" t="inlineStr">
        <is>
          <t>CTN</t>
        </is>
      </c>
      <c r="H32" t="inlineStr">
        <is>
          <t>BLEND A33</t>
        </is>
      </c>
    </row>
    <row r="33" ht="14.25" customHeight="1" s="5">
      <c r="A33" s="7" t="n">
        <v>1020</v>
      </c>
      <c r="B33" s="7" t="inlineStr">
        <is>
          <t>AL FINA 24/25 DC ENV TBGS WITH TSHIRT</t>
        </is>
      </c>
      <c r="C33" s="7" t="inlineStr">
        <is>
          <t>AL FINA</t>
        </is>
      </c>
      <c r="D33" s="7" t="n">
        <v>1021</v>
      </c>
      <c r="E33" s="7" t="inlineStr">
        <is>
          <t>AL FINA 25 DC ENV TBGS</t>
        </is>
      </c>
      <c r="F33" s="7" t="n">
        <v>24</v>
      </c>
      <c r="G33" s="7" t="inlineStr">
        <is>
          <t>CTN</t>
        </is>
      </c>
      <c r="H33" t="inlineStr">
        <is>
          <t>BLEND A33</t>
        </is>
      </c>
    </row>
    <row r="34" ht="14.25" customHeight="1" s="5">
      <c r="A34" s="7" t="n">
        <v>1022</v>
      </c>
      <c r="B34" s="7" t="inlineStr">
        <is>
          <t>AL FINA 24/50 DC ENV TBGS</t>
        </is>
      </c>
      <c r="C34" s="7" t="inlineStr">
        <is>
          <t>AL FINA</t>
        </is>
      </c>
      <c r="D34" s="7" t="n">
        <v>1027</v>
      </c>
      <c r="E34" s="7" t="inlineStr">
        <is>
          <t>AL FINA 50 DC ENV TBGS</t>
        </is>
      </c>
      <c r="F34" s="7" t="n">
        <v>24</v>
      </c>
      <c r="G34" s="7" t="inlineStr">
        <is>
          <t>CTN</t>
        </is>
      </c>
      <c r="H34" t="inlineStr">
        <is>
          <t>BLEND A33</t>
        </is>
      </c>
    </row>
    <row r="35" ht="14.25" customHeight="1" s="5">
      <c r="A35" s="7" t="n">
        <v>1026</v>
      </c>
      <c r="B35" s="7" t="inlineStr">
        <is>
          <t>AL FINA 24/50 DC ENV TBGS WITH TSHIRT</t>
        </is>
      </c>
      <c r="C35" s="7" t="inlineStr">
        <is>
          <t>AL FINA</t>
        </is>
      </c>
      <c r="D35" s="7" t="n">
        <v>1027</v>
      </c>
      <c r="E35" s="7" t="inlineStr">
        <is>
          <t>AL FINA 50 DC ENV TBGS</t>
        </is>
      </c>
      <c r="F35" s="7" t="n">
        <v>24</v>
      </c>
      <c r="G35" s="7" t="inlineStr">
        <is>
          <t>CTN</t>
        </is>
      </c>
      <c r="H35" t="inlineStr">
        <is>
          <t>BLEND A33</t>
        </is>
      </c>
    </row>
    <row r="36" ht="14.25" customHeight="1" s="5">
      <c r="A36" s="7" t="n">
        <v>1028</v>
      </c>
      <c r="B36" s="7" t="inlineStr">
        <is>
          <t>AL FINA 48/25 DC ENV TBGS WITH TSHIRT</t>
        </is>
      </c>
      <c r="C36" s="7" t="inlineStr">
        <is>
          <t>AL FINA</t>
        </is>
      </c>
      <c r="D36" s="7" t="n">
        <v>1021</v>
      </c>
      <c r="E36" s="7" t="inlineStr">
        <is>
          <t>AL FINA 25 DC ENV TBGS</t>
        </is>
      </c>
      <c r="F36" s="7" t="n">
        <v>48</v>
      </c>
      <c r="G36" s="7" t="inlineStr">
        <is>
          <t>CTN</t>
        </is>
      </c>
      <c r="H36" t="inlineStr">
        <is>
          <t>BLEND A33</t>
        </is>
      </c>
    </row>
    <row r="37" ht="14.25" customHeight="1" s="5">
      <c r="A37" s="7" t="n">
        <v>1031</v>
      </c>
      <c r="B37" s="7" t="inlineStr">
        <is>
          <t>AL FINA 6/130 DC ENV TBGS PLASIC BOX</t>
        </is>
      </c>
      <c r="C37" s="7" t="inlineStr">
        <is>
          <t>AL FINA</t>
        </is>
      </c>
      <c r="D37" s="7" t="n">
        <v>1032</v>
      </c>
      <c r="E37" s="7" t="inlineStr">
        <is>
          <t>AL FINA 130 DC ENV TBGS PLASIC BOX</t>
        </is>
      </c>
      <c r="F37" s="7" t="n">
        <v>6</v>
      </c>
      <c r="G37" s="7" t="inlineStr">
        <is>
          <t>CTN</t>
        </is>
      </c>
      <c r="H37" t="inlineStr">
        <is>
          <t>BLEND A33</t>
        </is>
      </c>
    </row>
    <row r="38" ht="14.25" customHeight="1" s="5">
      <c r="A38" s="7" t="n">
        <v>1037</v>
      </c>
      <c r="B38" s="7" t="inlineStr">
        <is>
          <t>AL FINA 80/25 SC ENV TBGS WITH T-SHIRT</t>
        </is>
      </c>
      <c r="C38" s="7" t="inlineStr">
        <is>
          <t>AL FINA</t>
        </is>
      </c>
      <c r="D38" s="7" t="n">
        <v>1038</v>
      </c>
      <c r="E38" s="7" t="inlineStr">
        <is>
          <t>AL FINA 25 SC ENV TBGS</t>
        </is>
      </c>
      <c r="F38" s="7" t="n">
        <v>80</v>
      </c>
      <c r="G38" s="7" t="inlineStr">
        <is>
          <t>CTN</t>
        </is>
      </c>
      <c r="H38">
        <f>#N/A</f>
        <v/>
      </c>
    </row>
    <row r="39" ht="14.25" customHeight="1" s="5">
      <c r="A39" s="7" t="n">
        <v>1041</v>
      </c>
      <c r="B39" s="7" t="inlineStr">
        <is>
          <t>AL FINA 80/27 SC TAG TBGS WITH TSHIRT</t>
        </is>
      </c>
      <c r="C39" s="7" t="inlineStr">
        <is>
          <t>AL FINA</t>
        </is>
      </c>
      <c r="D39" s="7" t="n">
        <v>1042</v>
      </c>
      <c r="E39" s="7" t="inlineStr">
        <is>
          <t>AL FINA 27 SC TAG TBGS WITH TSHIRT</t>
        </is>
      </c>
      <c r="F39" s="7" t="n">
        <v>80</v>
      </c>
      <c r="G39" s="7" t="inlineStr">
        <is>
          <t>CTN</t>
        </is>
      </c>
      <c r="H39">
        <f>#N/A</f>
        <v/>
      </c>
    </row>
    <row r="40" ht="14.25" customHeight="1" s="5">
      <c r="A40" s="7" t="n">
        <v>1047</v>
      </c>
      <c r="B40" s="7" t="inlineStr">
        <is>
          <t>AL FINA BLACK TEA CRANBERRY APPLE 24/25 SC ENV TBGS TSHIRT</t>
        </is>
      </c>
      <c r="C40" s="7" t="inlineStr">
        <is>
          <t>AL FINA</t>
        </is>
      </c>
      <c r="D40" s="7" t="n">
        <v>1048</v>
      </c>
      <c r="E40" s="7" t="inlineStr">
        <is>
          <t>AL FINA BLACK TEA CRANBERRY APPLE 25 SC ENV TBGS TSHIRT</t>
        </is>
      </c>
      <c r="F40" s="7" t="n">
        <v>24</v>
      </c>
      <c r="G40" s="7" t="inlineStr">
        <is>
          <t>CTN</t>
        </is>
      </c>
      <c r="H40">
        <f>#N/A</f>
        <v/>
      </c>
    </row>
    <row r="41" ht="14.25" customHeight="1" s="5">
      <c r="A41" s="7" t="n">
        <v>1053</v>
      </c>
      <c r="B41" s="7" t="inlineStr">
        <is>
          <t>AL FINA BLOOD PRESSURE 24/25 SC ENV TBGS</t>
        </is>
      </c>
      <c r="C41" s="7" t="inlineStr">
        <is>
          <t>AL FINA</t>
        </is>
      </c>
      <c r="D41" s="7" t="n">
        <v>1054</v>
      </c>
      <c r="E41" s="7" t="inlineStr">
        <is>
          <t>AL FINA BLOOD PRESSURE 25 SC ENV TBGS</t>
        </is>
      </c>
      <c r="F41" s="7" t="n">
        <v>24</v>
      </c>
      <c r="G41" s="7" t="inlineStr">
        <is>
          <t>CTN</t>
        </is>
      </c>
      <c r="H41">
        <f>#N/A</f>
        <v/>
      </c>
    </row>
    <row r="42" ht="14.25" customHeight="1" s="5">
      <c r="A42" s="7" t="n">
        <v>1060</v>
      </c>
      <c r="B42" s="7" t="inlineStr">
        <is>
          <t>AL FINA BLOOD PRESSURE 24/25 SC ENV TBGS WITH TSHIRT</t>
        </is>
      </c>
      <c r="C42" s="7" t="inlineStr">
        <is>
          <t>AL FINA</t>
        </is>
      </c>
      <c r="D42" s="7" t="n">
        <v>1054</v>
      </c>
      <c r="E42" s="7" t="inlineStr">
        <is>
          <t>AL FINA BLOOD PRESSURE 25 SC ENV TBGS</t>
        </is>
      </c>
      <c r="F42" s="7" t="n">
        <v>24</v>
      </c>
      <c r="G42" s="7" t="inlineStr">
        <is>
          <t>CTN</t>
        </is>
      </c>
      <c r="H42">
        <f>#N/A</f>
        <v/>
      </c>
    </row>
    <row r="43" ht="14.25" customHeight="1" s="5">
      <c r="A43" s="7" t="n">
        <v>33775</v>
      </c>
      <c r="B43" s="7" t="inlineStr">
        <is>
          <t>AL FINA CAPPUCCINO 3 IN 1 (25 GMS) 12 STRIPS X 10 SACHETS</t>
        </is>
      </c>
      <c r="C43" s="7" t="inlineStr">
        <is>
          <t>AL FINA</t>
        </is>
      </c>
      <c r="D43" s="7" t="n">
        <v>33862</v>
      </c>
      <c r="E43" s="7" t="inlineStr">
        <is>
          <t>AL FINA CAPPUCCINO 3 IN 1 (25GMS)</t>
        </is>
      </c>
      <c r="F43" s="7" t="n">
        <v>120</v>
      </c>
      <c r="G43" s="7" t="inlineStr">
        <is>
          <t>POUCH</t>
        </is>
      </c>
      <c r="H43" t="inlineStr">
        <is>
          <t>BLEND INSTANT CAPPUCCINO AFRICA</t>
        </is>
      </c>
    </row>
    <row r="44" ht="14.25" customHeight="1" s="5">
      <c r="A44" s="7" t="n">
        <v>33775</v>
      </c>
      <c r="B44" s="7" t="inlineStr">
        <is>
          <t>AL FINA CAPPUCCINO 3 IN 1 (25 GMS) 12 STRIPS X 10 SACHETS</t>
        </is>
      </c>
      <c r="C44" s="7" t="inlineStr">
        <is>
          <t>AL FINA</t>
        </is>
      </c>
      <c r="D44" s="7" t="n">
        <v>33863</v>
      </c>
      <c r="E44" s="7" t="inlineStr">
        <is>
          <t>AL FINA CAPPUCCINO CHOCO GRANULE (0.5 GMS)</t>
        </is>
      </c>
      <c r="F44" s="7" t="n">
        <v>120</v>
      </c>
      <c r="G44" s="7" t="inlineStr">
        <is>
          <t>POUCH</t>
        </is>
      </c>
      <c r="H44" t="inlineStr">
        <is>
          <t>BLEND INSTANT CAPPUCCINO COCO GRANULE AFRICA</t>
        </is>
      </c>
    </row>
    <row r="45" ht="14.25" customHeight="1" s="5">
      <c r="A45" s="7" t="n">
        <v>33936</v>
      </c>
      <c r="B45" s="7" t="inlineStr">
        <is>
          <t>AL FINA CAPPUCCINO 3 IN 1 (25 GMS) 12 STRIPS X 10 SACHETS WITH HANGER</t>
        </is>
      </c>
      <c r="C45" s="7" t="inlineStr">
        <is>
          <t>AL FINA</t>
        </is>
      </c>
      <c r="D45" s="7" t="n">
        <v>33862</v>
      </c>
      <c r="E45" s="7" t="inlineStr">
        <is>
          <t>AL FINA CAPPUCCINO 3 IN 1 (25GMS)</t>
        </is>
      </c>
      <c r="F45" s="7" t="n">
        <v>120</v>
      </c>
      <c r="G45" s="7" t="inlineStr">
        <is>
          <t>POUCH</t>
        </is>
      </c>
      <c r="H45" t="inlineStr">
        <is>
          <t>BLEND INSTANT CAPPUCCINO AFRICA</t>
        </is>
      </c>
    </row>
    <row r="46" ht="14.25" customHeight="1" s="5">
      <c r="A46" s="7" t="n">
        <v>26081</v>
      </c>
      <c r="B46" s="7" t="inlineStr">
        <is>
          <t>AL FINA CHAMOMILE 24/25 DC ENV TBGS</t>
        </is>
      </c>
      <c r="C46" s="7" t="inlineStr">
        <is>
          <t>AL FINA</t>
        </is>
      </c>
      <c r="D46" s="7" t="n">
        <v>26526</v>
      </c>
      <c r="E46" s="7" t="inlineStr">
        <is>
          <t>AL FINA CHAMOMILE 25 DC ENV TBGS</t>
        </is>
      </c>
      <c r="F46" s="7" t="n">
        <v>24</v>
      </c>
      <c r="G46" s="7" t="inlineStr">
        <is>
          <t>CTN</t>
        </is>
      </c>
      <c r="H46" t="inlineStr">
        <is>
          <t>BLEND CHAMOMILE</t>
        </is>
      </c>
    </row>
    <row r="47" ht="14.25" customHeight="1" s="5">
      <c r="A47" s="7" t="n">
        <v>1062</v>
      </c>
      <c r="B47" s="7" t="inlineStr">
        <is>
          <t>AL FINA CHAMOMILE 24/25 SC ENV TBGS</t>
        </is>
      </c>
      <c r="C47" s="7" t="inlineStr">
        <is>
          <t>AL FINA</t>
        </is>
      </c>
      <c r="D47" s="7" t="n">
        <v>1063</v>
      </c>
      <c r="E47" s="7" t="inlineStr">
        <is>
          <t>AL FINA CHAMOMILE 25 SC ENV TBGS</t>
        </is>
      </c>
      <c r="F47" s="7" t="n">
        <v>24</v>
      </c>
      <c r="G47" s="7" t="inlineStr">
        <is>
          <t>CTN</t>
        </is>
      </c>
      <c r="H47">
        <f>#N/A</f>
        <v/>
      </c>
    </row>
    <row r="48" ht="14.25" customHeight="1" s="5">
      <c r="A48" s="7" t="n">
        <v>21229</v>
      </c>
      <c r="B48" s="7" t="inlineStr">
        <is>
          <t>AL FINA CHAMOMILE 24/25 SC ENV TBGS WITH TSHIRT</t>
        </is>
      </c>
      <c r="C48" s="7" t="inlineStr">
        <is>
          <t>AL FINA</t>
        </is>
      </c>
      <c r="D48" s="7" t="n">
        <v>1063</v>
      </c>
      <c r="E48" s="7" t="inlineStr">
        <is>
          <t>AL FINA CHAMOMILE 25 SC ENV TBGS</t>
        </is>
      </c>
      <c r="F48" s="7" t="n">
        <v>24</v>
      </c>
      <c r="G48" s="7" t="inlineStr">
        <is>
          <t>CTN</t>
        </is>
      </c>
      <c r="H48">
        <f>#N/A</f>
        <v/>
      </c>
    </row>
    <row r="49" ht="14.25" customHeight="1" s="5">
      <c r="A49" s="7" t="n">
        <v>27980</v>
      </c>
      <c r="B49" s="7" t="inlineStr">
        <is>
          <t>AL FINA CINNAMON 24/25 DC ENV TBGS</t>
        </is>
      </c>
      <c r="C49" s="7" t="inlineStr">
        <is>
          <t>AL FINA</t>
        </is>
      </c>
      <c r="D49" s="7" t="n">
        <v>28052</v>
      </c>
      <c r="E49" s="7" t="inlineStr">
        <is>
          <t>AL FINA CINNAMON 25 DC ENV TBGS</t>
        </is>
      </c>
      <c r="F49" s="7" t="n">
        <v>24</v>
      </c>
      <c r="G49" s="7" t="inlineStr">
        <is>
          <t>CTN</t>
        </is>
      </c>
      <c r="H49" t="inlineStr">
        <is>
          <t>BLEND BLACK TEA CINNAMON SPICE TBC - AF</t>
        </is>
      </c>
    </row>
    <row r="50" ht="14.25" customHeight="1" s="5">
      <c r="A50" s="7" t="n">
        <v>22344</v>
      </c>
      <c r="B50" s="7" t="inlineStr">
        <is>
          <t>AL FINA CINNAMON 24/25 SC ENV TBGS</t>
        </is>
      </c>
      <c r="C50" s="7" t="inlineStr">
        <is>
          <t>AL FINA</t>
        </is>
      </c>
      <c r="D50" s="7" t="n">
        <v>22351</v>
      </c>
      <c r="E50" s="7" t="inlineStr">
        <is>
          <t>AL FINA CINNAMON 25 SC ENV TBGS</t>
        </is>
      </c>
      <c r="F50" s="7" t="n">
        <v>24</v>
      </c>
      <c r="G50" s="7" t="inlineStr">
        <is>
          <t>CTN</t>
        </is>
      </c>
      <c r="H50">
        <f>#N/A</f>
        <v/>
      </c>
    </row>
    <row r="51" ht="14.25" customHeight="1" s="5">
      <c r="A51" s="7" t="n">
        <v>22433</v>
      </c>
      <c r="B51" s="7" t="inlineStr">
        <is>
          <t>AL FINA CINNAMON 24/25 SC ENV TBGS WITH TSHIRT</t>
        </is>
      </c>
      <c r="C51" s="7" t="inlineStr">
        <is>
          <t>AL FINA</t>
        </is>
      </c>
      <c r="D51" s="7" t="n">
        <v>22351</v>
      </c>
      <c r="E51" s="7" t="inlineStr">
        <is>
          <t>AL FINA CINNAMON 25 SC ENV TBGS</t>
        </is>
      </c>
      <c r="F51" s="7" t="n">
        <v>24</v>
      </c>
      <c r="G51" s="7" t="inlineStr">
        <is>
          <t>CTN</t>
        </is>
      </c>
      <c r="H51">
        <f>#N/A</f>
        <v/>
      </c>
    </row>
    <row r="52" ht="14.25" customHeight="1" s="5">
      <c r="A52" s="7" t="n">
        <v>20856</v>
      </c>
      <c r="B52" s="7" t="inlineStr">
        <is>
          <t>AL FINA CLASSIC 12/100 DC ENV TBGS</t>
        </is>
      </c>
      <c r="C52" s="7" t="inlineStr">
        <is>
          <t>AL FINA</t>
        </is>
      </c>
      <c r="D52" s="7" t="n">
        <v>20862</v>
      </c>
      <c r="E52" s="7" t="inlineStr">
        <is>
          <t>AL FINA CLASSIC 100 DC ENV TBGS</t>
        </is>
      </c>
      <c r="F52" s="7" t="n">
        <v>12</v>
      </c>
      <c r="G52" s="7" t="inlineStr">
        <is>
          <t>CTN</t>
        </is>
      </c>
      <c r="H52" t="inlineStr">
        <is>
          <t>BLEND 786</t>
        </is>
      </c>
    </row>
    <row r="53" ht="14.25" customHeight="1" s="5">
      <c r="A53" s="7" t="n">
        <v>20857</v>
      </c>
      <c r="B53" s="7" t="inlineStr">
        <is>
          <t>AL FINA CLASSIC 24/25 DC ENV TBGS</t>
        </is>
      </c>
      <c r="C53" s="7" t="inlineStr">
        <is>
          <t>AL FINA</t>
        </is>
      </c>
      <c r="D53" s="7" t="n">
        <v>20863</v>
      </c>
      <c r="E53" s="7" t="inlineStr">
        <is>
          <t>AL FINA CLASSIC 25 DC ENV TBGS</t>
        </is>
      </c>
      <c r="F53" s="7" t="n">
        <v>24</v>
      </c>
      <c r="G53" s="7" t="inlineStr">
        <is>
          <t>CTN</t>
        </is>
      </c>
      <c r="H53">
        <f>#N/A</f>
        <v/>
      </c>
    </row>
    <row r="54" ht="14.25" customHeight="1" s="5">
      <c r="A54" s="7" t="n">
        <v>31017</v>
      </c>
      <c r="B54" s="7" t="inlineStr">
        <is>
          <t>AL FINA CLOVE 24/25 DC ENV TBGS</t>
        </is>
      </c>
      <c r="C54" s="7" t="inlineStr">
        <is>
          <t>AL FINA</t>
        </is>
      </c>
      <c r="D54" s="7" t="n">
        <v>31030</v>
      </c>
      <c r="E54" s="7" t="inlineStr">
        <is>
          <t>AL FINA CLOVE 25 DC ENV TBGS</t>
        </is>
      </c>
      <c r="F54" s="7" t="n">
        <v>24</v>
      </c>
      <c r="G54" s="7" t="inlineStr">
        <is>
          <t>CTN</t>
        </is>
      </c>
      <c r="H54" t="inlineStr">
        <is>
          <t>BLEND BLACK TEA CLOVE TBC</t>
        </is>
      </c>
    </row>
    <row r="55" ht="14.25" customHeight="1" s="5">
      <c r="A55" s="7" t="n">
        <v>22343</v>
      </c>
      <c r="B55" s="7" t="inlineStr">
        <is>
          <t>AL FINA CLOVE 24/25 SC ENV TBGS</t>
        </is>
      </c>
      <c r="C55" s="7" t="inlineStr">
        <is>
          <t>AL FINA</t>
        </is>
      </c>
      <c r="D55" s="7" t="n">
        <v>22352</v>
      </c>
      <c r="E55" s="7" t="inlineStr">
        <is>
          <t>AL FINA CLOVE 25 SC ENV TBGS</t>
        </is>
      </c>
      <c r="F55" s="7" t="n">
        <v>24</v>
      </c>
      <c r="G55" s="7" t="inlineStr">
        <is>
          <t>CTN</t>
        </is>
      </c>
      <c r="H55">
        <f>#N/A</f>
        <v/>
      </c>
    </row>
    <row r="56" ht="14.25" customHeight="1" s="5">
      <c r="A56" s="7" t="n">
        <v>23136</v>
      </c>
      <c r="B56" s="7" t="inlineStr">
        <is>
          <t>AL FINA COCKTAIL 24/25 DC ENV TBGS</t>
        </is>
      </c>
      <c r="C56" s="7" t="inlineStr">
        <is>
          <t>AL FINA</t>
        </is>
      </c>
      <c r="D56" s="7" t="n">
        <v>23166</v>
      </c>
      <c r="E56" s="7" t="inlineStr">
        <is>
          <t>AL FINA COCKTAIL 25 DC ENV TBGS</t>
        </is>
      </c>
      <c r="F56" s="7" t="n">
        <v>24</v>
      </c>
      <c r="G56" s="7" t="inlineStr">
        <is>
          <t>CTN</t>
        </is>
      </c>
      <c r="H56" t="inlineStr">
        <is>
          <t>BLEND BLACK TEA COCKTAIL TBC</t>
        </is>
      </c>
    </row>
    <row r="57" ht="14.25" customHeight="1" s="5">
      <c r="A57" s="7" t="n">
        <v>1068</v>
      </c>
      <c r="B57" s="7" t="inlineStr">
        <is>
          <t>AL FINA COCKTAIL 24/25 SC ENV TBGS</t>
        </is>
      </c>
      <c r="C57" s="7" t="inlineStr">
        <is>
          <t>AL FINA</t>
        </is>
      </c>
      <c r="D57" s="7" t="n">
        <v>1069</v>
      </c>
      <c r="E57" s="7" t="inlineStr">
        <is>
          <t>AL FINA COCKTAIL 25 SC ENV TBGS</t>
        </is>
      </c>
      <c r="F57" s="7" t="n">
        <v>24</v>
      </c>
      <c r="G57" s="7" t="inlineStr">
        <is>
          <t>CTN</t>
        </is>
      </c>
      <c r="H57">
        <f>#N/A</f>
        <v/>
      </c>
    </row>
    <row r="58" ht="14.25" customHeight="1" s="5">
      <c r="A58" s="7" t="n">
        <v>32832</v>
      </c>
      <c r="B58" s="7" t="inlineStr">
        <is>
          <t>AL FINA COFFEE 3 IN 1 (20 GMS) 12 STRIPS X 10 SACHETS</t>
        </is>
      </c>
      <c r="C58" s="7" t="inlineStr">
        <is>
          <t>AL FINA</t>
        </is>
      </c>
      <c r="D58" s="7" t="n">
        <v>32936</v>
      </c>
      <c r="E58" s="7" t="inlineStr">
        <is>
          <t>AL FINA COFFEE 3 IN 1 (20GMS)</t>
        </is>
      </c>
      <c r="F58" s="7" t="n">
        <v>120</v>
      </c>
      <c r="G58" s="7" t="inlineStr">
        <is>
          <t>POUCH</t>
        </is>
      </c>
      <c r="H58" t="inlineStr">
        <is>
          <t>BLEND INSTANT COFFEE AFRICA</t>
        </is>
      </c>
    </row>
    <row r="59" ht="14.25" customHeight="1" s="5">
      <c r="A59" s="7" t="n">
        <v>34031</v>
      </c>
      <c r="B59" s="7" t="inlineStr">
        <is>
          <t>AL FINA COFFEE 3 IN 1 (20 GMS) 12 STRIPS X 10 SACHETS WITH HANGER</t>
        </is>
      </c>
      <c r="C59" s="7" t="inlineStr">
        <is>
          <t>AL FINA</t>
        </is>
      </c>
      <c r="D59" s="7" t="n">
        <v>32936</v>
      </c>
      <c r="E59" s="7" t="inlineStr">
        <is>
          <t>AL FINA COFFEE 3 IN 1 (20GMS)</t>
        </is>
      </c>
      <c r="F59" s="7" t="n">
        <v>120</v>
      </c>
      <c r="G59" s="7" t="inlineStr">
        <is>
          <t>POUCH</t>
        </is>
      </c>
      <c r="H59" t="inlineStr">
        <is>
          <t>BLEND INSTANT COFFEE AFRICA</t>
        </is>
      </c>
    </row>
    <row r="60" ht="14.25" customHeight="1" s="5">
      <c r="A60" s="7" t="n">
        <v>26059</v>
      </c>
      <c r="B60" s="7" t="inlineStr">
        <is>
          <t>AL FINA CRANBERRY APPLE 24/25 DC ENV TBGS</t>
        </is>
      </c>
      <c r="C60" s="7" t="inlineStr">
        <is>
          <t>AL FINA</t>
        </is>
      </c>
      <c r="D60" s="7" t="n">
        <v>26060</v>
      </c>
      <c r="E60" s="7" t="inlineStr">
        <is>
          <t>AL FINA CRANBERRY APPLE 25 DC ENV TBGS</t>
        </is>
      </c>
      <c r="F60" s="7" t="n">
        <v>24</v>
      </c>
      <c r="G60" s="7" t="inlineStr">
        <is>
          <t>CTN</t>
        </is>
      </c>
      <c r="H60" t="inlineStr">
        <is>
          <t>BLEND CRANBERRY APPLE</t>
        </is>
      </c>
    </row>
    <row r="61" ht="14.25" customHeight="1" s="5">
      <c r="A61" s="7" t="n">
        <v>1075</v>
      </c>
      <c r="B61" s="7" t="inlineStr">
        <is>
          <t>AL FINA CRANBERRY APPLE 24/25 SC ENV TBGS</t>
        </is>
      </c>
      <c r="C61" s="7" t="inlineStr">
        <is>
          <t>AL FINA</t>
        </is>
      </c>
      <c r="D61" s="7" t="n">
        <v>1076</v>
      </c>
      <c r="E61" s="7" t="inlineStr">
        <is>
          <t>AL FINA CRANBERRY APPLE 25 SC ENV TBGS</t>
        </is>
      </c>
      <c r="F61" s="7" t="n">
        <v>24</v>
      </c>
      <c r="G61" s="7" t="inlineStr">
        <is>
          <t>CTN</t>
        </is>
      </c>
      <c r="H61">
        <f>#N/A</f>
        <v/>
      </c>
    </row>
    <row r="62" ht="14.25" customHeight="1" s="5">
      <c r="A62" s="7" t="n">
        <v>1080</v>
      </c>
      <c r="B62" s="7" t="inlineStr">
        <is>
          <t>AL FINA CRANBERRY APPLE 24/25 SC ENV TBGS WITH TSHIRT</t>
        </is>
      </c>
      <c r="C62" s="7" t="inlineStr">
        <is>
          <t>AL FINA</t>
        </is>
      </c>
      <c r="D62" s="7" t="n">
        <v>1076</v>
      </c>
      <c r="E62" s="7" t="inlineStr">
        <is>
          <t>AL FINA CRANBERRY APPLE 25 SC ENV TBGS</t>
        </is>
      </c>
      <c r="F62" s="7" t="n">
        <v>24</v>
      </c>
      <c r="G62" s="7" t="inlineStr">
        <is>
          <t>CTN</t>
        </is>
      </c>
      <c r="H62">
        <f>#N/A</f>
        <v/>
      </c>
    </row>
    <row r="63" ht="14.25" customHeight="1" s="5">
      <c r="A63" s="7" t="n">
        <v>20535</v>
      </c>
      <c r="B63" s="7" t="inlineStr">
        <is>
          <t>AL FINA CRANBERRY APPLE 24/25 SC ENV TBGS WITH TSHIRT - 2GMS</t>
        </is>
      </c>
      <c r="C63" s="7" t="inlineStr">
        <is>
          <t>AL FINA</t>
        </is>
      </c>
      <c r="D63" s="7" t="n">
        <v>20540</v>
      </c>
      <c r="E63" s="7" t="inlineStr">
        <is>
          <t>AL FINA CRANBERRY APPLE 25 SC ENV TBGS - 2GMS</t>
        </is>
      </c>
      <c r="F63" s="7" t="n">
        <v>24</v>
      </c>
      <c r="G63" s="7" t="inlineStr">
        <is>
          <t>CTN</t>
        </is>
      </c>
      <c r="H63">
        <f>#N/A</f>
        <v/>
      </c>
    </row>
    <row r="64" ht="14.25" customHeight="1" s="5">
      <c r="A64" s="7" t="n">
        <v>1082</v>
      </c>
      <c r="B64" s="7" t="inlineStr">
        <is>
          <t>AL FINA DIABETIC 24/25 SC ENV TBGS</t>
        </is>
      </c>
      <c r="C64" s="7" t="inlineStr">
        <is>
          <t>AL FINA</t>
        </is>
      </c>
      <c r="D64" s="7" t="n">
        <v>1083</v>
      </c>
      <c r="E64" s="7" t="inlineStr">
        <is>
          <t>AL FINA DIABETIC 25 SC ENV TBGS</t>
        </is>
      </c>
      <c r="F64" s="7" t="n">
        <v>24</v>
      </c>
      <c r="G64" s="7" t="inlineStr">
        <is>
          <t>CTN</t>
        </is>
      </c>
      <c r="H64">
        <f>#N/A</f>
        <v/>
      </c>
    </row>
    <row r="65" ht="14.25" customHeight="1" s="5">
      <c r="A65" s="7" t="n">
        <v>1088</v>
      </c>
      <c r="B65" s="7" t="inlineStr">
        <is>
          <t>AL FINA DIABETIC 24/25 SC ENV TBGS WITH TSHIRT</t>
        </is>
      </c>
      <c r="C65" s="7" t="inlineStr">
        <is>
          <t>AL FINA</t>
        </is>
      </c>
      <c r="D65" s="7" t="n">
        <v>1083</v>
      </c>
      <c r="E65" s="7" t="inlineStr">
        <is>
          <t>AL FINA DIABETIC 25 SC ENV TBGS</t>
        </is>
      </c>
      <c r="F65" s="7" t="n">
        <v>24</v>
      </c>
      <c r="G65" s="7" t="inlineStr">
        <is>
          <t>CTN</t>
        </is>
      </c>
      <c r="H65">
        <f>#N/A</f>
        <v/>
      </c>
    </row>
    <row r="66" ht="14.25" customHeight="1" s="5">
      <c r="A66" s="7" t="n">
        <v>23775</v>
      </c>
      <c r="B66" s="7" t="inlineStr">
        <is>
          <t>AL FINA DIGESTIVE 24/25 DC ENV TBGS</t>
        </is>
      </c>
      <c r="C66" s="7" t="inlineStr">
        <is>
          <t>AL FINA</t>
        </is>
      </c>
      <c r="D66" s="7" t="n">
        <v>24559</v>
      </c>
      <c r="E66" s="7" t="inlineStr">
        <is>
          <t>AL FINA DIGESTIVE 25 DC ENV TBGS</t>
        </is>
      </c>
      <c r="F66" s="7" t="n">
        <v>24</v>
      </c>
      <c r="G66" s="7" t="inlineStr">
        <is>
          <t>CTN</t>
        </is>
      </c>
      <c r="H66" t="inlineStr">
        <is>
          <t>BLEND HERBAL DIGESTIVE TBC</t>
        </is>
      </c>
    </row>
    <row r="67" ht="14.25" customHeight="1" s="5">
      <c r="A67" s="7" t="n">
        <v>1090</v>
      </c>
      <c r="B67" s="7" t="inlineStr">
        <is>
          <t>AL FINA DIGESTIVE 24/25 SC ENV TBGS</t>
        </is>
      </c>
      <c r="C67" s="7" t="inlineStr">
        <is>
          <t>AL FINA</t>
        </is>
      </c>
      <c r="D67" s="7" t="n">
        <v>1091</v>
      </c>
      <c r="E67" s="7" t="inlineStr">
        <is>
          <t>AL FINA DIGESTIVE 25 SC ENV TBGS</t>
        </is>
      </c>
      <c r="F67" s="7" t="n">
        <v>24</v>
      </c>
      <c r="G67" s="7" t="inlineStr">
        <is>
          <t>CTN</t>
        </is>
      </c>
      <c r="H67">
        <f>#N/A</f>
        <v/>
      </c>
    </row>
    <row r="68" ht="14.25" customHeight="1" s="5">
      <c r="A68" s="7" t="n">
        <v>1096</v>
      </c>
      <c r="B68" s="7" t="inlineStr">
        <is>
          <t>AL FINA DIGESTIVE 24/25 SC ENV TBGS WITH TSHIRT</t>
        </is>
      </c>
      <c r="C68" s="7" t="inlineStr">
        <is>
          <t>AL FINA</t>
        </is>
      </c>
      <c r="D68" s="7" t="n">
        <v>1091</v>
      </c>
      <c r="E68" s="7" t="inlineStr">
        <is>
          <t>AL FINA DIGESTIVE 25 SC ENV TBGS</t>
        </is>
      </c>
      <c r="F68" s="7" t="n">
        <v>24</v>
      </c>
      <c r="G68" s="7" t="inlineStr">
        <is>
          <t>CTN</t>
        </is>
      </c>
      <c r="H68">
        <f>#N/A</f>
        <v/>
      </c>
    </row>
    <row r="69" ht="14.25" customHeight="1" s="5">
      <c r="A69" s="7" t="n">
        <v>21465</v>
      </c>
      <c r="B69" s="7" t="inlineStr">
        <is>
          <t>AL FINA ECONOMY 12/100 DC ENV TBGS</t>
        </is>
      </c>
      <c r="C69" s="7" t="inlineStr">
        <is>
          <t>AL FINA</t>
        </is>
      </c>
      <c r="D69" s="7" t="n">
        <v>21498</v>
      </c>
      <c r="E69" s="7" t="inlineStr">
        <is>
          <t>AL FINA ECONOMY 100 DC ENV TBGS</t>
        </is>
      </c>
      <c r="F69" s="7" t="n">
        <v>12</v>
      </c>
      <c r="G69" s="7" t="inlineStr">
        <is>
          <t>CTN</t>
        </is>
      </c>
      <c r="H69" t="inlineStr">
        <is>
          <t>BLEND A-132</t>
        </is>
      </c>
    </row>
    <row r="70" ht="14.25" customHeight="1" s="5">
      <c r="A70" s="7" t="n">
        <v>21919</v>
      </c>
      <c r="B70" s="7" t="inlineStr">
        <is>
          <t>AL FINA ECONOMY 24/25 DC ENV TBGS</t>
        </is>
      </c>
      <c r="C70" s="7" t="inlineStr">
        <is>
          <t>AL FINA</t>
        </is>
      </c>
      <c r="D70" s="7" t="n">
        <v>21921</v>
      </c>
      <c r="E70" s="7" t="inlineStr">
        <is>
          <t>AL FINA ECONOMY 25 DC ENV TBGS</t>
        </is>
      </c>
      <c r="F70" s="7" t="n">
        <v>24</v>
      </c>
      <c r="G70" s="7" t="inlineStr">
        <is>
          <t>CTN</t>
        </is>
      </c>
      <c r="H70" t="inlineStr">
        <is>
          <t>BLEND A-132</t>
        </is>
      </c>
    </row>
    <row r="71" ht="14.25" customHeight="1" s="5">
      <c r="A71" s="7" t="n">
        <v>23778</v>
      </c>
      <c r="B71" s="7" t="inlineStr">
        <is>
          <t>AL FINA ENERGIZER 24/25 DC ENV TBGS</t>
        </is>
      </c>
      <c r="C71" s="7" t="inlineStr">
        <is>
          <t>AL FINA</t>
        </is>
      </c>
      <c r="D71" s="7" t="n">
        <v>24562</v>
      </c>
      <c r="E71" s="7" t="inlineStr">
        <is>
          <t>AL FINA ENERGIZER 25 DC ENV TBGS</t>
        </is>
      </c>
      <c r="F71" s="7" t="n">
        <v>24</v>
      </c>
      <c r="G71" s="7" t="inlineStr">
        <is>
          <t>CTN</t>
        </is>
      </c>
      <c r="H71" t="inlineStr">
        <is>
          <t>BLEND HERBAL ENERGY TBC</t>
        </is>
      </c>
    </row>
    <row r="72" ht="14.25" customHeight="1" s="5">
      <c r="A72" s="7" t="n">
        <v>1098</v>
      </c>
      <c r="B72" s="7" t="inlineStr">
        <is>
          <t>AL FINA ENERGIZER 24/25 SC ENV TBGS</t>
        </is>
      </c>
      <c r="C72" s="7" t="inlineStr">
        <is>
          <t>AL FINA</t>
        </is>
      </c>
      <c r="D72" s="7" t="n">
        <v>1099</v>
      </c>
      <c r="E72" s="7" t="inlineStr">
        <is>
          <t>AL FINA ENERGIZER 25 SC ENV TBGS</t>
        </is>
      </c>
      <c r="F72" s="7" t="n">
        <v>24</v>
      </c>
      <c r="G72" s="7" t="inlineStr">
        <is>
          <t>CTN</t>
        </is>
      </c>
      <c r="H72">
        <f>#N/A</f>
        <v/>
      </c>
    </row>
    <row r="73" ht="14.25" customHeight="1" s="5">
      <c r="A73" s="7" t="n">
        <v>1104</v>
      </c>
      <c r="B73" s="7" t="inlineStr">
        <is>
          <t>AL FINA ENERGIZER 24/25 SC ENV TBGS WITH TSHIRT</t>
        </is>
      </c>
      <c r="C73" s="7" t="inlineStr">
        <is>
          <t>AL FINA</t>
        </is>
      </c>
      <c r="D73" s="7" t="n">
        <v>1099</v>
      </c>
      <c r="E73" s="7" t="inlineStr">
        <is>
          <t>AL FINA ENERGIZER 25 SC ENV TBGS</t>
        </is>
      </c>
      <c r="F73" s="7" t="n">
        <v>24</v>
      </c>
      <c r="G73" s="7" t="inlineStr">
        <is>
          <t>CTN</t>
        </is>
      </c>
      <c r="H73">
        <f>#N/A</f>
        <v/>
      </c>
    </row>
    <row r="74" ht="14.25" customHeight="1" s="5">
      <c r="A74" s="7" t="n">
        <v>23149</v>
      </c>
      <c r="B74" s="7" t="inlineStr">
        <is>
          <t>AL FINA FRUITY CRANBERRY HERBAL 24/25 DC ENV TBGS</t>
        </is>
      </c>
      <c r="C74" s="7" t="inlineStr">
        <is>
          <t>AL FINA</t>
        </is>
      </c>
      <c r="D74" s="7" t="n">
        <v>32848</v>
      </c>
      <c r="E74" s="7" t="inlineStr">
        <is>
          <t>AL FINA FRUITY CRANBERRY HERBAL 25 DC ENV TBGS</t>
        </is>
      </c>
      <c r="F74" s="7" t="n">
        <v>24</v>
      </c>
      <c r="G74" s="7" t="inlineStr">
        <is>
          <t>CTN</t>
        </is>
      </c>
      <c r="H74" t="inlineStr">
        <is>
          <t>BLEND FRUITY CRANBERRY STRAWBERRY TBC</t>
        </is>
      </c>
    </row>
    <row r="75" ht="14.25" customHeight="1" s="5">
      <c r="A75" s="7" t="n">
        <v>33649</v>
      </c>
      <c r="B75" s="7" t="inlineStr">
        <is>
          <t>AL FINA GIFT BOX 36 DC ENV TBGS</t>
        </is>
      </c>
      <c r="C75" s="7" t="inlineStr">
        <is>
          <t>AL FINA</t>
        </is>
      </c>
      <c r="D75" s="7" t="n">
        <v>33662</v>
      </c>
      <c r="E75" s="7" t="inlineStr">
        <is>
          <t>AL FINA LOOSE ENV CLOVE DC ENV TBGS</t>
        </is>
      </c>
      <c r="F75" s="7" t="n">
        <v>4</v>
      </c>
      <c r="G75" s="7" t="inlineStr">
        <is>
          <t>ENV</t>
        </is>
      </c>
      <c r="H75" t="inlineStr">
        <is>
          <t>BLEND BLACK TEA CLOVE TBC</t>
        </is>
      </c>
    </row>
    <row r="76" ht="14.25" customHeight="1" s="5">
      <c r="A76" s="7" t="n">
        <v>33649</v>
      </c>
      <c r="B76" s="7" t="inlineStr">
        <is>
          <t>AL FINA GIFT BOX 36 DC ENV TBGS</t>
        </is>
      </c>
      <c r="C76" s="7" t="inlineStr">
        <is>
          <t>AL FINA</t>
        </is>
      </c>
      <c r="D76" s="7" t="n">
        <v>33663</v>
      </c>
      <c r="E76" s="7" t="inlineStr">
        <is>
          <t>AL FINA LOOSE ENV CRANBERRY APPLE DC ENV TBGS</t>
        </is>
      </c>
      <c r="F76" s="7" t="n">
        <v>4</v>
      </c>
      <c r="G76" s="7" t="inlineStr">
        <is>
          <t>ENV</t>
        </is>
      </c>
      <c r="H76" t="inlineStr">
        <is>
          <t>BLEND CRANBERRY APPLE</t>
        </is>
      </c>
    </row>
    <row r="77" ht="14.25" customHeight="1" s="5">
      <c r="A77" s="7" t="n">
        <v>33649</v>
      </c>
      <c r="B77" s="7" t="inlineStr">
        <is>
          <t>AL FINA GIFT BOX 36 DC ENV TBGS</t>
        </is>
      </c>
      <c r="C77" s="7" t="inlineStr">
        <is>
          <t>AL FINA</t>
        </is>
      </c>
      <c r="D77" s="7" t="n">
        <v>33653</v>
      </c>
      <c r="E77" s="7" t="inlineStr">
        <is>
          <t>AL FINA LOOSE ENV BLACK TEA DC ENV TBGS</t>
        </is>
      </c>
      <c r="F77" s="7" t="n">
        <v>8</v>
      </c>
      <c r="G77" s="7" t="inlineStr">
        <is>
          <t>ENV</t>
        </is>
      </c>
      <c r="H77" t="inlineStr">
        <is>
          <t>BLEND A-132</t>
        </is>
      </c>
    </row>
    <row r="78" ht="14.25" customHeight="1" s="5">
      <c r="A78" s="7" t="n">
        <v>33649</v>
      </c>
      <c r="B78" s="7" t="inlineStr">
        <is>
          <t>AL FINA GIFT BOX 36 DC ENV TBGS</t>
        </is>
      </c>
      <c r="C78" s="7" t="inlineStr">
        <is>
          <t>AL FINA</t>
        </is>
      </c>
      <c r="D78" s="7" t="n">
        <v>33656</v>
      </c>
      <c r="E78" s="7" t="inlineStr">
        <is>
          <t>AL FINA LOOSE ENV MINT DC ENV TBGS</t>
        </is>
      </c>
      <c r="F78" s="7" t="n">
        <v>4</v>
      </c>
      <c r="G78" s="7" t="inlineStr">
        <is>
          <t>ENV</t>
        </is>
      </c>
      <c r="H78" t="inlineStr">
        <is>
          <t>BLEND AF BLACK TEA MINT TBGS</t>
        </is>
      </c>
    </row>
    <row r="79" ht="14.25" customHeight="1" s="5">
      <c r="A79" s="7" t="n">
        <v>33649</v>
      </c>
      <c r="B79" s="7" t="inlineStr">
        <is>
          <t>AL FINA GIFT BOX 36 DC ENV TBGS</t>
        </is>
      </c>
      <c r="C79" s="7" t="inlineStr">
        <is>
          <t>AL FINA</t>
        </is>
      </c>
      <c r="D79" s="7" t="n">
        <v>33657</v>
      </c>
      <c r="E79" s="7" t="inlineStr">
        <is>
          <t>AL FINA LOOSE ENV STRAWBERRY DC ENV TBGS</t>
        </is>
      </c>
      <c r="F79" s="7" t="n">
        <v>4</v>
      </c>
      <c r="G79" s="7" t="inlineStr">
        <is>
          <t>ENV</t>
        </is>
      </c>
      <c r="H79" t="inlineStr">
        <is>
          <t>BLEND STRAWBERRY TB</t>
        </is>
      </c>
    </row>
    <row r="80" ht="14.25" customHeight="1" s="5">
      <c r="A80" s="7" t="n">
        <v>33649</v>
      </c>
      <c r="B80" s="7" t="inlineStr">
        <is>
          <t>AL FINA GIFT BOX 36 DC ENV TBGS</t>
        </is>
      </c>
      <c r="C80" s="7" t="inlineStr">
        <is>
          <t>AL FINA</t>
        </is>
      </c>
      <c r="D80" s="7" t="n">
        <v>33658</v>
      </c>
      <c r="E80" s="7" t="inlineStr">
        <is>
          <t>AL FINA LOOSE ENV GINGER DC ENV TBGS</t>
        </is>
      </c>
      <c r="F80" s="7" t="n">
        <v>4</v>
      </c>
      <c r="G80" s="7" t="inlineStr">
        <is>
          <t>ENV</t>
        </is>
      </c>
      <c r="H80" t="inlineStr">
        <is>
          <t>BLEND AF BLACK TEA  GINGER TBGS</t>
        </is>
      </c>
    </row>
    <row r="81" ht="14.25" customHeight="1" s="5">
      <c r="A81" s="7" t="n">
        <v>33649</v>
      </c>
      <c r="B81" s="7" t="inlineStr">
        <is>
          <t>AL FINA GIFT BOX 36 DC ENV TBGS</t>
        </is>
      </c>
      <c r="C81" s="7" t="inlineStr">
        <is>
          <t>AL FINA</t>
        </is>
      </c>
      <c r="D81" s="7" t="n">
        <v>33660</v>
      </c>
      <c r="E81" s="7" t="inlineStr">
        <is>
          <t>AL FINA LOOSE ENV COCKTAIL DC ENV TBGS</t>
        </is>
      </c>
      <c r="F81" s="7" t="n">
        <v>4</v>
      </c>
      <c r="G81" s="7" t="inlineStr">
        <is>
          <t>ENV</t>
        </is>
      </c>
      <c r="H81" t="inlineStr">
        <is>
          <t>BLEND BLACK TEA COCKTAIL TBC</t>
        </is>
      </c>
    </row>
    <row r="82" ht="14.25" customHeight="1" s="5">
      <c r="A82" s="7" t="n">
        <v>33649</v>
      </c>
      <c r="B82" s="7" t="inlineStr">
        <is>
          <t>AL FINA GIFT BOX 36 DC ENV TBGS</t>
        </is>
      </c>
      <c r="C82" s="7" t="inlineStr">
        <is>
          <t>AL FINA</t>
        </is>
      </c>
      <c r="D82" s="7" t="n">
        <v>33661</v>
      </c>
      <c r="E82" s="7" t="inlineStr">
        <is>
          <t>AL FINA LOOSE ENV GREEN LEMON DC ENV TBGS</t>
        </is>
      </c>
      <c r="F82" s="7" t="n">
        <v>4</v>
      </c>
      <c r="G82" s="7" t="inlineStr">
        <is>
          <t>ENV</t>
        </is>
      </c>
      <c r="H82" t="inlineStr">
        <is>
          <t>BLEND GREEN CITRUS TB</t>
        </is>
      </c>
    </row>
    <row r="83" ht="14.25" customHeight="1" s="5">
      <c r="A83" s="7" t="n">
        <v>33634</v>
      </c>
      <c r="B83" s="7" t="inlineStr">
        <is>
          <t>AL FINA GIFT BOX 4/36 DC ENV TBGS WITH SHOPPING BAG</t>
        </is>
      </c>
      <c r="C83" s="7" t="inlineStr">
        <is>
          <t>AL FINA</t>
        </is>
      </c>
      <c r="D83" s="7" t="n">
        <v>33649</v>
      </c>
      <c r="E83" s="7" t="inlineStr">
        <is>
          <t>AL FINA GIFT BOX 36 DC ENV TBGS</t>
        </is>
      </c>
      <c r="F83" s="7" t="n">
        <v>4</v>
      </c>
      <c r="G83" s="7" t="inlineStr">
        <is>
          <t>CTN</t>
        </is>
      </c>
      <c r="H83">
        <f>#N/A</f>
        <v/>
      </c>
    </row>
    <row r="84" ht="14.25" customHeight="1" s="5">
      <c r="A84" s="7" t="n">
        <v>23139</v>
      </c>
      <c r="B84" s="7" t="inlineStr">
        <is>
          <t>AL FINA GINGER 24/25 DC ENV TBGS</t>
        </is>
      </c>
      <c r="C84" s="7" t="inlineStr">
        <is>
          <t>AL FINA</t>
        </is>
      </c>
      <c r="D84" s="7" t="n">
        <v>23167</v>
      </c>
      <c r="E84" s="7" t="inlineStr">
        <is>
          <t>AL FINA GINGER 25 DC ENV TBGS</t>
        </is>
      </c>
      <c r="F84" s="7" t="n">
        <v>24</v>
      </c>
      <c r="G84" s="7" t="inlineStr">
        <is>
          <t>CTN</t>
        </is>
      </c>
      <c r="H84" t="inlineStr">
        <is>
          <t>BLEND AF BLACK TEA  GINGER TBGS</t>
        </is>
      </c>
    </row>
    <row r="85" ht="14.25" customHeight="1" s="5">
      <c r="A85" s="7" t="n">
        <v>23772</v>
      </c>
      <c r="B85" s="7" t="inlineStr">
        <is>
          <t>AL FINA GREEN TEA 24/25 DC ENV TBGS</t>
        </is>
      </c>
      <c r="C85" s="7" t="inlineStr">
        <is>
          <t>AL FINA</t>
        </is>
      </c>
      <c r="D85" s="7" t="n">
        <v>24556</v>
      </c>
      <c r="E85" s="7" t="inlineStr">
        <is>
          <t>AL FINA GREEN TEA 25 DC ENV TBGS</t>
        </is>
      </c>
      <c r="F85" s="7" t="n">
        <v>24</v>
      </c>
      <c r="G85" s="7" t="inlineStr">
        <is>
          <t>CTN</t>
        </is>
      </c>
      <c r="H85" t="inlineStr">
        <is>
          <t>BLEND 7434 GREEN - 90% UTZ</t>
        </is>
      </c>
    </row>
    <row r="86" ht="14.25" customHeight="1" s="5">
      <c r="A86" s="7" t="n">
        <v>1118</v>
      </c>
      <c r="B86" s="7" t="inlineStr">
        <is>
          <t>AL FINA GREEN TEA 24/25 SC ENV TBGS WITH T-SHIRT</t>
        </is>
      </c>
      <c r="C86" s="7" t="inlineStr">
        <is>
          <t>AL FINA</t>
        </is>
      </c>
      <c r="D86" s="7" t="n">
        <v>1114</v>
      </c>
      <c r="E86" s="7" t="inlineStr">
        <is>
          <t>AL FINA GREEN TEA 25 SC ENV TBGS</t>
        </is>
      </c>
      <c r="F86" s="7" t="n">
        <v>24</v>
      </c>
      <c r="G86" s="7" t="inlineStr">
        <is>
          <t>CTN</t>
        </is>
      </c>
      <c r="H86">
        <f>#N/A</f>
        <v/>
      </c>
    </row>
    <row r="87" ht="14.25" customHeight="1" s="5">
      <c r="A87" s="7" t="n">
        <v>20483</v>
      </c>
      <c r="B87" s="7" t="inlineStr">
        <is>
          <t>AL FINA GREEN TEA COCONUT 24/25 SC ENV TBGS</t>
        </is>
      </c>
      <c r="C87" s="7" t="inlineStr">
        <is>
          <t>AL FINA</t>
        </is>
      </c>
      <c r="D87" s="7" t="n">
        <v>5178</v>
      </c>
      <c r="E87" s="7" t="inlineStr">
        <is>
          <t>AL FINA GREEN TEA COCONUT 25 SC ENV TBGS</t>
        </is>
      </c>
      <c r="F87" s="7" t="n">
        <v>24</v>
      </c>
      <c r="G87" s="7" t="inlineStr">
        <is>
          <t>CTN</t>
        </is>
      </c>
      <c r="H87">
        <f>#N/A</f>
        <v/>
      </c>
    </row>
    <row r="88" ht="14.25" customHeight="1" s="5">
      <c r="A88" s="7" t="n">
        <v>1120</v>
      </c>
      <c r="B88" s="7" t="inlineStr">
        <is>
          <t>AL FINA GREEN TEA COCONUT 24/25 SC ENV TBGS WITH T-SHIRT</t>
        </is>
      </c>
      <c r="C88" s="7" t="inlineStr">
        <is>
          <t>AL FINA</t>
        </is>
      </c>
      <c r="D88" s="7" t="n">
        <v>5178</v>
      </c>
      <c r="E88" s="7" t="inlineStr">
        <is>
          <t>AL FINA GREEN TEA COCONUT 25 SC ENV TBGS</t>
        </is>
      </c>
      <c r="F88" s="7" t="n">
        <v>24</v>
      </c>
      <c r="G88" s="7" t="inlineStr">
        <is>
          <t>CTN</t>
        </is>
      </c>
      <c r="H88">
        <f>#N/A</f>
        <v/>
      </c>
    </row>
    <row r="89" ht="14.25" customHeight="1" s="5">
      <c r="A89" s="7" t="n">
        <v>1126</v>
      </c>
      <c r="B89" s="7" t="inlineStr">
        <is>
          <t>AL FINA GREEN TEA CRANBERRY 24/25 SC ENV TBGS</t>
        </is>
      </c>
      <c r="C89" s="7" t="inlineStr">
        <is>
          <t>AL FINA</t>
        </is>
      </c>
      <c r="D89" s="7" t="n">
        <v>1127</v>
      </c>
      <c r="E89" s="7" t="inlineStr">
        <is>
          <t>AL FINA GREEN TEA CRANBERRY 25 SC ENV TBGS</t>
        </is>
      </c>
      <c r="F89" s="7" t="n">
        <v>24</v>
      </c>
      <c r="G89" s="7" t="inlineStr">
        <is>
          <t>CTN</t>
        </is>
      </c>
      <c r="H89">
        <f>#N/A</f>
        <v/>
      </c>
    </row>
    <row r="90" ht="14.25" customHeight="1" s="5">
      <c r="A90" s="7" t="n">
        <v>1132</v>
      </c>
      <c r="B90" s="7" t="inlineStr">
        <is>
          <t>AL FINA GREEN TEA CRANBERRY 24/25 SC ENV TBGS WITH T-SHIRT</t>
        </is>
      </c>
      <c r="C90" s="7" t="inlineStr">
        <is>
          <t>AL FINA</t>
        </is>
      </c>
      <c r="D90" s="7" t="n">
        <v>1127</v>
      </c>
      <c r="E90" s="7" t="inlineStr">
        <is>
          <t>AL FINA GREEN TEA CRANBERRY 25 SC ENV TBGS</t>
        </is>
      </c>
      <c r="F90" s="7" t="n">
        <v>24</v>
      </c>
      <c r="G90" s="7" t="inlineStr">
        <is>
          <t>CTN</t>
        </is>
      </c>
      <c r="H90">
        <f>#N/A</f>
        <v/>
      </c>
    </row>
    <row r="91" ht="14.25" customHeight="1" s="5">
      <c r="A91" s="7" t="n">
        <v>23774</v>
      </c>
      <c r="B91" s="7" t="inlineStr">
        <is>
          <t>AL FINA GREEN TEA LEMON 24/25 DC ENV TBGS</t>
        </is>
      </c>
      <c r="C91" s="7" t="inlineStr">
        <is>
          <t>AL FINA</t>
        </is>
      </c>
      <c r="D91" s="7" t="n">
        <v>24558</v>
      </c>
      <c r="E91" s="7" t="inlineStr">
        <is>
          <t>AL FINA GREEN TEA LEMON 25 DC ENV TBGS</t>
        </is>
      </c>
      <c r="F91" s="7" t="n">
        <v>24</v>
      </c>
      <c r="G91" s="7" t="inlineStr">
        <is>
          <t>CTN</t>
        </is>
      </c>
      <c r="H91" t="inlineStr">
        <is>
          <t>BLEND GREEN CITRUS TB</t>
        </is>
      </c>
    </row>
    <row r="92" ht="14.25" customHeight="1" s="5">
      <c r="A92" s="7" t="n">
        <v>26082</v>
      </c>
      <c r="B92" s="7" t="inlineStr">
        <is>
          <t>AL FINA GREEN TEA LEMON GRASS 24/25 DC ENV TBGS</t>
        </is>
      </c>
      <c r="C92" s="7" t="inlineStr">
        <is>
          <t>AL FINA</t>
        </is>
      </c>
      <c r="D92" s="7" t="n">
        <v>26161</v>
      </c>
      <c r="E92" s="7" t="inlineStr">
        <is>
          <t>AL FINA GREEN LEMON GRASS 25 DC ENV TBGS</t>
        </is>
      </c>
      <c r="F92" s="7" t="n">
        <v>24</v>
      </c>
      <c r="G92" s="7" t="inlineStr">
        <is>
          <t>CTN</t>
        </is>
      </c>
      <c r="H92" t="inlineStr">
        <is>
          <t>BLEND GREEN TEA LEMON GRASS TBC - AF</t>
        </is>
      </c>
    </row>
    <row r="93" ht="14.25" customHeight="1" s="5">
      <c r="A93" s="7" t="n">
        <v>1134</v>
      </c>
      <c r="B93" s="7" t="inlineStr">
        <is>
          <t>AL FINA GREEN TEA LEMON GRASS 24/25 SC ENV TBGS</t>
        </is>
      </c>
      <c r="C93" s="7" t="inlineStr">
        <is>
          <t>AL FINA</t>
        </is>
      </c>
      <c r="D93" s="7" t="n">
        <v>1178</v>
      </c>
      <c r="E93" s="7" t="inlineStr">
        <is>
          <t>AL FINA LEMON GRASS 25 SC ENV TBGS</t>
        </is>
      </c>
      <c r="F93" s="7" t="n">
        <v>24</v>
      </c>
      <c r="G93" s="7" t="inlineStr">
        <is>
          <t>CTN</t>
        </is>
      </c>
      <c r="H93">
        <f>#N/A</f>
        <v/>
      </c>
    </row>
    <row r="94" ht="14.25" customHeight="1" s="5">
      <c r="A94" s="7" t="n">
        <v>23773</v>
      </c>
      <c r="B94" s="7" t="inlineStr">
        <is>
          <t>AL FINA GREEN TEA MINT 24/25 DC ENV TBGS</t>
        </is>
      </c>
      <c r="C94" s="7" t="inlineStr">
        <is>
          <t>AL FINA</t>
        </is>
      </c>
      <c r="D94" s="7" t="n">
        <v>24557</v>
      </c>
      <c r="E94" s="7" t="inlineStr">
        <is>
          <t>AL FINA GREEN TEA MINT 25 DC ENV TBGS</t>
        </is>
      </c>
      <c r="F94" s="7" t="n">
        <v>24</v>
      </c>
      <c r="G94" s="7" t="inlineStr">
        <is>
          <t>CTN</t>
        </is>
      </c>
      <c r="H94" t="inlineStr">
        <is>
          <t>BLEND GREEN TEA MINT TBC - AF</t>
        </is>
      </c>
    </row>
    <row r="95" ht="14.25" customHeight="1" s="5">
      <c r="A95" s="7" t="n">
        <v>1146</v>
      </c>
      <c r="B95" s="7" t="inlineStr">
        <is>
          <t>AL FINA GREEN TEA MINT 24/25 SC ENV TBGS WITH TSHIRT</t>
        </is>
      </c>
      <c r="C95" s="7" t="inlineStr">
        <is>
          <t>AL FINA</t>
        </is>
      </c>
      <c r="D95" s="7" t="n">
        <v>1141</v>
      </c>
      <c r="E95" s="7" t="inlineStr">
        <is>
          <t>AL FINA GREEN TEA MINT 25 SC ENV TBGS</t>
        </is>
      </c>
      <c r="F95" s="7" t="n">
        <v>24</v>
      </c>
      <c r="G95" s="7" t="inlineStr">
        <is>
          <t>CTN</t>
        </is>
      </c>
      <c r="H95">
        <f>#N/A</f>
        <v/>
      </c>
    </row>
    <row r="96" ht="14.25" customHeight="1" s="5">
      <c r="A96" s="7" t="n">
        <v>23140</v>
      </c>
      <c r="B96" s="7" t="inlineStr">
        <is>
          <t>AL FINA GREEN TEA MORINGA 24/25 DC ENV TBGS</t>
        </is>
      </c>
      <c r="C96" s="7" t="inlineStr">
        <is>
          <t>AL FINA</t>
        </is>
      </c>
      <c r="D96" s="7" t="n">
        <v>23176</v>
      </c>
      <c r="E96" s="7" t="inlineStr">
        <is>
          <t>AL FINA GREEN TEA MORINGA 25 DC ENV TBGS</t>
        </is>
      </c>
      <c r="F96" s="7" t="n">
        <v>24</v>
      </c>
      <c r="G96" s="7" t="inlineStr">
        <is>
          <t>CTN</t>
        </is>
      </c>
      <c r="H96" t="inlineStr">
        <is>
          <t>BLEND GREEN TEA MORINGA GINGER TB</t>
        </is>
      </c>
    </row>
    <row r="97" ht="14.25" customHeight="1" s="5">
      <c r="A97" s="7" t="n">
        <v>1153</v>
      </c>
      <c r="B97" s="7" t="inlineStr">
        <is>
          <t>AL FINA GREEN TEA MORINGA 24/25 SC ENV TBGS WITH TSHIRT</t>
        </is>
      </c>
      <c r="C97" s="7" t="inlineStr">
        <is>
          <t>AL FINA</t>
        </is>
      </c>
      <c r="D97" s="7" t="n">
        <v>1149</v>
      </c>
      <c r="E97" s="7" t="inlineStr">
        <is>
          <t>AL FINA GREEN TEA MORINGA 25 SC ENV TBGS</t>
        </is>
      </c>
      <c r="F97" s="7" t="n">
        <v>24</v>
      </c>
      <c r="G97" s="7" t="inlineStr">
        <is>
          <t>CTN</t>
        </is>
      </c>
      <c r="H97">
        <f>#N/A</f>
        <v/>
      </c>
    </row>
    <row r="98" ht="14.25" customHeight="1" s="5">
      <c r="A98" s="7" t="n">
        <v>1161</v>
      </c>
      <c r="B98" s="7" t="inlineStr">
        <is>
          <t>AL FINA GREEN TEA WITH LEMON 24/25 SC ENV TBGS WITH TSHIRT</t>
        </is>
      </c>
      <c r="C98" s="7" t="inlineStr">
        <is>
          <t>AL FINA</t>
        </is>
      </c>
      <c r="D98" s="7" t="n">
        <v>1156</v>
      </c>
      <c r="E98" s="7" t="inlineStr">
        <is>
          <t>AL FINA GREEN TEA WITH LEMON 25 SC ENV TBGS</t>
        </is>
      </c>
      <c r="F98" s="7" t="n">
        <v>24</v>
      </c>
      <c r="G98" s="7" t="inlineStr">
        <is>
          <t>CTN</t>
        </is>
      </c>
      <c r="H98">
        <f>#N/A</f>
        <v/>
      </c>
    </row>
    <row r="99" ht="14.25" customHeight="1" s="5">
      <c r="A99" s="7" t="n">
        <v>1163</v>
      </c>
      <c r="B99" s="7" t="inlineStr">
        <is>
          <t>AL FINA HIBISCUS APPLE 24/25 SC ENV TBGS</t>
        </is>
      </c>
      <c r="C99" s="7" t="inlineStr">
        <is>
          <t>AL FINA</t>
        </is>
      </c>
      <c r="D99" s="7" t="n">
        <v>1164</v>
      </c>
      <c r="E99" s="7" t="inlineStr">
        <is>
          <t>AL FINA HIBISCUS APPLE 25 SC ENV TBGS</t>
        </is>
      </c>
      <c r="F99" s="7" t="n">
        <v>24</v>
      </c>
      <c r="G99" s="7" t="inlineStr">
        <is>
          <t>CTN</t>
        </is>
      </c>
      <c r="H99">
        <f>#N/A</f>
        <v/>
      </c>
    </row>
    <row r="100" ht="14.25" customHeight="1" s="5">
      <c r="A100" s="7" t="n">
        <v>1168</v>
      </c>
      <c r="B100" s="7" t="inlineStr">
        <is>
          <t>AL FINA HIBISCUS APPLE 24/25 SC ENV TBGS WITH TSHIRT</t>
        </is>
      </c>
      <c r="C100" s="7" t="inlineStr">
        <is>
          <t>AL FINA</t>
        </is>
      </c>
      <c r="D100" s="7" t="n">
        <v>1164</v>
      </c>
      <c r="E100" s="7" t="inlineStr">
        <is>
          <t>AL FINA HIBISCUS APPLE 25 SC ENV TBGS</t>
        </is>
      </c>
      <c r="F100" s="7" t="n">
        <v>24</v>
      </c>
      <c r="G100" s="7" t="inlineStr">
        <is>
          <t>CTN</t>
        </is>
      </c>
      <c r="H100">
        <f>#N/A</f>
        <v/>
      </c>
    </row>
    <row r="101" ht="14.25" customHeight="1" s="5">
      <c r="A101" s="7" t="n">
        <v>23776</v>
      </c>
      <c r="B101" s="7" t="inlineStr">
        <is>
          <t>AL FINA IMMUNITY 24/25 DC ENV TBGS</t>
        </is>
      </c>
      <c r="C101" s="7" t="inlineStr">
        <is>
          <t>AL FINA</t>
        </is>
      </c>
      <c r="D101" s="7" t="n">
        <v>24561</v>
      </c>
      <c r="E101" s="7" t="inlineStr">
        <is>
          <t>AL FINA IMMUNIITY 25 DC ENV TBGS</t>
        </is>
      </c>
      <c r="F101" s="7" t="n">
        <v>24</v>
      </c>
      <c r="G101" s="7" t="inlineStr">
        <is>
          <t>CTN</t>
        </is>
      </c>
      <c r="H101" t="inlineStr">
        <is>
          <t>BLEND HERBAL IMMUNITY</t>
        </is>
      </c>
    </row>
    <row r="102" ht="14.25" customHeight="1" s="5">
      <c r="A102" s="7" t="n">
        <v>20500</v>
      </c>
      <c r="B102" s="7" t="inlineStr">
        <is>
          <t>AL FINA IMMUNITY 24/25 SC ENV TBGS</t>
        </is>
      </c>
      <c r="C102" s="7" t="inlineStr">
        <is>
          <t>AL FINA</t>
        </is>
      </c>
      <c r="D102" s="7" t="n">
        <v>20501</v>
      </c>
      <c r="E102" s="7" t="inlineStr">
        <is>
          <t>AL FINA IMMUNITY 25 SC ENV TBGS</t>
        </is>
      </c>
      <c r="F102" s="7" t="n">
        <v>24</v>
      </c>
      <c r="G102" s="7" t="inlineStr">
        <is>
          <t>CTN</t>
        </is>
      </c>
      <c r="H102">
        <f>#N/A</f>
        <v/>
      </c>
    </row>
    <row r="103" ht="14.25" customHeight="1" s="5">
      <c r="A103" s="7" t="n">
        <v>21495</v>
      </c>
      <c r="B103" s="7" t="inlineStr">
        <is>
          <t>AL FINA IMMUNITY 24/25 SC ENV TBGS WITH TSHIRT</t>
        </is>
      </c>
      <c r="C103" s="7" t="inlineStr">
        <is>
          <t>AL FINA</t>
        </is>
      </c>
      <c r="D103" s="7" t="n">
        <v>20501</v>
      </c>
      <c r="E103" s="7" t="inlineStr">
        <is>
          <t>AL FINA IMMUNITY 25 SC ENV TBGS</t>
        </is>
      </c>
      <c r="F103" s="7" t="n">
        <v>24</v>
      </c>
      <c r="G103" s="7" t="inlineStr">
        <is>
          <t>CTN</t>
        </is>
      </c>
      <c r="H103">
        <f>#N/A</f>
        <v/>
      </c>
    </row>
    <row r="104" ht="14.25" customHeight="1" s="5">
      <c r="A104" s="7" t="n">
        <v>23141</v>
      </c>
      <c r="B104" s="7" t="inlineStr">
        <is>
          <t>AL FINA LEMON 24/25 DC ENV TBGS</t>
        </is>
      </c>
      <c r="C104" s="7" t="inlineStr">
        <is>
          <t>AL FINA</t>
        </is>
      </c>
      <c r="D104" s="7" t="n">
        <v>23168</v>
      </c>
      <c r="E104" s="7" t="inlineStr">
        <is>
          <t>AL FINA LEMON 25 DC ENV TBGS</t>
        </is>
      </c>
      <c r="F104" s="7" t="n">
        <v>24</v>
      </c>
      <c r="G104" s="7" t="inlineStr">
        <is>
          <t>CTN</t>
        </is>
      </c>
      <c r="H104" t="inlineStr">
        <is>
          <t>BLEND BLACK TEA LEMON TB</t>
        </is>
      </c>
    </row>
    <row r="105" ht="14.25" customHeight="1" s="5">
      <c r="A105" s="7" t="n">
        <v>1177</v>
      </c>
      <c r="B105" s="7" t="inlineStr">
        <is>
          <t>AL FINA LEMON GRASS 24/25 SC ENV TBGS WITH TSHIRT</t>
        </is>
      </c>
      <c r="C105" s="7" t="inlineStr">
        <is>
          <t>AL FINA</t>
        </is>
      </c>
      <c r="D105" s="7" t="n">
        <v>1178</v>
      </c>
      <c r="E105" s="7" t="inlineStr">
        <is>
          <t>AL FINA LEMON GRASS 25 SC ENV TBGS</t>
        </is>
      </c>
      <c r="F105" s="7" t="n">
        <v>24</v>
      </c>
      <c r="G105" s="7" t="inlineStr">
        <is>
          <t>CTN</t>
        </is>
      </c>
      <c r="H105">
        <f>#N/A</f>
        <v/>
      </c>
    </row>
    <row r="106" ht="14.25" customHeight="1" s="5">
      <c r="A106" s="7" t="n">
        <v>23142</v>
      </c>
      <c r="B106" s="7" t="inlineStr">
        <is>
          <t>AL FINA MANGO 24/25 DC ENV TBGS</t>
        </is>
      </c>
      <c r="C106" s="7" t="inlineStr">
        <is>
          <t>AL FINA</t>
        </is>
      </c>
      <c r="D106" s="7" t="n">
        <v>23169</v>
      </c>
      <c r="E106" s="7" t="inlineStr">
        <is>
          <t>AL FINA MANGO 25 DC ENV TBGS</t>
        </is>
      </c>
      <c r="F106" s="7" t="n">
        <v>24</v>
      </c>
      <c r="G106" s="7" t="inlineStr">
        <is>
          <t>CTN</t>
        </is>
      </c>
      <c r="H106" t="inlineStr">
        <is>
          <t>BLEND AF BLACK TEA WITH MANGO TBGS</t>
        </is>
      </c>
    </row>
    <row r="107" ht="14.25" customHeight="1" s="5">
      <c r="A107" s="7" t="n">
        <v>1179</v>
      </c>
      <c r="B107" s="7" t="inlineStr">
        <is>
          <t>AL FINA MANGO 24/25 SC ENV TBGS</t>
        </is>
      </c>
      <c r="C107" s="7" t="inlineStr">
        <is>
          <t>AL FINA</t>
        </is>
      </c>
      <c r="D107" s="7" t="n">
        <v>1180</v>
      </c>
      <c r="E107" s="7" t="inlineStr">
        <is>
          <t>AL FINA MANGO 25 SC ENV TBGS</t>
        </is>
      </c>
      <c r="F107" s="7" t="n">
        <v>24</v>
      </c>
      <c r="G107" s="7" t="inlineStr">
        <is>
          <t>CTN</t>
        </is>
      </c>
      <c r="H107">
        <f>#N/A</f>
        <v/>
      </c>
    </row>
    <row r="108" ht="14.25" customHeight="1" s="5">
      <c r="A108" s="7" t="n">
        <v>1184</v>
      </c>
      <c r="B108" s="7" t="inlineStr">
        <is>
          <t>AL FINA MANGO 24/25 SC ENV TBGS WITH TSHIRT</t>
        </is>
      </c>
      <c r="C108" s="7" t="inlineStr">
        <is>
          <t>AL FINA</t>
        </is>
      </c>
      <c r="D108" s="7" t="n">
        <v>1180</v>
      </c>
      <c r="E108" s="7" t="inlineStr">
        <is>
          <t>AL FINA MANGO 25 SC ENV TBGS</t>
        </is>
      </c>
      <c r="F108" s="7" t="n">
        <v>24</v>
      </c>
      <c r="G108" s="7" t="inlineStr">
        <is>
          <t>CTN</t>
        </is>
      </c>
      <c r="H108">
        <f>#N/A</f>
        <v/>
      </c>
    </row>
    <row r="109" ht="14.25" customHeight="1" s="5">
      <c r="A109" s="7" t="n">
        <v>23143</v>
      </c>
      <c r="B109" s="7" t="inlineStr">
        <is>
          <t>AL FINA MINT 24/25 DC ENV TBGS</t>
        </is>
      </c>
      <c r="C109" s="7" t="inlineStr">
        <is>
          <t>AL FINA</t>
        </is>
      </c>
      <c r="D109" s="7" t="n">
        <v>23170</v>
      </c>
      <c r="E109" s="7" t="inlineStr">
        <is>
          <t>AL FINA MINT 25 DC ENV TBGS</t>
        </is>
      </c>
      <c r="F109" s="7" t="n">
        <v>24</v>
      </c>
      <c r="G109" s="7" t="inlineStr">
        <is>
          <t>CTN</t>
        </is>
      </c>
      <c r="H109" t="inlineStr">
        <is>
          <t>BLEND AF BLACK TEA MINT TBGS</t>
        </is>
      </c>
    </row>
    <row r="110" ht="14.25" customHeight="1" s="5">
      <c r="A110" s="7" t="n">
        <v>36615</v>
      </c>
      <c r="B110" s="7" t="inlineStr">
        <is>
          <t>AL FINA MIX 24/25 DC ENV TBGS</t>
        </is>
      </c>
      <c r="C110" s="7" t="inlineStr">
        <is>
          <t>AL FINA</t>
        </is>
      </c>
      <c r="D110" s="7" t="n">
        <v>23173</v>
      </c>
      <c r="E110" s="7" t="inlineStr">
        <is>
          <t>AL FINA STRAWBERRY 25 DC ENV TBGS</t>
        </is>
      </c>
      <c r="F110" s="7" t="n">
        <v>3</v>
      </c>
      <c r="G110" s="7" t="inlineStr">
        <is>
          <t>CTN</t>
        </is>
      </c>
      <c r="H110" t="inlineStr">
        <is>
          <t>BLEND STRAWBERRY TB</t>
        </is>
      </c>
    </row>
    <row r="111" ht="14.25" customHeight="1" s="5">
      <c r="A111" s="7" t="n">
        <v>36615</v>
      </c>
      <c r="B111" s="7" t="inlineStr">
        <is>
          <t>AL FINA MIX 24/25 DC ENV TBGS</t>
        </is>
      </c>
      <c r="C111" s="7" t="inlineStr">
        <is>
          <t>AL FINA</t>
        </is>
      </c>
      <c r="D111" s="7" t="n">
        <v>23168</v>
      </c>
      <c r="E111" s="7" t="inlineStr">
        <is>
          <t>AL FINA LEMON 25 DC ENV TBGS</t>
        </is>
      </c>
      <c r="F111" s="7" t="n">
        <v>3</v>
      </c>
      <c r="G111" s="7" t="inlineStr">
        <is>
          <t>CTN</t>
        </is>
      </c>
      <c r="H111" t="inlineStr">
        <is>
          <t>BLEND BLACK TEA LEMON TB</t>
        </is>
      </c>
    </row>
    <row r="112" ht="14.25" customHeight="1" s="5">
      <c r="A112" s="7" t="n">
        <v>36615</v>
      </c>
      <c r="B112" s="7" t="inlineStr">
        <is>
          <t>AL FINA MIX 24/25 DC ENV TBGS</t>
        </is>
      </c>
      <c r="C112" s="7" t="inlineStr">
        <is>
          <t>AL FINA</t>
        </is>
      </c>
      <c r="D112" s="7" t="n">
        <v>31030</v>
      </c>
      <c r="E112" s="7" t="inlineStr">
        <is>
          <t>AL FINA CLOVE 25 DC ENV TBGS</t>
        </is>
      </c>
      <c r="F112" s="7" t="n">
        <v>3</v>
      </c>
      <c r="G112" s="7" t="inlineStr">
        <is>
          <t>CTN</t>
        </is>
      </c>
      <c r="H112" t="inlineStr">
        <is>
          <t>BLEND BLACK TEA CLOVE TBC</t>
        </is>
      </c>
    </row>
    <row r="113" ht="14.25" customHeight="1" s="5">
      <c r="A113" s="7" t="n">
        <v>36615</v>
      </c>
      <c r="B113" s="7" t="inlineStr">
        <is>
          <t>AL FINA MIX 24/25 DC ENV TBGS</t>
        </is>
      </c>
      <c r="C113" s="7" t="inlineStr">
        <is>
          <t>AL FINA</t>
        </is>
      </c>
      <c r="D113" s="7" t="n">
        <v>23176</v>
      </c>
      <c r="E113" s="7" t="inlineStr">
        <is>
          <t>AL FINA GREEN TEA MORINGA 25 DC ENV TBGS</t>
        </is>
      </c>
      <c r="F113" s="7" t="n">
        <v>3</v>
      </c>
      <c r="G113" s="7" t="inlineStr">
        <is>
          <t>CTN</t>
        </is>
      </c>
      <c r="H113" t="inlineStr">
        <is>
          <t>BLEND GREEN TEA MORINGA GINGER TB</t>
        </is>
      </c>
    </row>
    <row r="114" ht="14.25" customHeight="1" s="5">
      <c r="A114" s="7" t="n">
        <v>36615</v>
      </c>
      <c r="B114" s="7" t="inlineStr">
        <is>
          <t>AL FINA MIX 24/25 DC ENV TBGS</t>
        </is>
      </c>
      <c r="C114" s="7" t="inlineStr">
        <is>
          <t>AL FINA</t>
        </is>
      </c>
      <c r="D114" s="7" t="n">
        <v>24557</v>
      </c>
      <c r="E114" s="7" t="inlineStr">
        <is>
          <t>AL FINA GREEN TEA MINT 25 DC ENV TBGS</t>
        </is>
      </c>
      <c r="F114" s="7" t="n">
        <v>3</v>
      </c>
      <c r="G114" s="7" t="inlineStr">
        <is>
          <t>CTN</t>
        </is>
      </c>
      <c r="H114" t="inlineStr">
        <is>
          <t>BLEND GREEN TEA MINT TBC - AF</t>
        </is>
      </c>
    </row>
    <row r="115" ht="14.25" customHeight="1" s="5">
      <c r="A115" s="7" t="n">
        <v>36615</v>
      </c>
      <c r="B115" s="7" t="inlineStr">
        <is>
          <t>AL FINA MIX 24/25 DC ENV TBGS</t>
        </is>
      </c>
      <c r="C115" s="7" t="inlineStr">
        <is>
          <t>AL FINA</t>
        </is>
      </c>
      <c r="D115" s="7" t="n">
        <v>23166</v>
      </c>
      <c r="E115" s="7" t="inlineStr">
        <is>
          <t>AL FINA COCKTAIL 25 DC ENV TBGS</t>
        </is>
      </c>
      <c r="F115" s="7" t="n">
        <v>3</v>
      </c>
      <c r="G115" s="7" t="inlineStr">
        <is>
          <t>CTN</t>
        </is>
      </c>
      <c r="H115" t="inlineStr">
        <is>
          <t>BLEND BLACK TEA COCKTAIL TBC</t>
        </is>
      </c>
    </row>
    <row r="116" ht="14.25" customHeight="1" s="5">
      <c r="A116" s="7" t="n">
        <v>36615</v>
      </c>
      <c r="B116" s="7" t="inlineStr">
        <is>
          <t>AL FINA MIX 24/25 DC ENV TBGS</t>
        </is>
      </c>
      <c r="C116" s="7" t="inlineStr">
        <is>
          <t>AL FINA</t>
        </is>
      </c>
      <c r="D116" s="7" t="n">
        <v>23167</v>
      </c>
      <c r="E116" s="7" t="inlineStr">
        <is>
          <t>AL FINA GINGER 25 DC ENV TBGS</t>
        </is>
      </c>
      <c r="F116" s="7" t="n">
        <v>3</v>
      </c>
      <c r="G116" s="7" t="inlineStr">
        <is>
          <t>CTN</t>
        </is>
      </c>
      <c r="H116" t="inlineStr">
        <is>
          <t>BLEND AF BLACK TEA  GINGER TBGS</t>
        </is>
      </c>
    </row>
    <row r="117" ht="14.25" customHeight="1" s="5">
      <c r="A117" s="7" t="n">
        <v>36615</v>
      </c>
      <c r="B117" s="7" t="inlineStr">
        <is>
          <t>AL FINA MIX 24/25 DC ENV TBGS</t>
        </is>
      </c>
      <c r="C117" s="7" t="inlineStr">
        <is>
          <t>AL FINA</t>
        </is>
      </c>
      <c r="D117" s="7" t="n">
        <v>23170</v>
      </c>
      <c r="E117" s="7" t="inlineStr">
        <is>
          <t>AL FINA MINT 25 DC ENV TBGS</t>
        </is>
      </c>
      <c r="F117" s="7" t="n">
        <v>3</v>
      </c>
      <c r="G117" s="7" t="inlineStr">
        <is>
          <t>CTN</t>
        </is>
      </c>
      <c r="H117" t="inlineStr">
        <is>
          <t>BLEND AF BLACK TEA MINT TBGS</t>
        </is>
      </c>
    </row>
    <row r="118" ht="14.25" customHeight="1" s="5">
      <c r="A118" s="7" t="n">
        <v>1193</v>
      </c>
      <c r="B118" s="7" t="inlineStr">
        <is>
          <t>AL FINA OBESITY 24/25 SC ENV TBGS</t>
        </is>
      </c>
      <c r="C118" s="7" t="inlineStr">
        <is>
          <t>AL FINA</t>
        </is>
      </c>
      <c r="D118" s="7" t="n">
        <v>1194</v>
      </c>
      <c r="E118" s="7" t="inlineStr">
        <is>
          <t>AL FINA OBESITY 25 SC ENV TBGS</t>
        </is>
      </c>
      <c r="F118" s="7" t="n">
        <v>24</v>
      </c>
      <c r="G118" s="7" t="inlineStr">
        <is>
          <t>CTN</t>
        </is>
      </c>
      <c r="H118">
        <f>#N/A</f>
        <v/>
      </c>
    </row>
    <row r="119" ht="14.25" customHeight="1" s="5">
      <c r="A119" s="7" t="n">
        <v>1199</v>
      </c>
      <c r="B119" s="7" t="inlineStr">
        <is>
          <t>AL FINA OBESITY 24/25 SC ENV TBGS WITH TSHIRT</t>
        </is>
      </c>
      <c r="C119" s="7" t="inlineStr">
        <is>
          <t>AL FINA</t>
        </is>
      </c>
      <c r="D119" s="7" t="n">
        <v>1194</v>
      </c>
      <c r="E119" s="7" t="inlineStr">
        <is>
          <t>AL FINA OBESITY 25 SC ENV TBGS</t>
        </is>
      </c>
      <c r="F119" s="7" t="n">
        <v>24</v>
      </c>
      <c r="G119" s="7" t="inlineStr">
        <is>
          <t>CTN</t>
        </is>
      </c>
      <c r="H119">
        <f>#N/A</f>
        <v/>
      </c>
    </row>
    <row r="120" ht="14.25" customHeight="1" s="5">
      <c r="A120" s="7" t="n">
        <v>23144</v>
      </c>
      <c r="B120" s="7" t="inlineStr">
        <is>
          <t>AL FINA ORANGE 24/25 DC ENV TBGS</t>
        </is>
      </c>
      <c r="C120" s="7" t="inlineStr">
        <is>
          <t>AL FINA</t>
        </is>
      </c>
      <c r="D120" s="7" t="n">
        <v>23171</v>
      </c>
      <c r="E120" s="7" t="inlineStr">
        <is>
          <t>AL FINA ORANGE 25 DC ENV TBGS</t>
        </is>
      </c>
      <c r="F120" s="7" t="n">
        <v>24</v>
      </c>
      <c r="G120" s="7" t="inlineStr">
        <is>
          <t>CTN</t>
        </is>
      </c>
      <c r="H120" t="inlineStr">
        <is>
          <t>BLEND AX-BLACK ORANGE TB</t>
        </is>
      </c>
    </row>
    <row r="121" ht="14.25" customHeight="1" s="5">
      <c r="A121" s="7" t="n">
        <v>32841</v>
      </c>
      <c r="B121" s="7" t="inlineStr">
        <is>
          <t>AL FINA ORANGE PEACH 24/25 DC ENV TBGS</t>
        </is>
      </c>
      <c r="C121" s="7" t="inlineStr">
        <is>
          <t>AL FINA</t>
        </is>
      </c>
      <c r="D121" s="7" t="n">
        <v>32847</v>
      </c>
      <c r="E121" s="7" t="inlineStr">
        <is>
          <t>AL FINA ORANGE PEACH 25 DC ENV TBGS</t>
        </is>
      </c>
      <c r="F121" s="7" t="n">
        <v>24</v>
      </c>
      <c r="G121" s="7" t="inlineStr">
        <is>
          <t>CTN</t>
        </is>
      </c>
      <c r="H121" t="inlineStr">
        <is>
          <t>BLEND BLACK TEA ORANGE PEACH TB AF</t>
        </is>
      </c>
    </row>
    <row r="122" ht="14.25" customHeight="1" s="5">
      <c r="A122" s="7" t="n">
        <v>23771</v>
      </c>
      <c r="B122" s="7" t="inlineStr">
        <is>
          <t>AL FINA PEACH 24/25 DC ENV TBGS</t>
        </is>
      </c>
      <c r="C122" s="7" t="inlineStr">
        <is>
          <t>AL FINA</t>
        </is>
      </c>
      <c r="D122" s="7" t="n">
        <v>24555</v>
      </c>
      <c r="E122" s="7" t="inlineStr">
        <is>
          <t>AL FINA PEACH 25 DC ENV TBGS</t>
        </is>
      </c>
      <c r="F122" s="7" t="n">
        <v>24</v>
      </c>
      <c r="G122" s="7" t="inlineStr">
        <is>
          <t>CTN</t>
        </is>
      </c>
      <c r="H122" t="inlineStr">
        <is>
          <t>BLEND BLACK TEA PEACH TB</t>
        </is>
      </c>
    </row>
    <row r="123" ht="14.25" customHeight="1" s="5">
      <c r="A123" s="7" t="n">
        <v>1208</v>
      </c>
      <c r="B123" s="7" t="inlineStr">
        <is>
          <t>AL FINA PEACH 24/25 SC ENV TBGS</t>
        </is>
      </c>
      <c r="C123" s="7" t="inlineStr">
        <is>
          <t>AL FINA</t>
        </is>
      </c>
      <c r="D123" s="7" t="n">
        <v>1209</v>
      </c>
      <c r="E123" s="7" t="inlineStr">
        <is>
          <t>AL FINA PEACH 25 SC ENV TBGS</t>
        </is>
      </c>
      <c r="F123" s="7" t="n">
        <v>24</v>
      </c>
      <c r="G123" s="7" t="inlineStr">
        <is>
          <t>CTN</t>
        </is>
      </c>
      <c r="H123">
        <f>#N/A</f>
        <v/>
      </c>
    </row>
    <row r="124" ht="14.25" customHeight="1" s="5">
      <c r="A124" s="7" t="n">
        <v>1214</v>
      </c>
      <c r="B124" s="7" t="inlineStr">
        <is>
          <t>AL FINA PEACH 24/25 SC ENV TBGS WITH TSHIRT</t>
        </is>
      </c>
      <c r="C124" s="7" t="inlineStr">
        <is>
          <t>AL FINA</t>
        </is>
      </c>
      <c r="D124" s="7" t="n">
        <v>1209</v>
      </c>
      <c r="E124" s="7" t="inlineStr">
        <is>
          <t>AL FINA PEACH 25 SC ENV TBGS</t>
        </is>
      </c>
      <c r="F124" s="7" t="n">
        <v>24</v>
      </c>
      <c r="G124" s="7" t="inlineStr">
        <is>
          <t>CTN</t>
        </is>
      </c>
      <c r="H124">
        <f>#N/A</f>
        <v/>
      </c>
    </row>
    <row r="125" ht="14.25" customHeight="1" s="5">
      <c r="A125" s="7" t="n">
        <v>26164</v>
      </c>
      <c r="B125" s="7" t="inlineStr">
        <is>
          <t>AL FINA PINEAPPLE 24/25 DC ENV TBGS</t>
        </is>
      </c>
      <c r="C125" s="7" t="inlineStr">
        <is>
          <t>AL FINA</t>
        </is>
      </c>
      <c r="D125" s="7" t="n">
        <v>26167</v>
      </c>
      <c r="E125" s="7" t="inlineStr">
        <is>
          <t>AL FINA PINEAPPLE 25 DC ENV TBGS</t>
        </is>
      </c>
      <c r="F125" s="7" t="n">
        <v>24</v>
      </c>
      <c r="G125" s="7" t="inlineStr">
        <is>
          <t>CTN</t>
        </is>
      </c>
      <c r="H125" t="inlineStr">
        <is>
          <t>BLEND BLACK TEA PINEAPPLE TB</t>
        </is>
      </c>
    </row>
    <row r="126" ht="14.25" customHeight="1" s="5">
      <c r="A126" s="7" t="n">
        <v>1216</v>
      </c>
      <c r="B126" s="7" t="inlineStr">
        <is>
          <t>AL FINA PINEAPPLE 24/25 SC ENV TBGS</t>
        </is>
      </c>
      <c r="C126" s="7" t="inlineStr">
        <is>
          <t>AL FINA</t>
        </is>
      </c>
      <c r="D126" s="7" t="n">
        <v>1217</v>
      </c>
      <c r="E126" s="7" t="inlineStr">
        <is>
          <t>AL FINA PINEAPPLE 25 SC ENV TBGS</t>
        </is>
      </c>
      <c r="F126" s="7" t="n">
        <v>24</v>
      </c>
      <c r="G126" s="7" t="inlineStr">
        <is>
          <t>CTN</t>
        </is>
      </c>
      <c r="H126">
        <f>#N/A</f>
        <v/>
      </c>
    </row>
    <row r="127" ht="14.25" customHeight="1" s="5">
      <c r="A127" s="7" t="n">
        <v>1221</v>
      </c>
      <c r="B127" s="7" t="inlineStr">
        <is>
          <t>AL FINA PINEAPPLE 24/25 SC ENV TBGS WITH TSHIRT</t>
        </is>
      </c>
      <c r="C127" s="7" t="inlineStr">
        <is>
          <t>AL FINA</t>
        </is>
      </c>
      <c r="D127" s="7" t="n">
        <v>1217</v>
      </c>
      <c r="E127" s="7" t="inlineStr">
        <is>
          <t>AL FINA PINEAPPLE 25 SC ENV TBGS</t>
        </is>
      </c>
      <c r="F127" s="7" t="n">
        <v>24</v>
      </c>
      <c r="G127" s="7" t="inlineStr">
        <is>
          <t>CTN</t>
        </is>
      </c>
      <c r="H127">
        <f>#N/A</f>
        <v/>
      </c>
    </row>
    <row r="128" ht="14.25" customHeight="1" s="5">
      <c r="A128" s="7" t="n">
        <v>32840</v>
      </c>
      <c r="B128" s="7" t="inlineStr">
        <is>
          <t>AL FINA PINEAPPLE COCONUT 24/25 DC ENV TBGS</t>
        </is>
      </c>
      <c r="C128" s="7" t="inlineStr">
        <is>
          <t>AL FINA</t>
        </is>
      </c>
      <c r="D128" s="7" t="n">
        <v>32845</v>
      </c>
      <c r="E128" s="7" t="inlineStr">
        <is>
          <t>AL FINA PINEAPPLE COCONUT 25 DC ENV TBGS</t>
        </is>
      </c>
      <c r="F128" s="7" t="n">
        <v>24</v>
      </c>
      <c r="G128" s="7" t="inlineStr">
        <is>
          <t>CTN</t>
        </is>
      </c>
      <c r="H128" t="inlineStr">
        <is>
          <t>BLEND BLACK TEA PINEAPPLE COCONUT TB AF</t>
        </is>
      </c>
    </row>
    <row r="129" ht="14.25" customHeight="1" s="5">
      <c r="A129" s="7" t="n">
        <v>23147</v>
      </c>
      <c r="B129" s="7" t="inlineStr">
        <is>
          <t>AL FINA ROSE 24/25 DC ENV TBGS</t>
        </is>
      </c>
      <c r="C129" s="7" t="inlineStr">
        <is>
          <t>AL FINA</t>
        </is>
      </c>
      <c r="D129" s="7" t="n">
        <v>23172</v>
      </c>
      <c r="E129" s="7" t="inlineStr">
        <is>
          <t>AL FINA ROSE 25 DC ENV TBGS</t>
        </is>
      </c>
      <c r="F129" s="7" t="n">
        <v>24</v>
      </c>
      <c r="G129" s="7" t="inlineStr">
        <is>
          <t>CTN</t>
        </is>
      </c>
      <c r="H129" t="inlineStr">
        <is>
          <t>BLEND ROSE TB</t>
        </is>
      </c>
    </row>
    <row r="130" ht="14.25" customHeight="1" s="5">
      <c r="A130" s="7" t="n">
        <v>1223</v>
      </c>
      <c r="B130" s="7" t="inlineStr">
        <is>
          <t>AL FINA SACHET (UNP) 24 x 10 x 5 DC ENV TBGS WITH TSHIRT</t>
        </is>
      </c>
      <c r="C130" s="7" t="inlineStr">
        <is>
          <t>AL FINA</t>
        </is>
      </c>
      <c r="D130" s="7" t="n">
        <v>1224</v>
      </c>
      <c r="E130" s="7" t="inlineStr">
        <is>
          <t>AL FINA SACHET (UNP) 24 x 10 x 5 DC ENV TBGS WITH TSHIRT</t>
        </is>
      </c>
      <c r="F130" s="7" t="n">
        <v>24</v>
      </c>
      <c r="G130" s="7" t="inlineStr">
        <is>
          <t>CTN</t>
        </is>
      </c>
      <c r="H130">
        <f>#N/A</f>
        <v/>
      </c>
    </row>
    <row r="131" ht="14.25" customHeight="1" s="5">
      <c r="A131" s="7" t="n">
        <v>1223</v>
      </c>
      <c r="B131" s="7" t="inlineStr">
        <is>
          <t>AL FINA SACHET (UNP) 24 x 10 x 5 DC ENV TBGS WITH TSHIRT</t>
        </is>
      </c>
      <c r="C131" s="7" t="inlineStr">
        <is>
          <t>AL FINA</t>
        </is>
      </c>
      <c r="D131" s="7" t="n">
        <v>1227</v>
      </c>
      <c r="E131" s="7" t="inlineStr">
        <is>
          <t>AL FINA LOOSE ENV DC ENV TBGS</t>
        </is>
      </c>
      <c r="F131" s="7" t="n">
        <v>1200</v>
      </c>
      <c r="G131" s="7" t="inlineStr">
        <is>
          <t>TBGS</t>
        </is>
      </c>
      <c r="H131" t="inlineStr">
        <is>
          <t>BLEND A33</t>
        </is>
      </c>
    </row>
    <row r="132" ht="14.25" customHeight="1" s="5">
      <c r="A132" s="7" t="n">
        <v>1228</v>
      </c>
      <c r="B132" s="7" t="inlineStr">
        <is>
          <t>AL FINA SACHET 12/10/5 DC ENV TBGS WITH TSHIRT</t>
        </is>
      </c>
      <c r="C132" s="7" t="inlineStr">
        <is>
          <t>AL FINA</t>
        </is>
      </c>
      <c r="D132" s="7" t="n">
        <v>1229</v>
      </c>
      <c r="E132" s="7" t="inlineStr">
        <is>
          <t>AL FINA SACHET 5 DC ENV TBGS WITH TSHIRT</t>
        </is>
      </c>
      <c r="F132" s="7" t="n">
        <v>12</v>
      </c>
      <c r="G132" s="7" t="inlineStr">
        <is>
          <t>CTN</t>
        </is>
      </c>
      <c r="H132">
        <f>#N/A</f>
        <v/>
      </c>
    </row>
    <row r="133" ht="14.25" customHeight="1" s="5">
      <c r="A133" s="7" t="n">
        <v>1228</v>
      </c>
      <c r="B133" s="7" t="inlineStr">
        <is>
          <t>AL FINA SACHET 12/10/5 DC ENV TBGS WITH TSHIRT</t>
        </is>
      </c>
      <c r="C133" s="7" t="inlineStr">
        <is>
          <t>AL FINA</t>
        </is>
      </c>
      <c r="D133" s="7" t="n">
        <v>1227</v>
      </c>
      <c r="E133" s="7" t="inlineStr">
        <is>
          <t>AL FINA LOOSE ENV DC ENV TBGS</t>
        </is>
      </c>
      <c r="F133" s="7" t="n">
        <v>600</v>
      </c>
      <c r="G133" s="7" t="inlineStr">
        <is>
          <t>TBGS</t>
        </is>
      </c>
      <c r="H133" t="inlineStr">
        <is>
          <t>BLEND A33</t>
        </is>
      </c>
    </row>
    <row r="134" ht="14.25" customHeight="1" s="5">
      <c r="A134" s="7" t="n">
        <v>1232</v>
      </c>
      <c r="B134" s="7" t="inlineStr">
        <is>
          <t>AL FINA SACHET 24 X 10 X 5 DC ENV TBGS</t>
        </is>
      </c>
      <c r="C134" s="7" t="inlineStr">
        <is>
          <t>AL FINA</t>
        </is>
      </c>
      <c r="D134" s="7" t="n">
        <v>18658</v>
      </c>
      <c r="E134" s="7" t="inlineStr">
        <is>
          <t>AL FINA STRIP WITH 5 TBGS X 10 SACHET</t>
        </is>
      </c>
      <c r="F134" s="7" t="n">
        <v>24</v>
      </c>
      <c r="G134" s="7" t="inlineStr">
        <is>
          <t>PCS</t>
        </is>
      </c>
      <c r="H134">
        <f>#N/A</f>
        <v/>
      </c>
    </row>
    <row r="135" ht="14.25" customHeight="1" s="5">
      <c r="A135" s="7" t="n">
        <v>17797</v>
      </c>
      <c r="B135" s="7" t="inlineStr">
        <is>
          <t>AL FINA SACHET 24 X 10 X 5 DC ENV TBGS (SKV)</t>
        </is>
      </c>
      <c r="C135" s="7" t="inlineStr">
        <is>
          <t>AL FINA</t>
        </is>
      </c>
      <c r="D135" s="7" t="n">
        <v>17875</v>
      </c>
      <c r="E135" s="7" t="inlineStr">
        <is>
          <t>AL FINA STRIP WITH 5 TBGS X 10 SACHET (SKV)</t>
        </is>
      </c>
      <c r="F135" s="7" t="n">
        <v>24</v>
      </c>
      <c r="G135" s="7" t="inlineStr">
        <is>
          <t>PCS</t>
        </is>
      </c>
      <c r="H135">
        <f>#N/A</f>
        <v/>
      </c>
    </row>
    <row r="136" ht="14.25" customHeight="1" s="5">
      <c r="A136" s="7" t="n">
        <v>1234</v>
      </c>
      <c r="B136" s="7" t="inlineStr">
        <is>
          <t>AL FINA SACHET 24 X 10 X 5 DC ENV TBGS WITH TSHIRT</t>
        </is>
      </c>
      <c r="C136" s="7" t="inlineStr">
        <is>
          <t>AL FINA</t>
        </is>
      </c>
      <c r="D136" s="7" t="n">
        <v>18658</v>
      </c>
      <c r="E136" s="7" t="inlineStr">
        <is>
          <t>AL FINA STRIP WITH 5 TBGS X 10 SACHET</t>
        </is>
      </c>
      <c r="F136" s="7" t="n">
        <v>24</v>
      </c>
      <c r="G136" s="7" t="inlineStr">
        <is>
          <t>PCS</t>
        </is>
      </c>
      <c r="H136">
        <f>#N/A</f>
        <v/>
      </c>
    </row>
    <row r="137" ht="14.25" customHeight="1" s="5">
      <c r="A137" s="7" t="n">
        <v>1234</v>
      </c>
      <c r="B137" s="7" t="inlineStr">
        <is>
          <t>AL FINA SACHET 24 X 10 X 5 DC ENV TBGS WITH TSHIRT</t>
        </is>
      </c>
      <c r="C137" s="7" t="inlineStr">
        <is>
          <t>AL FINA</t>
        </is>
      </c>
      <c r="D137" s="7" t="n">
        <v>1232</v>
      </c>
      <c r="E137" s="7" t="inlineStr">
        <is>
          <t>AL FINA SACHET 24 X 10 X 5 DC ENV TBGS</t>
        </is>
      </c>
      <c r="F137" s="7" t="n">
        <v>1</v>
      </c>
      <c r="G137" s="7" t="inlineStr">
        <is>
          <t>CFC</t>
        </is>
      </c>
      <c r="H137">
        <f>#N/A</f>
        <v/>
      </c>
    </row>
    <row r="138" ht="14.25" customHeight="1" s="5">
      <c r="A138" s="7" t="n">
        <v>23145</v>
      </c>
      <c r="B138" s="7" t="inlineStr">
        <is>
          <t>AL FINA STRAWBERRY 24/25 DC ENV TBGS</t>
        </is>
      </c>
      <c r="C138" s="7" t="inlineStr">
        <is>
          <t>AL FINA</t>
        </is>
      </c>
      <c r="D138" s="7" t="n">
        <v>23173</v>
      </c>
      <c r="E138" s="7" t="inlineStr">
        <is>
          <t>AL FINA STRAWBERRY 25 DC ENV TBGS</t>
        </is>
      </c>
      <c r="F138" s="7" t="n">
        <v>24</v>
      </c>
      <c r="G138" s="7" t="inlineStr">
        <is>
          <t>CTN</t>
        </is>
      </c>
      <c r="H138" t="inlineStr">
        <is>
          <t>BLEND STRAWBERRY TB</t>
        </is>
      </c>
    </row>
    <row r="139" ht="14.25" customHeight="1" s="5">
      <c r="A139" s="7" t="n">
        <v>18658</v>
      </c>
      <c r="B139" s="7" t="inlineStr">
        <is>
          <t>AL FINA STRIP WITH 5 TBGS X 10 SACHET</t>
        </is>
      </c>
      <c r="C139" s="7" t="inlineStr">
        <is>
          <t>AL FINA</t>
        </is>
      </c>
      <c r="D139" s="7" t="n">
        <v>1227</v>
      </c>
      <c r="E139" s="7" t="inlineStr">
        <is>
          <t>AL FINA LOOSE ENV DC ENV TBGS</t>
        </is>
      </c>
      <c r="F139" s="7" t="n">
        <v>50</v>
      </c>
      <c r="G139" s="7" t="inlineStr">
        <is>
          <t>ENV</t>
        </is>
      </c>
      <c r="H139" t="inlineStr">
        <is>
          <t>BLEND A33</t>
        </is>
      </c>
    </row>
    <row r="140" ht="14.25" customHeight="1" s="5">
      <c r="A140" s="7" t="n">
        <v>17875</v>
      </c>
      <c r="B140" s="7" t="inlineStr">
        <is>
          <t>AL FINA STRIP WITH 5 TBGS X 10 SACHET (SKV)</t>
        </is>
      </c>
      <c r="C140" s="7" t="inlineStr">
        <is>
          <t>AL FINA</t>
        </is>
      </c>
      <c r="D140" s="7" t="n">
        <v>17874</v>
      </c>
      <c r="E140" s="7" t="inlineStr">
        <is>
          <t>AL FINA LOOSE ENV DC ENV TBGS (SKV)</t>
        </is>
      </c>
      <c r="F140" s="7" t="n">
        <v>50</v>
      </c>
      <c r="G140" s="7" t="inlineStr">
        <is>
          <t>ENV</t>
        </is>
      </c>
      <c r="H140" t="inlineStr">
        <is>
          <t>BLEND A33</t>
        </is>
      </c>
    </row>
    <row r="141" ht="14.25" customHeight="1" s="5">
      <c r="A141" s="7" t="n">
        <v>23146</v>
      </c>
      <c r="B141" s="7" t="inlineStr">
        <is>
          <t>AL FINA TAMARIND 24/25 DC ENV TBGS</t>
        </is>
      </c>
      <c r="C141" s="7" t="inlineStr">
        <is>
          <t>AL FINA</t>
        </is>
      </c>
      <c r="D141" s="7" t="n">
        <v>23174</v>
      </c>
      <c r="E141" s="7" t="inlineStr">
        <is>
          <t>AL FINA TAMARIND 25 DC ENV TBGS</t>
        </is>
      </c>
      <c r="F141" s="7" t="n">
        <v>24</v>
      </c>
      <c r="G141" s="7" t="inlineStr">
        <is>
          <t>CTN</t>
        </is>
      </c>
      <c r="H141" t="inlineStr">
        <is>
          <t>BLEND BLACK TEA WITH TAMARIND FLAVOUR</t>
        </is>
      </c>
    </row>
    <row r="142" ht="14.25" customHeight="1" s="5">
      <c r="A142" s="7" t="n">
        <v>23148</v>
      </c>
      <c r="B142" s="7" t="inlineStr">
        <is>
          <t>AL FINA WATERMELON 24/25 DC ENV TBGS</t>
        </is>
      </c>
      <c r="C142" s="7" t="inlineStr">
        <is>
          <t>AL FINA</t>
        </is>
      </c>
      <c r="D142" s="7" t="n">
        <v>23175</v>
      </c>
      <c r="E142" s="7" t="inlineStr">
        <is>
          <t>AL FINA WATER MELON 25 DC ENV TBGS</t>
        </is>
      </c>
      <c r="F142" s="7" t="n">
        <v>24</v>
      </c>
      <c r="G142" s="7" t="inlineStr">
        <is>
          <t>CTN</t>
        </is>
      </c>
      <c r="H142" t="inlineStr">
        <is>
          <t>BLEND WATERMELON TB</t>
        </is>
      </c>
    </row>
    <row r="143" ht="14.25" customHeight="1" s="5">
      <c r="A143" s="7" t="n">
        <v>20484</v>
      </c>
      <c r="B143" s="7" t="inlineStr">
        <is>
          <t>AL FINA WILD CHERRY 24/25 SC ENV TBGS</t>
        </is>
      </c>
      <c r="C143" s="7" t="inlineStr">
        <is>
          <t>AL FINA</t>
        </is>
      </c>
      <c r="D143" s="7" t="n">
        <v>1256</v>
      </c>
      <c r="E143" s="7" t="inlineStr">
        <is>
          <t>AL FINA WILD CHERRY 25 SC ENV TBGS</t>
        </is>
      </c>
      <c r="F143" s="7" t="n">
        <v>24</v>
      </c>
      <c r="G143" s="7" t="inlineStr">
        <is>
          <t>CTN</t>
        </is>
      </c>
      <c r="H143">
        <f>#N/A</f>
        <v/>
      </c>
    </row>
    <row r="144" ht="14.25" customHeight="1" s="5">
      <c r="A144" s="7" t="n">
        <v>1255</v>
      </c>
      <c r="B144" s="7" t="inlineStr">
        <is>
          <t>AL FINA WILD CHERRY 24/25 SC ENV TBGS WITH TSHIRT</t>
        </is>
      </c>
      <c r="C144" s="7" t="inlineStr">
        <is>
          <t>AL FINA</t>
        </is>
      </c>
      <c r="D144" s="7" t="n">
        <v>1256</v>
      </c>
      <c r="E144" s="7" t="inlineStr">
        <is>
          <t>AL FINA WILD CHERRY 25 SC ENV TBGS</t>
        </is>
      </c>
      <c r="F144" s="7" t="n">
        <v>24</v>
      </c>
      <c r="G144" s="7" t="inlineStr">
        <is>
          <t>CTN</t>
        </is>
      </c>
      <c r="H144">
        <f>#N/A</f>
        <v/>
      </c>
    </row>
    <row r="145" ht="14.25" customHeight="1" s="5">
      <c r="A145" s="7" t="n">
        <v>28311</v>
      </c>
      <c r="B145" s="7" t="inlineStr">
        <is>
          <t>ALDI CLASSIC TEA INFUSION 12/40 DC SF HS ENV TBGS</t>
        </is>
      </c>
      <c r="C145" s="7" t="inlineStr">
        <is>
          <t>ALDI</t>
        </is>
      </c>
      <c r="D145" s="7" t="n">
        <v>28383</v>
      </c>
      <c r="E145" s="7" t="inlineStr">
        <is>
          <t>ALDI CLASSIC TEA INFUSION 40 DC SF HS ENV TBGS</t>
        </is>
      </c>
      <c r="F145" s="7" t="n">
        <v>12</v>
      </c>
      <c r="G145" s="7" t="inlineStr">
        <is>
          <t>CTN</t>
        </is>
      </c>
      <c r="H145">
        <f>#N/A</f>
        <v/>
      </c>
    </row>
    <row r="146" ht="14.25" customHeight="1" s="5">
      <c r="A146" s="7" t="n">
        <v>28383</v>
      </c>
      <c r="B146" s="7" t="inlineStr">
        <is>
          <t>ALDI CLASSIC TEA INFUSION 40 DC SF HS ENV TBGS</t>
        </is>
      </c>
      <c r="C146" s="7" t="inlineStr">
        <is>
          <t>ALDI</t>
        </is>
      </c>
      <c r="D146" s="7" t="n">
        <v>28384</v>
      </c>
      <c r="E146" s="7" t="inlineStr">
        <is>
          <t>ALDI CLASSIC TEA INFUSION LOOSE ENV DARJELING DC SF HS ENV TBGS</t>
        </is>
      </c>
      <c r="F146" s="7" t="n">
        <v>10</v>
      </c>
      <c r="G146" s="7" t="inlineStr">
        <is>
          <t>ENV</t>
        </is>
      </c>
      <c r="H146" t="inlineStr">
        <is>
          <t>BLEND DJTB -S-RFA</t>
        </is>
      </c>
    </row>
    <row r="147" ht="14.25" customHeight="1" s="5">
      <c r="A147" s="7" t="n">
        <v>28383</v>
      </c>
      <c r="B147" s="7" t="inlineStr">
        <is>
          <t>ALDI CLASSIC TEA INFUSION 40 DC SF HS ENV TBGS</t>
        </is>
      </c>
      <c r="C147" s="7" t="inlineStr">
        <is>
          <t>ALDI</t>
        </is>
      </c>
      <c r="D147" s="7" t="n">
        <v>28385</v>
      </c>
      <c r="E147" s="7" t="inlineStr">
        <is>
          <t>ALDI CLASSIC TEA INFUSION LOOSE ENV FRUITY ROSHIP DC SF HS ENV TBGS</t>
        </is>
      </c>
      <c r="F147" s="7" t="n">
        <v>10</v>
      </c>
      <c r="G147" s="7" t="inlineStr">
        <is>
          <t>ENV</t>
        </is>
      </c>
      <c r="H147" t="inlineStr">
        <is>
          <t>BLEND FRUITY ROSEHIP TBC 100% UTZ</t>
        </is>
      </c>
    </row>
    <row r="148" ht="14.25" customHeight="1" s="5">
      <c r="A148" s="7" t="n">
        <v>28383</v>
      </c>
      <c r="B148" s="7" t="inlineStr">
        <is>
          <t>ALDI CLASSIC TEA INFUSION 40 DC SF HS ENV TBGS</t>
        </is>
      </c>
      <c r="C148" s="7" t="inlineStr">
        <is>
          <t>ALDI</t>
        </is>
      </c>
      <c r="D148" s="7" t="n">
        <v>28386</v>
      </c>
      <c r="E148" s="7" t="inlineStr">
        <is>
          <t>ALDI CLASSIC TEA INFUSION LOOSE ENV GREEN TEA LEMON DC SF HS ENV TBGS</t>
        </is>
      </c>
      <c r="F148" s="7" t="n">
        <v>10</v>
      </c>
      <c r="G148" s="7" t="inlineStr">
        <is>
          <t>ENV</t>
        </is>
      </c>
      <c r="H148" t="inlineStr">
        <is>
          <t>BLEND GREEN TEA LEMON ALDI TBC</t>
        </is>
      </c>
    </row>
    <row r="149" ht="14.25" customHeight="1" s="5">
      <c r="A149" s="7" t="n">
        <v>28383</v>
      </c>
      <c r="B149" s="7" t="inlineStr">
        <is>
          <t>ALDI CLASSIC TEA INFUSION 40 DC SF HS ENV TBGS</t>
        </is>
      </c>
      <c r="C149" s="7" t="inlineStr">
        <is>
          <t>ALDI</t>
        </is>
      </c>
      <c r="D149" s="7" t="n">
        <v>28387</v>
      </c>
      <c r="E149" s="7" t="inlineStr">
        <is>
          <t>ALDI CLASSIC TEA INFUSION LOOSE ENV RED FRUIT DC SF HS ENV TBGS</t>
        </is>
      </c>
      <c r="F149" s="7" t="n">
        <v>10</v>
      </c>
      <c r="G149" s="7" t="inlineStr">
        <is>
          <t>ENV</t>
        </is>
      </c>
      <c r="H149" t="inlineStr">
        <is>
          <t>BLEND RED FRUIT INFUSION ALDI TBC</t>
        </is>
      </c>
    </row>
    <row r="150" ht="14.25" customHeight="1" s="5">
      <c r="A150" s="7" t="n">
        <v>32107</v>
      </c>
      <c r="B150" s="7" t="inlineStr">
        <is>
          <t>ALDI HERBAL 48/20 DC SF ENV TBGS</t>
        </is>
      </c>
      <c r="C150" s="7" t="inlineStr">
        <is>
          <t>ALDI</t>
        </is>
      </c>
      <c r="D150" s="7" t="n">
        <v>32184</v>
      </c>
      <c r="E150" s="7" t="inlineStr">
        <is>
          <t>ALDI WESTIMINSTER MAROKKOMUNT 20 DC SF ENV TBGS</t>
        </is>
      </c>
      <c r="F150" s="7" t="n">
        <v>15</v>
      </c>
      <c r="G150" s="7" t="inlineStr">
        <is>
          <t>CTN</t>
        </is>
      </c>
      <c r="H150" t="inlineStr">
        <is>
          <t>BLEND MAROKKO MINT TB ALDI</t>
        </is>
      </c>
    </row>
    <row r="151" ht="14.25" customHeight="1" s="5">
      <c r="A151" s="7" t="n">
        <v>32107</v>
      </c>
      <c r="B151" s="7" t="inlineStr">
        <is>
          <t>ALDI HERBAL 48/20 DC SF ENV TBGS</t>
        </is>
      </c>
      <c r="C151" s="7" t="inlineStr">
        <is>
          <t>ALDI</t>
        </is>
      </c>
      <c r="D151" s="7" t="n">
        <v>32185</v>
      </c>
      <c r="E151" s="7" t="inlineStr">
        <is>
          <t>ALDI WESTIMINSTER VENKEL 20 DC SF ENV TBGS</t>
        </is>
      </c>
      <c r="F151" s="7" t="n">
        <v>10</v>
      </c>
      <c r="G151" s="7" t="inlineStr">
        <is>
          <t>CTN</t>
        </is>
      </c>
      <c r="H151" t="inlineStr">
        <is>
          <t>BLEND FENNEL VENKEL TB ALDI</t>
        </is>
      </c>
    </row>
    <row r="152" ht="14.25" customHeight="1" s="5">
      <c r="A152" s="7" t="n">
        <v>32107</v>
      </c>
      <c r="B152" s="7" t="inlineStr">
        <is>
          <t>ALDI HERBAL 48/20 DC SF ENV TBGS</t>
        </is>
      </c>
      <c r="C152" s="7" t="inlineStr">
        <is>
          <t>ALDI</t>
        </is>
      </c>
      <c r="D152" s="7" t="n">
        <v>32186</v>
      </c>
      <c r="E152" s="7" t="inlineStr">
        <is>
          <t>ALDI WESTIMINSTER ZOETHOUT 20 DC SF ENV TBGS</t>
        </is>
      </c>
      <c r="F152" s="7" t="n">
        <v>13</v>
      </c>
      <c r="G152" s="7" t="inlineStr">
        <is>
          <t>CTN</t>
        </is>
      </c>
      <c r="H152" t="inlineStr">
        <is>
          <t>BLEND BLACK TEA LICORICE ZOETHOUT TB ALDI</t>
        </is>
      </c>
    </row>
    <row r="153" ht="14.25" customHeight="1" s="5">
      <c r="A153" s="7" t="n">
        <v>32107</v>
      </c>
      <c r="B153" s="7" t="inlineStr">
        <is>
          <t>ALDI HERBAL 48/20 DC SF ENV TBGS</t>
        </is>
      </c>
      <c r="C153" s="7" t="inlineStr">
        <is>
          <t>ALDI</t>
        </is>
      </c>
      <c r="D153" s="7" t="n">
        <v>32183</v>
      </c>
      <c r="E153" s="7" t="inlineStr">
        <is>
          <t>ALDI WESTMINSTER BRANDNETHEL 20 DC SF ENV TBGS</t>
        </is>
      </c>
      <c r="F153" s="7" t="n">
        <v>10</v>
      </c>
      <c r="G153" s="7" t="inlineStr">
        <is>
          <t>CTN</t>
        </is>
      </c>
      <c r="H153" t="inlineStr">
        <is>
          <t>BLEND NETTLE BRANDNETEL TB ALDI</t>
        </is>
      </c>
    </row>
    <row r="154" ht="14.25" customHeight="1" s="5">
      <c r="A154" s="7" t="n">
        <v>28314</v>
      </c>
      <c r="B154" s="7" t="inlineStr">
        <is>
          <t>ALDI PREMIUM TEA INFUSION 12/30 DC SF HS ENV TBGS</t>
        </is>
      </c>
      <c r="C154" s="7" t="inlineStr">
        <is>
          <t>ALDI</t>
        </is>
      </c>
      <c r="D154" s="7" t="n">
        <v>28336</v>
      </c>
      <c r="E154" s="7" t="inlineStr">
        <is>
          <t>ALDI PREMIUM TEA INFUSION 30 DC SF HS ENV TBGS</t>
        </is>
      </c>
      <c r="F154" s="7" t="n">
        <v>12</v>
      </c>
      <c r="G154" s="7" t="inlineStr">
        <is>
          <t>CTN</t>
        </is>
      </c>
      <c r="H154">
        <f>#N/A</f>
        <v/>
      </c>
    </row>
    <row r="155" ht="14.25" customHeight="1" s="5">
      <c r="A155" s="7" t="n">
        <v>28336</v>
      </c>
      <c r="B155" s="7" t="inlineStr">
        <is>
          <t>ALDI PREMIUM TEA INFUSION 30 DC SF HS ENV TBGS</t>
        </is>
      </c>
      <c r="C155" s="7" t="inlineStr">
        <is>
          <t>ALDI</t>
        </is>
      </c>
      <c r="D155" s="7" t="n">
        <v>28343</v>
      </c>
      <c r="E155" s="7" t="inlineStr">
        <is>
          <t>ALDI PREMIUM TEA INFUSION LOOSE ENV ROOIBOS LEMON GRASS DC SF HS ENV TBGS</t>
        </is>
      </c>
      <c r="F155" s="7" t="n">
        <v>5</v>
      </c>
      <c r="G155" s="7" t="inlineStr">
        <is>
          <t>ENV</t>
        </is>
      </c>
      <c r="H155" t="inlineStr">
        <is>
          <t>BLEND AX-ROOIBOS TB 30% RFA</t>
        </is>
      </c>
    </row>
    <row r="156" ht="14.25" customHeight="1" s="5">
      <c r="A156" s="7" t="n">
        <v>28336</v>
      </c>
      <c r="B156" s="7" t="inlineStr">
        <is>
          <t>ALDI PREMIUM TEA INFUSION 30 DC SF HS ENV TBGS</t>
        </is>
      </c>
      <c r="C156" s="7" t="inlineStr">
        <is>
          <t>ALDI</t>
        </is>
      </c>
      <c r="D156" s="7" t="n">
        <v>28338</v>
      </c>
      <c r="E156" s="7" t="inlineStr">
        <is>
          <t>ALDI PREMIIUM TEA INFUSION LOOSE ENV ROOIBOS SPICE DC SF HS ENV TBGS</t>
        </is>
      </c>
      <c r="F156" s="7" t="n">
        <v>5</v>
      </c>
      <c r="G156" s="7" t="inlineStr">
        <is>
          <t>ENV</t>
        </is>
      </c>
      <c r="H156" t="inlineStr">
        <is>
          <t>BLEND ROOIBOS SPICE JUMBO TBC</t>
        </is>
      </c>
    </row>
    <row r="157" ht="14.25" customHeight="1" s="5">
      <c r="A157" s="7" t="n">
        <v>28336</v>
      </c>
      <c r="B157" s="7" t="inlineStr">
        <is>
          <t>ALDI PREMIUM TEA INFUSION 30 DC SF HS ENV TBGS</t>
        </is>
      </c>
      <c r="C157" s="7" t="inlineStr">
        <is>
          <t>ALDI</t>
        </is>
      </c>
      <c r="D157" s="7" t="n">
        <v>28339</v>
      </c>
      <c r="E157" s="7" t="inlineStr">
        <is>
          <t>ALDI PREMIUM TEA INFUSION LOOSE ENV GREEN TEA JASMINE DC SF HS ENV TBGS</t>
        </is>
      </c>
      <c r="F157" s="7" t="n">
        <v>5</v>
      </c>
      <c r="G157" s="7" t="inlineStr">
        <is>
          <t>ENV</t>
        </is>
      </c>
      <c r="H157" t="inlineStr">
        <is>
          <t>BLEND GREEN TEA JASMINE PL TBC</t>
        </is>
      </c>
    </row>
    <row r="158" ht="14.25" customHeight="1" s="5">
      <c r="A158" s="7" t="n">
        <v>28336</v>
      </c>
      <c r="B158" s="7" t="inlineStr">
        <is>
          <t>ALDI PREMIUM TEA INFUSION 30 DC SF HS ENV TBGS</t>
        </is>
      </c>
      <c r="C158" s="7" t="inlineStr">
        <is>
          <t>ALDI</t>
        </is>
      </c>
      <c r="D158" s="7" t="n">
        <v>28340</v>
      </c>
      <c r="E158" s="7" t="inlineStr">
        <is>
          <t>ALDI PREMIUM TEA INFUSION LOOSE ENV BLACK TEA CINNAMON DC SF HS ENV TBGS</t>
        </is>
      </c>
      <c r="F158" s="7" t="n">
        <v>5</v>
      </c>
      <c r="G158" s="7" t="inlineStr">
        <is>
          <t>ENV</t>
        </is>
      </c>
      <c r="H158" t="inlineStr">
        <is>
          <t>BLEND BLACK TEA CINNAMON FLVR ALDI TBC</t>
        </is>
      </c>
    </row>
    <row r="159" ht="14.25" customHeight="1" s="5">
      <c r="A159" s="7" t="n">
        <v>28336</v>
      </c>
      <c r="B159" s="7" t="inlineStr">
        <is>
          <t>ALDI PREMIUM TEA INFUSION 30 DC SF HS ENV TBGS</t>
        </is>
      </c>
      <c r="C159" s="7" t="inlineStr">
        <is>
          <t>ALDI</t>
        </is>
      </c>
      <c r="D159" s="7" t="n">
        <v>28341</v>
      </c>
      <c r="E159" s="7" t="inlineStr">
        <is>
          <t>ALDI PREMIUM TEA INFUSION LOOSE ENV GREEN TEA CHAI DC SF HS ENV TBGS</t>
        </is>
      </c>
      <c r="F159" s="7" t="n">
        <v>5</v>
      </c>
      <c r="G159" s="7" t="inlineStr">
        <is>
          <t>ENV</t>
        </is>
      </c>
      <c r="H159" t="inlineStr">
        <is>
          <t>BLEND GREEN TEA CHAI ALDI TBC</t>
        </is>
      </c>
    </row>
    <row r="160" ht="14.25" customHeight="1" s="5">
      <c r="A160" s="7" t="n">
        <v>28336</v>
      </c>
      <c r="B160" s="7" t="inlineStr">
        <is>
          <t>ALDI PREMIUM TEA INFUSION 30 DC SF HS ENV TBGS</t>
        </is>
      </c>
      <c r="C160" s="7" t="inlineStr">
        <is>
          <t>ALDI</t>
        </is>
      </c>
      <c r="D160" s="7" t="n">
        <v>28342</v>
      </c>
      <c r="E160" s="7" t="inlineStr">
        <is>
          <t>ALDI PREMIUM TEA INFUSION LOOSE ENV MINT DC SF HS ENV TBGS</t>
        </is>
      </c>
      <c r="F160" s="7" t="n">
        <v>5</v>
      </c>
      <c r="G160" s="7" t="inlineStr">
        <is>
          <t>ENV</t>
        </is>
      </c>
      <c r="H160" t="inlineStr">
        <is>
          <t>BLEND MINT TBC 100% UTZ</t>
        </is>
      </c>
    </row>
    <row r="161" ht="14.25" customHeight="1" s="5">
      <c r="A161" s="7" t="n">
        <v>26109</v>
      </c>
      <c r="B161" s="7" t="inlineStr">
        <is>
          <t>ALDI TE-A-ME TEATREATS 12/24 DC SF HS ENV TBGS</t>
        </is>
      </c>
      <c r="C161" s="7" t="inlineStr">
        <is>
          <t>TE-A-ME</t>
        </is>
      </c>
      <c r="D161" s="7" t="n">
        <v>26340</v>
      </c>
      <c r="E161" s="7" t="inlineStr">
        <is>
          <t>ALDI TE-A-ME TEATREATS 24 DC SF HS ENV TBGS</t>
        </is>
      </c>
      <c r="F161" s="7" t="n">
        <v>12</v>
      </c>
      <c r="G161" s="7" t="inlineStr">
        <is>
          <t>CTN</t>
        </is>
      </c>
      <c r="H161">
        <f>#N/A</f>
        <v/>
      </c>
    </row>
    <row r="162" ht="14.25" customHeight="1" s="5">
      <c r="A162" s="7" t="n">
        <v>26340</v>
      </c>
      <c r="B162" s="7" t="inlineStr">
        <is>
          <t>ALDI TE-A-ME TEATREATS 24 DC SF HS ENV TBGS</t>
        </is>
      </c>
      <c r="C162" s="7" t="inlineStr">
        <is>
          <t>TE-A-ME</t>
        </is>
      </c>
      <c r="D162" s="7" t="n">
        <v>26345</v>
      </c>
      <c r="E162" s="7" t="inlineStr">
        <is>
          <t>ALDI TE-A-ME LOOSE ENV GREEN TEA JASMINE DC SF HS ENV TBGS</t>
        </is>
      </c>
      <c r="F162" s="7" t="n">
        <v>4</v>
      </c>
      <c r="G162" s="7" t="inlineStr">
        <is>
          <t>ENV</t>
        </is>
      </c>
      <c r="H162" t="inlineStr">
        <is>
          <t>BLEND GREEN TEA JASMINE PL TBC</t>
        </is>
      </c>
    </row>
    <row r="163" ht="14.25" customHeight="1" s="5">
      <c r="A163" s="7" t="n">
        <v>26340</v>
      </c>
      <c r="B163" s="7" t="inlineStr">
        <is>
          <t>ALDI TE-A-ME TEATREATS 24 DC SF HS ENV TBGS</t>
        </is>
      </c>
      <c r="C163" s="7" t="inlineStr">
        <is>
          <t>TE-A-ME</t>
        </is>
      </c>
      <c r="D163" s="7" t="n">
        <v>26346</v>
      </c>
      <c r="E163" s="7" t="inlineStr">
        <is>
          <t>ALDI TE-A-ME LOOSE ENV BLACK TEA CINNAMON DC SF HS ENV TBGS</t>
        </is>
      </c>
      <c r="F163" s="7" t="n">
        <v>4</v>
      </c>
      <c r="G163" s="7" t="inlineStr">
        <is>
          <t>ENV</t>
        </is>
      </c>
      <c r="H163" t="inlineStr">
        <is>
          <t>BLEND BLACK TEA CINNAMON FLVR ALDI TBC</t>
        </is>
      </c>
    </row>
    <row r="164" ht="14.25" customHeight="1" s="5">
      <c r="A164" s="7" t="n">
        <v>26340</v>
      </c>
      <c r="B164" s="7" t="inlineStr">
        <is>
          <t>ALDI TE-A-ME TEATREATS 24 DC SF HS ENV TBGS</t>
        </is>
      </c>
      <c r="C164" s="7" t="inlineStr">
        <is>
          <t>TE-A-ME</t>
        </is>
      </c>
      <c r="D164" s="7" t="n">
        <v>26347</v>
      </c>
      <c r="E164" s="7" t="inlineStr">
        <is>
          <t>ALDI TE-A-ME LOOSE ENV GREEN TEA CHAI DC SF HS ENV TBGS</t>
        </is>
      </c>
      <c r="F164" s="7" t="n">
        <v>4</v>
      </c>
      <c r="G164" s="7" t="inlineStr">
        <is>
          <t>ENV</t>
        </is>
      </c>
      <c r="H164" t="inlineStr">
        <is>
          <t>BLEND GREEN TEA CHAI ALDI TBC</t>
        </is>
      </c>
    </row>
    <row r="165" ht="14.25" customHeight="1" s="5">
      <c r="A165" s="7" t="n">
        <v>26340</v>
      </c>
      <c r="B165" s="7" t="inlineStr">
        <is>
          <t>ALDI TE-A-ME TEATREATS 24 DC SF HS ENV TBGS</t>
        </is>
      </c>
      <c r="C165" s="7" t="inlineStr">
        <is>
          <t>TE-A-ME</t>
        </is>
      </c>
      <c r="D165" s="7" t="n">
        <v>26348</v>
      </c>
      <c r="E165" s="7" t="inlineStr">
        <is>
          <t>ALDI TE-A-ME LOOSE ENV MINT DC SF HS ENV TBGS</t>
        </is>
      </c>
      <c r="F165" s="7" t="n">
        <v>4</v>
      </c>
      <c r="G165" s="7" t="inlineStr">
        <is>
          <t>ENV</t>
        </is>
      </c>
      <c r="H165" t="inlineStr">
        <is>
          <t>BLEND MINT TBC 100% UTZ</t>
        </is>
      </c>
    </row>
    <row r="166" ht="14.25" customHeight="1" s="5">
      <c r="A166" s="7" t="n">
        <v>26340</v>
      </c>
      <c r="B166" s="7" t="inlineStr">
        <is>
          <t>ALDI TE-A-ME TEATREATS 24 DC SF HS ENV TBGS</t>
        </is>
      </c>
      <c r="C166" s="7" t="inlineStr">
        <is>
          <t>TE-A-ME</t>
        </is>
      </c>
      <c r="D166" s="7" t="n">
        <v>26349</v>
      </c>
      <c r="E166" s="7" t="inlineStr">
        <is>
          <t>ALDI TE-A-ME LOOSE ENV ROOIBOS LEMON GRASS DC SF HS ENV TBGS</t>
        </is>
      </c>
      <c r="F166" s="7" t="n">
        <v>4</v>
      </c>
      <c r="G166" s="7" t="inlineStr">
        <is>
          <t>ENV</t>
        </is>
      </c>
      <c r="H166" t="inlineStr">
        <is>
          <t>BLEND AX-ROOIBOS TB 30% RFA</t>
        </is>
      </c>
    </row>
    <row r="167" ht="14.25" customHeight="1" s="5">
      <c r="A167" s="7" t="n">
        <v>26340</v>
      </c>
      <c r="B167" s="7" t="inlineStr">
        <is>
          <t>ALDI TE-A-ME TEATREATS 24 DC SF HS ENV TBGS</t>
        </is>
      </c>
      <c r="C167" s="7" t="inlineStr">
        <is>
          <t>TE-A-ME</t>
        </is>
      </c>
      <c r="D167" s="7" t="n">
        <v>26343</v>
      </c>
      <c r="E167" s="7" t="inlineStr">
        <is>
          <t>ALDI TE-A-ME LOOSE ENV ROOIBOS SPICE DC SF HS ENV TBGS</t>
        </is>
      </c>
      <c r="F167" s="7" t="n">
        <v>4</v>
      </c>
      <c r="G167" s="7" t="inlineStr">
        <is>
          <t>ENV</t>
        </is>
      </c>
      <c r="H167" t="inlineStr">
        <is>
          <t>BLEND ROOIBOS SPICE JUMBO TBC</t>
        </is>
      </c>
    </row>
    <row r="168" ht="14.25" customHeight="1" s="5">
      <c r="A168" s="7" t="n">
        <v>26909</v>
      </c>
      <c r="B168" s="7" t="inlineStr">
        <is>
          <t>ALDI VRUCHTENTHEE 24/20 DC SF ENV TBGS</t>
        </is>
      </c>
      <c r="C168" s="7" t="inlineStr">
        <is>
          <t>ALDI</t>
        </is>
      </c>
      <c r="D168" s="7" t="n">
        <v>26867</v>
      </c>
      <c r="E168" s="7" t="inlineStr">
        <is>
          <t>ALDI VRUCHTENTHEE YELLOW FRUIT 20 DC SF ENV TBGS</t>
        </is>
      </c>
      <c r="F168" s="7" t="n">
        <v>10</v>
      </c>
      <c r="G168" s="7" t="inlineStr">
        <is>
          <t>CTN</t>
        </is>
      </c>
      <c r="H168">
        <f>#N/A</f>
        <v/>
      </c>
    </row>
    <row r="169" ht="14.25" customHeight="1" s="5">
      <c r="A169" s="7" t="n">
        <v>26909</v>
      </c>
      <c r="B169" s="7" t="inlineStr">
        <is>
          <t>ALDI VRUCHTENTHEE 24/20 DC SF ENV TBGS</t>
        </is>
      </c>
      <c r="C169" s="7" t="inlineStr">
        <is>
          <t>ALDI</t>
        </is>
      </c>
      <c r="D169" s="7" t="n">
        <v>26868</v>
      </c>
      <c r="E169" s="7" t="inlineStr">
        <is>
          <t>ALDI VRUCHTENTHEE RED FRUIT 20 DC SF ENV TBGS</t>
        </is>
      </c>
      <c r="F169" s="7" t="n">
        <v>14</v>
      </c>
      <c r="G169" s="7" t="inlineStr">
        <is>
          <t>CTN</t>
        </is>
      </c>
      <c r="H169">
        <f>#N/A</f>
        <v/>
      </c>
    </row>
    <row r="170" ht="14.25" customHeight="1" s="5">
      <c r="A170" s="7" t="n">
        <v>28115</v>
      </c>
      <c r="B170" s="7" t="inlineStr">
        <is>
          <t>ALDI VRUCHTENTHEE 24/25 DC SF ENV TBGS</t>
        </is>
      </c>
      <c r="C170" s="7" t="inlineStr">
        <is>
          <t>ALDI</t>
        </is>
      </c>
      <c r="D170" s="7" t="n">
        <v>28187</v>
      </c>
      <c r="E170" s="7" t="inlineStr">
        <is>
          <t>ALDI VRUCHTENTHEE FOREST FRUIT 25 DC SF ENV TBGS</t>
        </is>
      </c>
      <c r="F170" s="7" t="n">
        <v>16</v>
      </c>
      <c r="G170" s="7" t="inlineStr">
        <is>
          <t>CTN</t>
        </is>
      </c>
      <c r="H170" t="inlineStr">
        <is>
          <t>BLEND FOREST FRUIT JUMBO TBC</t>
        </is>
      </c>
    </row>
    <row r="171" ht="14.25" customHeight="1" s="5">
      <c r="A171" s="7" t="n">
        <v>28115</v>
      </c>
      <c r="B171" s="7" t="inlineStr">
        <is>
          <t>ALDI VRUCHTENTHEE 24/25 DC SF ENV TBGS</t>
        </is>
      </c>
      <c r="C171" s="7" t="inlineStr">
        <is>
          <t>ALDI</t>
        </is>
      </c>
      <c r="D171" s="7" t="n">
        <v>28188</v>
      </c>
      <c r="E171" s="7" t="inlineStr">
        <is>
          <t>ALDI VRUCHTENTHEE STRAWBERRY 25 DC SF ENV TBGS</t>
        </is>
      </c>
      <c r="F171" s="7" t="n">
        <v>8</v>
      </c>
      <c r="G171" s="7" t="inlineStr">
        <is>
          <t>CTN</t>
        </is>
      </c>
      <c r="H171" t="inlineStr">
        <is>
          <t>BLEND STRAWBERRY JUMBO TBC</t>
        </is>
      </c>
    </row>
    <row r="172" ht="14.25" customHeight="1" s="5">
      <c r="A172" s="7" t="n">
        <v>26868</v>
      </c>
      <c r="B172" s="7" t="inlineStr">
        <is>
          <t>ALDI VRUCHTENTHEE RED FRUIT 20 DC SF ENV TBGS</t>
        </is>
      </c>
      <c r="C172" s="7" t="inlineStr">
        <is>
          <t>ALDI</t>
        </is>
      </c>
      <c r="D172" s="7" t="n">
        <v>26882</v>
      </c>
      <c r="E172" s="7" t="inlineStr">
        <is>
          <t>ALDI VRUCHTENTHEE LOOSE ENV FOREST FRUIT DC SF ENV TBGS</t>
        </is>
      </c>
      <c r="F172" s="7" t="n">
        <v>5</v>
      </c>
      <c r="G172" s="7" t="inlineStr">
        <is>
          <t>ENV</t>
        </is>
      </c>
      <c r="H172" t="inlineStr">
        <is>
          <t>BLEND FOREST FRUIT JUMBO TBC</t>
        </is>
      </c>
    </row>
    <row r="173" ht="14.25" customHeight="1" s="5">
      <c r="A173" s="7" t="n">
        <v>26868</v>
      </c>
      <c r="B173" s="7" t="inlineStr">
        <is>
          <t>ALDI VRUCHTENTHEE RED FRUIT 20 DC SF ENV TBGS</t>
        </is>
      </c>
      <c r="C173" s="7" t="inlineStr">
        <is>
          <t>ALDI</t>
        </is>
      </c>
      <c r="D173" s="7" t="n">
        <v>26883</v>
      </c>
      <c r="E173" s="7" t="inlineStr">
        <is>
          <t>ALDI VRUCHTENTHEE LOOSE ENV CHERRY DC SF ENV TBGS</t>
        </is>
      </c>
      <c r="F173" s="7" t="n">
        <v>5</v>
      </c>
      <c r="G173" s="7" t="inlineStr">
        <is>
          <t>ENV</t>
        </is>
      </c>
      <c r="H173" t="inlineStr">
        <is>
          <t>BLEND CHERRY JUMBO TBC</t>
        </is>
      </c>
    </row>
    <row r="174" ht="14.25" customHeight="1" s="5">
      <c r="A174" s="7" t="n">
        <v>26868</v>
      </c>
      <c r="B174" s="7" t="inlineStr">
        <is>
          <t>ALDI VRUCHTENTHEE RED FRUIT 20 DC SF ENV TBGS</t>
        </is>
      </c>
      <c r="C174" s="7" t="inlineStr">
        <is>
          <t>ALDI</t>
        </is>
      </c>
      <c r="D174" s="7" t="n">
        <v>26884</v>
      </c>
      <c r="E174" s="7" t="inlineStr">
        <is>
          <t>ALDI VRUCHTENTHEE LOOSE ENV RASPBERRY DC SF ENV TBGS</t>
        </is>
      </c>
      <c r="F174" s="7" t="n">
        <v>5</v>
      </c>
      <c r="G174" s="7" t="inlineStr">
        <is>
          <t>ENV</t>
        </is>
      </c>
      <c r="H174" t="inlineStr">
        <is>
          <t>BLEND RASPBERRY ALDI TBC</t>
        </is>
      </c>
    </row>
    <row r="175" ht="14.25" customHeight="1" s="5">
      <c r="A175" s="7" t="n">
        <v>26868</v>
      </c>
      <c r="B175" s="7" t="inlineStr">
        <is>
          <t>ALDI VRUCHTENTHEE RED FRUIT 20 DC SF ENV TBGS</t>
        </is>
      </c>
      <c r="C175" s="7" t="inlineStr">
        <is>
          <t>ALDI</t>
        </is>
      </c>
      <c r="D175" s="7" t="n">
        <v>26881</v>
      </c>
      <c r="E175" s="7" t="inlineStr">
        <is>
          <t>ALDI VRUCHTENTHEE LOOSE ENV STRAWBERRY DC SF ENV TBGS</t>
        </is>
      </c>
      <c r="F175" s="7" t="n">
        <v>5</v>
      </c>
      <c r="G175" s="7" t="inlineStr">
        <is>
          <t>ENV</t>
        </is>
      </c>
      <c r="H175" t="inlineStr">
        <is>
          <t>BLEND STRAWBERRY JUMBO TBC</t>
        </is>
      </c>
    </row>
    <row r="176" ht="14.25" customHeight="1" s="5">
      <c r="A176" s="7" t="n">
        <v>26867</v>
      </c>
      <c r="B176" s="7" t="inlineStr">
        <is>
          <t>ALDI VRUCHTENTHEE YELLOW FRUIT 20 DC SF ENV TBGS</t>
        </is>
      </c>
      <c r="C176" s="7" t="inlineStr">
        <is>
          <t>ALDI</t>
        </is>
      </c>
      <c r="D176" s="7" t="n">
        <v>26877</v>
      </c>
      <c r="E176" s="7" t="inlineStr">
        <is>
          <t>ALDI VRUCHTENTHEE LOOSE ENV MANGO DC SF ENV TBGS</t>
        </is>
      </c>
      <c r="F176" s="7" t="n">
        <v>5</v>
      </c>
      <c r="G176" s="7" t="inlineStr">
        <is>
          <t>ENV</t>
        </is>
      </c>
      <c r="H176" t="inlineStr">
        <is>
          <t>BLEND MANGO JUMBO TBC</t>
        </is>
      </c>
    </row>
    <row r="177" ht="14.25" customHeight="1" s="5">
      <c r="A177" s="7" t="n">
        <v>26867</v>
      </c>
      <c r="B177" s="7" t="inlineStr">
        <is>
          <t>ALDI VRUCHTENTHEE YELLOW FRUIT 20 DC SF ENV TBGS</t>
        </is>
      </c>
      <c r="C177" s="7" t="inlineStr">
        <is>
          <t>ALDI</t>
        </is>
      </c>
      <c r="D177" s="7" t="n">
        <v>26878</v>
      </c>
      <c r="E177" s="7" t="inlineStr">
        <is>
          <t>ALDI VRUCHTENTHEE LOOSE ENV LEMON DC SF ENV TBGS</t>
        </is>
      </c>
      <c r="F177" s="7" t="n">
        <v>5</v>
      </c>
      <c r="G177" s="7" t="inlineStr">
        <is>
          <t>ENV</t>
        </is>
      </c>
      <c r="H177" t="inlineStr">
        <is>
          <t>BLEND LEMON JUMBO TBC</t>
        </is>
      </c>
    </row>
    <row r="178" ht="14.25" customHeight="1" s="5">
      <c r="A178" s="7" t="n">
        <v>26867</v>
      </c>
      <c r="B178" s="7" t="inlineStr">
        <is>
          <t>ALDI VRUCHTENTHEE YELLOW FRUIT 20 DC SF ENV TBGS</t>
        </is>
      </c>
      <c r="C178" s="7" t="inlineStr">
        <is>
          <t>ALDI</t>
        </is>
      </c>
      <c r="D178" s="7" t="n">
        <v>26879</v>
      </c>
      <c r="E178" s="7" t="inlineStr">
        <is>
          <t>ALDI VRUCHTENTHEE LOOSE ENV MELON DC SF ENV TBGS</t>
        </is>
      </c>
      <c r="F178" s="7" t="n">
        <v>5</v>
      </c>
      <c r="G178" s="7" t="inlineStr">
        <is>
          <t>ENV</t>
        </is>
      </c>
      <c r="H178" t="inlineStr">
        <is>
          <t>BLEND MELON JUMBO TBC</t>
        </is>
      </c>
    </row>
    <row r="179" ht="14.25" customHeight="1" s="5">
      <c r="A179" s="7" t="n">
        <v>26867</v>
      </c>
      <c r="B179" s="7" t="inlineStr">
        <is>
          <t>ALDI VRUCHTENTHEE YELLOW FRUIT 20 DC SF ENV TBGS</t>
        </is>
      </c>
      <c r="C179" s="7" t="inlineStr">
        <is>
          <t>ALDI</t>
        </is>
      </c>
      <c r="D179" s="7" t="n">
        <v>26880</v>
      </c>
      <c r="E179" s="7" t="inlineStr">
        <is>
          <t>ALDI VRUCHTENTHEE LOOSE ENV ORANGE DC SF ENV TBGS</t>
        </is>
      </c>
      <c r="F179" s="7" t="n">
        <v>5</v>
      </c>
      <c r="G179" s="7" t="inlineStr">
        <is>
          <t>ENV</t>
        </is>
      </c>
      <c r="H179" t="inlineStr">
        <is>
          <t>BLEND ORANGE JUMBO TBC</t>
        </is>
      </c>
    </row>
    <row r="180" ht="14.25" customHeight="1" s="5">
      <c r="A180" s="7" t="n">
        <v>28602</v>
      </c>
      <c r="B180" s="7" t="inlineStr">
        <is>
          <t>ALDI WINTER TEA 48/20 DC SF ENV TBGS</t>
        </is>
      </c>
      <c r="C180" s="7" t="inlineStr">
        <is>
          <t>ALDI</t>
        </is>
      </c>
      <c r="D180" s="7" t="n">
        <v>28669</v>
      </c>
      <c r="E180" s="7" t="inlineStr">
        <is>
          <t>ALDI WINTER 20 DC SF ENV TBGS</t>
        </is>
      </c>
      <c r="F180" s="7" t="n">
        <v>24</v>
      </c>
      <c r="G180" s="7" t="inlineStr">
        <is>
          <t>CTN</t>
        </is>
      </c>
      <c r="H180" t="inlineStr">
        <is>
          <t>BLEND BLACK TEA WINTER ALDI TB</t>
        </is>
      </c>
    </row>
    <row r="181" ht="14.25" customHeight="1" s="5">
      <c r="A181" s="7" t="n">
        <v>28602</v>
      </c>
      <c r="B181" s="7" t="inlineStr">
        <is>
          <t>ALDI WINTER TEA 48/20 DC SF ENV TBGS</t>
        </is>
      </c>
      <c r="C181" s="7" t="inlineStr">
        <is>
          <t>ALDI</t>
        </is>
      </c>
      <c r="D181" s="7" t="n">
        <v>28670</v>
      </c>
      <c r="E181" s="7" t="inlineStr">
        <is>
          <t>ALDI AUTUMN 20 DC SF ENV TBGS</t>
        </is>
      </c>
      <c r="F181" s="7" t="n">
        <v>7</v>
      </c>
      <c r="G181" s="7" t="inlineStr">
        <is>
          <t>CTN</t>
        </is>
      </c>
      <c r="H181" t="inlineStr">
        <is>
          <t>BLEND BLACK TEA AUTUMN HERFSTGLOED ALDI TB</t>
        </is>
      </c>
    </row>
    <row r="182" ht="14.25" customHeight="1" s="5">
      <c r="A182" s="7" t="n">
        <v>28602</v>
      </c>
      <c r="B182" s="7" t="inlineStr">
        <is>
          <t>ALDI WINTER TEA 48/20 DC SF ENV TBGS</t>
        </is>
      </c>
      <c r="C182" s="7" t="inlineStr">
        <is>
          <t>ALDI</t>
        </is>
      </c>
      <c r="D182" s="7" t="n">
        <v>28671</v>
      </c>
      <c r="E182" s="7" t="inlineStr">
        <is>
          <t>ALDI CARAMELISED PEAR 20 DC SF ENV TBGS</t>
        </is>
      </c>
      <c r="F182" s="7" t="n">
        <v>17</v>
      </c>
      <c r="G182" s="7" t="inlineStr">
        <is>
          <t>CTN</t>
        </is>
      </c>
      <c r="H182" t="inlineStr">
        <is>
          <t>BLEND BLACK TEA CARAMELISED ALDI TB</t>
        </is>
      </c>
    </row>
    <row r="183" ht="14.25" customHeight="1" s="5">
      <c r="A183" s="7" t="n">
        <v>26729</v>
      </c>
      <c r="B183" s="7" t="inlineStr">
        <is>
          <t>ALIA 12/100 DC ENV TBGS</t>
        </is>
      </c>
      <c r="C183" s="7" t="inlineStr">
        <is>
          <t>ALIA</t>
        </is>
      </c>
      <c r="D183" s="7" t="n">
        <v>26744</v>
      </c>
      <c r="E183" s="7" t="inlineStr">
        <is>
          <t>ALIA 100  DC ENV TBGS</t>
        </is>
      </c>
      <c r="F183" s="7" t="n">
        <v>12</v>
      </c>
      <c r="G183" s="7" t="inlineStr">
        <is>
          <t>CTN</t>
        </is>
      </c>
      <c r="H183" t="inlineStr">
        <is>
          <t>BLEND 786</t>
        </is>
      </c>
    </row>
    <row r="184" ht="14.25" customHeight="1" s="5">
      <c r="A184" s="7" t="n">
        <v>32561</v>
      </c>
      <c r="B184" s="7" t="inlineStr">
        <is>
          <t>ALIA COCKTAIL 24/25 DC ENV TBGS</t>
        </is>
      </c>
      <c r="C184" s="7" t="inlineStr">
        <is>
          <t>ALIA</t>
        </is>
      </c>
      <c r="D184" s="7" t="n">
        <v>32625</v>
      </c>
      <c r="E184" s="7" t="inlineStr">
        <is>
          <t>ALIA COCKTAIL 25 DC ENV TBGS</t>
        </is>
      </c>
      <c r="F184" s="7" t="n">
        <v>24</v>
      </c>
      <c r="G184" s="7" t="inlineStr">
        <is>
          <t>CTN</t>
        </is>
      </c>
      <c r="H184" t="inlineStr">
        <is>
          <t>BLEND BLACK TEA COCKTAIL TBC</t>
        </is>
      </c>
    </row>
    <row r="185" ht="14.25" customHeight="1" s="5">
      <c r="A185" s="7" t="n">
        <v>26737</v>
      </c>
      <c r="B185" s="7" t="inlineStr">
        <is>
          <t>ALIA GINGER 24/25 DC ENV TBGS</t>
        </is>
      </c>
      <c r="C185" s="7" t="inlineStr">
        <is>
          <t>ALIA</t>
        </is>
      </c>
      <c r="D185" s="7" t="n">
        <v>26750</v>
      </c>
      <c r="E185" s="7" t="inlineStr">
        <is>
          <t>ALIA GINGER 25 DC ENV TBGS</t>
        </is>
      </c>
      <c r="F185" s="7" t="n">
        <v>24</v>
      </c>
      <c r="G185" s="7" t="inlineStr">
        <is>
          <t>CTN</t>
        </is>
      </c>
      <c r="H185" t="inlineStr">
        <is>
          <t>BLEND AF BLACK TEA  GINGER TBGS</t>
        </is>
      </c>
    </row>
    <row r="186" ht="14.25" customHeight="1" s="5">
      <c r="A186" s="7" t="n">
        <v>35717</v>
      </c>
      <c r="B186" s="7" t="inlineStr">
        <is>
          <t>ALIA INSTANT COFFEE 12/120 SACHETS (12 STRIPS X 10 SACHETS X 2 GMS) WITH HANGER</t>
        </is>
      </c>
      <c r="C186" s="7" t="inlineStr">
        <is>
          <t>ALIA</t>
        </is>
      </c>
      <c r="D186" s="7" t="n">
        <v>36051</v>
      </c>
      <c r="E186" s="7" t="inlineStr">
        <is>
          <t>ALIA INSTANT COFFEE 120 SACHETS (2 GMS)</t>
        </is>
      </c>
      <c r="F186" s="7" t="n">
        <v>12</v>
      </c>
      <c r="G186" s="7" t="inlineStr">
        <is>
          <t>CTN</t>
        </is>
      </c>
      <c r="H186" t="inlineStr">
        <is>
          <t>BLEND PURE COFFEE AFRICA INSTANT</t>
        </is>
      </c>
    </row>
    <row r="187" ht="14.25" customHeight="1" s="5">
      <c r="A187" s="7" t="n">
        <v>26735</v>
      </c>
      <c r="B187" s="7" t="inlineStr">
        <is>
          <t>ALIA LEMON 24/25 DC ENV TBGS</t>
        </is>
      </c>
      <c r="C187" s="7" t="inlineStr">
        <is>
          <t>ALIA</t>
        </is>
      </c>
      <c r="D187" s="7" t="n">
        <v>26748</v>
      </c>
      <c r="E187" s="7" t="inlineStr">
        <is>
          <t>ALIA LEMON 25 DC ENV TBGS</t>
        </is>
      </c>
      <c r="F187" s="7" t="n">
        <v>24</v>
      </c>
      <c r="G187" s="7" t="inlineStr">
        <is>
          <t>CTN</t>
        </is>
      </c>
      <c r="H187" t="inlineStr">
        <is>
          <t>BLEND BLACK TEA LEMON TB</t>
        </is>
      </c>
    </row>
    <row r="188" ht="14.25" customHeight="1" s="5">
      <c r="A188" s="7" t="n">
        <v>26736</v>
      </c>
      <c r="B188" s="7" t="inlineStr">
        <is>
          <t>ALIA MINT 24/25 DC ENV TBGS</t>
        </is>
      </c>
      <c r="C188" s="7" t="inlineStr">
        <is>
          <t>ALIA</t>
        </is>
      </c>
      <c r="D188" s="7" t="n">
        <v>26749</v>
      </c>
      <c r="E188" s="7" t="inlineStr">
        <is>
          <t>ALIA MINT 25 DC ENV TBGS</t>
        </is>
      </c>
      <c r="F188" s="7" t="n">
        <v>24</v>
      </c>
      <c r="G188" s="7" t="inlineStr">
        <is>
          <t>CTN</t>
        </is>
      </c>
      <c r="H188" t="inlineStr">
        <is>
          <t>BLEND AF BLACK TEA MINT TBGS</t>
        </is>
      </c>
    </row>
    <row r="189" ht="14.25" customHeight="1" s="5">
      <c r="A189" s="7" t="n">
        <v>32562</v>
      </c>
      <c r="B189" s="7" t="inlineStr">
        <is>
          <t>ALIA MIX FLAVOUR 24/25 DC ENV TBGS</t>
        </is>
      </c>
      <c r="C189" s="7" t="inlineStr">
        <is>
          <t>ALIA</t>
        </is>
      </c>
      <c r="D189" s="7" t="n">
        <v>26750</v>
      </c>
      <c r="E189" s="7" t="inlineStr">
        <is>
          <t>ALIA GINGER 25 DC ENV TBGS</t>
        </is>
      </c>
      <c r="F189" s="7" t="n">
        <v>4</v>
      </c>
      <c r="G189" s="7" t="inlineStr">
        <is>
          <t>CTN</t>
        </is>
      </c>
      <c r="H189" t="inlineStr">
        <is>
          <t>BLEND AF BLACK TEA  GINGER TBGS</t>
        </is>
      </c>
    </row>
    <row r="190" ht="14.25" customHeight="1" s="5">
      <c r="A190" s="7" t="n">
        <v>32562</v>
      </c>
      <c r="B190" s="7" t="inlineStr">
        <is>
          <t>ALIA MIX FLAVOUR 24/25 DC ENV TBGS</t>
        </is>
      </c>
      <c r="C190" s="7" t="inlineStr">
        <is>
          <t>ALIA</t>
        </is>
      </c>
      <c r="D190" s="7" t="n">
        <v>26751</v>
      </c>
      <c r="E190" s="7" t="inlineStr">
        <is>
          <t>ALIA ORANGE 25 DC ENV TBGS</t>
        </is>
      </c>
      <c r="F190" s="7" t="n">
        <v>4</v>
      </c>
      <c r="G190" s="7" t="inlineStr">
        <is>
          <t>CTN</t>
        </is>
      </c>
      <c r="H190" t="inlineStr">
        <is>
          <t>BLEND AX-BLACK ORANGE TB</t>
        </is>
      </c>
    </row>
    <row r="191" ht="14.25" customHeight="1" s="5">
      <c r="A191" s="7" t="n">
        <v>32562</v>
      </c>
      <c r="B191" s="7" t="inlineStr">
        <is>
          <t>ALIA MIX FLAVOUR 24/25 DC ENV TBGS</t>
        </is>
      </c>
      <c r="C191" s="7" t="inlineStr">
        <is>
          <t>ALIA</t>
        </is>
      </c>
      <c r="D191" s="7" t="n">
        <v>32625</v>
      </c>
      <c r="E191" s="7" t="inlineStr">
        <is>
          <t>ALIA COCKTAIL 25 DC ENV TBGS</t>
        </is>
      </c>
      <c r="F191" s="7" t="n">
        <v>4</v>
      </c>
      <c r="G191" s="7" t="inlineStr">
        <is>
          <t>CTN</t>
        </is>
      </c>
      <c r="H191" t="inlineStr">
        <is>
          <t>BLEND BLACK TEA COCKTAIL TBC</t>
        </is>
      </c>
    </row>
    <row r="192" ht="14.25" customHeight="1" s="5">
      <c r="A192" s="7" t="n">
        <v>32562</v>
      </c>
      <c r="B192" s="7" t="inlineStr">
        <is>
          <t>ALIA MIX FLAVOUR 24/25 DC ENV TBGS</t>
        </is>
      </c>
      <c r="C192" s="7" t="inlineStr">
        <is>
          <t>ALIA</t>
        </is>
      </c>
      <c r="D192" s="7" t="n">
        <v>26749</v>
      </c>
      <c r="E192" s="7" t="inlineStr">
        <is>
          <t>ALIA MINT 25 DC ENV TBGS</t>
        </is>
      </c>
      <c r="F192" s="7" t="n">
        <v>4</v>
      </c>
      <c r="G192" s="7" t="inlineStr">
        <is>
          <t>CTN</t>
        </is>
      </c>
      <c r="H192" t="inlineStr">
        <is>
          <t>BLEND AF BLACK TEA MINT TBGS</t>
        </is>
      </c>
    </row>
    <row r="193" ht="14.25" customHeight="1" s="5">
      <c r="A193" s="7" t="n">
        <v>32562</v>
      </c>
      <c r="B193" s="7" t="inlineStr">
        <is>
          <t>ALIA MIX FLAVOUR 24/25 DC ENV TBGS</t>
        </is>
      </c>
      <c r="C193" s="7" t="inlineStr">
        <is>
          <t>ALIA</t>
        </is>
      </c>
      <c r="D193" s="7" t="n">
        <v>26746</v>
      </c>
      <c r="E193" s="7" t="inlineStr">
        <is>
          <t>ALIA STRAWBERRY 25 DC ENV TBGS</t>
        </is>
      </c>
      <c r="F193" s="7" t="n">
        <v>4</v>
      </c>
      <c r="G193" s="7" t="inlineStr">
        <is>
          <t>CTN</t>
        </is>
      </c>
      <c r="H193" t="inlineStr">
        <is>
          <t>BLEND STRAWBERRY TB</t>
        </is>
      </c>
    </row>
    <row r="194" ht="14.25" customHeight="1" s="5">
      <c r="A194" s="7" t="n">
        <v>32562</v>
      </c>
      <c r="B194" s="7" t="inlineStr">
        <is>
          <t>ALIA MIX FLAVOUR 24/25 DC ENV TBGS</t>
        </is>
      </c>
      <c r="C194" s="7" t="inlineStr">
        <is>
          <t>ALIA</t>
        </is>
      </c>
      <c r="D194" s="7" t="n">
        <v>26748</v>
      </c>
      <c r="E194" s="7" t="inlineStr">
        <is>
          <t>ALIA LEMON 25 DC ENV TBGS</t>
        </is>
      </c>
      <c r="F194" s="7" t="n">
        <v>4</v>
      </c>
      <c r="G194" s="7" t="inlineStr">
        <is>
          <t>CTN</t>
        </is>
      </c>
      <c r="H194" t="inlineStr">
        <is>
          <t>BLEND BLACK TEA LEMON TB</t>
        </is>
      </c>
    </row>
    <row r="195" ht="14.25" customHeight="1" s="5">
      <c r="A195" s="7" t="n">
        <v>26738</v>
      </c>
      <c r="B195" s="7" t="inlineStr">
        <is>
          <t>ALIA ORANGE 24/25 DC ENV TBGS</t>
        </is>
      </c>
      <c r="C195" s="7" t="inlineStr">
        <is>
          <t>ALIA</t>
        </is>
      </c>
      <c r="D195" s="7" t="n">
        <v>26751</v>
      </c>
      <c r="E195" s="7" t="inlineStr">
        <is>
          <t>ALIA ORANGE 25 DC ENV TBGS</t>
        </is>
      </c>
      <c r="F195" s="7" t="n">
        <v>24</v>
      </c>
      <c r="G195" s="7" t="inlineStr">
        <is>
          <t>CTN</t>
        </is>
      </c>
      <c r="H195" t="inlineStr">
        <is>
          <t>BLEND AX-BLACK ORANGE TB</t>
        </is>
      </c>
    </row>
    <row r="196" ht="14.25" customHeight="1" s="5">
      <c r="A196" s="7" t="n">
        <v>26734</v>
      </c>
      <c r="B196" s="7" t="inlineStr">
        <is>
          <t>ALIA PEACH 24/25 DC ENV TBGS</t>
        </is>
      </c>
      <c r="C196" s="7" t="inlineStr">
        <is>
          <t>ALIA</t>
        </is>
      </c>
      <c r="D196" s="7" t="n">
        <v>26747</v>
      </c>
      <c r="E196" s="7" t="inlineStr">
        <is>
          <t>ALIA PEACH  25 DC ENV TBGS</t>
        </is>
      </c>
      <c r="F196" s="7" t="n">
        <v>24</v>
      </c>
      <c r="G196" s="7" t="inlineStr">
        <is>
          <t>CTN</t>
        </is>
      </c>
      <c r="H196" t="inlineStr">
        <is>
          <t>BLEND BLACK TEA PEACH TB</t>
        </is>
      </c>
    </row>
    <row r="197" ht="14.25" customHeight="1" s="5">
      <c r="A197" s="7" t="n">
        <v>26732</v>
      </c>
      <c r="B197" s="7" t="inlineStr">
        <is>
          <t>ALIA PINEAPPLE 24/25 DC ENV TBGS</t>
        </is>
      </c>
      <c r="C197" s="7" t="inlineStr">
        <is>
          <t>ALIA</t>
        </is>
      </c>
      <c r="D197" s="7" t="n">
        <v>26745</v>
      </c>
      <c r="E197" s="7" t="inlineStr">
        <is>
          <t>ALIA PINEAPPLE 25 DC ENV TBGS</t>
        </is>
      </c>
      <c r="F197" s="7" t="n">
        <v>24</v>
      </c>
      <c r="G197" s="7" t="inlineStr">
        <is>
          <t>CTN</t>
        </is>
      </c>
      <c r="H197" t="inlineStr">
        <is>
          <t>BLEND BLACK TEA PINEAPPLE TB</t>
        </is>
      </c>
    </row>
    <row r="198" ht="14.25" customHeight="1" s="5">
      <c r="A198" s="7" t="n">
        <v>26733</v>
      </c>
      <c r="B198" s="7" t="inlineStr">
        <is>
          <t>ALIA STRAWBERRY 24/25 DC ENV TBGS</t>
        </is>
      </c>
      <c r="C198" s="7" t="inlineStr">
        <is>
          <t>ALIA</t>
        </is>
      </c>
      <c r="D198" s="7" t="n">
        <v>26746</v>
      </c>
      <c r="E198" s="7" t="inlineStr">
        <is>
          <t>ALIA STRAWBERRY 25 DC ENV TBGS</t>
        </is>
      </c>
      <c r="F198" s="7" t="n">
        <v>24</v>
      </c>
      <c r="G198" s="7" t="inlineStr">
        <is>
          <t>CTN</t>
        </is>
      </c>
      <c r="H198" t="inlineStr">
        <is>
          <t>BLEND STRAWBERRY TB</t>
        </is>
      </c>
    </row>
    <row r="199" ht="14.25" customHeight="1" s="5">
      <c r="A199" s="7" t="n">
        <v>22484</v>
      </c>
      <c r="B199" s="7" t="inlineStr">
        <is>
          <t>ALIMO 12/100 DC ENV TBGS</t>
        </is>
      </c>
      <c r="C199" s="7" t="inlineStr">
        <is>
          <t>ALIMO</t>
        </is>
      </c>
      <c r="D199" s="7" t="n">
        <v>22485</v>
      </c>
      <c r="E199" s="7" t="inlineStr">
        <is>
          <t>ALIMO 100 DC ENV TBGS</t>
        </is>
      </c>
      <c r="F199" s="7" t="n">
        <v>12</v>
      </c>
      <c r="G199" s="7" t="inlineStr">
        <is>
          <t>CTN</t>
        </is>
      </c>
      <c r="H199" t="inlineStr">
        <is>
          <t>BLEND A-132</t>
        </is>
      </c>
    </row>
    <row r="200" ht="14.25" customHeight="1" s="5">
      <c r="A200" s="7" t="n">
        <v>280</v>
      </c>
      <c r="B200" s="7" t="inlineStr">
        <is>
          <t>AMIGO 12/100 DC ENV TBGS WITH TSHIRT</t>
        </is>
      </c>
      <c r="C200" s="7" t="inlineStr">
        <is>
          <t>AMIGO</t>
        </is>
      </c>
      <c r="D200" s="7" t="n">
        <v>281</v>
      </c>
      <c r="E200" s="7" t="inlineStr">
        <is>
          <t>AMIGO 100 DC ENV TBGS</t>
        </is>
      </c>
      <c r="F200" s="7" t="n">
        <v>12</v>
      </c>
      <c r="G200" s="7" t="inlineStr">
        <is>
          <t>CTN</t>
        </is>
      </c>
      <c r="H200" t="inlineStr">
        <is>
          <t>BLEND 786</t>
        </is>
      </c>
    </row>
    <row r="201" ht="14.25" customHeight="1" s="5">
      <c r="A201" s="7" t="n">
        <v>1261</v>
      </c>
      <c r="B201" s="7" t="inlineStr">
        <is>
          <t>AMWAY ENGLISH BREAKFAST 8/40 POUCH TBGS</t>
        </is>
      </c>
      <c r="C201" s="7" t="inlineStr">
        <is>
          <t>AMWAY</t>
        </is>
      </c>
      <c r="D201" s="7" t="n">
        <v>1262</v>
      </c>
      <c r="E201" s="7" t="inlineStr">
        <is>
          <t>AMWAY ENGLISH BREAKFAST 40 POUCH TBGS</t>
        </is>
      </c>
      <c r="F201" s="7" t="n">
        <v>8</v>
      </c>
      <c r="G201" s="7" t="inlineStr">
        <is>
          <t>CTN</t>
        </is>
      </c>
      <c r="H201" t="inlineStr">
        <is>
          <t>BLEND MA33D-SOUTH</t>
        </is>
      </c>
    </row>
    <row r="202" ht="14.25" customHeight="1" s="5">
      <c r="A202" s="7" t="n">
        <v>19387</v>
      </c>
      <c r="B202" s="7" t="inlineStr">
        <is>
          <t>ARAMBHA FLAVOURED TEA 48/500 GMS PKT</t>
        </is>
      </c>
      <c r="C202" s="7" t="inlineStr">
        <is>
          <t>AARAMBHA</t>
        </is>
      </c>
      <c r="D202" s="7" t="n">
        <v>19388</v>
      </c>
      <c r="E202" s="7" t="inlineStr">
        <is>
          <t>ARAMBHA FLAVOURED TEA 500 GMS PKT</t>
        </is>
      </c>
      <c r="F202" s="7" t="n">
        <v>48</v>
      </c>
      <c r="G202" s="7" t="inlineStr">
        <is>
          <t>POUCH</t>
        </is>
      </c>
      <c r="H202" t="inlineStr">
        <is>
          <t>BLEND BLACK TEA NATURE CARE RELIANCE CC</t>
        </is>
      </c>
    </row>
    <row r="203" ht="14.25" customHeight="1" s="5">
      <c r="A203" s="7" t="n">
        <v>19381</v>
      </c>
      <c r="B203" s="7" t="inlineStr">
        <is>
          <t>ARAMBHA FLAVOURED TEA 96/250 GMS PKT</t>
        </is>
      </c>
      <c r="C203" s="7" t="inlineStr">
        <is>
          <t>AARAMBHA</t>
        </is>
      </c>
      <c r="D203" s="7" t="n">
        <v>19382</v>
      </c>
      <c r="E203" s="7" t="inlineStr">
        <is>
          <t>ARAMBHA FLAVOURED TEA 250 GMS PKT</t>
        </is>
      </c>
      <c r="F203" s="7" t="n">
        <v>96</v>
      </c>
      <c r="G203" s="7" t="inlineStr">
        <is>
          <t>POUCH</t>
        </is>
      </c>
      <c r="H203" t="inlineStr">
        <is>
          <t>BLEND BLACK TEA NATURE CARE RELIANCE CC</t>
        </is>
      </c>
    </row>
    <row r="204" ht="14.25" customHeight="1" s="5">
      <c r="A204" s="7" t="n">
        <v>32742</v>
      </c>
      <c r="B204" s="7" t="inlineStr">
        <is>
          <t>ARROBA DUST TEA 48/250 GMS PKT TEA</t>
        </is>
      </c>
      <c r="C204" s="7" t="inlineStr">
        <is>
          <t>ARROBA</t>
        </is>
      </c>
      <c r="D204" s="7" t="n">
        <v>32708</v>
      </c>
      <c r="E204" s="7" t="inlineStr">
        <is>
          <t>ARROBA DUST TEA 250 GMS PKT TEA</t>
        </is>
      </c>
      <c r="F204" s="7" t="n">
        <v>48</v>
      </c>
      <c r="G204" s="7" t="inlineStr">
        <is>
          <t>POUCH</t>
        </is>
      </c>
      <c r="H204" t="inlineStr">
        <is>
          <t>BLEND XTC</t>
        </is>
      </c>
    </row>
    <row r="205" ht="14.25" customHeight="1" s="5">
      <c r="A205" s="7" t="n">
        <v>36323</v>
      </c>
      <c r="B205" s="7" t="inlineStr">
        <is>
          <t>ARROBA PREMIUM DUST DUST TV (NEW) [12 X 8 X 250 GM LAMINATE POUCH] PP BAG</t>
        </is>
      </c>
      <c r="C205" s="7" t="inlineStr">
        <is>
          <t>TE-A-ME</t>
        </is>
      </c>
      <c r="D205" s="7" t="n">
        <v>36322</v>
      </c>
      <c r="E205" s="7" t="inlineStr">
        <is>
          <t>ARROBA PREMIUM DUST TV (NEW) 250 GM POUCH</t>
        </is>
      </c>
      <c r="F205" s="7" t="n">
        <v>96</v>
      </c>
      <c r="G205" s="7" t="inlineStr">
        <is>
          <t>POUCH</t>
        </is>
      </c>
      <c r="H205" t="inlineStr">
        <is>
          <t>BLEND STD-TV (NEW)</t>
        </is>
      </c>
    </row>
    <row r="206" ht="14.25" customHeight="1" s="5">
      <c r="A206" s="7" t="n">
        <v>2769</v>
      </c>
      <c r="B206" s="7" t="inlineStr">
        <is>
          <t>ASSORTED GIFT BOX TT 54 DC HS ENV TBGS</t>
        </is>
      </c>
      <c r="C206" s="7" t="inlineStr">
        <is>
          <t>NOT BRAND SPECIFIC</t>
        </is>
      </c>
      <c r="D206" s="7" t="n">
        <v>2770</v>
      </c>
      <c r="E206" s="7" t="inlineStr">
        <is>
          <t>TE-A-ME LOOSE ENV FRUIT &amp; FLOWER INFUSIONS STRAWBERRY CREAM DC SF HS ENV TBGS</t>
        </is>
      </c>
      <c r="F206" s="7" t="n">
        <v>6</v>
      </c>
      <c r="G206" s="7" t="inlineStr">
        <is>
          <t>TBGS</t>
        </is>
      </c>
      <c r="H206" t="inlineStr">
        <is>
          <t>BLEND FRUITY STRAWBERRY CREAM TBC</t>
        </is>
      </c>
    </row>
    <row r="207" ht="14.25" customHeight="1" s="5">
      <c r="A207" s="7" t="n">
        <v>2769</v>
      </c>
      <c r="B207" s="7" t="inlineStr">
        <is>
          <t>ASSORTED GIFT BOX TT 54 DC HS ENV TBGS</t>
        </is>
      </c>
      <c r="C207" s="7" t="inlineStr">
        <is>
          <t>NOT BRAND SPECIFIC</t>
        </is>
      </c>
      <c r="D207" s="7" t="n">
        <v>2771</v>
      </c>
      <c r="E207" s="8" t="inlineStr">
        <is>
          <t xml:space="preserve">TE-A-ME LOOSE ENV NATURAL GREEN TEAS KASHMIRI KAHWA TEA DC SF HS ENV TBGS
</t>
        </is>
      </c>
      <c r="F207" s="7" t="n">
        <v>6</v>
      </c>
      <c r="G207" s="7" t="inlineStr">
        <is>
          <t>TBGS</t>
        </is>
      </c>
      <c r="H207" t="inlineStr">
        <is>
          <t>BLEND KASHMIRI KAHWA TB</t>
        </is>
      </c>
    </row>
    <row r="208" ht="14.25" customHeight="1" s="5">
      <c r="A208" s="7" t="n">
        <v>2769</v>
      </c>
      <c r="B208" s="7" t="inlineStr">
        <is>
          <t>ASSORTED GIFT BOX TT 54 DC HS ENV TBGS</t>
        </is>
      </c>
      <c r="C208" s="7" t="inlineStr">
        <is>
          <t>NOT BRAND SPECIFIC</t>
        </is>
      </c>
      <c r="D208" s="7" t="n">
        <v>2772</v>
      </c>
      <c r="E208" s="7" t="inlineStr">
        <is>
          <t>TE-A-ME LOOSE ENV FRUIT &amp; FLOWER INFUSIONS ORANGE GINGER DC SF HS ENV TBGS</t>
        </is>
      </c>
      <c r="F208" s="7" t="n">
        <v>6</v>
      </c>
      <c r="G208" s="7" t="inlineStr">
        <is>
          <t>TBGS</t>
        </is>
      </c>
      <c r="H208" t="inlineStr">
        <is>
          <t>BLEND ORANGE SPICE TBC</t>
        </is>
      </c>
    </row>
    <row r="209" ht="14.25" customHeight="1" s="5">
      <c r="A209" s="7" t="n">
        <v>2769</v>
      </c>
      <c r="B209" s="7" t="inlineStr">
        <is>
          <t>ASSORTED GIFT BOX TT 54 DC HS ENV TBGS</t>
        </is>
      </c>
      <c r="C209" s="7" t="inlineStr">
        <is>
          <t>NOT BRAND SPECIFIC</t>
        </is>
      </c>
      <c r="D209" s="7" t="n">
        <v>2773</v>
      </c>
      <c r="E209" s="8" t="inlineStr">
        <is>
          <t xml:space="preserve">TE-A-ME LOOSE ENV WELLNESS INFUSIONS TULSI GREEN TEA DC SF HS ENV TBGS
</t>
        </is>
      </c>
      <c r="F209" s="7" t="n">
        <v>6</v>
      </c>
      <c r="G209" s="7" t="inlineStr">
        <is>
          <t>TBGS</t>
        </is>
      </c>
      <c r="H209" t="inlineStr">
        <is>
          <t>BLEND TEAME GREEN TEA TULSI</t>
        </is>
      </c>
    </row>
    <row r="210" ht="14.25" customHeight="1" s="5">
      <c r="A210" s="7" t="n">
        <v>2769</v>
      </c>
      <c r="B210" s="7" t="inlineStr">
        <is>
          <t>ASSORTED GIFT BOX TT 54 DC HS ENV TBGS</t>
        </is>
      </c>
      <c r="C210" s="7" t="inlineStr">
        <is>
          <t>NOT BRAND SPECIFIC</t>
        </is>
      </c>
      <c r="D210" s="7" t="n">
        <v>2774</v>
      </c>
      <c r="E210" s="7" t="inlineStr">
        <is>
          <t>TE-A-ME LOOSE ENV FRUIT &amp; FLOWER INFUSIONS APPLE CINNAMON DC SF HS ENV TBGS</t>
        </is>
      </c>
      <c r="F210" s="7" t="n">
        <v>6</v>
      </c>
      <c r="G210" s="7" t="inlineStr">
        <is>
          <t>TBGS</t>
        </is>
      </c>
      <c r="H210" t="inlineStr">
        <is>
          <t>BLEND FRUITY CINNAMON APPLE TBC</t>
        </is>
      </c>
    </row>
    <row r="211" ht="14.25" customHeight="1" s="5">
      <c r="A211" s="7" t="n">
        <v>2769</v>
      </c>
      <c r="B211" s="7" t="inlineStr">
        <is>
          <t>ASSORTED GIFT BOX TT 54 DC HS ENV TBGS</t>
        </is>
      </c>
      <c r="C211" s="7" t="inlineStr">
        <is>
          <t>NOT BRAND SPECIFIC</t>
        </is>
      </c>
      <c r="D211" s="7" t="n">
        <v>2775</v>
      </c>
      <c r="E211" s="7" t="inlineStr">
        <is>
          <t>TE-A-ME LOOSE ENV FRUIT &amp; FLOWER INFUSIONS CHAMOMILE DC SF HS ENV TBGS</t>
        </is>
      </c>
      <c r="F211" s="7" t="n">
        <v>6</v>
      </c>
      <c r="G211" s="7" t="inlineStr">
        <is>
          <t>TBGS</t>
        </is>
      </c>
      <c r="H211" t="inlineStr">
        <is>
          <t>BLEND CHAMOMILE TBC</t>
        </is>
      </c>
    </row>
    <row r="212" ht="14.25" customHeight="1" s="5">
      <c r="A212" s="7" t="n">
        <v>2769</v>
      </c>
      <c r="B212" s="7" t="inlineStr">
        <is>
          <t>ASSORTED GIFT BOX TT 54 DC HS ENV TBGS</t>
        </is>
      </c>
      <c r="C212" s="7" t="inlineStr">
        <is>
          <t>NOT BRAND SPECIFIC</t>
        </is>
      </c>
      <c r="D212" s="7" t="n">
        <v>2776</v>
      </c>
      <c r="E212" s="7" t="inlineStr">
        <is>
          <t>TE-A-ME LOOSE ENV FRUIT &amp; FLOWER INFUSIONS CRANBERRY APPLE DC SF HS ENV TBGS</t>
        </is>
      </c>
      <c r="F212" s="7" t="n">
        <v>6</v>
      </c>
      <c r="G212" s="7" t="inlineStr">
        <is>
          <t>TBGS</t>
        </is>
      </c>
      <c r="H212" t="inlineStr">
        <is>
          <t>BLEND FRUITY CRANBERRY APPLE TBC</t>
        </is>
      </c>
    </row>
    <row r="213" ht="14.25" customHeight="1" s="5">
      <c r="A213" s="7" t="n">
        <v>2769</v>
      </c>
      <c r="B213" s="7" t="inlineStr">
        <is>
          <t>ASSORTED GIFT BOX TT 54 DC HS ENV TBGS</t>
        </is>
      </c>
      <c r="C213" s="7" t="inlineStr">
        <is>
          <t>NOT BRAND SPECIFIC</t>
        </is>
      </c>
      <c r="D213" s="7" t="n">
        <v>2777</v>
      </c>
      <c r="E213" s="8" t="inlineStr">
        <is>
          <t xml:space="preserve">TE-A-ME LOOSE ENV NATURAL GREEN TEAS GREEN TEA DC SF HS ENV TBGS
</t>
        </is>
      </c>
      <c r="F213" s="7" t="n">
        <v>6</v>
      </c>
      <c r="G213" s="7" t="inlineStr">
        <is>
          <t>TBGS</t>
        </is>
      </c>
      <c r="H213" t="inlineStr">
        <is>
          <t>BLEND TEAME GREEN</t>
        </is>
      </c>
    </row>
    <row r="214" ht="14.25" customHeight="1" s="5">
      <c r="A214" s="7" t="n">
        <v>2769</v>
      </c>
      <c r="B214" s="7" t="inlineStr">
        <is>
          <t>ASSORTED GIFT BOX TT 54 DC HS ENV TBGS</t>
        </is>
      </c>
      <c r="C214" s="7" t="inlineStr">
        <is>
          <t>NOT BRAND SPECIFIC</t>
        </is>
      </c>
      <c r="D214" s="7" t="n">
        <v>2778</v>
      </c>
      <c r="E214" s="8" t="inlineStr">
        <is>
          <t xml:space="preserve">TE-A-ME LOOSE ENV NATURAL GREEN TEAS HONEY LEMON GREEN TEA DC SF HS ENV TBGS
</t>
        </is>
      </c>
      <c r="F214" s="7" t="n">
        <v>6</v>
      </c>
      <c r="G214" s="7" t="inlineStr">
        <is>
          <t>TBGS</t>
        </is>
      </c>
      <c r="H214" t="inlineStr">
        <is>
          <t>BLEND TE-A-ME GREEN TEA HONEY LEMON</t>
        </is>
      </c>
    </row>
    <row r="215" ht="14.25" customHeight="1" s="5">
      <c r="A215" s="7" t="n">
        <v>21085</v>
      </c>
      <c r="B215" s="7" t="inlineStr">
        <is>
          <t>BLUE DIAMOND 12/100 DC ENV TBGS</t>
        </is>
      </c>
      <c r="C215" s="7" t="inlineStr">
        <is>
          <t>BLUE DIAMOND</t>
        </is>
      </c>
      <c r="D215" s="7" t="n">
        <v>287</v>
      </c>
      <c r="E215" s="7" t="inlineStr">
        <is>
          <t>BLUE DIAMOND 100 DC ENV TBGS</t>
        </is>
      </c>
      <c r="F215" s="7" t="n">
        <v>12</v>
      </c>
      <c r="G215" s="7" t="inlineStr">
        <is>
          <t>CTN</t>
        </is>
      </c>
      <c r="H215" t="inlineStr">
        <is>
          <t>BLEND 786</t>
        </is>
      </c>
    </row>
    <row r="216" ht="14.25" customHeight="1" s="5">
      <c r="A216" s="7" t="n">
        <v>286</v>
      </c>
      <c r="B216" s="7" t="inlineStr">
        <is>
          <t>BLUE DIAMOND 12/100 DC ENV TBGS WITH SPOON</t>
        </is>
      </c>
      <c r="C216" s="7" t="inlineStr">
        <is>
          <t>BLUE DIAMOND</t>
        </is>
      </c>
      <c r="D216" s="7" t="n">
        <v>287</v>
      </c>
      <c r="E216" s="7" t="inlineStr">
        <is>
          <t>BLUE DIAMOND 100 DC ENV TBGS</t>
        </is>
      </c>
      <c r="F216" s="7" t="n">
        <v>12</v>
      </c>
      <c r="G216" s="7" t="inlineStr">
        <is>
          <t>CTN</t>
        </is>
      </c>
      <c r="H216" t="inlineStr">
        <is>
          <t>BLEND 786</t>
        </is>
      </c>
    </row>
    <row r="217" ht="14.25" customHeight="1" s="5">
      <c r="A217" s="7" t="n">
        <v>292</v>
      </c>
      <c r="B217" s="7" t="inlineStr">
        <is>
          <t>BLUE DIAMOND 12/100 DC ENV TBGS WITH T-SHIRT</t>
        </is>
      </c>
      <c r="C217" s="7" t="inlineStr">
        <is>
          <t>BLUE DIAMOND</t>
        </is>
      </c>
      <c r="D217" s="7" t="n">
        <v>287</v>
      </c>
      <c r="E217" s="7" t="inlineStr">
        <is>
          <t>BLUE DIAMOND 100 DC ENV TBGS</t>
        </is>
      </c>
      <c r="F217" s="7" t="n">
        <v>12</v>
      </c>
      <c r="G217" s="7" t="inlineStr">
        <is>
          <t>CTN</t>
        </is>
      </c>
      <c r="H217" t="inlineStr">
        <is>
          <t>BLEND 786</t>
        </is>
      </c>
    </row>
    <row r="218" ht="14.25" customHeight="1" s="5">
      <c r="A218" s="7" t="n">
        <v>23099</v>
      </c>
      <c r="B218" s="7" t="inlineStr">
        <is>
          <t>BLUE DIAMOND 24/50 DC ENV TBGS</t>
        </is>
      </c>
      <c r="C218" s="7" t="inlineStr">
        <is>
          <t>BLUE DIAMOND</t>
        </is>
      </c>
      <c r="D218" s="7" t="n">
        <v>20320</v>
      </c>
      <c r="E218" s="7" t="inlineStr">
        <is>
          <t>BLUE DIAMOND 50 DC ENV TBGS</t>
        </is>
      </c>
      <c r="F218" s="7" t="n">
        <v>24</v>
      </c>
      <c r="G218" s="7" t="inlineStr">
        <is>
          <t>CTN</t>
        </is>
      </c>
      <c r="H218" t="inlineStr">
        <is>
          <t>BLEND 786</t>
        </is>
      </c>
    </row>
    <row r="219" ht="14.25" customHeight="1" s="5">
      <c r="A219" s="7" t="n">
        <v>20314</v>
      </c>
      <c r="B219" s="7" t="inlineStr">
        <is>
          <t>BLUE DIAMOND 24/50 DC ENV TBGS WITH SHOPPING BAG</t>
        </is>
      </c>
      <c r="C219" s="7" t="inlineStr">
        <is>
          <t>BLUE DIAMOND</t>
        </is>
      </c>
      <c r="D219" s="7" t="n">
        <v>20320</v>
      </c>
      <c r="E219" s="7" t="inlineStr">
        <is>
          <t>BLUE DIAMOND 50 DC ENV TBGS</t>
        </is>
      </c>
      <c r="F219" s="7" t="n">
        <v>24</v>
      </c>
      <c r="G219" s="7" t="inlineStr">
        <is>
          <t>CTN</t>
        </is>
      </c>
      <c r="H219" t="inlineStr">
        <is>
          <t>BLEND 786</t>
        </is>
      </c>
    </row>
    <row r="220" ht="14.25" customHeight="1" s="5">
      <c r="A220" s="7" t="n">
        <v>26170</v>
      </c>
      <c r="B220" s="7" t="inlineStr">
        <is>
          <t>BLUE DIAMOND COCKTAIL 24/25 DC ENV TBGS</t>
        </is>
      </c>
      <c r="C220" s="7" t="inlineStr">
        <is>
          <t>BLUE DIAMOND</t>
        </is>
      </c>
      <c r="D220" s="7" t="n">
        <v>296</v>
      </c>
      <c r="E220" s="7" t="inlineStr">
        <is>
          <t>BLUE DIAMOND COCKTAIL 25 SC ENV TBGS</t>
        </is>
      </c>
      <c r="F220" s="7" t="n">
        <v>24</v>
      </c>
      <c r="G220" s="7" t="inlineStr">
        <is>
          <t>CTN</t>
        </is>
      </c>
      <c r="H220">
        <f>#N/A</f>
        <v/>
      </c>
    </row>
    <row r="221" ht="14.25" customHeight="1" s="5">
      <c r="A221" s="7" t="n">
        <v>23100</v>
      </c>
      <c r="B221" s="7" t="inlineStr">
        <is>
          <t>BLUE DIAMOND GINGER 24/25 DC ENV TBGS</t>
        </is>
      </c>
      <c r="C221" s="7" t="inlineStr">
        <is>
          <t>BLUE DIAMOND</t>
        </is>
      </c>
      <c r="D221" s="7" t="n">
        <v>23106</v>
      </c>
      <c r="E221" s="7" t="inlineStr">
        <is>
          <t>BLUE DIAMOND GINGER 25 DC ENV TBGS</t>
        </is>
      </c>
      <c r="F221" s="7" t="n">
        <v>24</v>
      </c>
      <c r="G221" s="7" t="inlineStr">
        <is>
          <t>CTN</t>
        </is>
      </c>
      <c r="H221" t="inlineStr">
        <is>
          <t>BLEND AF BLACK TEA  GINGER TBGS</t>
        </is>
      </c>
    </row>
    <row r="222" ht="14.25" customHeight="1" s="5">
      <c r="A222" s="7" t="n">
        <v>23101</v>
      </c>
      <c r="B222" s="7" t="inlineStr">
        <is>
          <t>BLUE DIAMOND LEMON 24/25 DC ENV TBGS</t>
        </is>
      </c>
      <c r="C222" s="7" t="inlineStr">
        <is>
          <t>BLUE DIAMOND</t>
        </is>
      </c>
      <c r="D222" s="7" t="n">
        <v>23107</v>
      </c>
      <c r="E222" s="7" t="inlineStr">
        <is>
          <t>BLUE DIAMOND LEMON 25 DC ENV TBGS</t>
        </is>
      </c>
      <c r="F222" s="7" t="n">
        <v>24</v>
      </c>
      <c r="G222" s="7" t="inlineStr">
        <is>
          <t>CTN</t>
        </is>
      </c>
      <c r="H222" t="inlineStr">
        <is>
          <t>BLEND BLACK TEA LEMON TB</t>
        </is>
      </c>
    </row>
    <row r="223" ht="14.25" customHeight="1" s="5">
      <c r="A223" s="7" t="n">
        <v>20740</v>
      </c>
      <c r="B223" s="7" t="inlineStr">
        <is>
          <t>BLUE DIAMOND LEMON GRASS 24/25 SC ENV TBGS</t>
        </is>
      </c>
      <c r="C223" s="7" t="inlineStr">
        <is>
          <t>BLUE DIAMOND</t>
        </is>
      </c>
      <c r="D223" s="7" t="n">
        <v>305</v>
      </c>
      <c r="E223" s="7" t="inlineStr">
        <is>
          <t>BLUE DIAMOND LEMON GRASS 25 SC ENV TBGS</t>
        </is>
      </c>
      <c r="F223" s="7" t="n">
        <v>24</v>
      </c>
      <c r="G223" s="7" t="inlineStr">
        <is>
          <t>CTN</t>
        </is>
      </c>
      <c r="H223">
        <f>#N/A</f>
        <v/>
      </c>
    </row>
    <row r="224" ht="14.25" customHeight="1" s="5">
      <c r="A224" s="7" t="n">
        <v>26175</v>
      </c>
      <c r="B224" s="7" t="inlineStr">
        <is>
          <t>BLUE DIAMOND MANGO 24/25 DC ENV TBGS</t>
        </is>
      </c>
      <c r="C224" s="7" t="inlineStr">
        <is>
          <t>BLUE DIAMOND</t>
        </is>
      </c>
      <c r="D224" s="7" t="n">
        <v>26178</v>
      </c>
      <c r="E224" s="7" t="inlineStr">
        <is>
          <t>BLUE DIAMOND MANGO 25 DC ENV TBGS</t>
        </is>
      </c>
      <c r="F224" s="7" t="n">
        <v>24</v>
      </c>
      <c r="G224" s="7" t="inlineStr">
        <is>
          <t>CTN</t>
        </is>
      </c>
      <c r="H224" t="inlineStr">
        <is>
          <t>BLEND AF BLACK TEA WITH MANGO TBGS</t>
        </is>
      </c>
    </row>
    <row r="225" ht="14.25" customHeight="1" s="5">
      <c r="A225" s="7" t="n">
        <v>23102</v>
      </c>
      <c r="B225" s="7" t="inlineStr">
        <is>
          <t>BLUE DIAMOND MINT 24/25 DC ENV TBGS</t>
        </is>
      </c>
      <c r="C225" s="7" t="inlineStr">
        <is>
          <t>BLUE DIAMOND</t>
        </is>
      </c>
      <c r="D225" s="7" t="n">
        <v>23108</v>
      </c>
      <c r="E225" s="7" t="inlineStr">
        <is>
          <t>BLUE DIAMOND MINT 25 DC ENV TBGS</t>
        </is>
      </c>
      <c r="F225" s="7" t="n">
        <v>24</v>
      </c>
      <c r="G225" s="7" t="inlineStr">
        <is>
          <t>CTN</t>
        </is>
      </c>
      <c r="H225" t="inlineStr">
        <is>
          <t>BLEND AF BLACK TEA MINT TBGS</t>
        </is>
      </c>
    </row>
    <row r="226" ht="14.25" customHeight="1" s="5">
      <c r="A226" s="7" t="n">
        <v>23103</v>
      </c>
      <c r="B226" s="7" t="inlineStr">
        <is>
          <t>BLUE DIAMOND ORANGE 24/25 DC ENV TBGS</t>
        </is>
      </c>
      <c r="C226" s="7" t="inlineStr">
        <is>
          <t>BLUE DIAMOND</t>
        </is>
      </c>
      <c r="D226" s="7" t="n">
        <v>23109</v>
      </c>
      <c r="E226" s="7" t="inlineStr">
        <is>
          <t>BLUE DIAMOND ORANGE 25 DC ENV TBGS</t>
        </is>
      </c>
      <c r="F226" s="7" t="n">
        <v>24</v>
      </c>
      <c r="G226" s="7" t="inlineStr">
        <is>
          <t>CTN</t>
        </is>
      </c>
      <c r="H226" t="inlineStr">
        <is>
          <t>BLEND AX-BLACK ORANGE TB</t>
        </is>
      </c>
    </row>
    <row r="227" ht="14.25" customHeight="1" s="5">
      <c r="A227" s="7" t="n">
        <v>26181</v>
      </c>
      <c r="B227" s="7" t="inlineStr">
        <is>
          <t>BLUE DIAMOND PINEAPPLE 24/25 DC ENV TBGS</t>
        </is>
      </c>
      <c r="C227" s="7" t="inlineStr">
        <is>
          <t>BLUE DIAMOND</t>
        </is>
      </c>
      <c r="D227" s="7" t="n">
        <v>26182</v>
      </c>
      <c r="E227" s="7" t="inlineStr">
        <is>
          <t>BLUE DIAMOND PINEAPPLE 25 DC ENV TBGS</t>
        </is>
      </c>
      <c r="F227" s="7" t="n">
        <v>24</v>
      </c>
      <c r="G227" s="7" t="inlineStr">
        <is>
          <t>CTN</t>
        </is>
      </c>
      <c r="H227" t="inlineStr">
        <is>
          <t>BLEND BLACK TEA PINEAPPLE TB</t>
        </is>
      </c>
    </row>
    <row r="228" ht="14.25" customHeight="1" s="5">
      <c r="A228" s="7" t="n">
        <v>23104</v>
      </c>
      <c r="B228" s="7" t="inlineStr">
        <is>
          <t>BLUE DIAMOND STRAWBERRY 24/25 DC ENV TBGS</t>
        </is>
      </c>
      <c r="C228" s="7" t="inlineStr">
        <is>
          <t>BLUE DIAMOND</t>
        </is>
      </c>
      <c r="D228" s="7" t="n">
        <v>23110</v>
      </c>
      <c r="E228" s="7" t="inlineStr">
        <is>
          <t>BLUE DIAMOND STRAWBERRY 25 DC ENV TBGS</t>
        </is>
      </c>
      <c r="F228" s="7" t="n">
        <v>24</v>
      </c>
      <c r="G228" s="7" t="inlineStr">
        <is>
          <t>CTN</t>
        </is>
      </c>
      <c r="H228" t="inlineStr">
        <is>
          <t>BLEND STRAWBERRY TB</t>
        </is>
      </c>
    </row>
    <row r="229" ht="14.25" customHeight="1" s="5">
      <c r="A229" s="7" t="n">
        <v>23105</v>
      </c>
      <c r="B229" s="7" t="inlineStr">
        <is>
          <t>BLUE DIAMOND TAMARIND 24/25 DC ENV TBGS</t>
        </is>
      </c>
      <c r="C229" s="7" t="inlineStr">
        <is>
          <t>BLUE DIAMOND</t>
        </is>
      </c>
      <c r="D229" s="7" t="n">
        <v>23111</v>
      </c>
      <c r="E229" s="7" t="inlineStr">
        <is>
          <t>BLUE DIAMOND TAMARIND 25 DC ENV TBGS</t>
        </is>
      </c>
      <c r="F229" s="7" t="n">
        <v>24</v>
      </c>
      <c r="G229" s="7" t="inlineStr">
        <is>
          <t>CTN</t>
        </is>
      </c>
      <c r="H229" t="inlineStr">
        <is>
          <t>BLEND BLACK TEA WITH TAMARIND FLAVOUR</t>
        </is>
      </c>
    </row>
    <row r="230" ht="14.25" customHeight="1" s="5">
      <c r="A230" s="7" t="n">
        <v>21760</v>
      </c>
      <c r="B230" s="7" t="inlineStr">
        <is>
          <t>BNNR 6/100 PTAG TBGS 700228</t>
        </is>
      </c>
      <c r="C230" s="7" t="inlineStr">
        <is>
          <t>BNNR</t>
        </is>
      </c>
      <c r="D230" s="7" t="n">
        <v>21767</v>
      </c>
      <c r="E230" s="7" t="inlineStr">
        <is>
          <t>BNNR 100 PTAG TBGS</t>
        </is>
      </c>
      <c r="F230" s="7" t="n">
        <v>6</v>
      </c>
      <c r="G230" s="7" t="inlineStr">
        <is>
          <t>CTN</t>
        </is>
      </c>
      <c r="H230" t="inlineStr">
        <is>
          <t>BLEND 7004</t>
        </is>
      </c>
    </row>
    <row r="231" ht="14.25" customHeight="1" s="5">
      <c r="A231" s="7" t="n">
        <v>33575</v>
      </c>
      <c r="B231" s="7" t="inlineStr">
        <is>
          <t>BNNR COMBO PACK 10/24 PFSTAG &amp; 5/100 DC PTAG TBGS</t>
        </is>
      </c>
      <c r="C231" s="7" t="inlineStr">
        <is>
          <t>BNNR</t>
        </is>
      </c>
      <c r="D231" s="7" t="n">
        <v>33577</v>
      </c>
      <c r="E231" s="7" t="inlineStr">
        <is>
          <t>BNNR 24 PFSTAG TBGS</t>
        </is>
      </c>
      <c r="F231" s="7" t="n">
        <v>10</v>
      </c>
      <c r="G231" s="7" t="inlineStr">
        <is>
          <t>CTN</t>
        </is>
      </c>
      <c r="H231" t="inlineStr">
        <is>
          <t>BLEND 7022</t>
        </is>
      </c>
    </row>
    <row r="232" ht="14.25" customHeight="1" s="5">
      <c r="A232" s="7" t="n">
        <v>33575</v>
      </c>
      <c r="B232" s="7" t="inlineStr">
        <is>
          <t>BNNR COMBO PACK 10/24 PFSTAG &amp; 5/100 DC PTAG TBGS</t>
        </is>
      </c>
      <c r="C232" s="7" t="inlineStr">
        <is>
          <t>BNNR</t>
        </is>
      </c>
      <c r="D232" s="7" t="n">
        <v>21767</v>
      </c>
      <c r="E232" s="7" t="inlineStr">
        <is>
          <t>BNNR 100 PTAG TBGS</t>
        </is>
      </c>
      <c r="F232" s="7" t="n">
        <v>5</v>
      </c>
      <c r="G232" s="7" t="inlineStr">
        <is>
          <t>CTN</t>
        </is>
      </c>
      <c r="H232" t="inlineStr">
        <is>
          <t>BLEND 7004</t>
        </is>
      </c>
    </row>
    <row r="233" ht="14.25" customHeight="1" s="5">
      <c r="A233" s="7" t="n">
        <v>32407</v>
      </c>
      <c r="B233" s="7" t="inlineStr">
        <is>
          <t>BOM DIA  24/25 DC ENV TBGS (ANGOLA)</t>
        </is>
      </c>
      <c r="C233" s="7" t="inlineStr">
        <is>
          <t>BOM DIA</t>
        </is>
      </c>
      <c r="D233" s="7" t="n">
        <v>32408</v>
      </c>
      <c r="E233" s="7" t="inlineStr">
        <is>
          <t>BOM DIA 25 DC ENV TBGS (ANGOLA)</t>
        </is>
      </c>
      <c r="F233" s="7" t="n">
        <v>24</v>
      </c>
      <c r="G233" s="7" t="inlineStr">
        <is>
          <t>CTN</t>
        </is>
      </c>
      <c r="H233" t="inlineStr">
        <is>
          <t>BLEND 786</t>
        </is>
      </c>
    </row>
    <row r="234" ht="14.25" customHeight="1" s="5">
      <c r="A234" s="7" t="n">
        <v>37599</v>
      </c>
      <c r="B234" s="7" t="inlineStr">
        <is>
          <t>BOM DIA  24/25 DC ENV TBGS (MATADI)</t>
        </is>
      </c>
      <c r="C234" s="7" t="inlineStr">
        <is>
          <t>BOM DIA</t>
        </is>
      </c>
      <c r="D234" s="7" t="n">
        <v>37606</v>
      </c>
      <c r="E234" s="7" t="inlineStr">
        <is>
          <t>BOM DIA 25 DC ENV TBGS (MATADI)</t>
        </is>
      </c>
      <c r="F234" s="7" t="n">
        <v>24</v>
      </c>
      <c r="G234" s="7" t="inlineStr">
        <is>
          <t>CTN</t>
        </is>
      </c>
      <c r="H234" t="inlineStr">
        <is>
          <t>BLEND 786</t>
        </is>
      </c>
    </row>
    <row r="235" ht="14.25" customHeight="1" s="5">
      <c r="A235" s="7" t="n">
        <v>31462</v>
      </c>
      <c r="B235" s="7" t="inlineStr">
        <is>
          <t>BOM DIA 24/25 DC ENV TBGS</t>
        </is>
      </c>
      <c r="C235" s="7" t="inlineStr">
        <is>
          <t>BOM DIA</t>
        </is>
      </c>
      <c r="D235" s="7" t="n">
        <v>31523</v>
      </c>
      <c r="E235" s="7" t="inlineStr">
        <is>
          <t>BOM DIA 25 DC ENV TBGS</t>
        </is>
      </c>
      <c r="F235" s="7" t="n">
        <v>24</v>
      </c>
      <c r="G235" s="7" t="inlineStr">
        <is>
          <t>CTN</t>
        </is>
      </c>
      <c r="H235" t="inlineStr">
        <is>
          <t>BLEND 786</t>
        </is>
      </c>
    </row>
    <row r="236" ht="14.25" customHeight="1" s="5">
      <c r="A236" s="7" t="n">
        <v>28274</v>
      </c>
      <c r="B236" s="7" t="inlineStr">
        <is>
          <t>BON GOUT 12/100 DC ENV TBGS</t>
        </is>
      </c>
      <c r="C236" s="7" t="inlineStr">
        <is>
          <t>BON GOUT</t>
        </is>
      </c>
      <c r="D236" s="7" t="n">
        <v>28277</v>
      </c>
      <c r="E236" s="7" t="inlineStr">
        <is>
          <t>BON GOUT 100 DC ENV TBGS</t>
        </is>
      </c>
      <c r="F236" s="7" t="n">
        <v>12</v>
      </c>
      <c r="G236" s="7" t="inlineStr">
        <is>
          <t>CTN</t>
        </is>
      </c>
      <c r="H236" t="inlineStr">
        <is>
          <t>BLEND A33</t>
        </is>
      </c>
    </row>
    <row r="237" ht="14.25" customHeight="1" s="5">
      <c r="A237" s="7" t="n">
        <v>310</v>
      </c>
      <c r="B237" s="7" t="inlineStr">
        <is>
          <t>BON GOUT 12/105 DC ENV TBGS</t>
        </is>
      </c>
      <c r="C237" s="7" t="inlineStr">
        <is>
          <t>BON GOUT</t>
        </is>
      </c>
      <c r="D237" s="7" t="n">
        <v>311</v>
      </c>
      <c r="E237" s="7" t="inlineStr">
        <is>
          <t>BON GOUT 105 DC ENV TBGS</t>
        </is>
      </c>
      <c r="F237" s="7" t="n">
        <v>12</v>
      </c>
      <c r="G237" s="7" t="inlineStr">
        <is>
          <t>CTN</t>
        </is>
      </c>
      <c r="H237" t="inlineStr">
        <is>
          <t>BLEND 786</t>
        </is>
      </c>
    </row>
    <row r="238" ht="14.25" customHeight="1" s="5">
      <c r="A238" s="7" t="n">
        <v>315</v>
      </c>
      <c r="B238" s="7" t="inlineStr">
        <is>
          <t>BON GOUT 12/105 DC ENV TBGS WITH TSHIRT</t>
        </is>
      </c>
      <c r="C238" s="7" t="inlineStr">
        <is>
          <t>BON GOUT</t>
        </is>
      </c>
      <c r="D238" s="7" t="n">
        <v>311</v>
      </c>
      <c r="E238" s="7" t="inlineStr">
        <is>
          <t>BON GOUT 105 DC ENV TBGS</t>
        </is>
      </c>
      <c r="F238" s="7" t="n">
        <v>12</v>
      </c>
      <c r="G238" s="7" t="inlineStr">
        <is>
          <t>CTN</t>
        </is>
      </c>
      <c r="H238" t="inlineStr">
        <is>
          <t>BLEND 786</t>
        </is>
      </c>
    </row>
    <row r="239" ht="14.25" customHeight="1" s="5">
      <c r="A239" s="7" t="n">
        <v>20773</v>
      </c>
      <c r="B239" s="7" t="inlineStr">
        <is>
          <t>BONI SELECTION ENGLISH BREAKFAST 10/25 DC ENV TBGS</t>
        </is>
      </c>
      <c r="C239" s="7" t="inlineStr">
        <is>
          <t>BONI</t>
        </is>
      </c>
      <c r="D239" s="7" t="n">
        <v>20774</v>
      </c>
      <c r="E239" s="7" t="inlineStr">
        <is>
          <t>BONI SELECTION ENGLISH BREAKFAST 25 DC ENV TBGS</t>
        </is>
      </c>
      <c r="F239" s="7" t="n">
        <v>10</v>
      </c>
      <c r="G239" s="7" t="inlineStr">
        <is>
          <t>CTN</t>
        </is>
      </c>
      <c r="H239" t="inlineStr">
        <is>
          <t>BLEND 786 90% UTZ</t>
        </is>
      </c>
    </row>
    <row r="240" ht="14.25" customHeight="1" s="5">
      <c r="A240" s="7" t="n">
        <v>1308</v>
      </c>
      <c r="B240" s="7" t="inlineStr">
        <is>
          <t>BONI SELECTION KAMILLE 10/25 DC ENV TBGS</t>
        </is>
      </c>
      <c r="C240" s="7" t="inlineStr">
        <is>
          <t>BONI</t>
        </is>
      </c>
      <c r="D240" s="7" t="n">
        <v>1309</v>
      </c>
      <c r="E240" s="7" t="inlineStr">
        <is>
          <t>BONI SELECTION KAMILLE 25 DC ENV TBGS</t>
        </is>
      </c>
      <c r="F240" s="7" t="n">
        <v>10</v>
      </c>
      <c r="G240" s="7" t="inlineStr">
        <is>
          <t>CTN</t>
        </is>
      </c>
      <c r="H240" t="inlineStr">
        <is>
          <t>BLEND CHAMOMILE TBC 100% UTZ</t>
        </is>
      </c>
    </row>
    <row r="241" ht="14.25" customHeight="1" s="5">
      <c r="A241" s="7" t="n">
        <v>1316</v>
      </c>
      <c r="B241" s="7" t="inlineStr">
        <is>
          <t>BONI SELECTION MUNT MENTHE 10/25 DC ENV TBGS</t>
        </is>
      </c>
      <c r="C241" s="7" t="inlineStr">
        <is>
          <t>BONI</t>
        </is>
      </c>
      <c r="D241" s="7" t="n">
        <v>1317</v>
      </c>
      <c r="E241" s="7" t="inlineStr">
        <is>
          <t>BONI SELECTION MUNT MENTHE 25 DC ENV TBGS</t>
        </is>
      </c>
      <c r="F241" s="7" t="n">
        <v>10</v>
      </c>
      <c r="G241" s="7" t="inlineStr">
        <is>
          <t>CTN</t>
        </is>
      </c>
      <c r="H241" t="inlineStr">
        <is>
          <t>BLEND MINT TBC 100% UTZ</t>
        </is>
      </c>
    </row>
    <row r="242" ht="14.25" customHeight="1" s="5">
      <c r="A242" s="7" t="n">
        <v>1322</v>
      </c>
      <c r="B242" s="7" t="inlineStr">
        <is>
          <t>BONI SELECTION ROZENBOTTEL EGLANTIER 10/25 DC ENV TBGS</t>
        </is>
      </c>
      <c r="C242" s="7" t="inlineStr">
        <is>
          <t>BONI</t>
        </is>
      </c>
      <c r="D242" s="7" t="n">
        <v>1323</v>
      </c>
      <c r="E242" s="7" t="inlineStr">
        <is>
          <t>BONI SELECTION ROZENBOTTEL EGLANTIER 25 DC ENV TBGS</t>
        </is>
      </c>
      <c r="F242" s="7" t="n">
        <v>10</v>
      </c>
      <c r="G242" s="7" t="inlineStr">
        <is>
          <t>CTN</t>
        </is>
      </c>
      <c r="H242" t="inlineStr">
        <is>
          <t>BLEND FRUITY ROSEHIP TBC 100% UTZ</t>
        </is>
      </c>
    </row>
    <row r="243" ht="14.25" customHeight="1" s="5">
      <c r="A243" s="7" t="n">
        <v>318</v>
      </c>
      <c r="B243" s="7" t="inlineStr">
        <is>
          <t>BONJOURNE 12/100 DC ENV TBGS WITH T-SHIRT</t>
        </is>
      </c>
      <c r="C243" s="7" t="inlineStr">
        <is>
          <t>BONJOURNE</t>
        </is>
      </c>
      <c r="D243" s="7" t="n">
        <v>319</v>
      </c>
      <c r="E243" s="7" t="inlineStr">
        <is>
          <t>BONJOURNE 100 DC ENV TBGS</t>
        </is>
      </c>
      <c r="F243" s="7" t="n">
        <v>12</v>
      </c>
      <c r="G243" s="7" t="inlineStr">
        <is>
          <t>CTN</t>
        </is>
      </c>
      <c r="H243" t="inlineStr">
        <is>
          <t>BLEND 999</t>
        </is>
      </c>
    </row>
    <row r="244" ht="14.25" customHeight="1" s="5">
      <c r="A244" s="7" t="n">
        <v>325</v>
      </c>
      <c r="B244" s="7" t="inlineStr">
        <is>
          <t>BONJOURNE GINGER 24/27 SC ENV TBGS WITH T-SHIRT</t>
        </is>
      </c>
      <c r="C244" s="7" t="inlineStr">
        <is>
          <t>BONJOURNE</t>
        </is>
      </c>
      <c r="D244" s="7" t="n">
        <v>326</v>
      </c>
      <c r="E244" s="7" t="inlineStr">
        <is>
          <t>BONJOURNE GINGER 27 SC ENV TBGS</t>
        </is>
      </c>
      <c r="F244" s="7" t="n">
        <v>24</v>
      </c>
      <c r="G244" s="7" t="inlineStr">
        <is>
          <t>CTN</t>
        </is>
      </c>
      <c r="H244">
        <f>#N/A</f>
        <v/>
      </c>
    </row>
    <row r="245" ht="14.25" customHeight="1" s="5">
      <c r="A245" s="7" t="n">
        <v>332</v>
      </c>
      <c r="B245" s="7" t="inlineStr">
        <is>
          <t>BONJOURNE LEMON 24/27 SC ENV TBGS WITH T-SHIRT</t>
        </is>
      </c>
      <c r="C245" s="7" t="inlineStr">
        <is>
          <t>BONJOURNE</t>
        </is>
      </c>
      <c r="D245" s="7" t="n">
        <v>333</v>
      </c>
      <c r="E245" s="7" t="inlineStr">
        <is>
          <t>BONJOURNE LEMON 27 SC ENV TBGS</t>
        </is>
      </c>
      <c r="F245" s="7" t="n">
        <v>24</v>
      </c>
      <c r="G245" s="7" t="inlineStr">
        <is>
          <t>CTN</t>
        </is>
      </c>
      <c r="H245">
        <f>#N/A</f>
        <v/>
      </c>
    </row>
    <row r="246" ht="14.25" customHeight="1" s="5">
      <c r="A246" s="7" t="n">
        <v>338</v>
      </c>
      <c r="B246" s="7" t="inlineStr">
        <is>
          <t>BONJOURNE MINT 24/27 SC ENV TBGS WITH T-SHIRT</t>
        </is>
      </c>
      <c r="C246" s="7" t="inlineStr">
        <is>
          <t>BONJOURNE</t>
        </is>
      </c>
      <c r="D246" s="7" t="n">
        <v>339</v>
      </c>
      <c r="E246" s="7" t="inlineStr">
        <is>
          <t>BONJOURNE MINT 27 SC ENV TBGS</t>
        </is>
      </c>
      <c r="F246" s="7" t="n">
        <v>24</v>
      </c>
      <c r="G246" s="7" t="inlineStr">
        <is>
          <t>CTN</t>
        </is>
      </c>
      <c r="H246">
        <f>#N/A</f>
        <v/>
      </c>
    </row>
    <row r="247" ht="14.25" customHeight="1" s="5">
      <c r="A247" s="7" t="n">
        <v>344</v>
      </c>
      <c r="B247" s="7" t="inlineStr">
        <is>
          <t>BONJOURNE ORANGE 24/27 SC ENV TBGS WITH T-SHIRT</t>
        </is>
      </c>
      <c r="C247" s="7" t="inlineStr">
        <is>
          <t>BONJOURNE</t>
        </is>
      </c>
      <c r="D247" s="7" t="n">
        <v>345</v>
      </c>
      <c r="E247" s="7" t="inlineStr">
        <is>
          <t>BONJOURNE ORANGE 27 SC ENV TBGS</t>
        </is>
      </c>
      <c r="F247" s="7" t="n">
        <v>24</v>
      </c>
      <c r="G247" s="7" t="inlineStr">
        <is>
          <t>CTN</t>
        </is>
      </c>
      <c r="H247">
        <f>#N/A</f>
        <v/>
      </c>
    </row>
    <row r="248" ht="14.25" customHeight="1" s="5">
      <c r="A248" s="7" t="n">
        <v>350</v>
      </c>
      <c r="B248" s="7" t="inlineStr">
        <is>
          <t>BONJOURNE STRAWBERRY 24/27 SC ENV TBGS WITH T-SHIRT</t>
        </is>
      </c>
      <c r="C248" s="7" t="inlineStr">
        <is>
          <t>BONJOURNE</t>
        </is>
      </c>
      <c r="D248" s="7" t="n">
        <v>351</v>
      </c>
      <c r="E248" s="7" t="inlineStr">
        <is>
          <t>BONJOURNE STRAWBERRY 27 SC ENV TBGS</t>
        </is>
      </c>
      <c r="F248" s="7" t="n">
        <v>24</v>
      </c>
      <c r="G248" s="7" t="inlineStr">
        <is>
          <t>CTN</t>
        </is>
      </c>
      <c r="H248">
        <f>#N/A</f>
        <v/>
      </c>
    </row>
    <row r="249" ht="14.25" customHeight="1" s="5">
      <c r="A249" s="7" t="n">
        <v>356</v>
      </c>
      <c r="B249" s="7" t="inlineStr">
        <is>
          <t>BONJOURNE TAMARIND 24/27 SC ENV TBGS WITH T-SHIRT</t>
        </is>
      </c>
      <c r="C249" s="7" t="inlineStr">
        <is>
          <t>BONJOURNE</t>
        </is>
      </c>
      <c r="D249" s="7" t="n">
        <v>357</v>
      </c>
      <c r="E249" s="7" t="inlineStr">
        <is>
          <t>BONJOURNE TAMARIND 27 SC ENV TBGS</t>
        </is>
      </c>
      <c r="F249" s="7" t="n">
        <v>24</v>
      </c>
      <c r="G249" s="7" t="inlineStr">
        <is>
          <t>CTN</t>
        </is>
      </c>
      <c r="H249">
        <f>#N/A</f>
        <v/>
      </c>
    </row>
    <row r="250" ht="14.25" customHeight="1" s="5">
      <c r="A250" s="7" t="n">
        <v>32930</v>
      </c>
      <c r="B250" s="7" t="inlineStr">
        <is>
          <t>BREW360 32-3 OZ BLK RND ITBS COPACK</t>
        </is>
      </c>
      <c r="C250" s="7" t="inlineStr">
        <is>
          <t>BREW MAGIC</t>
        </is>
      </c>
      <c r="D250" s="7" t="n">
        <v>33100</v>
      </c>
      <c r="E250" s="7" t="inlineStr">
        <is>
          <t>BREW360 3 OZ BLK RND ITBS COPACK</t>
        </is>
      </c>
      <c r="F250" s="7" t="n">
        <v>4</v>
      </c>
      <c r="G250" s="7" t="inlineStr">
        <is>
          <t>CTN</t>
        </is>
      </c>
      <c r="H250" t="inlineStr">
        <is>
          <t>BLEND 7022 RFA</t>
        </is>
      </c>
    </row>
    <row r="251" ht="14.25" customHeight="1" s="5">
      <c r="A251" s="7" t="n">
        <v>37037</v>
      </c>
      <c r="B251" s="7" t="inlineStr">
        <is>
          <t>(DNU)CAFE COFFEE DAY KAHWA INFUSION 24/25 DC SF HS ENV TBGS</t>
        </is>
      </c>
      <c r="C251" s="7" t="inlineStr">
        <is>
          <t>COFFEEDAY ROOSH</t>
        </is>
      </c>
      <c r="D251" s="7" t="n">
        <v>37034</v>
      </c>
      <c r="E251" s="7" t="inlineStr">
        <is>
          <t>CAFE COFFEE DAY KAHWA INFUSION 25 DC SF HS ENV TBGS</t>
        </is>
      </c>
      <c r="F251" s="7" t="n">
        <v>24</v>
      </c>
      <c r="G251" s="7" t="inlineStr">
        <is>
          <t>CTN</t>
        </is>
      </c>
      <c r="H251" t="inlineStr">
        <is>
          <t>BLEND GREEN TEA KADHA TBC</t>
        </is>
      </c>
    </row>
    <row r="252" ht="14.25" customHeight="1" s="5">
      <c r="A252" s="7" t="n">
        <v>37456</v>
      </c>
      <c r="B252" s="7" t="inlineStr">
        <is>
          <t>CAFE COFFEE DAY KAHWA INFUSION 24/25 DC SF HS ENV TBGS-NEW</t>
        </is>
      </c>
      <c r="C252" s="7" t="inlineStr">
        <is>
          <t>COFFEEDAY ROOSH</t>
        </is>
      </c>
      <c r="D252" s="7" t="n">
        <v>37034</v>
      </c>
      <c r="E252" s="7" t="inlineStr">
        <is>
          <t>CAFE COFFEE DAY KAHWA INFUSION 25 DC SF HS ENV TBGS</t>
        </is>
      </c>
      <c r="F252" s="7" t="n">
        <v>24</v>
      </c>
      <c r="G252" s="7" t="inlineStr">
        <is>
          <t>CTN</t>
        </is>
      </c>
      <c r="H252" t="inlineStr">
        <is>
          <t>BLEND GREEN TEA KADHA TBC</t>
        </is>
      </c>
    </row>
    <row r="253" ht="14.25" customHeight="1" s="5">
      <c r="A253" s="7" t="n">
        <v>35026</v>
      </c>
      <c r="B253" s="7" t="inlineStr">
        <is>
          <t>CELEST ASSAM 24/25 DC SF HS ENV TBGS</t>
        </is>
      </c>
      <c r="C253" s="7" t="inlineStr">
        <is>
          <t>CELEST</t>
        </is>
      </c>
      <c r="D253" s="7" t="n">
        <v>34841</v>
      </c>
      <c r="E253" s="7" t="inlineStr">
        <is>
          <t>CELEST ASSAM 25 DC SF HS ENV TBGS</t>
        </is>
      </c>
      <c r="F253" s="7" t="n">
        <v>24</v>
      </c>
      <c r="G253" s="7" t="inlineStr">
        <is>
          <t>CTN</t>
        </is>
      </c>
      <c r="H253" t="inlineStr">
        <is>
          <t>BLEND TEAME 909</t>
        </is>
      </c>
    </row>
    <row r="254" ht="14.25" customHeight="1" s="5">
      <c r="A254" s="7" t="n">
        <v>37173</v>
      </c>
      <c r="B254" s="7" t="inlineStr">
        <is>
          <t>CELEST ASSAM 24/25 DC SF HS ENV TBGS PK-2</t>
        </is>
      </c>
      <c r="C254" s="7" t="inlineStr">
        <is>
          <t>CELEST</t>
        </is>
      </c>
      <c r="D254" s="7" t="n">
        <v>37029</v>
      </c>
      <c r="E254" s="7" t="inlineStr">
        <is>
          <t>CELEST ASSAM 25 DC SF HS ENV TBGS PK-2</t>
        </is>
      </c>
      <c r="F254" s="7" t="n">
        <v>12</v>
      </c>
      <c r="G254" s="7" t="inlineStr">
        <is>
          <t>CTN</t>
        </is>
      </c>
      <c r="H254">
        <f>#N/A</f>
        <v/>
      </c>
    </row>
    <row r="255" ht="14.25" customHeight="1" s="5">
      <c r="A255" s="7" t="n">
        <v>37029</v>
      </c>
      <c r="B255" s="7" t="inlineStr">
        <is>
          <t>CELEST ASSAM 25 DC SF HS ENV TBGS PK-2</t>
        </is>
      </c>
      <c r="C255" s="7" t="inlineStr">
        <is>
          <t>CELEST</t>
        </is>
      </c>
      <c r="D255" s="7" t="n">
        <v>34841</v>
      </c>
      <c r="E255" s="7" t="inlineStr">
        <is>
          <t>CELEST ASSAM 25 DC SF HS ENV TBGS</t>
        </is>
      </c>
      <c r="F255" s="7" t="n">
        <v>2</v>
      </c>
      <c r="G255" s="7" t="inlineStr">
        <is>
          <t>CTN</t>
        </is>
      </c>
      <c r="H255" t="inlineStr">
        <is>
          <t>BLEND TEAME 909</t>
        </is>
      </c>
    </row>
    <row r="256" ht="14.25" customHeight="1" s="5">
      <c r="A256" s="7" t="n">
        <v>37032</v>
      </c>
      <c r="B256" s="7" t="inlineStr">
        <is>
          <t>CELEST BREW BLUE PEA DANDELION MINT 24/36 PYRAMID TBGS</t>
        </is>
      </c>
      <c r="C256" s="7" t="inlineStr">
        <is>
          <t>CELEST</t>
        </is>
      </c>
      <c r="D256" s="7" t="n">
        <v>36992</v>
      </c>
      <c r="E256" s="7" t="inlineStr">
        <is>
          <t>CELEST BREW BLUE PEA DANDELION MINT 36 PYRAMID TBGS</t>
        </is>
      </c>
      <c r="F256" s="7" t="n">
        <v>24</v>
      </c>
      <c r="G256" s="7" t="inlineStr">
        <is>
          <t>CTN</t>
        </is>
      </c>
      <c r="H256" t="inlineStr">
        <is>
          <t>BLEND BLUE PEA DANDELION BELLY FAT PY TB</t>
        </is>
      </c>
    </row>
    <row r="257" ht="14.25" customHeight="1" s="5">
      <c r="A257" s="7" t="n">
        <v>34430</v>
      </c>
      <c r="B257" s="7" t="inlineStr">
        <is>
          <t>CELEST BREW FRESH ASSAM TEA 18/100 DC HS SF ENV TBGS</t>
        </is>
      </c>
      <c r="C257" s="7" t="inlineStr">
        <is>
          <t>CELEST</t>
        </is>
      </c>
      <c r="D257" s="7" t="n">
        <v>34422</v>
      </c>
      <c r="E257" s="7" t="inlineStr">
        <is>
          <t>CELEST BREW FRESH ASSAM TEA 100 DC HS SF ENV TBGS</t>
        </is>
      </c>
      <c r="F257" s="7" t="n">
        <v>18</v>
      </c>
      <c r="G257" s="7" t="inlineStr">
        <is>
          <t>CTN</t>
        </is>
      </c>
      <c r="H257" t="inlineStr">
        <is>
          <t>BLEND TEAME 909</t>
        </is>
      </c>
    </row>
    <row r="258" ht="14.25" customHeight="1" s="5">
      <c r="A258" s="7" t="n">
        <v>34678</v>
      </c>
      <c r="B258" s="7" t="inlineStr">
        <is>
          <t>CELEST BREW FRESH CHAMOMILE 24/50 SQUARE TEA BAGS</t>
        </is>
      </c>
      <c r="C258" s="7" t="inlineStr">
        <is>
          <t>CELEST</t>
        </is>
      </c>
      <c r="D258" s="7" t="n">
        <v>34443</v>
      </c>
      <c r="E258" s="7" t="inlineStr">
        <is>
          <t>CELEST BREW FRESH CHAMOMILE 50 SQUARE TEA BAGS</t>
        </is>
      </c>
      <c r="F258" s="7" t="n">
        <v>24</v>
      </c>
      <c r="G258" s="7" t="inlineStr">
        <is>
          <t>CTN</t>
        </is>
      </c>
      <c r="H258" t="inlineStr">
        <is>
          <t>BLEND CHAMOMILE CC EXOTIC</t>
        </is>
      </c>
    </row>
    <row r="259" ht="14.25" customHeight="1" s="5">
      <c r="A259" s="7" t="n">
        <v>32688</v>
      </c>
      <c r="B259" s="7" t="inlineStr">
        <is>
          <t>CELEST BREW FRESH DETOX KAHWA GREEN TEA 24/36 DC HS SF ENV TBGS</t>
        </is>
      </c>
      <c r="C259" s="7" t="inlineStr">
        <is>
          <t>CELEST</t>
        </is>
      </c>
      <c r="D259" s="7" t="n">
        <v>32616</v>
      </c>
      <c r="E259" s="7" t="inlineStr">
        <is>
          <t>CELEST BREW FRESH DETOX KAHWA GREEN TEA 36 DC HS SF ENV TBGS</t>
        </is>
      </c>
      <c r="F259" s="7" t="n">
        <v>24</v>
      </c>
      <c r="G259" s="7" t="inlineStr">
        <is>
          <t>CTN</t>
        </is>
      </c>
      <c r="H259" t="inlineStr">
        <is>
          <t>BLEND GREEN TEA KADHA TBC</t>
        </is>
      </c>
    </row>
    <row r="260" ht="14.25" customHeight="1" s="5">
      <c r="A260" s="7" t="n">
        <v>31984</v>
      </c>
      <c r="B260" s="7" t="inlineStr">
        <is>
          <t>CELEST BREW FRESH GREEN TEA 18/100 DC HS SF ENV TBGS</t>
        </is>
      </c>
      <c r="C260" s="7" t="inlineStr">
        <is>
          <t>CELEST</t>
        </is>
      </c>
      <c r="D260" s="7" t="n">
        <v>31977</v>
      </c>
      <c r="E260" s="7" t="inlineStr">
        <is>
          <t>CELEST BREW FRESH GREEN TEA 100 DC HS SF ENV TBGS</t>
        </is>
      </c>
      <c r="F260" s="7" t="n">
        <v>18</v>
      </c>
      <c r="G260" s="7" t="inlineStr">
        <is>
          <t>CTN</t>
        </is>
      </c>
      <c r="H260" t="inlineStr">
        <is>
          <t>BLEND GREEN TEA FLAVOUR CELEST TB</t>
        </is>
      </c>
    </row>
    <row r="261" ht="14.25" customHeight="1" s="5">
      <c r="A261" s="7" t="n">
        <v>34673</v>
      </c>
      <c r="B261" s="7" t="inlineStr">
        <is>
          <t>CELEST BREW FRESH HIBISCUS 24/50 PYRAMID TEA BAGS</t>
        </is>
      </c>
      <c r="C261" s="7" t="inlineStr">
        <is>
          <t>CELEST</t>
        </is>
      </c>
      <c r="D261" s="7" t="n">
        <v>34444</v>
      </c>
      <c r="E261" s="7" t="inlineStr">
        <is>
          <t>CELEST BREW FRESH HIBISCUS 50 PYRAMID TEA BAGS</t>
        </is>
      </c>
      <c r="F261" s="7" t="n">
        <v>24</v>
      </c>
      <c r="G261" s="7" t="inlineStr">
        <is>
          <t>CTN</t>
        </is>
      </c>
      <c r="H261" t="inlineStr">
        <is>
          <t>BLEND HIBISCUS FLOWER</t>
        </is>
      </c>
    </row>
    <row r="262" ht="14.25" customHeight="1" s="5">
      <c r="A262" s="7" t="n">
        <v>31985</v>
      </c>
      <c r="B262" s="7" t="inlineStr">
        <is>
          <t>CELEST BREW FRESH HONEY LEMON GREEN TEA 18/100 DC HS SF ENV TBGS</t>
        </is>
      </c>
      <c r="C262" s="7" t="inlineStr">
        <is>
          <t>CELEST</t>
        </is>
      </c>
      <c r="D262" s="7" t="n">
        <v>32012</v>
      </c>
      <c r="E262" s="7" t="inlineStr">
        <is>
          <t>CELEST BREW FRESH HONEY LEMON GREEN TEA 100 DC HS SF ENV TBGS-</t>
        </is>
      </c>
      <c r="F262" s="7" t="n">
        <v>18</v>
      </c>
      <c r="G262" s="7" t="inlineStr">
        <is>
          <t>CTN</t>
        </is>
      </c>
      <c r="H262" t="inlineStr">
        <is>
          <t>BLEND TE-A-ME GREEN TEA HONEY LEMON</t>
        </is>
      </c>
    </row>
    <row r="263" ht="14.25" customHeight="1" s="5">
      <c r="A263" s="7" t="n">
        <v>36944</v>
      </c>
      <c r="B263" s="7" t="inlineStr">
        <is>
          <t>CELEST BREW FRESH KAHWA GREEN TEA 24/20 DC HS SF ENV TBGS</t>
        </is>
      </c>
      <c r="C263" s="7" t="inlineStr">
        <is>
          <t>CELEST</t>
        </is>
      </c>
      <c r="D263" s="7" t="n">
        <v>36688</v>
      </c>
      <c r="E263" s="7" t="inlineStr">
        <is>
          <t>CELEST BREW FRESH KAHWA GREEN TEA 20 DC HS SF ENV TBGS</t>
        </is>
      </c>
      <c r="F263" s="7" t="n">
        <v>24</v>
      </c>
      <c r="G263" s="7" t="inlineStr">
        <is>
          <t>CTN</t>
        </is>
      </c>
      <c r="H263" t="inlineStr">
        <is>
          <t>BLEND GREEN TEA KADHA TBC</t>
        </is>
      </c>
    </row>
    <row r="264" ht="14.25" customHeight="1" s="5">
      <c r="A264" s="7" t="n">
        <v>34644</v>
      </c>
      <c r="B264" s="7" t="inlineStr">
        <is>
          <t>CELEST BREW FRESH KAHWA GREEN TEA 24/36 DC HS SF ENV TBGS - NEW</t>
        </is>
      </c>
      <c r="C264" s="7" t="inlineStr">
        <is>
          <t>CELEST</t>
        </is>
      </c>
      <c r="D264" s="7" t="n">
        <v>34426</v>
      </c>
      <c r="E264" s="7" t="inlineStr">
        <is>
          <t>CELEST BREW FRESH KAHWA GREEN TEA 36 DC HS SF ENV TBGS- NEW</t>
        </is>
      </c>
      <c r="F264" s="7" t="n">
        <v>24</v>
      </c>
      <c r="G264" s="7" t="inlineStr">
        <is>
          <t>CTN</t>
        </is>
      </c>
      <c r="H264" t="inlineStr">
        <is>
          <t>BLEND GREEN TEA KADHA TBC</t>
        </is>
      </c>
    </row>
    <row r="265" ht="14.25" customHeight="1" s="5">
      <c r="A265" s="7" t="n">
        <v>36643</v>
      </c>
      <c r="B265" s="7" t="inlineStr">
        <is>
          <t>CELEST BREW FRESH KAHWA GREEN TEA 36 DC HS SF ENV TBGS - NEW(PACK-3)</t>
        </is>
      </c>
      <c r="C265" s="7" t="inlineStr">
        <is>
          <t>CELEST</t>
        </is>
      </c>
      <c r="D265" s="7" t="n">
        <v>34426</v>
      </c>
      <c r="E265" s="7" t="inlineStr">
        <is>
          <t>CELEST BREW FRESH KAHWA GREEN TEA 36 DC HS SF ENV TBGS- NEW</t>
        </is>
      </c>
      <c r="F265" s="7" t="n">
        <v>3</v>
      </c>
      <c r="G265" s="7" t="inlineStr">
        <is>
          <t>CTN</t>
        </is>
      </c>
      <c r="H265" t="inlineStr">
        <is>
          <t>BLEND GREEN TEA KADHA TBC</t>
        </is>
      </c>
    </row>
    <row r="266" ht="14.25" customHeight="1" s="5">
      <c r="A266" s="7" t="n">
        <v>36644</v>
      </c>
      <c r="B266" s="7" t="inlineStr">
        <is>
          <t>CELEST BREW FRESH KAHWA GREEN TEA 36 DC HS SF ENV TBGS - NEW(PACK-4)</t>
        </is>
      </c>
      <c r="C266" s="7" t="inlineStr">
        <is>
          <t>CELEST</t>
        </is>
      </c>
      <c r="D266" s="7" t="n">
        <v>34426</v>
      </c>
      <c r="E266" s="7" t="inlineStr">
        <is>
          <t>CELEST BREW FRESH KAHWA GREEN TEA 36 DC HS SF ENV TBGS- NEW</t>
        </is>
      </c>
      <c r="F266" s="7" t="n">
        <v>4</v>
      </c>
      <c r="G266" s="7" t="inlineStr">
        <is>
          <t>CTN</t>
        </is>
      </c>
      <c r="H266" t="inlineStr">
        <is>
          <t>BLEND GREEN TEA KADHA TBC</t>
        </is>
      </c>
    </row>
    <row r="267" ht="14.25" customHeight="1" s="5">
      <c r="A267" s="7" t="n">
        <v>37031</v>
      </c>
      <c r="B267" s="7" t="inlineStr">
        <is>
          <t>CELEST BREW FRESH KAHWA GREEN TEA 36 DC HS SF ENV TBGS PK-2 - NEW</t>
        </is>
      </c>
      <c r="C267" s="7" t="inlineStr">
        <is>
          <t>CELEST</t>
        </is>
      </c>
      <c r="D267" s="7" t="n">
        <v>34426</v>
      </c>
      <c r="E267" s="7" t="inlineStr">
        <is>
          <t>CELEST BREW FRESH KAHWA GREEN TEA 36 DC HS SF ENV TBGS- NEW</t>
        </is>
      </c>
      <c r="F267" s="7" t="n">
        <v>2</v>
      </c>
      <c r="G267" s="7" t="inlineStr">
        <is>
          <t>CTN</t>
        </is>
      </c>
      <c r="H267" t="inlineStr">
        <is>
          <t>BLEND GREEN TEA KADHA TBC</t>
        </is>
      </c>
    </row>
    <row r="268" ht="14.25" customHeight="1" s="5">
      <c r="A268" s="7" t="n">
        <v>36942</v>
      </c>
      <c r="B268" s="7" t="inlineStr">
        <is>
          <t>CELEST BREW FRESH KAHWA GREEN TEA 6/36 DC HS SF ENV TBGS - NEW(PACK-3)</t>
        </is>
      </c>
      <c r="C268" s="7" t="inlineStr">
        <is>
          <t>CELEST</t>
        </is>
      </c>
      <c r="D268" s="7" t="n">
        <v>36643</v>
      </c>
      <c r="E268" s="7" t="inlineStr">
        <is>
          <t>CELEST BREW FRESH KAHWA GREEN TEA 36 DC HS SF ENV TBGS - NEW(PACK-3)</t>
        </is>
      </c>
      <c r="F268" s="7" t="n">
        <v>6</v>
      </c>
      <c r="G268" s="7" t="inlineStr">
        <is>
          <t>CTN</t>
        </is>
      </c>
      <c r="H268">
        <f>#N/A</f>
        <v/>
      </c>
    </row>
    <row r="269" ht="14.25" customHeight="1" s="5">
      <c r="A269" s="7" t="n">
        <v>36943</v>
      </c>
      <c r="B269" s="7" t="inlineStr">
        <is>
          <t>CELEST BREW FRESH KAHWA GREEN TEA 8/36 DC HS SF ENV TBGS - NEW(PACK-4)</t>
        </is>
      </c>
      <c r="C269" s="7" t="inlineStr">
        <is>
          <t>CELEST</t>
        </is>
      </c>
      <c r="D269" s="7" t="n">
        <v>36644</v>
      </c>
      <c r="E269" s="7" t="inlineStr">
        <is>
          <t>CELEST BREW FRESH KAHWA GREEN TEA 36 DC HS SF ENV TBGS - NEW(PACK-4)</t>
        </is>
      </c>
      <c r="F269" s="7" t="n">
        <v>8</v>
      </c>
      <c r="G269" s="7" t="inlineStr">
        <is>
          <t>CTN</t>
        </is>
      </c>
      <c r="H269">
        <f>#N/A</f>
        <v/>
      </c>
    </row>
    <row r="270" ht="14.25" customHeight="1" s="5">
      <c r="A270" s="7" t="n">
        <v>36945</v>
      </c>
      <c r="B270" s="7" t="inlineStr">
        <is>
          <t>CELEST BREW FRESH LEMON GREEN TEA 18/100 DC HS SF ENV TBGS</t>
        </is>
      </c>
      <c r="C270" s="7" t="inlineStr">
        <is>
          <t>CELEST</t>
        </is>
      </c>
      <c r="D270" s="7" t="n">
        <v>36691</v>
      </c>
      <c r="E270" s="7" t="inlineStr">
        <is>
          <t>CELEST BREW FRESH LEMON GREEN TEA 100 DC HS SF ENV TBGS</t>
        </is>
      </c>
      <c r="F270" s="7" t="n">
        <v>18</v>
      </c>
      <c r="G270" s="7" t="inlineStr">
        <is>
          <t>CTN</t>
        </is>
      </c>
      <c r="H270" t="inlineStr">
        <is>
          <t>BLEND CCD GREEN TEA LEMON</t>
        </is>
      </c>
    </row>
    <row r="271" ht="14.25" customHeight="1" s="5">
      <c r="A271" s="7" t="n">
        <v>31982</v>
      </c>
      <c r="B271" s="7" t="inlineStr">
        <is>
          <t>CELEST BREW FRESH MINT LEMON GINGER GREEN TEA 18/100 DC HS SF ENV TBGS</t>
        </is>
      </c>
      <c r="C271" s="7" t="inlineStr">
        <is>
          <t>CELEST</t>
        </is>
      </c>
      <c r="D271" s="7" t="n">
        <v>31975</v>
      </c>
      <c r="E271" s="7" t="inlineStr">
        <is>
          <t>CELEST BREW FRESH MINT LEMON GINGER GREEN TEA 100 DC HS SF ENV TBGS</t>
        </is>
      </c>
      <c r="F271" s="7" t="n">
        <v>18</v>
      </c>
      <c r="G271" s="7" t="inlineStr">
        <is>
          <t>CTN</t>
        </is>
      </c>
      <c r="H271" t="inlineStr">
        <is>
          <t>BLEND GREEN TEA GINGER MINT LEMON TB</t>
        </is>
      </c>
    </row>
    <row r="272" ht="14.25" customHeight="1" s="5">
      <c r="A272" s="7" t="n">
        <v>34674</v>
      </c>
      <c r="B272" s="7" t="inlineStr">
        <is>
          <t>CELEST BREW FRESH NETTLE LEAF 24/50 PYRAMID TEA BAGS</t>
        </is>
      </c>
      <c r="C272" s="7" t="inlineStr">
        <is>
          <t>CELEST</t>
        </is>
      </c>
      <c r="D272" s="7" t="n">
        <v>34458</v>
      </c>
      <c r="E272" s="7" t="inlineStr">
        <is>
          <t>CELEST BREW FRESH NETTLE LEAF 50 PYRAMID TEA BAGS</t>
        </is>
      </c>
      <c r="F272" s="7" t="n">
        <v>24</v>
      </c>
      <c r="G272" s="7" t="inlineStr">
        <is>
          <t>CTN</t>
        </is>
      </c>
      <c r="H272" t="inlineStr">
        <is>
          <t>BLEND NETTLE LEAVE CC PKT</t>
        </is>
      </c>
    </row>
    <row r="273" ht="14.25" customHeight="1" s="5">
      <c r="A273" s="7" t="n">
        <v>34675</v>
      </c>
      <c r="B273" s="7" t="inlineStr">
        <is>
          <t>CELEST BREW FRESH PEPPERMINT 24/50 PYRAMID TEA BAGS</t>
        </is>
      </c>
      <c r="C273" s="7" t="inlineStr">
        <is>
          <t>CELEST</t>
        </is>
      </c>
      <c r="D273" s="7" t="n">
        <v>34462</v>
      </c>
      <c r="E273" s="7" t="inlineStr">
        <is>
          <t>CELEST BREW FRESH PEPPERMINT 50 PYRAMID TEA BAGS</t>
        </is>
      </c>
      <c r="F273" s="7" t="n">
        <v>24</v>
      </c>
      <c r="G273" s="7" t="inlineStr">
        <is>
          <t>CTN</t>
        </is>
      </c>
      <c r="H273" t="inlineStr">
        <is>
          <t>BLEND PEPPERMINT CC EXOTIC</t>
        </is>
      </c>
    </row>
    <row r="274" ht="14.25" customHeight="1" s="5">
      <c r="A274" s="7" t="n">
        <v>34676</v>
      </c>
      <c r="B274" s="7" t="inlineStr">
        <is>
          <t>CELEST BREW FRESH RASPBERRY LEAF 24/50 PYRAMID TEA BAGS</t>
        </is>
      </c>
      <c r="C274" s="7" t="inlineStr">
        <is>
          <t>CELEST</t>
        </is>
      </c>
      <c r="D274" s="7" t="n">
        <v>34464</v>
      </c>
      <c r="E274" s="7" t="inlineStr">
        <is>
          <t>CELEST BREW FRESH RASPBERRY LEAF 50 PYRAMID TEA BAGS</t>
        </is>
      </c>
      <c r="F274" s="7" t="n">
        <v>24</v>
      </c>
      <c r="G274" s="7" t="inlineStr">
        <is>
          <t>CTN</t>
        </is>
      </c>
      <c r="H274" t="inlineStr">
        <is>
          <t>BLEND RASPBERRY LEAVES CC PKT</t>
        </is>
      </c>
    </row>
    <row r="275" ht="14.25" customHeight="1" s="5">
      <c r="A275" s="7" t="n">
        <v>34677</v>
      </c>
      <c r="B275" s="7" t="inlineStr">
        <is>
          <t>CELEST BREW FRESH SPEARMINT LEAF 24/50 PYRAMID TEA BAGS</t>
        </is>
      </c>
      <c r="C275" s="7" t="inlineStr">
        <is>
          <t>CELEST</t>
        </is>
      </c>
      <c r="D275" s="7" t="n">
        <v>34465</v>
      </c>
      <c r="E275" s="7" t="inlineStr">
        <is>
          <t>CELEST BREW FRESH SPEARMINT LEAF 50 PYRAMID TEA BAGS</t>
        </is>
      </c>
      <c r="F275" s="7" t="n">
        <v>24</v>
      </c>
      <c r="G275" s="7" t="inlineStr">
        <is>
          <t>CTN</t>
        </is>
      </c>
      <c r="H275" t="inlineStr">
        <is>
          <t>BLEND HERBAL SPEARMINT PKT</t>
        </is>
      </c>
    </row>
    <row r="276" ht="14.25" customHeight="1" s="5">
      <c r="A276" s="7" t="n">
        <v>31983</v>
      </c>
      <c r="B276" s="7" t="inlineStr">
        <is>
          <t>CELEST BREW FRESH TULSI GREEN TEA 18/100 DC HS SF ENV TBGS</t>
        </is>
      </c>
      <c r="C276" s="7" t="inlineStr">
        <is>
          <t>CELEST</t>
        </is>
      </c>
      <c r="D276" s="7" t="n">
        <v>31976</v>
      </c>
      <c r="E276" s="7" t="inlineStr">
        <is>
          <t>CELEST BREW FRESH TULSI GREEN TEA 100 DC HS SF ENV TBGS</t>
        </is>
      </c>
      <c r="F276" s="7" t="n">
        <v>18</v>
      </c>
      <c r="G276" s="7" t="inlineStr">
        <is>
          <t>CTN</t>
        </is>
      </c>
      <c r="H276" t="inlineStr">
        <is>
          <t>BLEND TEAME GREEN TEA TULSI</t>
        </is>
      </c>
    </row>
    <row r="277" ht="14.25" customHeight="1" s="5">
      <c r="A277" s="7" t="n">
        <v>33592</v>
      </c>
      <c r="B277" s="7" t="inlineStr">
        <is>
          <t>CELEST BREW FRESH VITAMIN C GREEN TEA GINGER MINT LEMON 18/100 DC HS SF ENV TBGS</t>
        </is>
      </c>
      <c r="C277" s="7" t="inlineStr">
        <is>
          <t>CELEST</t>
        </is>
      </c>
      <c r="D277" s="7" t="n">
        <v>33562</v>
      </c>
      <c r="E277" s="7" t="inlineStr">
        <is>
          <t>CELEST BREW FRESH VITAMIN C GREEN TEA GINGER MINT LEMON 100 DC HS SF ENV TBGS-</t>
        </is>
      </c>
      <c r="F277" s="7" t="n">
        <v>18</v>
      </c>
      <c r="G277" s="7" t="inlineStr">
        <is>
          <t>CTN</t>
        </is>
      </c>
      <c r="H277" t="inlineStr">
        <is>
          <t>BLEND GREEN TEA GINGER MINT LEMON VITAMIN C TB</t>
        </is>
      </c>
    </row>
    <row r="278" ht="14.25" customHeight="1" s="5">
      <c r="A278" s="7" t="n">
        <v>33591</v>
      </c>
      <c r="B278" s="7" t="inlineStr">
        <is>
          <t>CELEST BREW FRESH VITAMIN C GREEN TEA LEMON HONEY 18/100 DC HS SF ENV TBGS</t>
        </is>
      </c>
      <c r="C278" s="7" t="inlineStr">
        <is>
          <t>CELEST</t>
        </is>
      </c>
      <c r="D278" s="7" t="n">
        <v>33561</v>
      </c>
      <c r="E278" s="7" t="inlineStr">
        <is>
          <t>CELEST BREW FRESH VITAMIN C GREEN TEA LEMON HONEY 100 DC HS SF ENV TBGS-</t>
        </is>
      </c>
      <c r="F278" s="7" t="n">
        <v>18</v>
      </c>
      <c r="G278" s="7" t="inlineStr">
        <is>
          <t>CTN</t>
        </is>
      </c>
      <c r="H278" t="inlineStr">
        <is>
          <t>BLEND TEAME GREEN TEA HONEY LEMON VITAMIN C V2</t>
        </is>
      </c>
    </row>
    <row r="279" ht="14.25" customHeight="1" s="5">
      <c r="A279" s="7" t="n">
        <v>36460</v>
      </c>
      <c r="B279" s="7" t="inlineStr">
        <is>
          <t>CELEST CHAMOMILE 24/36 DC SF HS ENV TBGS</t>
        </is>
      </c>
      <c r="C279" s="7" t="inlineStr">
        <is>
          <t>CELEST</t>
        </is>
      </c>
      <c r="D279" s="7" t="n">
        <v>36307</v>
      </c>
      <c r="E279" s="7" t="inlineStr">
        <is>
          <t>CELEST CHAMOMILE 36 DC SF HS ENV TBGS</t>
        </is>
      </c>
      <c r="F279" s="7" t="n">
        <v>24</v>
      </c>
      <c r="G279" s="7" t="inlineStr">
        <is>
          <t>CTN</t>
        </is>
      </c>
      <c r="H279" t="inlineStr">
        <is>
          <t>BLEND CHAMOMILE TBC</t>
        </is>
      </c>
    </row>
    <row r="280" ht="14.25" customHeight="1" s="5">
      <c r="A280" s="7" t="n">
        <v>35027</v>
      </c>
      <c r="B280" s="7" t="inlineStr">
        <is>
          <t>CELEST GREEN TEA 24/25 DC HS SF ENV TBGS</t>
        </is>
      </c>
      <c r="C280" s="7" t="inlineStr">
        <is>
          <t>CELEST</t>
        </is>
      </c>
      <c r="D280" s="7" t="n">
        <v>34843</v>
      </c>
      <c r="E280" s="7" t="inlineStr">
        <is>
          <t>CELEST GREEN TEA 25 DC HS SF ENV TBGS</t>
        </is>
      </c>
      <c r="F280" s="7" t="n">
        <v>24</v>
      </c>
      <c r="G280" s="7" t="inlineStr">
        <is>
          <t>CTN</t>
        </is>
      </c>
      <c r="H280" t="inlineStr">
        <is>
          <t>BLEND GREEN TEA FLAVOUR CELEST TB</t>
        </is>
      </c>
    </row>
    <row r="281" ht="14.25" customHeight="1" s="5">
      <c r="A281" s="7" t="n">
        <v>37178</v>
      </c>
      <c r="B281" s="7" t="inlineStr">
        <is>
          <t>CELEST GREEN TEA 24/25 DC HS SF ENV TBGS PK-2</t>
        </is>
      </c>
      <c r="C281" s="7" t="inlineStr">
        <is>
          <t>CELEST</t>
        </is>
      </c>
      <c r="D281" s="7" t="n">
        <v>37028</v>
      </c>
      <c r="E281" s="7" t="inlineStr">
        <is>
          <t>CELEST GREEN TEA 25 DC HS SF ENV TBGS PK-2</t>
        </is>
      </c>
      <c r="F281" s="7" t="n">
        <v>12</v>
      </c>
      <c r="G281" s="7" t="inlineStr">
        <is>
          <t>CTN</t>
        </is>
      </c>
      <c r="H281">
        <f>#N/A</f>
        <v/>
      </c>
    </row>
    <row r="282" ht="14.25" customHeight="1" s="5">
      <c r="A282" s="7" t="n">
        <v>37028</v>
      </c>
      <c r="B282" s="7" t="inlineStr">
        <is>
          <t>CELEST GREEN TEA 25 DC HS SF ENV TBGS PK-2</t>
        </is>
      </c>
      <c r="C282" s="7" t="inlineStr">
        <is>
          <t>CELEST</t>
        </is>
      </c>
      <c r="D282" s="7" t="n">
        <v>34843</v>
      </c>
      <c r="E282" s="7" t="inlineStr">
        <is>
          <t>CELEST GREEN TEA 25 DC HS SF ENV TBGS</t>
        </is>
      </c>
      <c r="F282" s="7" t="n">
        <v>2</v>
      </c>
      <c r="G282" s="7" t="inlineStr">
        <is>
          <t>CTN</t>
        </is>
      </c>
      <c r="H282" t="inlineStr">
        <is>
          <t>BLEND GREEN TEA FLAVOUR CELEST TB</t>
        </is>
      </c>
    </row>
    <row r="283" ht="14.25" customHeight="1" s="5">
      <c r="A283" s="7" t="n">
        <v>35055</v>
      </c>
      <c r="B283" s="7" t="inlineStr">
        <is>
          <t>CELEST HONEY LEMON GREEN 24/25 DC SF HS ENV TBGS</t>
        </is>
      </c>
      <c r="C283" s="7" t="inlineStr">
        <is>
          <t>CELEST</t>
        </is>
      </c>
      <c r="D283" s="7" t="n">
        <v>35022</v>
      </c>
      <c r="E283" s="7" t="inlineStr">
        <is>
          <t>CELEST HONEY LEMON GREEN 25 DC SF HS ENV TBGS</t>
        </is>
      </c>
      <c r="F283" s="7" t="n">
        <v>24</v>
      </c>
      <c r="G283" s="7" t="inlineStr">
        <is>
          <t>CTN</t>
        </is>
      </c>
      <c r="H283" t="inlineStr">
        <is>
          <t>BLEND TE-A-ME GREEN TEA HONEY LEMON</t>
        </is>
      </c>
    </row>
    <row r="284" ht="14.25" customHeight="1" s="5">
      <c r="A284" s="7" t="n">
        <v>37177</v>
      </c>
      <c r="B284" s="7" t="inlineStr">
        <is>
          <t>CELEST HONEY LEMON GREEN 24/25 DC SF HS ENV TBGS PK-2</t>
        </is>
      </c>
      <c r="C284" s="7" t="inlineStr">
        <is>
          <t>CELEST</t>
        </is>
      </c>
      <c r="D284" s="7" t="n">
        <v>37020</v>
      </c>
      <c r="E284" s="7" t="inlineStr">
        <is>
          <t>CELEST HONEY LEMON GREEN 25 DC SF HS ENV TBGS PK-2</t>
        </is>
      </c>
      <c r="F284" s="7" t="n">
        <v>12</v>
      </c>
      <c r="G284" s="7" t="inlineStr">
        <is>
          <t>CTN</t>
        </is>
      </c>
      <c r="H284">
        <f>#N/A</f>
        <v/>
      </c>
    </row>
    <row r="285" ht="14.25" customHeight="1" s="5">
      <c r="A285" s="7" t="n">
        <v>37020</v>
      </c>
      <c r="B285" s="7" t="inlineStr">
        <is>
          <t>CELEST HONEY LEMON GREEN 25 DC SF HS ENV TBGS PK-2</t>
        </is>
      </c>
      <c r="C285" s="7" t="inlineStr">
        <is>
          <t>CELEST</t>
        </is>
      </c>
      <c r="D285" s="7" t="n">
        <v>35022</v>
      </c>
      <c r="E285" s="7" t="inlineStr">
        <is>
          <t>CELEST HONEY LEMON GREEN 25 DC SF HS ENV TBGS</t>
        </is>
      </c>
      <c r="F285" s="7" t="n">
        <v>2</v>
      </c>
      <c r="G285" s="7" t="inlineStr">
        <is>
          <t>CTN</t>
        </is>
      </c>
      <c r="H285" t="inlineStr">
        <is>
          <t>BLEND TE-A-ME GREEN TEA HONEY LEMON</t>
        </is>
      </c>
    </row>
    <row r="286" ht="14.25" customHeight="1" s="5">
      <c r="A286" s="7" t="n">
        <v>35065</v>
      </c>
      <c r="B286" s="7" t="inlineStr">
        <is>
          <t>CELEST LEMON GREEN TEA 24/25 DC HS SF ENV TBGS</t>
        </is>
      </c>
      <c r="C286" s="7" t="inlineStr">
        <is>
          <t>CELEST</t>
        </is>
      </c>
      <c r="D286" s="7" t="n">
        <v>35023</v>
      </c>
      <c r="E286" s="7" t="inlineStr">
        <is>
          <t>CELEST LEMON GREEN TEA 25 DC HS SF ENV TBGS</t>
        </is>
      </c>
      <c r="F286" s="7" t="n">
        <v>24</v>
      </c>
      <c r="G286" s="7" t="inlineStr">
        <is>
          <t>CTN</t>
        </is>
      </c>
      <c r="H286" t="inlineStr">
        <is>
          <t>BLEND CCD GREEN TEA LEMON</t>
        </is>
      </c>
    </row>
    <row r="287" ht="14.25" customHeight="1" s="5">
      <c r="A287" s="7" t="n">
        <v>37664</v>
      </c>
      <c r="B287" s="7" t="inlineStr">
        <is>
          <t>CELEST LEMON GREEN TEA 24/25 DC HS SF ENV TBGS-PK2</t>
        </is>
      </c>
      <c r="C287" s="7" t="inlineStr">
        <is>
          <t>CELEST</t>
        </is>
      </c>
      <c r="D287" s="7" t="n">
        <v>37030</v>
      </c>
      <c r="E287" s="7" t="inlineStr">
        <is>
          <t>CELEST LEMON GREEN TEA 25 DC HS SF ENV TBGS PK-2</t>
        </is>
      </c>
      <c r="F287" s="7" t="n">
        <v>12</v>
      </c>
      <c r="G287" s="7" t="inlineStr">
        <is>
          <t>CTN</t>
        </is>
      </c>
      <c r="H287">
        <f>#N/A</f>
        <v/>
      </c>
    </row>
    <row r="288" ht="14.25" customHeight="1" s="5">
      <c r="A288" s="7" t="n">
        <v>37030</v>
      </c>
      <c r="B288" s="7" t="inlineStr">
        <is>
          <t>CELEST LEMON GREEN TEA 25 DC HS SF ENV TBGS PK-2</t>
        </is>
      </c>
      <c r="C288" s="7" t="inlineStr">
        <is>
          <t>CELEST</t>
        </is>
      </c>
      <c r="D288" s="7" t="n">
        <v>35023</v>
      </c>
      <c r="E288" s="7" t="inlineStr">
        <is>
          <t>CELEST LEMON GREEN TEA 25 DC HS SF ENV TBGS</t>
        </is>
      </c>
      <c r="F288" s="7" t="n">
        <v>2</v>
      </c>
      <c r="G288" s="7" t="inlineStr">
        <is>
          <t>CTN</t>
        </is>
      </c>
      <c r="H288" t="inlineStr">
        <is>
          <t>BLEND CCD GREEN TEA LEMON</t>
        </is>
      </c>
    </row>
    <row r="289" ht="14.25" customHeight="1" s="5">
      <c r="A289" s="7" t="n">
        <v>35193</v>
      </c>
      <c r="B289" s="7" t="inlineStr">
        <is>
          <t>CELEST LEMON ICE TEA PREMIX 400GM PKT (v2)</t>
        </is>
      </c>
      <c r="C289" s="7" t="inlineStr">
        <is>
          <t>CELEST</t>
        </is>
      </c>
      <c r="D289" s="7" t="n">
        <v>35202</v>
      </c>
      <c r="E289" s="7" t="inlineStr">
        <is>
          <t>CELEST LEMON ICE TEA PREMIX 24/400GM PKT</t>
        </is>
      </c>
      <c r="F289" s="7" t="n">
        <v>1</v>
      </c>
      <c r="G289" s="7" t="inlineStr">
        <is>
          <t>CFC</t>
        </is>
      </c>
      <c r="H289" t="inlineStr">
        <is>
          <t>BLEND CELEST LEMON ICE TEA INSTANT</t>
        </is>
      </c>
    </row>
    <row r="290" ht="14.25" customHeight="1" s="5">
      <c r="A290" s="7" t="n">
        <v>35193</v>
      </c>
      <c r="B290" s="7" t="inlineStr">
        <is>
          <t>CELEST LEMON ICE TEA PREMIX 400GM PKT (v2)</t>
        </is>
      </c>
      <c r="C290" s="7" t="inlineStr">
        <is>
          <t>CELEST</t>
        </is>
      </c>
      <c r="D290" s="7" t="n">
        <v>35202</v>
      </c>
      <c r="E290" s="7" t="inlineStr">
        <is>
          <t>CELEST LEMON ICE TEA PREMIX 24/400GM PKT</t>
        </is>
      </c>
      <c r="F290" s="7" t="n">
        <v>1</v>
      </c>
      <c r="G290" s="7" t="inlineStr">
        <is>
          <t>CFC</t>
        </is>
      </c>
      <c r="H290" t="inlineStr">
        <is>
          <t>BLEND CELEST LEMON ICE TEA INSTANT</t>
        </is>
      </c>
    </row>
    <row r="291" ht="14.25" customHeight="1" s="5">
      <c r="A291" s="7" t="n">
        <v>35194</v>
      </c>
      <c r="B291" s="7" t="inlineStr">
        <is>
          <t>CELEST LEMON ICE TEA PREMIX 800GM PKT (v2)</t>
        </is>
      </c>
      <c r="C291" s="7" t="inlineStr">
        <is>
          <t>CELEST</t>
        </is>
      </c>
      <c r="D291" s="7" t="n">
        <v>35203</v>
      </c>
      <c r="E291" s="7" t="inlineStr">
        <is>
          <t>CELEST LEMON ICE TEA PREMIX 12/800GM PKT</t>
        </is>
      </c>
      <c r="F291" s="7" t="n">
        <v>1</v>
      </c>
      <c r="G291" s="7" t="inlineStr">
        <is>
          <t>CFC</t>
        </is>
      </c>
      <c r="H291" t="inlineStr">
        <is>
          <t>BLEND CELEST LEMON ICE TEA INSTANT</t>
        </is>
      </c>
    </row>
    <row r="292" ht="14.25" customHeight="1" s="5">
      <c r="A292" s="7" t="n">
        <v>35194</v>
      </c>
      <c r="B292" s="7" t="inlineStr">
        <is>
          <t>CELEST LEMON ICE TEA PREMIX 800GM PKT (v2)</t>
        </is>
      </c>
      <c r="C292" s="7" t="inlineStr">
        <is>
          <t>CELEST</t>
        </is>
      </c>
      <c r="D292" s="7" t="n">
        <v>35203</v>
      </c>
      <c r="E292" s="7" t="inlineStr">
        <is>
          <t>CELEST LEMON ICE TEA PREMIX 12/800GM PKT</t>
        </is>
      </c>
      <c r="F292" s="7" t="n">
        <v>1</v>
      </c>
      <c r="G292" s="7" t="inlineStr">
        <is>
          <t>CFC</t>
        </is>
      </c>
      <c r="H292" t="inlineStr">
        <is>
          <t>BLEND CELEST LEMON ICE TEA INSTANT</t>
        </is>
      </c>
    </row>
    <row r="293" ht="14.25" customHeight="1" s="5">
      <c r="A293" s="7" t="n">
        <v>35066</v>
      </c>
      <c r="B293" s="7" t="inlineStr">
        <is>
          <t>CELEST MINT LEMON GINGER GREEN 24/25 DC SF HS ENV TBGS</t>
        </is>
      </c>
      <c r="C293" s="7" t="inlineStr">
        <is>
          <t>CELEST</t>
        </is>
      </c>
      <c r="D293" s="7" t="n">
        <v>35024</v>
      </c>
      <c r="E293" s="7" t="inlineStr">
        <is>
          <t>CELEST MINT LEMON GINGER GREEN 25 DC SF HS ENV TBGS</t>
        </is>
      </c>
      <c r="F293" s="7" t="n">
        <v>24</v>
      </c>
      <c r="G293" s="7" t="inlineStr">
        <is>
          <t>CTN</t>
        </is>
      </c>
      <c r="H293" t="inlineStr">
        <is>
          <t>BLEND GREEN TEA GINGER MINT LEMON TB</t>
        </is>
      </c>
    </row>
    <row r="294" ht="14.25" customHeight="1" s="5">
      <c r="A294" s="7" t="n">
        <v>37174</v>
      </c>
      <c r="B294" s="7" t="inlineStr">
        <is>
          <t>CELEST MINT LEMON GINGER GREEN 24/25 DC SF HS ENV TBGS PK-2</t>
        </is>
      </c>
      <c r="C294" s="7" t="inlineStr">
        <is>
          <t>CELEST</t>
        </is>
      </c>
      <c r="D294" s="7" t="n">
        <v>37027</v>
      </c>
      <c r="E294" s="7" t="inlineStr">
        <is>
          <t>CELEST MINT LEMON GINGER GREEN 25 DC SF HS ENV TBGS PK-2</t>
        </is>
      </c>
      <c r="F294" s="7" t="n">
        <v>12</v>
      </c>
      <c r="G294" s="7" t="inlineStr">
        <is>
          <t>CTN</t>
        </is>
      </c>
      <c r="H294">
        <f>#N/A</f>
        <v/>
      </c>
    </row>
    <row r="295" ht="14.25" customHeight="1" s="5">
      <c r="A295" s="7" t="n">
        <v>37027</v>
      </c>
      <c r="B295" s="7" t="inlineStr">
        <is>
          <t>CELEST MINT LEMON GINGER GREEN 25 DC SF HS ENV TBGS PK-2</t>
        </is>
      </c>
      <c r="C295" s="7" t="inlineStr">
        <is>
          <t>CELEST</t>
        </is>
      </c>
      <c r="D295" s="7" t="n">
        <v>35024</v>
      </c>
      <c r="E295" s="7" t="inlineStr">
        <is>
          <t>CELEST MINT LEMON GINGER GREEN 25 DC SF HS ENV TBGS</t>
        </is>
      </c>
      <c r="F295" s="7" t="n">
        <v>2</v>
      </c>
      <c r="G295" s="7" t="inlineStr">
        <is>
          <t>CTN</t>
        </is>
      </c>
      <c r="H295" t="inlineStr">
        <is>
          <t>BLEND GREEN TEA GINGER MINT LEMON TB</t>
        </is>
      </c>
    </row>
    <row r="296" ht="14.25" customHeight="1" s="5">
      <c r="A296" s="7" t="n">
        <v>35067</v>
      </c>
      <c r="B296" s="7" t="inlineStr">
        <is>
          <t>CELEST TULSI GREEN TEA 24/25 DC HS SF ENV TBGS</t>
        </is>
      </c>
      <c r="C296" s="7" t="inlineStr">
        <is>
          <t>CELEST</t>
        </is>
      </c>
      <c r="D296" s="7" t="n">
        <v>35025</v>
      </c>
      <c r="E296" s="7" t="inlineStr">
        <is>
          <t>CELEST TULSI GREEN TEA 25 DC HS SF ENV TBGS</t>
        </is>
      </c>
      <c r="F296" s="7" t="n">
        <v>24</v>
      </c>
      <c r="G296" s="7" t="inlineStr">
        <is>
          <t>CTN</t>
        </is>
      </c>
      <c r="H296" t="inlineStr">
        <is>
          <t>BLEND TEAME GREEN TEA TULSI</t>
        </is>
      </c>
    </row>
    <row r="297" ht="14.25" customHeight="1" s="5">
      <c r="A297" s="7" t="n">
        <v>37176</v>
      </c>
      <c r="B297" s="7" t="inlineStr">
        <is>
          <t>CELEST TULSI GREEN TEA 24/25 DC HS SF ENV TBGS PK-2</t>
        </is>
      </c>
      <c r="C297" s="7" t="inlineStr">
        <is>
          <t>CELEST</t>
        </is>
      </c>
      <c r="D297" s="7" t="n">
        <v>37026</v>
      </c>
      <c r="E297" s="7" t="inlineStr">
        <is>
          <t>CELEST TULSI GREEN TEA 25 DC HS SF ENV TBGS PK-2</t>
        </is>
      </c>
      <c r="F297" s="7" t="n">
        <v>12</v>
      </c>
      <c r="G297" s="7" t="inlineStr">
        <is>
          <t>CTN</t>
        </is>
      </c>
      <c r="H297">
        <f>#N/A</f>
        <v/>
      </c>
    </row>
    <row r="298" ht="14.25" customHeight="1" s="5">
      <c r="A298" s="7" t="n">
        <v>37026</v>
      </c>
      <c r="B298" s="7" t="inlineStr">
        <is>
          <t>CELEST TULSI GREEN TEA 25 DC HS SF ENV TBGS PK-2</t>
        </is>
      </c>
      <c r="C298" s="7" t="inlineStr">
        <is>
          <t>CELEST</t>
        </is>
      </c>
      <c r="D298" s="7" t="n">
        <v>35025</v>
      </c>
      <c r="E298" s="7" t="inlineStr">
        <is>
          <t>CELEST TULSI GREEN TEA 25 DC HS SF ENV TBGS</t>
        </is>
      </c>
      <c r="F298" s="7" t="n">
        <v>2</v>
      </c>
      <c r="G298" s="7" t="inlineStr">
        <is>
          <t>CTN</t>
        </is>
      </c>
      <c r="H298" t="inlineStr">
        <is>
          <t>BLEND TEAME GREEN TEA TULSI</t>
        </is>
      </c>
    </row>
    <row r="299" ht="14.25" customHeight="1" s="5">
      <c r="A299" s="7" t="n">
        <v>34185</v>
      </c>
      <c r="B299" s="7" t="inlineStr">
        <is>
          <t>CENTRA GOLD BLEND TEA 12/80 TAGLESS TBGS</t>
        </is>
      </c>
      <c r="C299" s="7" t="inlineStr">
        <is>
          <t>MUSGRAVE</t>
        </is>
      </c>
      <c r="D299" s="7" t="n">
        <v>34262</v>
      </c>
      <c r="E299" s="7" t="inlineStr">
        <is>
          <t>CENTRA GOLD BLEND TEA 80 TAGLESS TBGS</t>
        </is>
      </c>
      <c r="F299" s="7" t="n">
        <v>12</v>
      </c>
      <c r="G299" s="7" t="inlineStr">
        <is>
          <t>CTN</t>
        </is>
      </c>
      <c r="H299" t="inlineStr">
        <is>
          <t>BLEND MG CETRA GOLD</t>
        </is>
      </c>
    </row>
    <row r="300" ht="14.25" customHeight="1" s="5">
      <c r="A300" s="7" t="n">
        <v>35485</v>
      </c>
      <c r="B300" s="7" t="inlineStr">
        <is>
          <t>CHAI POINT BLACK TEA GUJARATI MASALA PKT (10 X 4 X 500 GM LAMINATED POUCH) PP BAG</t>
        </is>
      </c>
      <c r="C300" s="7" t="inlineStr">
        <is>
          <t>CHAI POINT</t>
        </is>
      </c>
      <c r="D300" s="7" t="n">
        <v>35484</v>
      </c>
      <c r="E300" s="7" t="inlineStr">
        <is>
          <t>CHAI POINT BLACK TEA GUJARATI MASALA PKT 500 GM POUCH</t>
        </is>
      </c>
      <c r="F300" s="7" t="n">
        <v>40</v>
      </c>
      <c r="G300" s="7" t="inlineStr">
        <is>
          <t>POUCH</t>
        </is>
      </c>
      <c r="H300" t="inlineStr">
        <is>
          <t>BLEND BLACK TEA GUJARATI MASALA PKT</t>
        </is>
      </c>
    </row>
    <row r="301" ht="14.25" customHeight="1" s="5">
      <c r="A301" s="7" t="n">
        <v>34922</v>
      </c>
      <c r="B301" s="7" t="inlineStr">
        <is>
          <t>CHAI POINT BLACK TEA PUNJABI MASALA PKT (10 X 4 X 500 GM LAMINATED POUCH) PP BAG</t>
        </is>
      </c>
      <c r="C301" s="7" t="inlineStr">
        <is>
          <t>CHAI POINT</t>
        </is>
      </c>
      <c r="D301" s="7" t="n">
        <v>34920</v>
      </c>
      <c r="E301" s="7" t="inlineStr">
        <is>
          <t>CHAI POINT BLACK TEA PUNJABI MASALA PKT 500 GM POUCH</t>
        </is>
      </c>
      <c r="F301" s="7" t="n">
        <v>40</v>
      </c>
      <c r="G301" s="7" t="inlineStr">
        <is>
          <t>POUCH</t>
        </is>
      </c>
      <c r="H301" t="inlineStr">
        <is>
          <t>BLEND BLACK TEA PUNJABI MASALA PKT</t>
        </is>
      </c>
    </row>
    <row r="302" ht="14.25" customHeight="1" s="5">
      <c r="A302" s="7" t="n">
        <v>34609</v>
      </c>
      <c r="B302" s="7" t="inlineStr">
        <is>
          <t>CHAI POINT PREMIUM VENDING (10 X 17 X 100 GM LAMINATED POUCH) PP BAG</t>
        </is>
      </c>
      <c r="C302" s="7" t="inlineStr">
        <is>
          <t>CHAI POINT</t>
        </is>
      </c>
      <c r="D302" s="7" t="n">
        <v>34607</v>
      </c>
      <c r="E302" s="7" t="inlineStr">
        <is>
          <t>CHAI POINT PREMIUM VENDING 100 GM POUCH</t>
        </is>
      </c>
      <c r="F302" s="7" t="n">
        <v>170</v>
      </c>
      <c r="G302" s="7" t="inlineStr">
        <is>
          <t>POUCH</t>
        </is>
      </c>
      <c r="H302" t="inlineStr">
        <is>
          <t>BLEND CHAI POINT PREMIUM VENDING</t>
        </is>
      </c>
    </row>
    <row r="303" ht="14.25" customHeight="1" s="5">
      <c r="A303" s="7" t="n">
        <v>1328</v>
      </c>
      <c r="B303" s="7" t="inlineStr">
        <is>
          <t>CHAYA 12/100 DC ENV TBGS</t>
        </is>
      </c>
      <c r="C303" s="7" t="inlineStr">
        <is>
          <t>CHAYA</t>
        </is>
      </c>
      <c r="D303" s="7" t="n">
        <v>1329</v>
      </c>
      <c r="E303" s="7" t="inlineStr">
        <is>
          <t>CHAYA 100 DC ENV TBGS</t>
        </is>
      </c>
      <c r="F303" s="7" t="n">
        <v>12</v>
      </c>
      <c r="G303" s="7" t="inlineStr">
        <is>
          <t>CTN</t>
        </is>
      </c>
      <c r="H303" t="inlineStr">
        <is>
          <t>BLEND 786</t>
        </is>
      </c>
    </row>
    <row r="304" ht="14.25" customHeight="1" s="5">
      <c r="A304" s="7" t="n">
        <v>1333</v>
      </c>
      <c r="B304" s="7" t="inlineStr">
        <is>
          <t>CHAYA 12/100 DC ENV TBGS WITH TSHIRT</t>
        </is>
      </c>
      <c r="C304" s="7" t="inlineStr">
        <is>
          <t>CHAYA</t>
        </is>
      </c>
      <c r="D304" s="7" t="n">
        <v>1329</v>
      </c>
      <c r="E304" s="7" t="inlineStr">
        <is>
          <t>CHAYA 100 DC ENV TBGS</t>
        </is>
      </c>
      <c r="F304" s="7" t="n">
        <v>12</v>
      </c>
      <c r="G304" s="7" t="inlineStr">
        <is>
          <t>CTN</t>
        </is>
      </c>
      <c r="H304" t="inlineStr">
        <is>
          <t>BLEND 786</t>
        </is>
      </c>
    </row>
    <row r="305" ht="14.25" customHeight="1" s="5">
      <c r="A305" s="7" t="n">
        <v>20061</v>
      </c>
      <c r="B305" s="7" t="inlineStr">
        <is>
          <t>CHAYA 12/100 DC ENV TBGS WITH TSHIRT &amp; SPOON</t>
        </is>
      </c>
      <c r="C305" s="7" t="inlineStr">
        <is>
          <t>CHAYA</t>
        </is>
      </c>
      <c r="D305" s="7" t="n">
        <v>20049</v>
      </c>
      <c r="E305" s="7" t="inlineStr">
        <is>
          <t>CHAYA 100 DC ENV TBGS WITH SPOON</t>
        </is>
      </c>
      <c r="F305" s="7" t="n">
        <v>12</v>
      </c>
      <c r="G305" s="7" t="inlineStr">
        <is>
          <t>CTN</t>
        </is>
      </c>
      <c r="H305" t="inlineStr">
        <is>
          <t>BLEND 786</t>
        </is>
      </c>
    </row>
    <row r="306" ht="14.25" customHeight="1" s="5">
      <c r="A306" s="7" t="n">
        <v>1335</v>
      </c>
      <c r="B306" s="7" t="inlineStr">
        <is>
          <t>CHAYA 12/100 SC ENV TBGS</t>
        </is>
      </c>
      <c r="C306" s="7" t="inlineStr">
        <is>
          <t>CHAYA</t>
        </is>
      </c>
      <c r="D306" s="7" t="n">
        <v>1336</v>
      </c>
      <c r="E306" s="7" t="inlineStr">
        <is>
          <t>CHAYA 100 SC ENV TBGS</t>
        </is>
      </c>
      <c r="F306" s="7" t="n">
        <v>12</v>
      </c>
      <c r="G306" s="7" t="inlineStr">
        <is>
          <t>CTN</t>
        </is>
      </c>
      <c r="H306">
        <f>#N/A</f>
        <v/>
      </c>
    </row>
    <row r="307" ht="14.25" customHeight="1" s="5">
      <c r="A307" s="7" t="n">
        <v>1341</v>
      </c>
      <c r="B307" s="7" t="inlineStr">
        <is>
          <t>CHAYA 12/106 DC ENV TBGS</t>
        </is>
      </c>
      <c r="C307" s="7" t="inlineStr">
        <is>
          <t>CHAYA</t>
        </is>
      </c>
      <c r="D307" s="7" t="n">
        <v>363</v>
      </c>
      <c r="E307" s="7" t="inlineStr">
        <is>
          <t>CHAYA 106 DC ENV TBGS</t>
        </is>
      </c>
      <c r="F307" s="7" t="n">
        <v>12</v>
      </c>
      <c r="G307" s="7" t="inlineStr">
        <is>
          <t>CTN</t>
        </is>
      </c>
      <c r="H307" t="inlineStr">
        <is>
          <t>BLEND 786</t>
        </is>
      </c>
    </row>
    <row r="308" ht="14.25" customHeight="1" s="5">
      <c r="A308" s="7" t="n">
        <v>362</v>
      </c>
      <c r="B308" s="7" t="inlineStr">
        <is>
          <t>CHAYA 12/106 DC ENV TBGS WITH  DANGLER</t>
        </is>
      </c>
      <c r="C308" s="7" t="inlineStr">
        <is>
          <t>CHAYA</t>
        </is>
      </c>
      <c r="D308" s="7" t="n">
        <v>363</v>
      </c>
      <c r="E308" s="7" t="inlineStr">
        <is>
          <t>CHAYA 106 DC ENV TBGS</t>
        </is>
      </c>
      <c r="F308" s="7" t="n">
        <v>12</v>
      </c>
      <c r="G308" s="7" t="inlineStr">
        <is>
          <t>CTN</t>
        </is>
      </c>
      <c r="H308" t="inlineStr">
        <is>
          <t>BLEND 786</t>
        </is>
      </c>
    </row>
    <row r="309" ht="14.25" customHeight="1" s="5">
      <c r="A309" s="7" t="n">
        <v>1343</v>
      </c>
      <c r="B309" s="7" t="inlineStr">
        <is>
          <t>CHAYA 12/106 DC ENV TBGS WITH TSHIRT</t>
        </is>
      </c>
      <c r="C309" s="7" t="inlineStr">
        <is>
          <t>CHAYA</t>
        </is>
      </c>
      <c r="D309" s="7" t="n">
        <v>363</v>
      </c>
      <c r="E309" s="7" t="inlineStr">
        <is>
          <t>CHAYA 106 DC ENV TBGS</t>
        </is>
      </c>
      <c r="F309" s="7" t="n">
        <v>12</v>
      </c>
      <c r="G309" s="7" t="inlineStr">
        <is>
          <t>CTN</t>
        </is>
      </c>
      <c r="H309" t="inlineStr">
        <is>
          <t>BLEND 786</t>
        </is>
      </c>
    </row>
    <row r="310" ht="14.25" customHeight="1" s="5">
      <c r="A310" s="7" t="n">
        <v>17891</v>
      </c>
      <c r="B310" s="7" t="inlineStr">
        <is>
          <t>CHAYA 12/106 DC ENV TBGS WITH TSHIRT AND DANGLER</t>
        </is>
      </c>
      <c r="C310" s="7" t="inlineStr">
        <is>
          <t>CHAYA</t>
        </is>
      </c>
      <c r="D310" s="7" t="n">
        <v>363</v>
      </c>
      <c r="E310" s="7" t="inlineStr">
        <is>
          <t>CHAYA 106 DC ENV TBGS</t>
        </is>
      </c>
      <c r="F310" s="7" t="n">
        <v>12</v>
      </c>
      <c r="G310" s="7" t="inlineStr">
        <is>
          <t>CTN</t>
        </is>
      </c>
      <c r="H310" t="inlineStr">
        <is>
          <t>BLEND 786</t>
        </is>
      </c>
    </row>
    <row r="311" ht="14.25" customHeight="1" s="5">
      <c r="A311" s="7" t="n">
        <v>368</v>
      </c>
      <c r="B311" s="7" t="inlineStr">
        <is>
          <t>CHAYA 12/108 DC ENV TBGS</t>
        </is>
      </c>
      <c r="C311" s="7" t="inlineStr">
        <is>
          <t>CHAYA</t>
        </is>
      </c>
      <c r="D311" s="7" t="n">
        <v>369</v>
      </c>
      <c r="E311" s="7" t="inlineStr">
        <is>
          <t>CHAYA 108 DC ENV TBGS</t>
        </is>
      </c>
      <c r="F311" s="7" t="n">
        <v>12</v>
      </c>
      <c r="G311" s="7" t="inlineStr">
        <is>
          <t>CTN</t>
        </is>
      </c>
      <c r="H311" t="inlineStr">
        <is>
          <t>BLEND 786</t>
        </is>
      </c>
    </row>
    <row r="312" ht="14.25" customHeight="1" s="5">
      <c r="A312" s="7" t="n">
        <v>372</v>
      </c>
      <c r="B312" s="7" t="inlineStr">
        <is>
          <t>CHAYA 24/25  DC ENV TBGS</t>
        </is>
      </c>
      <c r="C312" s="7" t="inlineStr">
        <is>
          <t>CHAYA</t>
        </is>
      </c>
      <c r="D312" s="7" t="n">
        <v>373</v>
      </c>
      <c r="E312" s="7" t="inlineStr">
        <is>
          <t>CHAYA 25  DC ENV TBGS</t>
        </is>
      </c>
      <c r="F312" s="7" t="n">
        <v>24</v>
      </c>
      <c r="G312" s="7" t="inlineStr">
        <is>
          <t>CTN</t>
        </is>
      </c>
      <c r="H312" t="inlineStr">
        <is>
          <t>BLEND 786</t>
        </is>
      </c>
    </row>
    <row r="313" ht="14.25" customHeight="1" s="5">
      <c r="A313" s="7" t="n">
        <v>377</v>
      </c>
      <c r="B313" s="7" t="inlineStr">
        <is>
          <t>CHAYA 24/25 DC ENV TBGS WITH T-SHIRT</t>
        </is>
      </c>
      <c r="C313" s="7" t="inlineStr">
        <is>
          <t>CHAYA</t>
        </is>
      </c>
      <c r="D313" s="7" t="n">
        <v>373</v>
      </c>
      <c r="E313" s="7" t="inlineStr">
        <is>
          <t>CHAYA 25  DC ENV TBGS</t>
        </is>
      </c>
      <c r="F313" s="7" t="n">
        <v>24</v>
      </c>
      <c r="G313" s="7" t="inlineStr">
        <is>
          <t>CTN</t>
        </is>
      </c>
      <c r="H313" t="inlineStr">
        <is>
          <t>BLEND 786</t>
        </is>
      </c>
    </row>
    <row r="314" ht="14.25" customHeight="1" s="5">
      <c r="A314" s="7" t="n">
        <v>379</v>
      </c>
      <c r="B314" s="7" t="inlineStr">
        <is>
          <t>CHAYA 24/50 DC Env TBGS WITH T-SHIRT</t>
        </is>
      </c>
      <c r="C314" s="7" t="inlineStr">
        <is>
          <t>CHAYA</t>
        </is>
      </c>
      <c r="D314" s="7" t="n">
        <v>380</v>
      </c>
      <c r="E314" s="7" t="inlineStr">
        <is>
          <t>CHAYA 50 DC ENV TBGS</t>
        </is>
      </c>
      <c r="F314" s="7" t="n">
        <v>24</v>
      </c>
      <c r="G314" s="7" t="inlineStr">
        <is>
          <t>CTN</t>
        </is>
      </c>
      <c r="H314" t="inlineStr">
        <is>
          <t>BLEND 786</t>
        </is>
      </c>
    </row>
    <row r="315" ht="14.25" customHeight="1" s="5">
      <c r="A315" s="7" t="n">
        <v>1345</v>
      </c>
      <c r="B315" s="7" t="inlineStr">
        <is>
          <t>CHAYA 36/100 SC ENV TBGS</t>
        </is>
      </c>
      <c r="C315" s="7" t="inlineStr">
        <is>
          <t>CHAYA</t>
        </is>
      </c>
      <c r="D315" s="7" t="n">
        <v>1336</v>
      </c>
      <c r="E315" s="7" t="inlineStr">
        <is>
          <t>CHAYA 100 SC ENV TBGS</t>
        </is>
      </c>
      <c r="F315" s="7" t="n">
        <v>36</v>
      </c>
      <c r="G315" s="7" t="inlineStr">
        <is>
          <t>CTN</t>
        </is>
      </c>
      <c r="H315">
        <f>#N/A</f>
        <v/>
      </c>
    </row>
    <row r="316" ht="14.25" customHeight="1" s="5">
      <c r="A316" s="7" t="n">
        <v>26187</v>
      </c>
      <c r="B316" s="7" t="inlineStr">
        <is>
          <t>CHAYA COCKTAIL 24/25 DC ENV TBGS</t>
        </is>
      </c>
      <c r="C316" s="7" t="inlineStr">
        <is>
          <t>CHAYA</t>
        </is>
      </c>
      <c r="D316" s="7" t="n">
        <v>26189</v>
      </c>
      <c r="E316" s="7" t="inlineStr">
        <is>
          <t>CHAYA COCKTAIL 25 DC ENV TBGS</t>
        </is>
      </c>
      <c r="F316" s="7" t="n">
        <v>24</v>
      </c>
      <c r="G316" s="7" t="inlineStr">
        <is>
          <t>CTN</t>
        </is>
      </c>
      <c r="H316" t="inlineStr">
        <is>
          <t>BLEND BLACK TEA COCKTAIL TBC</t>
        </is>
      </c>
    </row>
    <row r="317" ht="14.25" customHeight="1" s="5">
      <c r="A317" s="7" t="n">
        <v>23448</v>
      </c>
      <c r="B317" s="7" t="inlineStr">
        <is>
          <t>CHAYA CRANBERRY APPLE 24/25 DC ENV TBGS</t>
        </is>
      </c>
      <c r="C317" s="7" t="inlineStr">
        <is>
          <t>CHAYA</t>
        </is>
      </c>
      <c r="D317" s="7" t="n">
        <v>1350</v>
      </c>
      <c r="E317" s="7" t="inlineStr">
        <is>
          <t>CHAYA CRANBERRY APPLE 25 DC ENV TBGS</t>
        </is>
      </c>
      <c r="F317" s="7" t="n">
        <v>24</v>
      </c>
      <c r="G317" s="7" t="inlineStr">
        <is>
          <t>CTN</t>
        </is>
      </c>
      <c r="H317" t="inlineStr">
        <is>
          <t>BLEND BLACK TEA CRANBERRY TBC</t>
        </is>
      </c>
    </row>
    <row r="318" ht="14.25" customHeight="1" s="5">
      <c r="A318" s="7" t="n">
        <v>1349</v>
      </c>
      <c r="B318" s="7" t="inlineStr">
        <is>
          <t>CHAYA CRANBERRY APPLE 24/25 DC ENV TBGS WITH TSHIRT &amp; POSTER</t>
        </is>
      </c>
      <c r="C318" s="7" t="inlineStr">
        <is>
          <t>CHAYA</t>
        </is>
      </c>
      <c r="D318" s="7" t="n">
        <v>1350</v>
      </c>
      <c r="E318" s="7" t="inlineStr">
        <is>
          <t>CHAYA CRANBERRY APPLE 25 DC ENV TBGS</t>
        </is>
      </c>
      <c r="F318" s="7" t="n">
        <v>24</v>
      </c>
      <c r="G318" s="7" t="inlineStr">
        <is>
          <t>CTN</t>
        </is>
      </c>
      <c r="H318" t="inlineStr">
        <is>
          <t>BLEND BLACK TEA CRANBERRY TBC</t>
        </is>
      </c>
    </row>
    <row r="319" ht="14.25" customHeight="1" s="5">
      <c r="A319" s="7" t="n">
        <v>1354</v>
      </c>
      <c r="B319" s="7" t="inlineStr">
        <is>
          <t>CHAYA CRANBERRY APPLE 24/25 SC ENV TBGS WITH POSTER</t>
        </is>
      </c>
      <c r="C319" s="7" t="inlineStr">
        <is>
          <t>CHAYA</t>
        </is>
      </c>
      <c r="D319" s="7" t="n">
        <v>1353</v>
      </c>
      <c r="E319" s="7" t="inlineStr">
        <is>
          <t>CHAYA CRANBERRY APPLE 25 SC ENV TBGS</t>
        </is>
      </c>
      <c r="F319" s="7" t="n">
        <v>24</v>
      </c>
      <c r="G319" s="7" t="inlineStr">
        <is>
          <t>CTN</t>
        </is>
      </c>
      <c r="H319">
        <f>#N/A</f>
        <v/>
      </c>
    </row>
    <row r="320" ht="14.25" customHeight="1" s="5">
      <c r="A320" s="7" t="n">
        <v>397</v>
      </c>
      <c r="B320" s="7" t="inlineStr">
        <is>
          <t>CHAYA CRANBERRY APPLE 24/25 SC ENV TBGS WITH TSHIRT AND POSTER</t>
        </is>
      </c>
      <c r="C320" s="7" t="inlineStr">
        <is>
          <t>CHAYA</t>
        </is>
      </c>
      <c r="D320" s="7" t="n">
        <v>1353</v>
      </c>
      <c r="E320" s="7" t="inlineStr">
        <is>
          <t>CHAYA CRANBERRY APPLE 25 SC ENV TBGS</t>
        </is>
      </c>
      <c r="F320" s="7" t="n">
        <v>24</v>
      </c>
      <c r="G320" s="7" t="inlineStr">
        <is>
          <t>CTN</t>
        </is>
      </c>
      <c r="H320">
        <f>#N/A</f>
        <v/>
      </c>
    </row>
    <row r="321" ht="14.25" customHeight="1" s="5">
      <c r="A321" s="7" t="n">
        <v>1356</v>
      </c>
      <c r="B321" s="7" t="inlineStr">
        <is>
          <t>CHAYA GIFT BOX 12/30 MIXED TEA BAGS</t>
        </is>
      </c>
      <c r="C321" s="7" t="inlineStr">
        <is>
          <t>CHAYA</t>
        </is>
      </c>
      <c r="D321" s="7" t="n">
        <v>1364</v>
      </c>
      <c r="E321" s="7" t="inlineStr">
        <is>
          <t>CHAYA LOOSE TBGS MINT SC ENV TBGS</t>
        </is>
      </c>
      <c r="F321" s="7" t="n">
        <v>60</v>
      </c>
      <c r="G321" s="7" t="inlineStr">
        <is>
          <t>TBGS</t>
        </is>
      </c>
      <c r="H321">
        <f>#N/A</f>
        <v/>
      </c>
    </row>
    <row r="322" ht="14.25" customHeight="1" s="5">
      <c r="A322" s="7" t="n">
        <v>1356</v>
      </c>
      <c r="B322" s="7" t="inlineStr">
        <is>
          <t>CHAYA GIFT BOX 12/30 MIXED TEA BAGS</t>
        </is>
      </c>
      <c r="C322" s="7" t="inlineStr">
        <is>
          <t>CHAYA</t>
        </is>
      </c>
      <c r="D322" s="7" t="n">
        <v>1365</v>
      </c>
      <c r="E322" s="7" t="inlineStr">
        <is>
          <t>CHAYA LOOSE TBGS GINGER SC ENV TBGS</t>
        </is>
      </c>
      <c r="F322" s="7" t="n">
        <v>60</v>
      </c>
      <c r="G322" s="7" t="inlineStr">
        <is>
          <t>TBGS</t>
        </is>
      </c>
      <c r="H322">
        <f>#N/A</f>
        <v/>
      </c>
    </row>
    <row r="323" ht="14.25" customHeight="1" s="5">
      <c r="A323" s="7" t="n">
        <v>1356</v>
      </c>
      <c r="B323" s="7" t="inlineStr">
        <is>
          <t>CHAYA GIFT BOX 12/30 MIXED TEA BAGS</t>
        </is>
      </c>
      <c r="C323" s="7" t="inlineStr">
        <is>
          <t>CHAYA</t>
        </is>
      </c>
      <c r="D323" s="7" t="n">
        <v>1360</v>
      </c>
      <c r="E323" s="7" t="inlineStr">
        <is>
          <t>CHAYA LOOSE TBGS LEMON SC ENV TBGS</t>
        </is>
      </c>
      <c r="F323" s="7" t="n">
        <v>60</v>
      </c>
      <c r="G323" s="7" t="inlineStr">
        <is>
          <t>TBGS</t>
        </is>
      </c>
      <c r="H323">
        <f>#N/A</f>
        <v/>
      </c>
    </row>
    <row r="324" ht="14.25" customHeight="1" s="5">
      <c r="A324" s="7" t="n">
        <v>1356</v>
      </c>
      <c r="B324" s="7" t="inlineStr">
        <is>
          <t>CHAYA GIFT BOX 12/30 MIXED TEA BAGS</t>
        </is>
      </c>
      <c r="C324" s="7" t="inlineStr">
        <is>
          <t>CHAYA</t>
        </is>
      </c>
      <c r="D324" s="7" t="n">
        <v>1361</v>
      </c>
      <c r="E324" s="7" t="inlineStr">
        <is>
          <t>CHAYA LOOSE TBGS DC ENV TBGS</t>
        </is>
      </c>
      <c r="F324" s="7" t="n">
        <v>60</v>
      </c>
      <c r="G324" s="7" t="inlineStr">
        <is>
          <t>TBGS</t>
        </is>
      </c>
      <c r="H324">
        <f>#N/A</f>
        <v/>
      </c>
    </row>
    <row r="325" ht="14.25" customHeight="1" s="5">
      <c r="A325" s="7" t="n">
        <v>1356</v>
      </c>
      <c r="B325" s="7" t="inlineStr">
        <is>
          <t>CHAYA GIFT BOX 12/30 MIXED TEA BAGS</t>
        </is>
      </c>
      <c r="C325" s="7" t="inlineStr">
        <is>
          <t>CHAYA</t>
        </is>
      </c>
      <c r="D325" s="7" t="n">
        <v>1362</v>
      </c>
      <c r="E325" s="7" t="inlineStr">
        <is>
          <t>CHAYA LOOSE TBGS CRANBERRY APPLE SC ENV TBGS</t>
        </is>
      </c>
      <c r="F325" s="7" t="n">
        <v>60</v>
      </c>
      <c r="G325" s="7" t="inlineStr">
        <is>
          <t>TBGS</t>
        </is>
      </c>
      <c r="H325">
        <f>#N/A</f>
        <v/>
      </c>
    </row>
    <row r="326" ht="14.25" customHeight="1" s="5">
      <c r="A326" s="7" t="n">
        <v>1356</v>
      </c>
      <c r="B326" s="7" t="inlineStr">
        <is>
          <t>CHAYA GIFT BOX 12/30 MIXED TEA BAGS</t>
        </is>
      </c>
      <c r="C326" s="7" t="inlineStr">
        <is>
          <t>CHAYA</t>
        </is>
      </c>
      <c r="D326" s="7" t="n">
        <v>1363</v>
      </c>
      <c r="E326" s="7" t="inlineStr">
        <is>
          <t>CHAYA LOOSE TBGS STRAWBERRY SC ENV TBGS</t>
        </is>
      </c>
      <c r="F326" s="7" t="n">
        <v>60</v>
      </c>
      <c r="G326" s="7" t="inlineStr">
        <is>
          <t>TBGS</t>
        </is>
      </c>
      <c r="H326">
        <f>#N/A</f>
        <v/>
      </c>
    </row>
    <row r="327" ht="14.25" customHeight="1" s="5">
      <c r="A327" s="7" t="n">
        <v>32003</v>
      </c>
      <c r="B327" s="7" t="inlineStr">
        <is>
          <t>CHAYA GIFT BOX 12/40 DC ENV TBGS</t>
        </is>
      </c>
      <c r="C327" s="7" t="inlineStr">
        <is>
          <t>CHAYA</t>
        </is>
      </c>
      <c r="D327" s="7" t="n">
        <v>32058</v>
      </c>
      <c r="E327" s="7" t="inlineStr">
        <is>
          <t>CHAYA GIFT BOX 40 DC ENV TBGS</t>
        </is>
      </c>
      <c r="F327" s="7" t="n">
        <v>12</v>
      </c>
      <c r="G327" s="7" t="inlineStr">
        <is>
          <t>CTN</t>
        </is>
      </c>
      <c r="H327">
        <f>#N/A</f>
        <v/>
      </c>
    </row>
    <row r="328" ht="14.25" customHeight="1" s="5">
      <c r="A328" s="7" t="n">
        <v>32058</v>
      </c>
      <c r="B328" s="7" t="inlineStr">
        <is>
          <t>CHAYA GIFT BOX 40 DC ENV TBGS</t>
        </is>
      </c>
      <c r="C328" s="7" t="inlineStr">
        <is>
          <t>CHAYA</t>
        </is>
      </c>
      <c r="D328" s="7" t="n">
        <v>32059</v>
      </c>
      <c r="E328" s="7" t="inlineStr">
        <is>
          <t>CHAYA LOOSE ENV BLACK TEA DC ENV TBGS</t>
        </is>
      </c>
      <c r="F328" s="7" t="n">
        <v>5</v>
      </c>
      <c r="G328" s="7" t="inlineStr">
        <is>
          <t>ENV</t>
        </is>
      </c>
      <c r="H328" t="inlineStr">
        <is>
          <t>BLEND 786</t>
        </is>
      </c>
    </row>
    <row r="329" ht="14.25" customHeight="1" s="5">
      <c r="A329" s="7" t="n">
        <v>32058</v>
      </c>
      <c r="B329" s="7" t="inlineStr">
        <is>
          <t>CHAYA GIFT BOX 40 DC ENV TBGS</t>
        </is>
      </c>
      <c r="C329" s="7" t="inlineStr">
        <is>
          <t>CHAYA</t>
        </is>
      </c>
      <c r="D329" s="7" t="n">
        <v>32060</v>
      </c>
      <c r="E329" s="7" t="inlineStr">
        <is>
          <t>CHAYA LOOSE ENV MINT DC ENV TBGS</t>
        </is>
      </c>
      <c r="F329" s="7" t="n">
        <v>5</v>
      </c>
      <c r="G329" s="7" t="inlineStr">
        <is>
          <t>ENV</t>
        </is>
      </c>
      <c r="H329" t="inlineStr">
        <is>
          <t>BLEND AF BLACK TEA MINT TBGS</t>
        </is>
      </c>
    </row>
    <row r="330" ht="14.25" customHeight="1" s="5">
      <c r="A330" s="7" t="n">
        <v>32058</v>
      </c>
      <c r="B330" s="7" t="inlineStr">
        <is>
          <t>CHAYA GIFT BOX 40 DC ENV TBGS</t>
        </is>
      </c>
      <c r="C330" s="7" t="inlineStr">
        <is>
          <t>CHAYA</t>
        </is>
      </c>
      <c r="D330" s="7" t="n">
        <v>32061</v>
      </c>
      <c r="E330" s="7" t="inlineStr">
        <is>
          <t>CHAYA LOOSE ENV STRAWBERRY DC ENV TBGS</t>
        </is>
      </c>
      <c r="F330" s="7" t="n">
        <v>5</v>
      </c>
      <c r="G330" s="7" t="inlineStr">
        <is>
          <t>ENV</t>
        </is>
      </c>
      <c r="H330" t="inlineStr">
        <is>
          <t>BLEND STRAWBERRY TB</t>
        </is>
      </c>
    </row>
    <row r="331" ht="14.25" customHeight="1" s="5">
      <c r="A331" s="7" t="n">
        <v>32058</v>
      </c>
      <c r="B331" s="7" t="inlineStr">
        <is>
          <t>CHAYA GIFT BOX 40 DC ENV TBGS</t>
        </is>
      </c>
      <c r="C331" s="7" t="inlineStr">
        <is>
          <t>CHAYA</t>
        </is>
      </c>
      <c r="D331" s="7" t="n">
        <v>32062</v>
      </c>
      <c r="E331" s="7" t="inlineStr">
        <is>
          <t>CHAYA LOOSE ENV GINGER DC ENV TBGS</t>
        </is>
      </c>
      <c r="F331" s="7" t="n">
        <v>5</v>
      </c>
      <c r="G331" s="7" t="inlineStr">
        <is>
          <t>ENV</t>
        </is>
      </c>
      <c r="H331" t="inlineStr">
        <is>
          <t>BLEND AF BLACK TEA  GINGER TBGS</t>
        </is>
      </c>
    </row>
    <row r="332" ht="14.25" customHeight="1" s="5">
      <c r="A332" s="7" t="n">
        <v>32058</v>
      </c>
      <c r="B332" s="7" t="inlineStr">
        <is>
          <t>CHAYA GIFT BOX 40 DC ENV TBGS</t>
        </is>
      </c>
      <c r="C332" s="7" t="inlineStr">
        <is>
          <t>CHAYA</t>
        </is>
      </c>
      <c r="D332" s="7" t="n">
        <v>32063</v>
      </c>
      <c r="E332" s="7" t="inlineStr">
        <is>
          <t>CHAYA LOOSE ENV COCKTAIL DC ENV TBGS</t>
        </is>
      </c>
      <c r="F332" s="7" t="n">
        <v>5</v>
      </c>
      <c r="G332" s="7" t="inlineStr">
        <is>
          <t>ENV</t>
        </is>
      </c>
      <c r="H332" t="inlineStr">
        <is>
          <t>BLEND BLACK TEA COCKTAIL TBC</t>
        </is>
      </c>
    </row>
    <row r="333" ht="14.25" customHeight="1" s="5">
      <c r="A333" s="7" t="n">
        <v>32058</v>
      </c>
      <c r="B333" s="7" t="inlineStr">
        <is>
          <t>CHAYA GIFT BOX 40 DC ENV TBGS</t>
        </is>
      </c>
      <c r="C333" s="7" t="inlineStr">
        <is>
          <t>CHAYA</t>
        </is>
      </c>
      <c r="D333" s="7" t="n">
        <v>32064</v>
      </c>
      <c r="E333" s="7" t="inlineStr">
        <is>
          <t>CHAYA LOOSE ENV LEMON DC ENV TBGS</t>
        </is>
      </c>
      <c r="F333" s="7" t="n">
        <v>5</v>
      </c>
      <c r="G333" s="7" t="inlineStr">
        <is>
          <t>ENV</t>
        </is>
      </c>
      <c r="H333" t="inlineStr">
        <is>
          <t>BLEND BLACK TEA LEMON TB</t>
        </is>
      </c>
    </row>
    <row r="334" ht="14.25" customHeight="1" s="5">
      <c r="A334" s="7" t="n">
        <v>32058</v>
      </c>
      <c r="B334" s="7" t="inlineStr">
        <is>
          <t>CHAYA GIFT BOX 40 DC ENV TBGS</t>
        </is>
      </c>
      <c r="C334" s="7" t="inlineStr">
        <is>
          <t>CHAYA</t>
        </is>
      </c>
      <c r="D334" s="7" t="n">
        <v>32066</v>
      </c>
      <c r="E334" s="7" t="inlineStr">
        <is>
          <t>CHAYA LOOSE ENV PINEAPPLE DC ENV TBGS</t>
        </is>
      </c>
      <c r="F334" s="7" t="n">
        <v>5</v>
      </c>
      <c r="G334" s="7" t="inlineStr">
        <is>
          <t>ENV</t>
        </is>
      </c>
      <c r="H334" t="inlineStr">
        <is>
          <t>BLEND BLACK TEA PINEAPPLE TB</t>
        </is>
      </c>
    </row>
    <row r="335" ht="14.25" customHeight="1" s="5">
      <c r="A335" s="7" t="n">
        <v>32058</v>
      </c>
      <c r="B335" s="7" t="inlineStr">
        <is>
          <t>CHAYA GIFT BOX 40 DC ENV TBGS</t>
        </is>
      </c>
      <c r="C335" s="7" t="inlineStr">
        <is>
          <t>CHAYA</t>
        </is>
      </c>
      <c r="D335" s="7" t="n">
        <v>32067</v>
      </c>
      <c r="E335" s="7" t="inlineStr">
        <is>
          <t>CHAYA LOOSE ENV ORANGE DC ENV TBGS</t>
        </is>
      </c>
      <c r="F335" s="7" t="n">
        <v>5</v>
      </c>
      <c r="G335" s="7" t="inlineStr">
        <is>
          <t>ENV</t>
        </is>
      </c>
      <c r="H335" t="inlineStr">
        <is>
          <t>BLEND AX-BLACK ORANGE TB</t>
        </is>
      </c>
    </row>
    <row r="336" ht="14.25" customHeight="1" s="5">
      <c r="A336" s="7" t="n">
        <v>23445</v>
      </c>
      <c r="B336" s="7" t="inlineStr">
        <is>
          <t>CHAYA GINGER 24/25 DC ENV TBGS</t>
        </is>
      </c>
      <c r="C336" s="7" t="inlineStr">
        <is>
          <t>CHAYA</t>
        </is>
      </c>
      <c r="D336" s="7" t="n">
        <v>1367</v>
      </c>
      <c r="E336" s="7" t="inlineStr">
        <is>
          <t>CHAYA GINGER 25 DC ENV TBGS</t>
        </is>
      </c>
      <c r="F336" s="7" t="n">
        <v>24</v>
      </c>
      <c r="G336" s="7" t="inlineStr">
        <is>
          <t>CTN</t>
        </is>
      </c>
      <c r="H336" t="inlineStr">
        <is>
          <t>BLEND AF BLACK TEA  GINGER TBGS</t>
        </is>
      </c>
    </row>
    <row r="337" ht="14.25" customHeight="1" s="5">
      <c r="A337" s="7" t="n">
        <v>27754</v>
      </c>
      <c r="B337" s="7" t="inlineStr">
        <is>
          <t>CHAYA GINGER 24/25 DC ENV TBGS WITH TSHIRT</t>
        </is>
      </c>
      <c r="C337" s="7" t="inlineStr">
        <is>
          <t>CHAYA</t>
        </is>
      </c>
      <c r="D337" s="7" t="n">
        <v>1367</v>
      </c>
      <c r="E337" s="7" t="inlineStr">
        <is>
          <t>CHAYA GINGER 25 DC ENV TBGS</t>
        </is>
      </c>
      <c r="F337" s="7" t="n">
        <v>24</v>
      </c>
      <c r="G337" s="7" t="inlineStr">
        <is>
          <t>CTN</t>
        </is>
      </c>
      <c r="H337" t="inlineStr">
        <is>
          <t>BLEND AF BLACK TEA  GINGER TBGS</t>
        </is>
      </c>
    </row>
    <row r="338" ht="14.25" customHeight="1" s="5">
      <c r="A338" s="7" t="n">
        <v>1366</v>
      </c>
      <c r="B338" s="7" t="inlineStr">
        <is>
          <t>CHAYA GINGER 24/25 DC ENV TBGS WITH TSHIRT &amp; POSTER</t>
        </is>
      </c>
      <c r="C338" s="7" t="inlineStr">
        <is>
          <t>CHAYA</t>
        </is>
      </c>
      <c r="D338" s="7" t="n">
        <v>1367</v>
      </c>
      <c r="E338" s="7" t="inlineStr">
        <is>
          <t>CHAYA GINGER 25 DC ENV TBGS</t>
        </is>
      </c>
      <c r="F338" s="7" t="n">
        <v>24</v>
      </c>
      <c r="G338" s="7" t="inlineStr">
        <is>
          <t>CTN</t>
        </is>
      </c>
      <c r="H338" t="inlineStr">
        <is>
          <t>BLEND AF BLACK TEA  GINGER TBGS</t>
        </is>
      </c>
    </row>
    <row r="339" ht="14.25" customHeight="1" s="5">
      <c r="A339" s="7" t="n">
        <v>1371</v>
      </c>
      <c r="B339" s="7" t="inlineStr">
        <is>
          <t>CHAYA GINGER 24/25 SC ENV TBGS WITH POSTER</t>
        </is>
      </c>
      <c r="C339" s="7" t="inlineStr">
        <is>
          <t>CHAYA</t>
        </is>
      </c>
      <c r="D339" s="7" t="n">
        <v>1370</v>
      </c>
      <c r="E339" s="7" t="inlineStr">
        <is>
          <t>CHAYA GINGER 25 SC ENV TBGS</t>
        </is>
      </c>
      <c r="F339" s="7" t="n">
        <v>24</v>
      </c>
      <c r="G339" s="7" t="inlineStr">
        <is>
          <t>CTN</t>
        </is>
      </c>
      <c r="H339">
        <f>#N/A</f>
        <v/>
      </c>
    </row>
    <row r="340" ht="14.25" customHeight="1" s="5">
      <c r="A340" s="7" t="n">
        <v>1373</v>
      </c>
      <c r="B340" s="7" t="inlineStr">
        <is>
          <t>CHAYA GINGER 24/25 SC ENV TBGS WITH TSHIRT AND POSTER</t>
        </is>
      </c>
      <c r="C340" s="7" t="inlineStr">
        <is>
          <t>CHAYA</t>
        </is>
      </c>
      <c r="D340" s="7" t="n">
        <v>1370</v>
      </c>
      <c r="E340" s="7" t="inlineStr">
        <is>
          <t>CHAYA GINGER 25 SC ENV TBGS</t>
        </is>
      </c>
      <c r="F340" s="7" t="n">
        <v>24</v>
      </c>
      <c r="G340" s="7" t="inlineStr">
        <is>
          <t>CTN</t>
        </is>
      </c>
      <c r="H340">
        <f>#N/A</f>
        <v/>
      </c>
    </row>
    <row r="341" ht="14.25" customHeight="1" s="5">
      <c r="A341" s="7" t="n">
        <v>1375</v>
      </c>
      <c r="B341" s="7" t="inlineStr">
        <is>
          <t>CHAYA GREEN TEA LEMON 24/25 SC ENV TBGS WITH TSHIRT AND POSTER</t>
        </is>
      </c>
      <c r="C341" s="7" t="inlineStr">
        <is>
          <t>CHAYA</t>
        </is>
      </c>
      <c r="D341" s="7" t="n">
        <v>406</v>
      </c>
      <c r="E341" s="7" t="inlineStr">
        <is>
          <t>CHAYA GREEN TEA LEMON 25 SC ENV TBGS</t>
        </is>
      </c>
      <c r="F341" s="7" t="n">
        <v>24</v>
      </c>
      <c r="G341" s="7" t="inlineStr">
        <is>
          <t>CTN</t>
        </is>
      </c>
      <c r="H341">
        <f>#N/A</f>
        <v/>
      </c>
    </row>
    <row r="342" ht="14.25" customHeight="1" s="5">
      <c r="A342" s="7" t="n">
        <v>26191</v>
      </c>
      <c r="B342" s="7" t="inlineStr">
        <is>
          <t>CHAYA GREEN TEA LEMON GRASS 24/25 DC ENV TBGS</t>
        </is>
      </c>
      <c r="C342" s="7" t="inlineStr">
        <is>
          <t>CHAYA</t>
        </is>
      </c>
      <c r="D342" s="7" t="n">
        <v>26192</v>
      </c>
      <c r="E342" s="7" t="inlineStr">
        <is>
          <t>CHAYA GREEN TEA LEMON GRASS 25 DC ENV TBGS</t>
        </is>
      </c>
      <c r="F342" s="7" t="n">
        <v>24</v>
      </c>
      <c r="G342" s="7" t="inlineStr">
        <is>
          <t>CTN</t>
        </is>
      </c>
      <c r="H342">
        <f>#N/A</f>
        <v/>
      </c>
    </row>
    <row r="343" ht="14.25" customHeight="1" s="5">
      <c r="A343" s="7" t="n">
        <v>26199</v>
      </c>
      <c r="B343" s="7" t="inlineStr">
        <is>
          <t>CHAYA HIBISCUS APPLE 24/25 DC ENV TBGS</t>
        </is>
      </c>
      <c r="C343" s="7" t="inlineStr">
        <is>
          <t>CHAYA</t>
        </is>
      </c>
      <c r="D343" s="7" t="n">
        <v>26200</v>
      </c>
      <c r="E343" s="7" t="inlineStr">
        <is>
          <t>CHAYA HIBISCUS APPLE 25 DC ENV TBGS</t>
        </is>
      </c>
      <c r="F343" s="7" t="n">
        <v>24</v>
      </c>
      <c r="G343" s="7" t="inlineStr">
        <is>
          <t>CTN</t>
        </is>
      </c>
      <c r="H343" t="inlineStr">
        <is>
          <t>BLEND HIBISCUS APPLE TBC -AF</t>
        </is>
      </c>
    </row>
    <row r="344" ht="14.25" customHeight="1" s="5">
      <c r="A344" s="7" t="n">
        <v>23442</v>
      </c>
      <c r="B344" s="7" t="inlineStr">
        <is>
          <t>CHAYA LEMON 24/25 DC ENV TBGS</t>
        </is>
      </c>
      <c r="C344" s="7" t="inlineStr">
        <is>
          <t>CHAYA</t>
        </is>
      </c>
      <c r="D344" s="7" t="n">
        <v>1378</v>
      </c>
      <c r="E344" s="7" t="inlineStr">
        <is>
          <t>CHAYA LEMON 25 DC ENV TBGS</t>
        </is>
      </c>
      <c r="F344" s="7" t="n">
        <v>24</v>
      </c>
      <c r="G344" s="7" t="inlineStr">
        <is>
          <t>CTN</t>
        </is>
      </c>
      <c r="H344" t="inlineStr">
        <is>
          <t>BLEND BLACK TEA LEMON TB</t>
        </is>
      </c>
    </row>
    <row r="345" ht="14.25" customHeight="1" s="5">
      <c r="A345" s="7" t="n">
        <v>27755</v>
      </c>
      <c r="B345" s="7" t="inlineStr">
        <is>
          <t>CHAYA LEMON 24/25 DC ENV TBGS WITH T-SHIRT</t>
        </is>
      </c>
      <c r="C345" s="7" t="inlineStr">
        <is>
          <t>CHAYA</t>
        </is>
      </c>
      <c r="D345" s="7" t="n">
        <v>1378</v>
      </c>
      <c r="E345" s="7" t="inlineStr">
        <is>
          <t>CHAYA LEMON 25 DC ENV TBGS</t>
        </is>
      </c>
      <c r="F345" s="7" t="n">
        <v>24</v>
      </c>
      <c r="G345" s="7" t="inlineStr">
        <is>
          <t>CTN</t>
        </is>
      </c>
      <c r="H345" t="inlineStr">
        <is>
          <t>BLEND BLACK TEA LEMON TB</t>
        </is>
      </c>
    </row>
    <row r="346" ht="14.25" customHeight="1" s="5">
      <c r="A346" s="7" t="n">
        <v>1377</v>
      </c>
      <c r="B346" s="7" t="inlineStr">
        <is>
          <t>CHAYA LEMON 24/25 DC ENV TBGS WITH TSHIRT &amp; POSTER</t>
        </is>
      </c>
      <c r="C346" s="7" t="inlineStr">
        <is>
          <t>CHAYA</t>
        </is>
      </c>
      <c r="D346" s="7" t="n">
        <v>1378</v>
      </c>
      <c r="E346" s="7" t="inlineStr">
        <is>
          <t>CHAYA LEMON 25 DC ENV TBGS</t>
        </is>
      </c>
      <c r="F346" s="7" t="n">
        <v>24</v>
      </c>
      <c r="G346" s="7" t="inlineStr">
        <is>
          <t>CTN</t>
        </is>
      </c>
      <c r="H346" t="inlineStr">
        <is>
          <t>BLEND BLACK TEA LEMON TB</t>
        </is>
      </c>
    </row>
    <row r="347" ht="14.25" customHeight="1" s="5">
      <c r="A347" s="7" t="n">
        <v>1382</v>
      </c>
      <c r="B347" s="7" t="inlineStr">
        <is>
          <t>CHAYA LEMON 24/25 SC ENV TBGS WITH POSTER</t>
        </is>
      </c>
      <c r="C347" s="7" t="inlineStr">
        <is>
          <t>CHAYA</t>
        </is>
      </c>
      <c r="D347" s="7" t="n">
        <v>1381</v>
      </c>
      <c r="E347" s="7" t="inlineStr">
        <is>
          <t>CHAYA LEMON 25 SC ENV TBGS</t>
        </is>
      </c>
      <c r="F347" s="7" t="n">
        <v>24</v>
      </c>
      <c r="G347" s="7" t="inlineStr">
        <is>
          <t>CTN</t>
        </is>
      </c>
      <c r="H347">
        <f>#N/A</f>
        <v/>
      </c>
    </row>
    <row r="348" ht="14.25" customHeight="1" s="5">
      <c r="A348" s="7" t="n">
        <v>1384</v>
      </c>
      <c r="B348" s="7" t="inlineStr">
        <is>
          <t>CHAYA LEMON 24/25 SC ENV TBGS WITH TSHIRT AND POSTER</t>
        </is>
      </c>
      <c r="C348" s="7" t="inlineStr">
        <is>
          <t>CHAYA</t>
        </is>
      </c>
      <c r="D348" s="7" t="n">
        <v>1381</v>
      </c>
      <c r="E348" s="7" t="inlineStr">
        <is>
          <t>CHAYA LEMON 25 SC ENV TBGS</t>
        </is>
      </c>
      <c r="F348" s="7" t="n">
        <v>24</v>
      </c>
      <c r="G348" s="7" t="inlineStr">
        <is>
          <t>CTN</t>
        </is>
      </c>
      <c r="H348">
        <f>#N/A</f>
        <v/>
      </c>
    </row>
    <row r="349" ht="14.25" customHeight="1" s="5">
      <c r="A349" s="7" t="n">
        <v>23449</v>
      </c>
      <c r="B349" s="7" t="inlineStr">
        <is>
          <t>CHAYA MANGO 24/25 DC ENV TBGS</t>
        </is>
      </c>
      <c r="C349" s="7" t="inlineStr">
        <is>
          <t>CHAYA</t>
        </is>
      </c>
      <c r="D349" s="7" t="n">
        <v>23451</v>
      </c>
      <c r="E349" s="7" t="inlineStr">
        <is>
          <t>CHAYA MANGO 25 DC ENV TBGS</t>
        </is>
      </c>
      <c r="F349" s="7" t="n">
        <v>24</v>
      </c>
      <c r="G349" s="7" t="inlineStr">
        <is>
          <t>CTN</t>
        </is>
      </c>
      <c r="H349" t="inlineStr">
        <is>
          <t>BLEND AF BLACK TEA WITH MANGO TBGS</t>
        </is>
      </c>
    </row>
    <row r="350" ht="14.25" customHeight="1" s="5">
      <c r="A350" s="7" t="n">
        <v>1386</v>
      </c>
      <c r="B350" s="7" t="inlineStr">
        <is>
          <t>CHAYA MANGO 24/25 SC ENV TBGS WITH POSTER</t>
        </is>
      </c>
      <c r="C350" s="7" t="inlineStr">
        <is>
          <t>CHAYA</t>
        </is>
      </c>
      <c r="D350" s="7" t="n">
        <v>433</v>
      </c>
      <c r="E350" s="7" t="inlineStr">
        <is>
          <t>CHAYA MANGO 25 SC ENV TBGS</t>
        </is>
      </c>
      <c r="F350" s="7" t="n">
        <v>24</v>
      </c>
      <c r="G350" s="7" t="inlineStr">
        <is>
          <t>CTN</t>
        </is>
      </c>
      <c r="H350">
        <f>#N/A</f>
        <v/>
      </c>
    </row>
    <row r="351" ht="14.25" customHeight="1" s="5">
      <c r="A351" s="7" t="n">
        <v>1388</v>
      </c>
      <c r="B351" s="7" t="inlineStr">
        <is>
          <t>CHAYA MANGO 24/25 SC ENV TBGS WITH TSHIRT AND POSTER</t>
        </is>
      </c>
      <c r="C351" s="7" t="inlineStr">
        <is>
          <t>CHAYA</t>
        </is>
      </c>
      <c r="D351" s="7" t="n">
        <v>433</v>
      </c>
      <c r="E351" s="7" t="inlineStr">
        <is>
          <t>CHAYA MANGO 25 SC ENV TBGS</t>
        </is>
      </c>
      <c r="F351" s="7" t="n">
        <v>24</v>
      </c>
      <c r="G351" s="7" t="inlineStr">
        <is>
          <t>CTN</t>
        </is>
      </c>
      <c r="H351">
        <f>#N/A</f>
        <v/>
      </c>
    </row>
    <row r="352" ht="14.25" customHeight="1" s="5">
      <c r="A352" s="7" t="n">
        <v>23444</v>
      </c>
      <c r="B352" s="7" t="inlineStr">
        <is>
          <t>CHAYA MINT 24/25 DC ENV TBGS</t>
        </is>
      </c>
      <c r="C352" s="7" t="inlineStr">
        <is>
          <t>CHAYA</t>
        </is>
      </c>
      <c r="D352" s="7" t="n">
        <v>1391</v>
      </c>
      <c r="E352" s="7" t="inlineStr">
        <is>
          <t>CHAYA MINT 25 DC ENV TBGS</t>
        </is>
      </c>
      <c r="F352" s="7" t="n">
        <v>24</v>
      </c>
      <c r="G352" s="7" t="inlineStr">
        <is>
          <t>CTN</t>
        </is>
      </c>
      <c r="H352" t="inlineStr">
        <is>
          <t>BLEND AF BLACK TEA MINT TBGS</t>
        </is>
      </c>
    </row>
    <row r="353" ht="14.25" customHeight="1" s="5">
      <c r="A353" s="7" t="n">
        <v>23393</v>
      </c>
      <c r="B353" s="7" t="inlineStr">
        <is>
          <t>CHAYA MINT 24/25 DC ENV TBGS WITH T-SHIRT</t>
        </is>
      </c>
      <c r="C353" s="7" t="inlineStr">
        <is>
          <t>CHAYA</t>
        </is>
      </c>
      <c r="D353" s="7" t="n">
        <v>1391</v>
      </c>
      <c r="E353" s="7" t="inlineStr">
        <is>
          <t>CHAYA MINT 25 DC ENV TBGS</t>
        </is>
      </c>
      <c r="F353" s="7" t="n">
        <v>24</v>
      </c>
      <c r="G353" s="7" t="inlineStr">
        <is>
          <t>CTN</t>
        </is>
      </c>
      <c r="H353" t="inlineStr">
        <is>
          <t>BLEND AF BLACK TEA MINT TBGS</t>
        </is>
      </c>
    </row>
    <row r="354" ht="14.25" customHeight="1" s="5">
      <c r="A354" s="7" t="n">
        <v>1390</v>
      </c>
      <c r="B354" s="7" t="inlineStr">
        <is>
          <t>CHAYA MINT 24/25 DC ENV TBGS WITH TSHIRT &amp; POSTER</t>
        </is>
      </c>
      <c r="C354" s="7" t="inlineStr">
        <is>
          <t>CHAYA</t>
        </is>
      </c>
      <c r="D354" s="7" t="n">
        <v>1391</v>
      </c>
      <c r="E354" s="7" t="inlineStr">
        <is>
          <t>CHAYA MINT 25 DC ENV TBGS</t>
        </is>
      </c>
      <c r="F354" s="7" t="n">
        <v>24</v>
      </c>
      <c r="G354" s="7" t="inlineStr">
        <is>
          <t>CTN</t>
        </is>
      </c>
      <c r="H354" t="inlineStr">
        <is>
          <t>BLEND AF BLACK TEA MINT TBGS</t>
        </is>
      </c>
    </row>
    <row r="355" ht="14.25" customHeight="1" s="5">
      <c r="A355" s="7" t="n">
        <v>1395</v>
      </c>
      <c r="B355" s="7" t="inlineStr">
        <is>
          <t>CHAYA MINT 24/25 SC ENV TBGS WITH POSTER</t>
        </is>
      </c>
      <c r="C355" s="7" t="inlineStr">
        <is>
          <t>CHAYA</t>
        </is>
      </c>
      <c r="D355" s="7" t="n">
        <v>1394</v>
      </c>
      <c r="E355" s="7" t="inlineStr">
        <is>
          <t>CHAYA MINT 25 SC ENV TBGS</t>
        </is>
      </c>
      <c r="F355" s="7" t="n">
        <v>24</v>
      </c>
      <c r="G355" s="7" t="inlineStr">
        <is>
          <t>CTN</t>
        </is>
      </c>
      <c r="H355">
        <f>#N/A</f>
        <v/>
      </c>
    </row>
    <row r="356" ht="14.25" customHeight="1" s="5">
      <c r="A356" s="7" t="n">
        <v>1397</v>
      </c>
      <c r="B356" s="7" t="inlineStr">
        <is>
          <t>CHAYA MINT 24/25 SC ENV TBGS WITH TSHIRT AND POSTER</t>
        </is>
      </c>
      <c r="C356" s="7" t="inlineStr">
        <is>
          <t>CHAYA</t>
        </is>
      </c>
      <c r="D356" s="7" t="n">
        <v>1394</v>
      </c>
      <c r="E356" s="7" t="inlineStr">
        <is>
          <t>CHAYA MINT 25 SC ENV TBGS</t>
        </is>
      </c>
      <c r="F356" s="7" t="n">
        <v>24</v>
      </c>
      <c r="G356" s="7" t="inlineStr">
        <is>
          <t>CTN</t>
        </is>
      </c>
      <c r="H356">
        <f>#N/A</f>
        <v/>
      </c>
    </row>
    <row r="357" ht="14.25" customHeight="1" s="5">
      <c r="A357" s="7" t="n">
        <v>23443</v>
      </c>
      <c r="B357" s="7" t="inlineStr">
        <is>
          <t>CHAYA ORANGE 24/25 DC ENV TBGS</t>
        </is>
      </c>
      <c r="C357" s="7" t="inlineStr">
        <is>
          <t>CHAYA</t>
        </is>
      </c>
      <c r="D357" s="7" t="n">
        <v>1400</v>
      </c>
      <c r="E357" s="7" t="inlineStr">
        <is>
          <t>CHAYA ORANGE 25 DC ENV TBGS</t>
        </is>
      </c>
      <c r="F357" s="7" t="n">
        <v>24</v>
      </c>
      <c r="G357" s="7" t="inlineStr">
        <is>
          <t>CTN</t>
        </is>
      </c>
      <c r="H357" t="inlineStr">
        <is>
          <t>BLEND AX-BLACK ORANGE TB</t>
        </is>
      </c>
    </row>
    <row r="358" ht="14.25" customHeight="1" s="5">
      <c r="A358" s="7" t="n">
        <v>1399</v>
      </c>
      <c r="B358" s="7" t="inlineStr">
        <is>
          <t>CHAYA ORANGE 24/25 DC ENV TBGS WITH TSHIRT &amp; POSTER</t>
        </is>
      </c>
      <c r="C358" s="7" t="inlineStr">
        <is>
          <t>CHAYA</t>
        </is>
      </c>
      <c r="D358" s="7" t="n">
        <v>1400</v>
      </c>
      <c r="E358" s="7" t="inlineStr">
        <is>
          <t>CHAYA ORANGE 25 DC ENV TBGS</t>
        </is>
      </c>
      <c r="F358" s="7" t="n">
        <v>24</v>
      </c>
      <c r="G358" s="7" t="inlineStr">
        <is>
          <t>CTN</t>
        </is>
      </c>
      <c r="H358" t="inlineStr">
        <is>
          <t>BLEND AX-BLACK ORANGE TB</t>
        </is>
      </c>
    </row>
    <row r="359" ht="14.25" customHeight="1" s="5">
      <c r="A359" s="7" t="n">
        <v>1404</v>
      </c>
      <c r="B359" s="7" t="inlineStr">
        <is>
          <t>CHAYA ORANGE 24/25 SC ENV TBGS WITH POSTER</t>
        </is>
      </c>
      <c r="C359" s="7" t="inlineStr">
        <is>
          <t>CHAYA</t>
        </is>
      </c>
      <c r="D359" s="7" t="n">
        <v>1403</v>
      </c>
      <c r="E359" s="7" t="inlineStr">
        <is>
          <t>CHAYA ORANGE 25 SC ENV TBGS</t>
        </is>
      </c>
      <c r="F359" s="7" t="n">
        <v>24</v>
      </c>
      <c r="G359" s="7" t="inlineStr">
        <is>
          <t>CTN</t>
        </is>
      </c>
      <c r="H359">
        <f>#N/A</f>
        <v/>
      </c>
    </row>
    <row r="360" ht="14.25" customHeight="1" s="5">
      <c r="A360" s="7" t="n">
        <v>1406</v>
      </c>
      <c r="B360" s="7" t="inlineStr">
        <is>
          <t>CHAYA ORANGE 24/25 SC ENV TBGS WITH TSHIRT AND POSTER</t>
        </is>
      </c>
      <c r="C360" s="7" t="inlineStr">
        <is>
          <t>CHAYA</t>
        </is>
      </c>
      <c r="D360" s="7" t="n">
        <v>1403</v>
      </c>
      <c r="E360" s="7" t="inlineStr">
        <is>
          <t>CHAYA ORANGE 25 SC ENV TBGS</t>
        </is>
      </c>
      <c r="F360" s="7" t="n">
        <v>24</v>
      </c>
      <c r="G360" s="7" t="inlineStr">
        <is>
          <t>CTN</t>
        </is>
      </c>
      <c r="H360">
        <f>#N/A</f>
        <v/>
      </c>
    </row>
    <row r="361" ht="14.25" customHeight="1" s="5">
      <c r="A361" s="7" t="n">
        <v>23447</v>
      </c>
      <c r="B361" s="7" t="inlineStr">
        <is>
          <t>CHAYA PINEAPPLE 24/25 DC ENV TBGS</t>
        </is>
      </c>
      <c r="C361" s="7" t="inlineStr">
        <is>
          <t>CHAYA</t>
        </is>
      </c>
      <c r="D361" s="7" t="n">
        <v>23454</v>
      </c>
      <c r="E361" s="7" t="inlineStr">
        <is>
          <t>CHAYA PINEAPPLE 25 DC ENV TBGS</t>
        </is>
      </c>
      <c r="F361" s="7" t="n">
        <v>24</v>
      </c>
      <c r="G361" s="7" t="inlineStr">
        <is>
          <t>CTN</t>
        </is>
      </c>
      <c r="H361" t="inlineStr">
        <is>
          <t>BLEND BLACK TEA PINEAPPLE TB</t>
        </is>
      </c>
    </row>
    <row r="362" ht="14.25" customHeight="1" s="5">
      <c r="A362" s="7" t="n">
        <v>1408</v>
      </c>
      <c r="B362" s="7" t="inlineStr">
        <is>
          <t>CHAYA PINEAPPLE 24/25 SC ENV TBGS WITH POSTER</t>
        </is>
      </c>
      <c r="C362" s="7" t="inlineStr">
        <is>
          <t>CHAYA</t>
        </is>
      </c>
      <c r="D362" s="7" t="n">
        <v>451</v>
      </c>
      <c r="E362" s="7" t="inlineStr">
        <is>
          <t>CHAYA PINEAPPLE 25 SC ENV TBGS</t>
        </is>
      </c>
      <c r="F362" s="7" t="n">
        <v>24</v>
      </c>
      <c r="G362" s="7" t="inlineStr">
        <is>
          <t>CTN</t>
        </is>
      </c>
      <c r="H362">
        <f>#N/A</f>
        <v/>
      </c>
    </row>
    <row r="363" ht="14.25" customHeight="1" s="5">
      <c r="A363" s="7" t="n">
        <v>1410</v>
      </c>
      <c r="B363" s="7" t="inlineStr">
        <is>
          <t>CHAYA PINEAPPLE 24/25 SC ENV TBGS WITH TSHIRT AND POSTER</t>
        </is>
      </c>
      <c r="C363" s="7" t="inlineStr">
        <is>
          <t>CHAYA</t>
        </is>
      </c>
      <c r="D363" s="7" t="n">
        <v>451</v>
      </c>
      <c r="E363" s="7" t="inlineStr">
        <is>
          <t>CHAYA PINEAPPLE 25 SC ENV TBGS</t>
        </is>
      </c>
      <c r="F363" s="7" t="n">
        <v>24</v>
      </c>
      <c r="G363" s="7" t="inlineStr">
        <is>
          <t>CTN</t>
        </is>
      </c>
      <c r="H363">
        <f>#N/A</f>
        <v/>
      </c>
    </row>
    <row r="364" ht="14.25" customHeight="1" s="5">
      <c r="A364" s="7" t="n">
        <v>23441</v>
      </c>
      <c r="B364" s="7" t="inlineStr">
        <is>
          <t>CHAYA STRAWBERRY 24/25 DC ENV TBGS</t>
        </is>
      </c>
      <c r="C364" s="7" t="inlineStr">
        <is>
          <t>CHAYA</t>
        </is>
      </c>
      <c r="D364" s="7" t="n">
        <v>1413</v>
      </c>
      <c r="E364" s="7" t="inlineStr">
        <is>
          <t>CHAYA STRAWBERRY 25 DC ENV TBGS</t>
        </is>
      </c>
      <c r="F364" s="7" t="n">
        <v>24</v>
      </c>
      <c r="G364" s="7" t="inlineStr">
        <is>
          <t>CTN</t>
        </is>
      </c>
      <c r="H364" t="inlineStr">
        <is>
          <t>BLEND STRAWBERRY TB</t>
        </is>
      </c>
    </row>
    <row r="365" ht="14.25" customHeight="1" s="5">
      <c r="A365" s="7" t="n">
        <v>1412</v>
      </c>
      <c r="B365" s="7" t="inlineStr">
        <is>
          <t>CHAYA STRAWBERRY 24/25 DC ENV TBGS WITH TSHIRT &amp; POSTER</t>
        </is>
      </c>
      <c r="C365" s="7" t="inlineStr">
        <is>
          <t>CHAYA</t>
        </is>
      </c>
      <c r="D365" s="7" t="n">
        <v>1413</v>
      </c>
      <c r="E365" s="7" t="inlineStr">
        <is>
          <t>CHAYA STRAWBERRY 25 DC ENV TBGS</t>
        </is>
      </c>
      <c r="F365" s="7" t="n">
        <v>24</v>
      </c>
      <c r="G365" s="7" t="inlineStr">
        <is>
          <t>CTN</t>
        </is>
      </c>
      <c r="H365" t="inlineStr">
        <is>
          <t>BLEND STRAWBERRY TB</t>
        </is>
      </c>
    </row>
    <row r="366" ht="14.25" customHeight="1" s="5">
      <c r="A366" s="7" t="n">
        <v>1417</v>
      </c>
      <c r="B366" s="7" t="inlineStr">
        <is>
          <t>CHAYA STRAWBERRY 24/25 SC ENV TBGS WITH POSTER</t>
        </is>
      </c>
      <c r="C366" s="7" t="inlineStr">
        <is>
          <t>CHAYA</t>
        </is>
      </c>
      <c r="D366" s="7" t="n">
        <v>1416</v>
      </c>
      <c r="E366" s="7" t="inlineStr">
        <is>
          <t>CHAYA STRAWBERRY 25 SC ENV TBGS</t>
        </is>
      </c>
      <c r="F366" s="7" t="n">
        <v>24</v>
      </c>
      <c r="G366" s="7" t="inlineStr">
        <is>
          <t>CTN</t>
        </is>
      </c>
      <c r="H366">
        <f>#N/A</f>
        <v/>
      </c>
    </row>
    <row r="367" ht="14.25" customHeight="1" s="5">
      <c r="A367" s="7" t="n">
        <v>463</v>
      </c>
      <c r="B367" s="7" t="inlineStr">
        <is>
          <t>CHAYA STRAWBERRY 24/25 SC ENV TBGS WITH TSHIRT AND POSTER</t>
        </is>
      </c>
      <c r="C367" s="7" t="inlineStr">
        <is>
          <t>CHAYA</t>
        </is>
      </c>
      <c r="D367" s="7" t="n">
        <v>1416</v>
      </c>
      <c r="E367" s="7" t="inlineStr">
        <is>
          <t>CHAYA STRAWBERRY 25 SC ENV TBGS</t>
        </is>
      </c>
      <c r="F367" s="7" t="n">
        <v>24</v>
      </c>
      <c r="G367" s="7" t="inlineStr">
        <is>
          <t>CTN</t>
        </is>
      </c>
      <c r="H367">
        <f>#N/A</f>
        <v/>
      </c>
    </row>
    <row r="368" ht="14.25" customHeight="1" s="5">
      <c r="A368" s="7" t="n">
        <v>23446</v>
      </c>
      <c r="B368" s="7" t="inlineStr">
        <is>
          <t>CHAYA TAMARIND 24/25 DC ENV TBGS</t>
        </is>
      </c>
      <c r="C368" s="7" t="inlineStr">
        <is>
          <t>CHAYA</t>
        </is>
      </c>
      <c r="D368" s="7" t="n">
        <v>23455</v>
      </c>
      <c r="E368" s="7" t="inlineStr">
        <is>
          <t>CHAYA TAMARIND 25 DC ENV TBGS</t>
        </is>
      </c>
      <c r="F368" s="7" t="n">
        <v>24</v>
      </c>
      <c r="G368" s="7" t="inlineStr">
        <is>
          <t>CTN</t>
        </is>
      </c>
      <c r="H368" t="inlineStr">
        <is>
          <t>BLEND BLACK TEA WITH TAMARIND FLAVOUR</t>
        </is>
      </c>
    </row>
    <row r="369" ht="14.25" customHeight="1" s="5">
      <c r="A369" s="7" t="n">
        <v>470</v>
      </c>
      <c r="B369" s="7" t="inlineStr">
        <is>
          <t>CHAYA TAMARIND 24/25 SC ENV TBGS WITH POSTER</t>
        </is>
      </c>
      <c r="C369" s="7" t="inlineStr">
        <is>
          <t>CHAYA</t>
        </is>
      </c>
      <c r="D369" s="7" t="n">
        <v>466</v>
      </c>
      <c r="E369" s="7" t="inlineStr">
        <is>
          <t>CHAYA TAMARIND 25 SC ENV TBGS</t>
        </is>
      </c>
      <c r="F369" s="7" t="n">
        <v>24</v>
      </c>
      <c r="G369" s="7" t="inlineStr">
        <is>
          <t>CTN</t>
        </is>
      </c>
      <c r="H369">
        <f>#N/A</f>
        <v/>
      </c>
    </row>
    <row r="370" ht="14.25" customHeight="1" s="5">
      <c r="A370" s="7" t="n">
        <v>1419</v>
      </c>
      <c r="B370" s="7" t="inlineStr">
        <is>
          <t>CHAYA TAMARIND 24/25 SC ENV TBGS WITH TSHIRT AND POSTER</t>
        </is>
      </c>
      <c r="C370" s="7" t="inlineStr">
        <is>
          <t>CHAYA</t>
        </is>
      </c>
      <c r="D370" s="7" t="n">
        <v>466</v>
      </c>
      <c r="E370" s="7" t="inlineStr">
        <is>
          <t>CHAYA TAMARIND 25 SC ENV TBGS</t>
        </is>
      </c>
      <c r="F370" s="7" t="n">
        <v>24</v>
      </c>
      <c r="G370" s="7" t="inlineStr">
        <is>
          <t>CTN</t>
        </is>
      </c>
      <c r="H370">
        <f>#N/A</f>
        <v/>
      </c>
    </row>
    <row r="371" ht="14.25" customHeight="1" s="5">
      <c r="A371" s="7" t="n">
        <v>474</v>
      </c>
      <c r="B371" s="7" t="inlineStr">
        <is>
          <t>CHAYA VANILA 24/25 SC ENV TBGS WITH TSHIRT AND POSTER</t>
        </is>
      </c>
      <c r="C371" s="7" t="inlineStr">
        <is>
          <t>CHAYA</t>
        </is>
      </c>
      <c r="D371" s="7" t="n">
        <v>1422</v>
      </c>
      <c r="E371" s="7" t="inlineStr">
        <is>
          <t>CHAYA VANILLA 25 SC ENV TBGS</t>
        </is>
      </c>
      <c r="F371" s="7" t="n">
        <v>24</v>
      </c>
      <c r="G371" s="7" t="inlineStr">
        <is>
          <t>CTN</t>
        </is>
      </c>
      <c r="H371">
        <f>#N/A</f>
        <v/>
      </c>
    </row>
    <row r="372" ht="14.25" customHeight="1" s="5">
      <c r="A372" s="7" t="n">
        <v>23001</v>
      </c>
      <c r="B372" s="7" t="inlineStr">
        <is>
          <t>CHESTNUT HILL 6/24 PFSTAG TBGS</t>
        </is>
      </c>
      <c r="C372" s="7" t="inlineStr">
        <is>
          <t>CHESTNUT</t>
        </is>
      </c>
      <c r="D372" s="7" t="n">
        <v>23014</v>
      </c>
      <c r="E372" s="7" t="inlineStr">
        <is>
          <t>CHESTNUT HILL 24 PFSTAG TBGS</t>
        </is>
      </c>
      <c r="F372" s="7" t="n">
        <v>6</v>
      </c>
      <c r="G372" s="7" t="inlineStr">
        <is>
          <t>CTN</t>
        </is>
      </c>
      <c r="H372" t="inlineStr">
        <is>
          <t>BLEND 7022</t>
        </is>
      </c>
    </row>
    <row r="373" ht="14.25" customHeight="1" s="5">
      <c r="A373" s="7" t="n">
        <v>24543</v>
      </c>
      <c r="B373" s="7" t="inlineStr">
        <is>
          <t>COFFEEDAY ROOSH ASSAM 6/100 DC HS SF ENV TBGS</t>
        </is>
      </c>
      <c r="C373" s="7" t="inlineStr">
        <is>
          <t>COFFEEDAY ROOSH</t>
        </is>
      </c>
      <c r="D373" s="7" t="n">
        <v>24542</v>
      </c>
      <c r="E373" s="7" t="inlineStr">
        <is>
          <t>COFFEEDAY ROOSH ASSAM 100 DC HS SF ENV TBGS</t>
        </is>
      </c>
      <c r="F373" s="7" t="n">
        <v>6</v>
      </c>
      <c r="G373" s="7" t="inlineStr">
        <is>
          <t>CTN</t>
        </is>
      </c>
      <c r="H373" t="inlineStr">
        <is>
          <t>BLEND 909</t>
        </is>
      </c>
    </row>
    <row r="374" ht="14.25" customHeight="1" s="5">
      <c r="A374" s="7" t="n">
        <v>32754</v>
      </c>
      <c r="B374" s="7" t="inlineStr">
        <is>
          <t>COFFEEDAY ROOSH DIP TEA ASSAM 12/100 DC TAG TBGS(1.8g)</t>
        </is>
      </c>
      <c r="C374" s="7" t="inlineStr">
        <is>
          <t>COFFEEDAY ROOSH</t>
        </is>
      </c>
      <c r="D374" s="7" t="n">
        <v>2854</v>
      </c>
      <c r="E374" s="7" t="inlineStr">
        <is>
          <t>COFFEEDAY ROOSH DIP TEA ASSAM 100 DC TAG TBGS</t>
        </is>
      </c>
      <c r="F374" s="7" t="n">
        <v>12</v>
      </c>
      <c r="G374" s="7" t="inlineStr">
        <is>
          <t>CTN</t>
        </is>
      </c>
      <c r="H374" t="inlineStr">
        <is>
          <t>BLEND 909</t>
        </is>
      </c>
    </row>
    <row r="375" ht="14.25" customHeight="1" s="5">
      <c r="A375" s="7" t="n">
        <v>26026</v>
      </c>
      <c r="B375" s="7" t="inlineStr">
        <is>
          <t>COFFEEDAY ROOSH GREEN 24/25 DC SF HS ENV TBGS</t>
        </is>
      </c>
      <c r="C375" s="7" t="inlineStr">
        <is>
          <t>COFFEEDAY ROOSH</t>
        </is>
      </c>
      <c r="D375" s="7" t="n">
        <v>26027</v>
      </c>
      <c r="E375" s="7" t="inlineStr">
        <is>
          <t>COFFEEDAY ROOSH GREEN 25 DC SF HS ENV TBGS</t>
        </is>
      </c>
      <c r="F375" s="7" t="n">
        <v>24</v>
      </c>
      <c r="G375" s="7" t="inlineStr">
        <is>
          <t>CTN</t>
        </is>
      </c>
      <c r="H375" t="inlineStr">
        <is>
          <t>BLEND GREEN PL</t>
        </is>
      </c>
    </row>
    <row r="376" ht="14.25" customHeight="1" s="5">
      <c r="A376" s="7" t="n">
        <v>34517</v>
      </c>
      <c r="B376" s="7" t="inlineStr">
        <is>
          <t>COFFEEDAY ROOSH GREEN 24/25 DC SF HS ENV TBGS--1.5g</t>
        </is>
      </c>
      <c r="C376" s="7" t="inlineStr">
        <is>
          <t>COFFEEDAY ROOSH</t>
        </is>
      </c>
      <c r="D376" s="7" t="n">
        <v>34518</v>
      </c>
      <c r="E376" s="7" t="inlineStr">
        <is>
          <t>COFFEEDAY ROOSH GREEN 25 DC SF HS ENV TBGS -- 1.5g</t>
        </is>
      </c>
      <c r="F376" s="7" t="n">
        <v>24</v>
      </c>
      <c r="G376" s="7" t="inlineStr">
        <is>
          <t>CTN</t>
        </is>
      </c>
      <c r="H376" t="inlineStr">
        <is>
          <t>BLEND GREEN PL</t>
        </is>
      </c>
    </row>
    <row r="377" ht="14.25" customHeight="1" s="5">
      <c r="A377" s="7" t="n">
        <v>2865</v>
      </c>
      <c r="B377" s="7" t="inlineStr">
        <is>
          <t>COFFEEDAY ROOSH GREEN 24/25 SC HS ENV TBGS</t>
        </is>
      </c>
      <c r="C377" s="7" t="inlineStr">
        <is>
          <t>COFFEEDAY ROOSH</t>
        </is>
      </c>
      <c r="D377" s="7" t="n">
        <v>2866</v>
      </c>
      <c r="E377" s="7" t="inlineStr">
        <is>
          <t>COFFEEDAY ROOSH GREEN 25 SC HS ENV TBGS</t>
        </is>
      </c>
      <c r="F377" s="7" t="n">
        <v>24</v>
      </c>
      <c r="G377" s="7" t="inlineStr">
        <is>
          <t>CTN</t>
        </is>
      </c>
      <c r="H377" t="inlineStr">
        <is>
          <t>BLEND GREEN PL</t>
        </is>
      </c>
    </row>
    <row r="378" ht="14.25" customHeight="1" s="5">
      <c r="A378" s="7" t="n">
        <v>34742</v>
      </c>
      <c r="B378" s="7" t="inlineStr">
        <is>
          <t>COFFEEDAY ROOSH GREEN 24/25 SC HS ENV TBGS -- 1.5g</t>
        </is>
      </c>
      <c r="C378" s="7" t="inlineStr">
        <is>
          <t>TE-A-ME</t>
        </is>
      </c>
      <c r="D378" s="7" t="n">
        <v>34715</v>
      </c>
      <c r="E378" s="7" t="inlineStr">
        <is>
          <t>COFFEEDAY ROOSH GREEN 25 SC HS ENV TBGS -- 1.5g</t>
        </is>
      </c>
      <c r="F378" s="7" t="n">
        <v>24</v>
      </c>
      <c r="G378" s="7" t="inlineStr">
        <is>
          <t>CTN</t>
        </is>
      </c>
      <c r="H378" t="inlineStr">
        <is>
          <t>BLEND GREEN PL</t>
        </is>
      </c>
    </row>
    <row r="379" ht="14.25" customHeight="1" s="5">
      <c r="A379" s="7" t="n">
        <v>25964</v>
      </c>
      <c r="B379" s="7" t="inlineStr">
        <is>
          <t>COFFEEDAY ROOSH GREEN TEA HONEY LEMON 24/25 DC SF HS ENV TBGS</t>
        </is>
      </c>
      <c r="C379" s="7" t="inlineStr">
        <is>
          <t>COFFEEDAY ROOSH</t>
        </is>
      </c>
      <c r="D379" s="7" t="n">
        <v>25967</v>
      </c>
      <c r="E379" s="7" t="inlineStr">
        <is>
          <t>COFFEEDAY ROOSH GREEN TEA HONEY LEMON 25 DC SF HS ENV TBGS</t>
        </is>
      </c>
      <c r="F379" s="7" t="n">
        <v>24</v>
      </c>
      <c r="G379" s="7" t="inlineStr">
        <is>
          <t>CTN</t>
        </is>
      </c>
      <c r="H379" t="inlineStr">
        <is>
          <t>BLEND CCD GREEN TEA HONEY LEMON</t>
        </is>
      </c>
    </row>
    <row r="380" ht="14.25" customHeight="1" s="5">
      <c r="A380" s="7" t="n">
        <v>25965</v>
      </c>
      <c r="B380" s="7" t="inlineStr">
        <is>
          <t>COFFEEDAY ROOSH GREEN TEA LEMON 24/25 DC SF HS ENV TBGS</t>
        </is>
      </c>
      <c r="C380" s="7" t="inlineStr">
        <is>
          <t>COFFEEDAY ROOSH</t>
        </is>
      </c>
      <c r="D380" s="7" t="n">
        <v>25968</v>
      </c>
      <c r="E380" s="7" t="inlineStr">
        <is>
          <t>COFFEEDAY ROOSH GREEN TEA LEMON 25 DC SF HS ENV TBGS</t>
        </is>
      </c>
      <c r="F380" s="7" t="n">
        <v>24</v>
      </c>
      <c r="G380" s="7" t="inlineStr">
        <is>
          <t>CTN</t>
        </is>
      </c>
      <c r="H380" t="inlineStr">
        <is>
          <t>BLEND CCD GREEN TEA LEMON</t>
        </is>
      </c>
    </row>
    <row r="381" ht="14.25" customHeight="1" s="5">
      <c r="A381" s="7" t="n">
        <v>25966</v>
      </c>
      <c r="B381" s="7" t="inlineStr">
        <is>
          <t>COFFEEDAY ROOSH GREEN TEA MINT 24/25 DC SF HS ENV TBGS</t>
        </is>
      </c>
      <c r="C381" s="7" t="inlineStr">
        <is>
          <t>COFFEEDAY ROOSH</t>
        </is>
      </c>
      <c r="D381" s="7" t="n">
        <v>25969</v>
      </c>
      <c r="E381" s="7" t="inlineStr">
        <is>
          <t>COFFEEDAY ROOSH GREEN TEA MINT 25 DC SF HS ENV TBGS</t>
        </is>
      </c>
      <c r="F381" s="7" t="n">
        <v>24</v>
      </c>
      <c r="G381" s="7" t="inlineStr">
        <is>
          <t>CTN</t>
        </is>
      </c>
      <c r="H381" t="inlineStr">
        <is>
          <t>BLEND CCD GREEN TEA MINT</t>
        </is>
      </c>
    </row>
    <row r="382" ht="14.25" customHeight="1" s="5">
      <c r="A382" s="7" t="n">
        <v>24544</v>
      </c>
      <c r="B382" s="7" t="inlineStr">
        <is>
          <t>COFFEEDAY ROOSH LEMON DIP TEA 24/25 DC HS SF ENV TBGS</t>
        </is>
      </c>
      <c r="C382" s="7" t="inlineStr">
        <is>
          <t>COFFEEDAY ROOSH</t>
        </is>
      </c>
      <c r="D382" s="7" t="n">
        <v>24541</v>
      </c>
      <c r="E382" s="7" t="inlineStr">
        <is>
          <t>COFFEEDAY ROOSH LEMON DIP TEA 25 DC HS SF ENV TBGS</t>
        </is>
      </c>
      <c r="F382" s="7" t="n">
        <v>24</v>
      </c>
      <c r="G382" s="7" t="inlineStr">
        <is>
          <t>CTN</t>
        </is>
      </c>
      <c r="H382" t="inlineStr">
        <is>
          <t>BLEND CCD LEMON</t>
        </is>
      </c>
    </row>
    <row r="383" ht="14.25" customHeight="1" s="5">
      <c r="A383" s="7" t="n">
        <v>31992</v>
      </c>
      <c r="B383" s="7" t="inlineStr">
        <is>
          <t>CONTINENTAL CHAAY 24/500 GMS PKT TEA</t>
        </is>
      </c>
      <c r="C383" s="7" t="inlineStr">
        <is>
          <t>CONTINENTAL CHAAY</t>
        </is>
      </c>
      <c r="D383" s="7" t="n">
        <v>31873</v>
      </c>
      <c r="E383" s="7" t="inlineStr">
        <is>
          <t>CONTINENTAL CHAAY 500 GMS PKT TEA</t>
        </is>
      </c>
      <c r="F383" s="7" t="n">
        <v>24</v>
      </c>
      <c r="G383" s="7" t="inlineStr">
        <is>
          <t>POUCH</t>
        </is>
      </c>
      <c r="H383" t="inlineStr">
        <is>
          <t>BLEND XTC</t>
        </is>
      </c>
    </row>
    <row r="384" ht="14.25" customHeight="1" s="5">
      <c r="A384" s="7" t="n">
        <v>31932</v>
      </c>
      <c r="B384" s="7" t="inlineStr">
        <is>
          <t>CONTINENTAL CHAAY 48/250 GMS PKT TEA</t>
        </is>
      </c>
      <c r="C384" s="7" t="inlineStr">
        <is>
          <t>CONTINENTAL CHAAY</t>
        </is>
      </c>
      <c r="D384" s="7" t="n">
        <v>31872</v>
      </c>
      <c r="E384" s="7" t="inlineStr">
        <is>
          <t>CONTINENTAL CHAAY 250 GMS PKT TEA</t>
        </is>
      </c>
      <c r="F384" s="7" t="n">
        <v>48</v>
      </c>
      <c r="G384" s="7" t="inlineStr">
        <is>
          <t>POUCH</t>
        </is>
      </c>
      <c r="H384" t="inlineStr">
        <is>
          <t>BLEND XTC</t>
        </is>
      </c>
    </row>
    <row r="385" ht="14.25" customHeight="1" s="5">
      <c r="A385" s="7" t="n">
        <v>28636</v>
      </c>
      <c r="B385" s="7" t="inlineStr">
        <is>
          <t>CONTINENTAL CHAAY ASSAM GOLD 36/100 DC SF TAG TBGS</t>
        </is>
      </c>
      <c r="C385" s="7" t="inlineStr">
        <is>
          <t>CONTINENTAL CHAAY</t>
        </is>
      </c>
      <c r="D385" s="7" t="n">
        <v>28642</v>
      </c>
      <c r="E385" s="7" t="inlineStr">
        <is>
          <t>CONTINENTAL CHAAY ASSAM GOLD 100 DC SF TAG TBGS</t>
        </is>
      </c>
      <c r="F385" s="7" t="n">
        <v>36</v>
      </c>
      <c r="G385" s="7" t="inlineStr">
        <is>
          <t>CTN</t>
        </is>
      </c>
      <c r="H385" t="inlineStr">
        <is>
          <t>BLEND PL</t>
        </is>
      </c>
    </row>
    <row r="386" ht="14.25" customHeight="1" s="5">
      <c r="A386" s="7" t="n">
        <v>28637</v>
      </c>
      <c r="B386" s="7" t="inlineStr">
        <is>
          <t>CONTINENTAL CHAAY CARDAMOM 36/100 DC SF TAG TBGS</t>
        </is>
      </c>
      <c r="C386" s="7" t="inlineStr">
        <is>
          <t>CONTINENTAL CHAAY</t>
        </is>
      </c>
      <c r="D386" s="7" t="n">
        <v>28644</v>
      </c>
      <c r="E386" s="7" t="inlineStr">
        <is>
          <t>CONTINENTAL CHAAY CARDAMOM 100 DC SF TAG TBGS</t>
        </is>
      </c>
      <c r="F386" s="7" t="n">
        <v>36</v>
      </c>
      <c r="G386" s="7" t="inlineStr">
        <is>
          <t>CTN</t>
        </is>
      </c>
      <c r="H386" t="inlineStr">
        <is>
          <t>BLEND BLACK TEA CARDAMOM FLV TBC</t>
        </is>
      </c>
    </row>
    <row r="387" ht="14.25" customHeight="1" s="5">
      <c r="A387" s="7" t="n">
        <v>28639</v>
      </c>
      <c r="B387" s="7" t="inlineStr">
        <is>
          <t>CONTINENTAL CHAAY GINGER 36/100 DC SF TAG TBGS</t>
        </is>
      </c>
      <c r="C387" s="7" t="inlineStr">
        <is>
          <t>CONTINENTAL CHAAY</t>
        </is>
      </c>
      <c r="D387" s="7" t="n">
        <v>28646</v>
      </c>
      <c r="E387" s="7" t="inlineStr">
        <is>
          <t>CONTINENTAL CHAAY GINGER 100 DC SF TAG TBGS</t>
        </is>
      </c>
      <c r="F387" s="7" t="n">
        <v>36</v>
      </c>
      <c r="G387" s="7" t="inlineStr">
        <is>
          <t>CTN</t>
        </is>
      </c>
      <c r="H387" t="inlineStr">
        <is>
          <t>BLEND BLACK TEA GINGER FLVR TBC</t>
        </is>
      </c>
    </row>
    <row r="388" ht="14.25" customHeight="1" s="5">
      <c r="A388" s="7" t="n">
        <v>28641</v>
      </c>
      <c r="B388" s="7" t="inlineStr">
        <is>
          <t>CONTINENTAL CHAAY GREEN 36/100 DC SF TAG TBGS</t>
        </is>
      </c>
      <c r="C388" s="7" t="inlineStr">
        <is>
          <t>CONTINENTAL CHAAY</t>
        </is>
      </c>
      <c r="D388" s="7" t="n">
        <v>28643</v>
      </c>
      <c r="E388" s="7" t="inlineStr">
        <is>
          <t>CONTINENTAL CHAAY GREEN 100 DC SF TAG TBGS</t>
        </is>
      </c>
      <c r="F388" s="7" t="n">
        <v>36</v>
      </c>
      <c r="G388" s="7" t="inlineStr">
        <is>
          <t>CTN</t>
        </is>
      </c>
      <c r="H388" t="inlineStr">
        <is>
          <t>BLEND GREEN PL</t>
        </is>
      </c>
    </row>
    <row r="389" ht="14.25" customHeight="1" s="5">
      <c r="A389" s="7" t="n">
        <v>28638</v>
      </c>
      <c r="B389" s="7" t="inlineStr">
        <is>
          <t>CONTINENTAL CHAAY LEMON 36/100 DC SF TAG TBGS</t>
        </is>
      </c>
      <c r="C389" s="7" t="inlineStr">
        <is>
          <t>CONTINENTAL CHAAY</t>
        </is>
      </c>
      <c r="D389" s="7" t="n">
        <v>28645</v>
      </c>
      <c r="E389" s="7" t="inlineStr">
        <is>
          <t>CONTINENTAL CHAAY LEMON 100 DC SF TAG TBGS</t>
        </is>
      </c>
      <c r="F389" s="7" t="n">
        <v>36</v>
      </c>
      <c r="G389" s="7" t="inlineStr">
        <is>
          <t>CTN</t>
        </is>
      </c>
      <c r="H389" t="inlineStr">
        <is>
          <t>BLEND BLACK TEA LEMON CCL TB</t>
        </is>
      </c>
    </row>
    <row r="390" ht="14.25" customHeight="1" s="5">
      <c r="A390" s="7" t="n">
        <v>28640</v>
      </c>
      <c r="B390" s="7" t="inlineStr">
        <is>
          <t>CONTINENTAL CHAAY MASALA 36/100 DC SF TAG TBGS</t>
        </is>
      </c>
      <c r="C390" s="7" t="inlineStr">
        <is>
          <t>CONTINENTAL CHAAY</t>
        </is>
      </c>
      <c r="D390" s="7" t="n">
        <v>28647</v>
      </c>
      <c r="E390" s="7" t="inlineStr">
        <is>
          <t>CONTINENTAL CHAAY MASALA 100 DC SF TAG TBGS</t>
        </is>
      </c>
      <c r="F390" s="7" t="n">
        <v>36</v>
      </c>
      <c r="G390" s="7" t="inlineStr">
        <is>
          <t>CTN</t>
        </is>
      </c>
      <c r="H390" t="inlineStr">
        <is>
          <t>BLEND BLACK TEA MASALA TBC</t>
        </is>
      </c>
    </row>
    <row r="391" ht="14.25" customHeight="1" s="5">
      <c r="A391" s="7" t="n">
        <v>1431</v>
      </c>
      <c r="B391" s="7" t="inlineStr">
        <is>
          <t>COTTERLEY - THE BREAKFAST 12/25 DC SF HS ENV TBGS</t>
        </is>
      </c>
      <c r="C391" s="7" t="inlineStr">
        <is>
          <t>COTTERLEY</t>
        </is>
      </c>
      <c r="D391" s="7" t="n">
        <v>1432</v>
      </c>
      <c r="E391" s="7" t="inlineStr">
        <is>
          <t>COTTERLEY - THE BREAKFAST 25 DC SF HS ENV TBGS</t>
        </is>
      </c>
      <c r="F391" s="7" t="n">
        <v>12</v>
      </c>
      <c r="G391" s="7" t="inlineStr">
        <is>
          <t>CTN</t>
        </is>
      </c>
      <c r="H391" t="inlineStr">
        <is>
          <t>BLEND A33</t>
        </is>
      </c>
    </row>
    <row r="392" ht="14.25" customHeight="1" s="5">
      <c r="A392" s="7" t="n">
        <v>1438</v>
      </c>
      <c r="B392" s="7" t="inlineStr">
        <is>
          <t>COTTERLEY - THE BREAKFAST 12/50 DC SF HS ENV TBGS</t>
        </is>
      </c>
      <c r="C392" s="7" t="inlineStr">
        <is>
          <t>COTTERLEY</t>
        </is>
      </c>
      <c r="D392" s="7" t="n">
        <v>1439</v>
      </c>
      <c r="E392" s="7" t="inlineStr">
        <is>
          <t>COTTERLEY - THE BREAKFAST 50 DC SF HS ENV TBGS</t>
        </is>
      </c>
      <c r="F392" s="7" t="n">
        <v>12</v>
      </c>
      <c r="G392" s="7" t="inlineStr">
        <is>
          <t>CTN</t>
        </is>
      </c>
      <c r="H392" t="inlineStr">
        <is>
          <t>BLEND A33</t>
        </is>
      </c>
    </row>
    <row r="393" ht="14.25" customHeight="1" s="5">
      <c r="A393" s="7" t="n">
        <v>1442</v>
      </c>
      <c r="B393" s="7" t="inlineStr">
        <is>
          <t>COTTERLEY - THE EARL GREY 12/25 DC SF HS ENV TBGS</t>
        </is>
      </c>
      <c r="C393" s="7" t="inlineStr">
        <is>
          <t>COTTERLEY</t>
        </is>
      </c>
      <c r="D393" s="7" t="n">
        <v>1443</v>
      </c>
      <c r="E393" s="7" t="inlineStr">
        <is>
          <t>COTTERLEY - THE EARL GREY 25 DC SF HS ENV TBGS</t>
        </is>
      </c>
      <c r="F393" s="7" t="n">
        <v>12</v>
      </c>
      <c r="G393" s="7" t="inlineStr">
        <is>
          <t>CTN</t>
        </is>
      </c>
      <c r="H393" t="inlineStr">
        <is>
          <t>BLEND EARL GREY JUMBO TBC</t>
        </is>
      </c>
    </row>
    <row r="394" ht="14.25" customHeight="1" s="5">
      <c r="A394" s="7" t="n">
        <v>34777</v>
      </c>
      <c r="B394" s="7" t="inlineStr">
        <is>
          <t>DABUR 1884 CLEANSE 24/20 HERBAL PYRAMID TAG TBGS</t>
        </is>
      </c>
      <c r="C394" s="7" t="inlineStr">
        <is>
          <t>DABUR</t>
        </is>
      </c>
      <c r="D394" s="7" t="n">
        <v>34765</v>
      </c>
      <c r="E394" s="7" t="inlineStr">
        <is>
          <t>DABUR 1884 CLEANSE 20 HERBAL PYRAMID TAG TBGS</t>
        </is>
      </c>
      <c r="F394" s="7" t="n">
        <v>24</v>
      </c>
      <c r="G394" s="7" t="inlineStr">
        <is>
          <t>CTN</t>
        </is>
      </c>
      <c r="H394" t="inlineStr">
        <is>
          <t>BLEND DETOX DABUR PY TB</t>
        </is>
      </c>
    </row>
    <row r="395" ht="14.25" customHeight="1" s="5">
      <c r="A395" s="7" t="n">
        <v>34784</v>
      </c>
      <c r="B395" s="7" t="inlineStr">
        <is>
          <t>DABUR 1884 CLEANSE 6/50 HERBAL PYRAMID ENV TBGS</t>
        </is>
      </c>
      <c r="C395" s="7" t="inlineStr">
        <is>
          <t>DABUR</t>
        </is>
      </c>
      <c r="D395" s="7" t="n">
        <v>34776</v>
      </c>
      <c r="E395" s="7" t="inlineStr">
        <is>
          <t>DABUR 1884 CLEANSE 50 HERBAL PYRAMID ENV TBGS</t>
        </is>
      </c>
      <c r="F395" s="7" t="n">
        <v>6</v>
      </c>
      <c r="G395" s="7" t="inlineStr">
        <is>
          <t>CTN</t>
        </is>
      </c>
      <c r="H395" t="inlineStr">
        <is>
          <t>BLEND DETOX DABUR PY TB</t>
        </is>
      </c>
    </row>
    <row r="396" ht="14.25" customHeight="1" s="5">
      <c r="A396" s="7" t="n">
        <v>34778</v>
      </c>
      <c r="B396" s="7" t="inlineStr">
        <is>
          <t>DABUR 1884 DE-STRESS 24/20 HERBAL PYRAMID TAG TBGS</t>
        </is>
      </c>
      <c r="C396" s="7" t="inlineStr">
        <is>
          <t>DABUR</t>
        </is>
      </c>
      <c r="D396" s="7" t="n">
        <v>34766</v>
      </c>
      <c r="E396" s="7" t="inlineStr">
        <is>
          <t>DABUR 1884 DE-STRESS 20 HERBAL PYRAMID TAG TBGS</t>
        </is>
      </c>
      <c r="F396" s="7" t="n">
        <v>24</v>
      </c>
      <c r="G396" s="7" t="inlineStr">
        <is>
          <t>CTN</t>
        </is>
      </c>
      <c r="H396" t="inlineStr">
        <is>
          <t>BLEND DESTRESS DABUR PY TB</t>
        </is>
      </c>
    </row>
    <row r="397" ht="14.25" customHeight="1" s="5">
      <c r="A397" s="7" t="n">
        <v>34785</v>
      </c>
      <c r="B397" s="7" t="inlineStr">
        <is>
          <t>DABUR 1884 DE-STRESS 6/50 HERBAL PYRAMID ENV TBGS</t>
        </is>
      </c>
      <c r="C397" s="7" t="inlineStr">
        <is>
          <t>DABUR</t>
        </is>
      </c>
      <c r="D397" s="7" t="n">
        <v>34775</v>
      </c>
      <c r="E397" s="7" t="inlineStr">
        <is>
          <t>DABUR 1884 DE-STRESS 50 HERBAL PYRAMID ENV TBGS</t>
        </is>
      </c>
      <c r="F397" s="7" t="n">
        <v>6</v>
      </c>
      <c r="G397" s="7" t="inlineStr">
        <is>
          <t>CTN</t>
        </is>
      </c>
      <c r="H397" t="inlineStr">
        <is>
          <t>BLEND DESTRESS DABUR PY TB</t>
        </is>
      </c>
    </row>
    <row r="398" ht="14.25" customHeight="1" s="5">
      <c r="A398" s="7" t="n">
        <v>34779</v>
      </c>
      <c r="B398" s="7" t="inlineStr">
        <is>
          <t>DABUR 1884 ENERGIZE 24/20 HERBAL PYRAMID TAG TBGS</t>
        </is>
      </c>
      <c r="C398" s="7" t="inlineStr">
        <is>
          <t>DABUR</t>
        </is>
      </c>
      <c r="D398" s="7" t="n">
        <v>34767</v>
      </c>
      <c r="E398" s="7" t="inlineStr">
        <is>
          <t>DABUR 1884 ENERGIZE 20 HERBAL PYRAMID TAG TBGS</t>
        </is>
      </c>
      <c r="F398" s="7" t="n">
        <v>24</v>
      </c>
      <c r="G398" s="7" t="inlineStr">
        <is>
          <t>CTN</t>
        </is>
      </c>
      <c r="H398" t="inlineStr">
        <is>
          <t>BLEND ENERGIZE DABUR PY TB</t>
        </is>
      </c>
    </row>
    <row r="399" ht="14.25" customHeight="1" s="5">
      <c r="A399" s="7" t="n">
        <v>34786</v>
      </c>
      <c r="B399" s="7" t="inlineStr">
        <is>
          <t>DABUR 1884 ENERGIZE 6/50 HERBAL PYRAMID ENV TBGS</t>
        </is>
      </c>
      <c r="C399" s="7" t="inlineStr">
        <is>
          <t>DABUR</t>
        </is>
      </c>
      <c r="D399" s="7" t="n">
        <v>34774</v>
      </c>
      <c r="E399" s="7" t="inlineStr">
        <is>
          <t>DABUR 1884 ENERGIZE 50 HERBAL PYRAMID ENV TBGS</t>
        </is>
      </c>
      <c r="F399" s="7" t="n">
        <v>6</v>
      </c>
      <c r="G399" s="7" t="inlineStr">
        <is>
          <t>CTN</t>
        </is>
      </c>
      <c r="H399" t="inlineStr">
        <is>
          <t>BLEND ENERGIZE DABUR PY TB</t>
        </is>
      </c>
    </row>
    <row r="400" ht="14.25" customHeight="1" s="5">
      <c r="A400" s="7" t="n">
        <v>34780</v>
      </c>
      <c r="B400" s="7" t="inlineStr">
        <is>
          <t>DABUR 1884 IMMUNITY BOOSTER 24/20 HERBAL PYRAMID TAG TBGS</t>
        </is>
      </c>
      <c r="C400" s="7" t="inlineStr">
        <is>
          <t>DABUR</t>
        </is>
      </c>
      <c r="D400" s="7" t="n">
        <v>34768</v>
      </c>
      <c r="E400" s="7" t="inlineStr">
        <is>
          <t>DABUR 1884 IMMUNITY BOOSTER 20 HERBAL PYRAMID TAG TBGS</t>
        </is>
      </c>
      <c r="F400" s="7" t="n">
        <v>24</v>
      </c>
      <c r="G400" s="7" t="inlineStr">
        <is>
          <t>CTN</t>
        </is>
      </c>
      <c r="H400" t="inlineStr">
        <is>
          <t>BLEND IMMUNITY DABUR PY TB</t>
        </is>
      </c>
    </row>
    <row r="401" ht="14.25" customHeight="1" s="5">
      <c r="A401" s="7" t="n">
        <v>34787</v>
      </c>
      <c r="B401" s="7" t="inlineStr">
        <is>
          <t>DABUR 1884 IMMUNITY BOOSTER 6/50 HERBAL PYRAMID ENV TBGS</t>
        </is>
      </c>
      <c r="C401" s="7" t="inlineStr">
        <is>
          <t>DABUR</t>
        </is>
      </c>
      <c r="D401" s="7" t="n">
        <v>34773</v>
      </c>
      <c r="E401" s="7" t="inlineStr">
        <is>
          <t>DABUR 1884 IMMUNITY BOOSTER 50 HERBAL PYRAMID ENV TBGS</t>
        </is>
      </c>
      <c r="F401" s="7" t="n">
        <v>6</v>
      </c>
      <c r="G401" s="7" t="inlineStr">
        <is>
          <t>CTN</t>
        </is>
      </c>
      <c r="H401" t="inlineStr">
        <is>
          <t>BLEND IMMUNITY DABUR PY TB</t>
        </is>
      </c>
    </row>
    <row r="402" ht="14.25" customHeight="1" s="5">
      <c r="A402" s="7" t="n">
        <v>34781</v>
      </c>
      <c r="B402" s="7" t="inlineStr">
        <is>
          <t>DABUR 1884 LADIES’ SPECIAL 24/20 HERBAL PYRAMID TAG TBGS</t>
        </is>
      </c>
      <c r="C402" s="7" t="inlineStr">
        <is>
          <t>DABUR</t>
        </is>
      </c>
      <c r="D402" s="7" t="n">
        <v>34769</v>
      </c>
      <c r="E402" s="7" t="inlineStr">
        <is>
          <t>DABUR 1884 LADIES’ SPECIAL 20 HERBAL PYRAMID TAG TBGS</t>
        </is>
      </c>
      <c r="F402" s="7" t="n">
        <v>24</v>
      </c>
      <c r="G402" s="7" t="inlineStr">
        <is>
          <t>CTN</t>
        </is>
      </c>
      <c r="H402" t="inlineStr">
        <is>
          <t>BLEND LADIES SPECIAL DABUR PY TB</t>
        </is>
      </c>
    </row>
    <row r="403" ht="14.25" customHeight="1" s="5">
      <c r="A403" s="7" t="n">
        <v>34788</v>
      </c>
      <c r="B403" s="7" t="inlineStr">
        <is>
          <t>DABUR 1884 LADIES’ SPECIAL 6/50 HERBAL PYRAMID ENV TBGS</t>
        </is>
      </c>
      <c r="C403" s="7" t="inlineStr">
        <is>
          <t>DABUR</t>
        </is>
      </c>
      <c r="D403" s="7" t="n">
        <v>34772</v>
      </c>
      <c r="E403" s="7" t="inlineStr">
        <is>
          <t>DABUR 1884 LADIES’ SPECIAL 50 HERBAL PYRAMID ENV TBGS</t>
        </is>
      </c>
      <c r="F403" s="7" t="n">
        <v>6</v>
      </c>
      <c r="G403" s="7" t="inlineStr">
        <is>
          <t>CTN</t>
        </is>
      </c>
      <c r="H403" t="inlineStr">
        <is>
          <t>BLEND LADIES SPECIAL DABUR PY TB</t>
        </is>
      </c>
    </row>
    <row r="404" ht="14.25" customHeight="1" s="5">
      <c r="A404" s="7" t="n">
        <v>34783</v>
      </c>
      <c r="B404" s="7" t="inlineStr">
        <is>
          <t>DABUR 1884 TUMMY COMFORT 24/20 HERBAL PYRAMID TAG TBGS</t>
        </is>
      </c>
      <c r="C404" s="7" t="inlineStr">
        <is>
          <t>DABUR</t>
        </is>
      </c>
      <c r="D404" s="7" t="n">
        <v>34770</v>
      </c>
      <c r="E404" s="7" t="inlineStr">
        <is>
          <t>DABUR 1884 TUMMY COMFORT 20 HERBAL PYRAMID TAG TBGS</t>
        </is>
      </c>
      <c r="F404" s="7" t="n">
        <v>24</v>
      </c>
      <c r="G404" s="7" t="inlineStr">
        <is>
          <t>CTN</t>
        </is>
      </c>
      <c r="H404" t="inlineStr">
        <is>
          <t>BLEND TUMMY DABUR PY TB</t>
        </is>
      </c>
    </row>
    <row r="405" ht="14.25" customHeight="1" s="5">
      <c r="A405" s="7" t="n">
        <v>34789</v>
      </c>
      <c r="B405" s="7" t="inlineStr">
        <is>
          <t>DABUR 1884 TUMMY COMFORT 6/50 HERBAL PYRAMID ENV TBGS</t>
        </is>
      </c>
      <c r="C405" s="7" t="inlineStr">
        <is>
          <t>DABUR</t>
        </is>
      </c>
      <c r="D405" s="7" t="n">
        <v>34771</v>
      </c>
      <c r="E405" s="7" t="inlineStr">
        <is>
          <t>DABUR 1884 TUMMY COMFORT 50 HERBAL PYRAMID ENV TBGS</t>
        </is>
      </c>
      <c r="F405" s="7" t="n">
        <v>6</v>
      </c>
      <c r="G405" s="7" t="inlineStr">
        <is>
          <t>CTN</t>
        </is>
      </c>
      <c r="H405" t="inlineStr">
        <is>
          <t>BLEND TUMMY DABUR PY TB</t>
        </is>
      </c>
    </row>
    <row r="406" ht="14.25" customHeight="1" s="5">
      <c r="A406" s="7" t="n">
        <v>31902</v>
      </c>
      <c r="B406" s="7" t="inlineStr">
        <is>
          <t>DASTA FAIRTRADE 4/500 DC ENV TBGS</t>
        </is>
      </c>
      <c r="C406" s="7" t="inlineStr">
        <is>
          <t>DASTA</t>
        </is>
      </c>
      <c r="D406" s="7" t="n">
        <v>32081</v>
      </c>
      <c r="E406" s="7" t="inlineStr">
        <is>
          <t>DASTA FAIRTRADE 500 DC ENV TBGS</t>
        </is>
      </c>
      <c r="F406" s="7" t="n">
        <v>4</v>
      </c>
      <c r="G406" s="7" t="inlineStr">
        <is>
          <t>POUCH</t>
        </is>
      </c>
      <c r="H406" t="inlineStr">
        <is>
          <t>BLEND FAIR TRADE CTC BASE TEA</t>
        </is>
      </c>
    </row>
    <row r="407" ht="14.25" customHeight="1" s="5">
      <c r="A407" s="7" t="n">
        <v>1448</v>
      </c>
      <c r="B407" s="7" t="inlineStr">
        <is>
          <t>DASTA THEE POUCH 60/10 DC ENV TBGS</t>
        </is>
      </c>
      <c r="C407" s="7" t="inlineStr">
        <is>
          <t>DASTA</t>
        </is>
      </c>
      <c r="D407" s="7" t="n">
        <v>1451</v>
      </c>
      <c r="E407" s="7" t="inlineStr">
        <is>
          <t>DASTA LOOSE ENV TBGS DC ENV</t>
        </is>
      </c>
      <c r="F407" s="7" t="n">
        <v>600</v>
      </c>
      <c r="G407" s="7" t="inlineStr">
        <is>
          <t>ENV</t>
        </is>
      </c>
      <c r="H407" t="inlineStr">
        <is>
          <t>BLEND FAIR TRADE CTC BASE TEA</t>
        </is>
      </c>
    </row>
    <row r="408" ht="14.25" customHeight="1" s="5">
      <c r="A408" s="7" t="n">
        <v>23010</v>
      </c>
      <c r="B408" s="7" t="inlineStr">
        <is>
          <t>DELIGHT 12/100 DC ENV TBGS</t>
        </is>
      </c>
      <c r="C408" s="7" t="inlineStr">
        <is>
          <t>DELIGHT</t>
        </is>
      </c>
      <c r="D408" s="7" t="n">
        <v>23013</v>
      </c>
      <c r="E408" s="7" t="inlineStr">
        <is>
          <t>DELIGHT 100 DC ENV TBGS</t>
        </is>
      </c>
      <c r="F408" s="7" t="n">
        <v>12</v>
      </c>
      <c r="G408" s="7" t="inlineStr">
        <is>
          <t>CTN</t>
        </is>
      </c>
      <c r="H408" t="inlineStr">
        <is>
          <t>BLEND A-132</t>
        </is>
      </c>
    </row>
    <row r="409" ht="14.25" customHeight="1" s="5">
      <c r="A409" s="7" t="n">
        <v>22700</v>
      </c>
      <c r="B409" s="7" t="inlineStr">
        <is>
          <t>DELIGHT 48/25 DC ENV TBGS</t>
        </is>
      </c>
      <c r="C409" s="7" t="inlineStr">
        <is>
          <t>DELIGHT</t>
        </is>
      </c>
      <c r="D409" s="7" t="n">
        <v>22701</v>
      </c>
      <c r="E409" s="7" t="inlineStr">
        <is>
          <t>DELIGHT 25 DC ENV TBGS</t>
        </is>
      </c>
      <c r="F409" s="7" t="n">
        <v>48</v>
      </c>
      <c r="G409" s="7" t="inlineStr">
        <is>
          <t>CTN</t>
        </is>
      </c>
      <c r="H409" t="inlineStr">
        <is>
          <t>BLEND A-132</t>
        </is>
      </c>
    </row>
    <row r="410" ht="14.25" customHeight="1" s="5">
      <c r="A410" s="7" t="n">
        <v>35415</v>
      </c>
      <c r="B410" s="7" t="inlineStr">
        <is>
          <t>DILMAH ASSAM 18/100 DC SF ENV TBGS</t>
        </is>
      </c>
      <c r="C410" s="7" t="inlineStr">
        <is>
          <t>DILMAH</t>
        </is>
      </c>
      <c r="D410" s="7" t="n">
        <v>35353</v>
      </c>
      <c r="E410" s="7" t="inlineStr">
        <is>
          <t>DILMAH ASSAM 100 DC SF ENV TBGS</t>
        </is>
      </c>
      <c r="F410" s="7" t="n">
        <v>18</v>
      </c>
      <c r="G410" s="7" t="inlineStr">
        <is>
          <t>CTN</t>
        </is>
      </c>
      <c r="H410" t="inlineStr">
        <is>
          <t>BLEND ASSAM TB DILMAH</t>
        </is>
      </c>
    </row>
    <row r="411" ht="14.25" customHeight="1" s="5">
      <c r="A411" s="7" t="n">
        <v>35422</v>
      </c>
      <c r="B411" s="7" t="inlineStr">
        <is>
          <t>DILMAH CHAMOMILE 18/100 DC SF ENV TBGS</t>
        </is>
      </c>
      <c r="C411" s="7" t="inlineStr">
        <is>
          <t>DILMAH</t>
        </is>
      </c>
      <c r="D411" s="7" t="n">
        <v>35330</v>
      </c>
      <c r="E411" s="7" t="inlineStr">
        <is>
          <t>DILMAH CHAMOMILE 100 DC SF ENV TBGS</t>
        </is>
      </c>
      <c r="F411" s="7" t="n">
        <v>18</v>
      </c>
      <c r="G411" s="7" t="inlineStr">
        <is>
          <t>CTN</t>
        </is>
      </c>
      <c r="H411" t="inlineStr">
        <is>
          <t>BLEND CHAMOMILE TBC</t>
        </is>
      </c>
    </row>
    <row r="412" ht="14.25" customHeight="1" s="5">
      <c r="A412" s="7" t="n">
        <v>35416</v>
      </c>
      <c r="B412" s="7" t="inlineStr">
        <is>
          <t>DILMAH DARJEELING 18/100 DC SF ENV TBGS</t>
        </is>
      </c>
      <c r="C412" s="7" t="inlineStr">
        <is>
          <t>DILMAH</t>
        </is>
      </c>
      <c r="D412" s="7" t="n">
        <v>35354</v>
      </c>
      <c r="E412" s="7" t="inlineStr">
        <is>
          <t>DILMAH DARJEELING 100 DC SF ENV TBGS</t>
        </is>
      </c>
      <c r="F412" s="7" t="n">
        <v>18</v>
      </c>
      <c r="G412" s="7" t="inlineStr">
        <is>
          <t>CTN</t>
        </is>
      </c>
      <c r="H412" t="inlineStr">
        <is>
          <t>BLEND DARJEELING TB DILMAH</t>
        </is>
      </c>
    </row>
    <row r="413" ht="14.25" customHeight="1" s="5">
      <c r="A413" s="7" t="n">
        <v>35418</v>
      </c>
      <c r="B413" s="7" t="inlineStr">
        <is>
          <t>DILMAH EARL GREY 18/100 DC SF ENV TBGS</t>
        </is>
      </c>
      <c r="C413" s="7" t="inlineStr">
        <is>
          <t>DILMAH</t>
        </is>
      </c>
      <c r="D413" s="7" t="n">
        <v>35351</v>
      </c>
      <c r="E413" s="7" t="inlineStr">
        <is>
          <t>DILMAH EARL GREY 100 DC SF ENV TBGS</t>
        </is>
      </c>
      <c r="F413" s="7" t="n">
        <v>18</v>
      </c>
      <c r="G413" s="7" t="inlineStr">
        <is>
          <t>CTN</t>
        </is>
      </c>
      <c r="H413" t="inlineStr">
        <is>
          <t>BLEND BLACK TEA EARL GREY TB DILMAH</t>
        </is>
      </c>
    </row>
    <row r="414" ht="14.25" customHeight="1" s="5">
      <c r="A414" s="7" t="n">
        <v>35417</v>
      </c>
      <c r="B414" s="7" t="inlineStr">
        <is>
          <t>DILMAH ENGLISH BREAK FAST 18/100 DC SF ENV TBGS</t>
        </is>
      </c>
      <c r="C414" s="7" t="inlineStr">
        <is>
          <t>DILMAH</t>
        </is>
      </c>
      <c r="D414" s="7" t="n">
        <v>35352</v>
      </c>
      <c r="E414" s="7" t="inlineStr">
        <is>
          <t>DILMAH ENGLISH BREAK FAST 100 DC SF ENV TBGS</t>
        </is>
      </c>
      <c r="F414" s="7" t="n">
        <v>18</v>
      </c>
      <c r="G414" s="7" t="inlineStr">
        <is>
          <t>CTN</t>
        </is>
      </c>
      <c r="H414" t="inlineStr">
        <is>
          <t>BLEND ENG. BREAK FAST TB DILMAH</t>
        </is>
      </c>
    </row>
    <row r="415" ht="14.25" customHeight="1" s="5">
      <c r="A415" s="7" t="n">
        <v>35420</v>
      </c>
      <c r="B415" s="7" t="inlineStr">
        <is>
          <t>DILMAH GINGER 18/100 DC SF ENV TBGS</t>
        </is>
      </c>
      <c r="C415" s="7" t="inlineStr">
        <is>
          <t>DILMAH</t>
        </is>
      </c>
      <c r="D415" s="7" t="n">
        <v>35335</v>
      </c>
      <c r="E415" s="7" t="inlineStr">
        <is>
          <t>DILMAH GINGER 100 DC SF ENV TBGS</t>
        </is>
      </c>
      <c r="F415" s="7" t="n">
        <v>18</v>
      </c>
      <c r="G415" s="7" t="inlineStr">
        <is>
          <t>CTN</t>
        </is>
      </c>
      <c r="H415" t="inlineStr">
        <is>
          <t>BLEND BLACK TEA GINGER FLVR TBC</t>
        </is>
      </c>
    </row>
    <row r="416" ht="14.25" customHeight="1" s="5">
      <c r="A416" s="7" t="n">
        <v>35424</v>
      </c>
      <c r="B416" s="7" t="inlineStr">
        <is>
          <t>DILMAH GREEN 18/100 DC SF ENV TBGS</t>
        </is>
      </c>
      <c r="C416" s="7" t="inlineStr">
        <is>
          <t>DILMAH</t>
        </is>
      </c>
      <c r="D416" s="7" t="n">
        <v>35350</v>
      </c>
      <c r="E416" s="7" t="inlineStr">
        <is>
          <t>DILMAH GREEN 100 DC SF ENV TBGS</t>
        </is>
      </c>
      <c r="F416" s="7" t="n">
        <v>18</v>
      </c>
      <c r="G416" s="7" t="inlineStr">
        <is>
          <t>CTN</t>
        </is>
      </c>
      <c r="H416" t="inlineStr">
        <is>
          <t>BLEND TEAME GREEN</t>
        </is>
      </c>
    </row>
    <row r="417" ht="14.25" customHeight="1" s="5">
      <c r="A417" s="7" t="n">
        <v>35427</v>
      </c>
      <c r="B417" s="7" t="inlineStr">
        <is>
          <t>DILMAH GREEN TEA JASMINE 18/100 DC SF ENV TBGS</t>
        </is>
      </c>
      <c r="C417" s="7" t="inlineStr">
        <is>
          <t>DILMAH</t>
        </is>
      </c>
      <c r="D417" s="7" t="n">
        <v>35355</v>
      </c>
      <c r="E417" s="7" t="inlineStr">
        <is>
          <t>DILMAH GREEN TEA JASMINE 100 DC SF ENV TBGS</t>
        </is>
      </c>
      <c r="F417" s="7" t="n">
        <v>18</v>
      </c>
      <c r="G417" s="7" t="inlineStr">
        <is>
          <t>CTN</t>
        </is>
      </c>
      <c r="H417" t="inlineStr">
        <is>
          <t>BLEND GREEN TEA JASMINE TB DILMAH</t>
        </is>
      </c>
    </row>
    <row r="418" ht="14.25" customHeight="1" s="5">
      <c r="A418" s="7" t="n">
        <v>35425</v>
      </c>
      <c r="B418" s="7" t="inlineStr">
        <is>
          <t>DILMAH GREEN TEA TULSI 18/100 DC SF ENV TBGS</t>
        </is>
      </c>
      <c r="C418" s="7" t="inlineStr">
        <is>
          <t>DILMAH</t>
        </is>
      </c>
      <c r="D418" s="7" t="n">
        <v>35332</v>
      </c>
      <c r="E418" s="7" t="inlineStr">
        <is>
          <t>DILMAH GREEN TEA TULSI 100 DC SF ENV TBGS</t>
        </is>
      </c>
      <c r="F418" s="7" t="n">
        <v>18</v>
      </c>
      <c r="G418" s="7" t="inlineStr">
        <is>
          <t>CTN</t>
        </is>
      </c>
      <c r="H418" t="inlineStr">
        <is>
          <t>BLEND GREEN TEA TULSI AMAZON TBC</t>
        </is>
      </c>
    </row>
    <row r="419" ht="14.25" customHeight="1" s="5">
      <c r="A419" s="7" t="n">
        <v>35419</v>
      </c>
      <c r="B419" s="7" t="inlineStr">
        <is>
          <t>DILMAH LEMON 18/100 DC SF ENV TBGS</t>
        </is>
      </c>
      <c r="C419" s="7" t="inlineStr">
        <is>
          <t>DILMAH</t>
        </is>
      </c>
      <c r="D419" s="7" t="n">
        <v>35333</v>
      </c>
      <c r="E419" s="7" t="inlineStr">
        <is>
          <t>DILMAH LEMON 100 DC SF ENV TBGS</t>
        </is>
      </c>
      <c r="F419" s="7" t="n">
        <v>18</v>
      </c>
      <c r="G419" s="7" t="inlineStr">
        <is>
          <t>CTN</t>
        </is>
      </c>
      <c r="H419" t="inlineStr">
        <is>
          <t>BLEND BLACK TEA LEMON TEAME NEW TB</t>
        </is>
      </c>
    </row>
    <row r="420" ht="14.25" customHeight="1" s="5">
      <c r="A420" s="7" t="n">
        <v>35421</v>
      </c>
      <c r="B420" s="7" t="inlineStr">
        <is>
          <t>DILMAH MASALA 18/100 DC SF ENV TBGS</t>
        </is>
      </c>
      <c r="C420" s="7" t="inlineStr">
        <is>
          <t>DILMAH</t>
        </is>
      </c>
      <c r="D420" s="7" t="n">
        <v>35334</v>
      </c>
      <c r="E420" s="7" t="inlineStr">
        <is>
          <t>DILMAH MASALA 100 DC SF ENV TBGS</t>
        </is>
      </c>
      <c r="F420" s="7" t="n">
        <v>18</v>
      </c>
      <c r="G420" s="7" t="inlineStr">
        <is>
          <t>CTN</t>
        </is>
      </c>
      <c r="H420" t="inlineStr">
        <is>
          <t>BLEND BLACK TEA MASALA TBC</t>
        </is>
      </c>
    </row>
    <row r="421" ht="14.25" customHeight="1" s="5">
      <c r="A421" s="7" t="n">
        <v>35423</v>
      </c>
      <c r="B421" s="7" t="inlineStr">
        <is>
          <t>DILMAH PEPPERMINT 18/100 DC SF ENV TBGS</t>
        </is>
      </c>
      <c r="C421" s="7" t="inlineStr">
        <is>
          <t>DILMAH</t>
        </is>
      </c>
      <c r="D421" s="7" t="n">
        <v>35331</v>
      </c>
      <c r="E421" s="7" t="inlineStr">
        <is>
          <t>DILMAH PEPPERMINT 100 DC SF ENV TBGS</t>
        </is>
      </c>
      <c r="F421" s="7" t="n">
        <v>18</v>
      </c>
      <c r="G421" s="7" t="inlineStr">
        <is>
          <t>CTN</t>
        </is>
      </c>
      <c r="H421" t="inlineStr">
        <is>
          <t>BLEND PAPPERMINT TB DILMAH</t>
        </is>
      </c>
    </row>
    <row r="422" ht="14.25" customHeight="1" s="5">
      <c r="A422" s="7" t="n">
        <v>1452</v>
      </c>
      <c r="B422" s="7" t="inlineStr">
        <is>
          <t>DIPLOMAT 6/100 ROUND TBGS</t>
        </is>
      </c>
      <c r="C422" s="7" t="inlineStr">
        <is>
          <t>DIPLOMAT</t>
        </is>
      </c>
      <c r="D422" s="7" t="n">
        <v>1453</v>
      </c>
      <c r="E422" s="7" t="inlineStr">
        <is>
          <t>DIPLOMAT 100 ROUND TBGS</t>
        </is>
      </c>
      <c r="F422" s="7" t="n">
        <v>6</v>
      </c>
      <c r="G422" s="7" t="inlineStr">
        <is>
          <t>CTN</t>
        </is>
      </c>
      <c r="H422" t="inlineStr">
        <is>
          <t>BLEND 7093 - RFA 100%</t>
        </is>
      </c>
    </row>
    <row r="423" ht="14.25" customHeight="1" s="5">
      <c r="A423" s="7" t="n">
        <v>17794</v>
      </c>
      <c r="B423" s="7" t="inlineStr">
        <is>
          <t>DIPLOMAT EARL GREY 10/50 DC TAG TBGS</t>
        </is>
      </c>
      <c r="C423" s="7" t="inlineStr">
        <is>
          <t>DIPLOMAT</t>
        </is>
      </c>
      <c r="D423" s="7" t="n">
        <v>1467</v>
      </c>
      <c r="E423" s="7" t="inlineStr">
        <is>
          <t>DIPLOMAT EARL GREY 50 CONS TAG TBGS</t>
        </is>
      </c>
      <c r="F423" s="7" t="n">
        <v>10</v>
      </c>
      <c r="G423" s="7" t="inlineStr">
        <is>
          <t>CTN</t>
        </is>
      </c>
      <c r="H423" t="inlineStr">
        <is>
          <t>BLEND BLACK TEA EARL GREY TB - RFA 100%</t>
        </is>
      </c>
    </row>
    <row r="424" ht="14.25" customHeight="1" s="5">
      <c r="A424" s="7" t="n">
        <v>17793</v>
      </c>
      <c r="B424" s="7" t="inlineStr">
        <is>
          <t>DIPLOMAT ENGLISH BREAKFAST 10/50 DC TAG TBGS</t>
        </is>
      </c>
      <c r="C424" s="7" t="inlineStr">
        <is>
          <t>DIPLOMAT</t>
        </is>
      </c>
      <c r="D424" s="7" t="n">
        <v>1468</v>
      </c>
      <c r="E424" s="7" t="inlineStr">
        <is>
          <t>DIPLOMAT ENGLISH BREAKFAST 50 CONS TAG TBGS</t>
        </is>
      </c>
      <c r="F424" s="7" t="n">
        <v>10</v>
      </c>
      <c r="G424" s="7" t="inlineStr">
        <is>
          <t>CTN</t>
        </is>
      </c>
      <c r="H424" t="inlineStr">
        <is>
          <t>BLEND 7093-S-RFA</t>
        </is>
      </c>
    </row>
    <row r="425" ht="14.25" customHeight="1" s="5">
      <c r="A425" s="7" t="n">
        <v>1458</v>
      </c>
      <c r="B425" s="7" t="inlineStr">
        <is>
          <t>DIPLOMAT ENGLISH BREAKFAST 12/100 DC TAG TBGS</t>
        </is>
      </c>
      <c r="C425" s="7" t="inlineStr">
        <is>
          <t>DIPLOMAT</t>
        </is>
      </c>
      <c r="D425" s="7" t="n">
        <v>1459</v>
      </c>
      <c r="E425" s="7" t="inlineStr">
        <is>
          <t>DIPLOMAT ENGLISH BREAKFAST 100 DC TAG TBGS</t>
        </is>
      </c>
      <c r="F425" s="7" t="n">
        <v>12</v>
      </c>
      <c r="G425" s="7" t="inlineStr">
        <is>
          <t>CTN</t>
        </is>
      </c>
      <c r="H425" t="inlineStr">
        <is>
          <t>BLEND 7093 - RFA 100%</t>
        </is>
      </c>
    </row>
    <row r="426" ht="14.25" customHeight="1" s="5">
      <c r="A426" s="7" t="n">
        <v>1463</v>
      </c>
      <c r="B426" s="7" t="inlineStr">
        <is>
          <t>DIPLOMAT MIXED TEA 10/50 DC TAG TBGS (5:5)</t>
        </is>
      </c>
      <c r="C426" s="7" t="inlineStr">
        <is>
          <t>DIPLOMAT</t>
        </is>
      </c>
      <c r="D426" s="7" t="n">
        <v>1467</v>
      </c>
      <c r="E426" s="7" t="inlineStr">
        <is>
          <t>DIPLOMAT EARL GREY 50 CONS TAG TBGS</t>
        </is>
      </c>
      <c r="F426" s="7" t="n">
        <v>5</v>
      </c>
      <c r="G426" s="7" t="inlineStr">
        <is>
          <t>CTN</t>
        </is>
      </c>
      <c r="H426" t="inlineStr">
        <is>
          <t>BLEND BLACK TEA EARL GREY TB - RFA 100%</t>
        </is>
      </c>
    </row>
    <row r="427" ht="14.25" customHeight="1" s="5">
      <c r="A427" s="7" t="n">
        <v>1463</v>
      </c>
      <c r="B427" s="7" t="inlineStr">
        <is>
          <t>DIPLOMAT MIXED TEA 10/50 DC TAG TBGS (5:5)</t>
        </is>
      </c>
      <c r="C427" s="7" t="inlineStr">
        <is>
          <t>DIPLOMAT</t>
        </is>
      </c>
      <c r="D427" s="7" t="n">
        <v>1468</v>
      </c>
      <c r="E427" s="7" t="inlineStr">
        <is>
          <t>DIPLOMAT ENGLISH BREAKFAST 50 CONS TAG TBGS</t>
        </is>
      </c>
      <c r="F427" s="7" t="n">
        <v>5</v>
      </c>
      <c r="G427" s="7" t="inlineStr">
        <is>
          <t>CTN</t>
        </is>
      </c>
      <c r="H427" t="inlineStr">
        <is>
          <t>BLEND 7093-S-RFA</t>
        </is>
      </c>
    </row>
    <row r="428" ht="14.25" customHeight="1" s="5">
      <c r="A428" s="7" t="n">
        <v>34166</v>
      </c>
      <c r="B428" s="7" t="inlineStr">
        <is>
          <t>ELANI GREEN TEA 24/25 DC ENV TBGS</t>
        </is>
      </c>
      <c r="C428" s="7" t="inlineStr">
        <is>
          <t>ELANI</t>
        </is>
      </c>
      <c r="D428" s="7" t="n">
        <v>34203</v>
      </c>
      <c r="E428" s="7" t="inlineStr">
        <is>
          <t>ELANI GREEN TEA 25 DC ENV TBGS</t>
        </is>
      </c>
      <c r="F428" s="7" t="n">
        <v>24</v>
      </c>
      <c r="G428" s="7" t="inlineStr">
        <is>
          <t>CTN</t>
        </is>
      </c>
      <c r="H428" t="inlineStr">
        <is>
          <t>BLEND 7434 GREEN - 90% UTZ</t>
        </is>
      </c>
    </row>
    <row r="429" ht="14.25" customHeight="1" s="5">
      <c r="A429" s="7" t="n">
        <v>34989</v>
      </c>
      <c r="B429" s="7" t="inlineStr">
        <is>
          <t>ELDORADO 12/100 DC TAG TBGS</t>
        </is>
      </c>
      <c r="C429" s="7" t="inlineStr">
        <is>
          <t>ELDORADO</t>
        </is>
      </c>
      <c r="D429" s="7" t="n">
        <v>34977</v>
      </c>
      <c r="E429" s="7" t="inlineStr">
        <is>
          <t>ELDORADO 100 DC TAG TBGS</t>
        </is>
      </c>
      <c r="F429" s="7" t="n">
        <v>12</v>
      </c>
      <c r="G429" s="7" t="inlineStr">
        <is>
          <t>CTN</t>
        </is>
      </c>
      <c r="H429" t="inlineStr">
        <is>
          <t>BLEND 7093-S-RFA</t>
        </is>
      </c>
    </row>
    <row r="430" ht="14.25" customHeight="1" s="5">
      <c r="A430" s="7" t="n">
        <v>1469</v>
      </c>
      <c r="B430" s="7" t="inlineStr">
        <is>
          <t>ELDORADO 18/100 SC TAG TBGS</t>
        </is>
      </c>
      <c r="C430" s="7" t="inlineStr">
        <is>
          <t>ELDORADO</t>
        </is>
      </c>
      <c r="D430" s="7" t="n">
        <v>1470</v>
      </c>
      <c r="E430" s="7" t="inlineStr">
        <is>
          <t>ELDORADO 100 SC TAG TBGS</t>
        </is>
      </c>
      <c r="F430" s="7" t="n">
        <v>18</v>
      </c>
      <c r="G430" s="7" t="inlineStr">
        <is>
          <t>CTN</t>
        </is>
      </c>
      <c r="H430" t="inlineStr">
        <is>
          <t>BLEND 7093-S-RFA</t>
        </is>
      </c>
    </row>
    <row r="431" ht="14.25" customHeight="1" s="5">
      <c r="A431" s="7" t="n">
        <v>34990</v>
      </c>
      <c r="B431" s="7" t="inlineStr">
        <is>
          <t>ELDORADO EARL GREY 12/100 DC TAG TBGS</t>
        </is>
      </c>
      <c r="C431" s="7" t="inlineStr">
        <is>
          <t>ELDORADO</t>
        </is>
      </c>
      <c r="D431" s="7" t="n">
        <v>34452</v>
      </c>
      <c r="E431" s="7" t="inlineStr">
        <is>
          <t>ELDORADO EARL GREY 100 DC TAG TBGS</t>
        </is>
      </c>
      <c r="F431" s="7" t="n">
        <v>12</v>
      </c>
      <c r="G431" s="7" t="inlineStr">
        <is>
          <t>CTN</t>
        </is>
      </c>
      <c r="H431" t="inlineStr">
        <is>
          <t>BLEND BLACK TEA EARL GREY TBC ELDORADO 100% RFA</t>
        </is>
      </c>
    </row>
    <row r="432" ht="14.25" customHeight="1" s="5">
      <c r="A432" s="7" t="n">
        <v>34446</v>
      </c>
      <c r="B432" s="7" t="inlineStr">
        <is>
          <t>ELDORADO EARL GREY 18/100 DC TAG TBGS (V2)</t>
        </is>
      </c>
      <c r="C432" s="7" t="inlineStr">
        <is>
          <t>ELDORADO</t>
        </is>
      </c>
      <c r="D432" s="7" t="n">
        <v>34452</v>
      </c>
      <c r="E432" s="7" t="inlineStr">
        <is>
          <t>ELDORADO EARL GREY 100 DC TAG TBGS</t>
        </is>
      </c>
      <c r="F432" s="7" t="n">
        <v>18</v>
      </c>
      <c r="G432" s="7" t="inlineStr">
        <is>
          <t>CTN</t>
        </is>
      </c>
      <c r="H432" t="inlineStr">
        <is>
          <t>BLEND BLACK TEA EARL GREY TBC ELDORADO 100% RFA</t>
        </is>
      </c>
    </row>
    <row r="433" ht="14.25" customHeight="1" s="5">
      <c r="A433" s="7" t="n">
        <v>1475</v>
      </c>
      <c r="B433" s="7" t="inlineStr">
        <is>
          <t>ELDORADO ENGLISH BREAKFAST 36/20 SC TAG TBGS</t>
        </is>
      </c>
      <c r="C433" s="7" t="inlineStr">
        <is>
          <t>ELDORADO</t>
        </is>
      </c>
      <c r="D433" s="7" t="n">
        <v>1476</v>
      </c>
      <c r="E433" s="7" t="inlineStr">
        <is>
          <t>ELDORADO ENGLISH BREAKFAST 20 SC TAG TBGS</t>
        </is>
      </c>
      <c r="F433" s="7" t="n">
        <v>36</v>
      </c>
      <c r="G433" s="7" t="inlineStr">
        <is>
          <t>CTN</t>
        </is>
      </c>
      <c r="H433" t="inlineStr">
        <is>
          <t>BLEND 7093-S-RFA</t>
        </is>
      </c>
    </row>
    <row r="434" ht="14.25" customHeight="1" s="5">
      <c r="A434" s="7" t="n">
        <v>27301</v>
      </c>
      <c r="B434" s="7" t="inlineStr">
        <is>
          <t>EMPERIA ASSORTED GREEN FLAVOUR TEA 5 X 24 X 6 DC SF HS ENV TBGS</t>
        </is>
      </c>
      <c r="C434" s="7" t="inlineStr">
        <is>
          <t>EMPERIA</t>
        </is>
      </c>
      <c r="D434" s="7" t="n">
        <v>27300</v>
      </c>
      <c r="E434" s="7" t="inlineStr">
        <is>
          <t>EMPERIA LOOSE ASSORTED GREEN FLAVOUR TEA 1/5 DC SF HS ENV TBGS</t>
        </is>
      </c>
      <c r="F434" s="7" t="n">
        <v>144</v>
      </c>
      <c r="G434" s="7" t="inlineStr">
        <is>
          <t>CTN</t>
        </is>
      </c>
      <c r="H434" t="inlineStr">
        <is>
          <t>BLEND TEAME GREEN</t>
        </is>
      </c>
    </row>
    <row r="435" ht="14.25" customHeight="1" s="5">
      <c r="A435" s="7" t="n">
        <v>21908</v>
      </c>
      <c r="B435" s="7" t="inlineStr">
        <is>
          <t>EMPERIA GREEN TEA 24/25 DC SF HS ENV TBGS</t>
        </is>
      </c>
      <c r="C435" s="7" t="inlineStr">
        <is>
          <t>BIG BASKET</t>
        </is>
      </c>
      <c r="D435" s="7" t="n">
        <v>21902</v>
      </c>
      <c r="E435" s="7" t="inlineStr">
        <is>
          <t>EMPERIA GREEN TEA 25 DC SF HS ENV TBGS</t>
        </is>
      </c>
      <c r="F435" s="7" t="n">
        <v>24</v>
      </c>
      <c r="G435" s="7" t="inlineStr">
        <is>
          <t>CTN</t>
        </is>
      </c>
      <c r="H435" t="inlineStr">
        <is>
          <t>BLEND TEAME GREEN</t>
        </is>
      </c>
    </row>
    <row r="436" ht="14.25" customHeight="1" s="5">
      <c r="A436" s="7" t="n">
        <v>21910</v>
      </c>
      <c r="B436" s="7" t="inlineStr">
        <is>
          <t>EMPERIA HONEY LEMON  GREEN TEA 24/25 DC SF HS ENV TBGS</t>
        </is>
      </c>
      <c r="C436" s="7" t="inlineStr">
        <is>
          <t>BIG BASKET</t>
        </is>
      </c>
      <c r="D436" s="7" t="n">
        <v>21904</v>
      </c>
      <c r="E436" s="7" t="inlineStr">
        <is>
          <t>EMPERIA HONEY LEMON  GREEN TEA 25 DC SF HS ENV TBGS</t>
        </is>
      </c>
      <c r="F436" s="7" t="n">
        <v>24</v>
      </c>
      <c r="G436" s="7" t="inlineStr">
        <is>
          <t>CTN</t>
        </is>
      </c>
      <c r="H436" t="inlineStr">
        <is>
          <t>BLEND GREEN TEA HONEY LEMON RELIANCE TBC</t>
        </is>
      </c>
    </row>
    <row r="437" ht="14.25" customHeight="1" s="5">
      <c r="A437" s="7" t="n">
        <v>20258</v>
      </c>
      <c r="B437" s="7" t="inlineStr">
        <is>
          <t>EMPERIA LOOSE  ENV ASSAM PYRAMID ENV POUCH</t>
        </is>
      </c>
      <c r="C437" s="7" t="inlineStr">
        <is>
          <t>BIG BASKET</t>
        </is>
      </c>
      <c r="D437" s="7" t="n">
        <v>20269</v>
      </c>
      <c r="E437" s="7" t="inlineStr">
        <is>
          <t>EMPERIA LOOSE TBGS ASSAM PYRAMID</t>
        </is>
      </c>
      <c r="F437" s="7" t="n">
        <v>1</v>
      </c>
      <c r="G437" s="7" t="inlineStr">
        <is>
          <t>PCS</t>
        </is>
      </c>
      <c r="H437" t="inlineStr">
        <is>
          <t>BLEND ASSAM -SP</t>
        </is>
      </c>
    </row>
    <row r="438" ht="14.25" customHeight="1" s="5">
      <c r="A438" s="7" t="n">
        <v>20259</v>
      </c>
      <c r="B438" s="7" t="inlineStr">
        <is>
          <t>EMPERIA LOOSE  ENV DARJEELING PYRAMID ENV POUCH</t>
        </is>
      </c>
      <c r="C438" s="7" t="inlineStr">
        <is>
          <t>BIG BASKET</t>
        </is>
      </c>
      <c r="D438" s="7" t="n">
        <v>20270</v>
      </c>
      <c r="E438" s="7" t="inlineStr">
        <is>
          <t>EMPERIA LOOSE TBGS DARJEELING PYRAMID</t>
        </is>
      </c>
      <c r="F438" s="7" t="n">
        <v>1</v>
      </c>
      <c r="G438" s="7" t="inlineStr">
        <is>
          <t>PCS</t>
        </is>
      </c>
      <c r="H438" t="inlineStr">
        <is>
          <t>BLEND DARJEELING- SP</t>
        </is>
      </c>
    </row>
    <row r="439" ht="14.25" customHeight="1" s="5">
      <c r="A439" s="7" t="n">
        <v>20261</v>
      </c>
      <c r="B439" s="7" t="inlineStr">
        <is>
          <t>EMPERIA LOOSE  ENV EARL GREY PYRAMID ENV POUCH</t>
        </is>
      </c>
      <c r="C439" s="7" t="inlineStr">
        <is>
          <t>BIG BASKET</t>
        </is>
      </c>
      <c r="D439" s="7" t="n">
        <v>20272</v>
      </c>
      <c r="E439" s="7" t="inlineStr">
        <is>
          <t>EMPERIA LOOSE TBGS EARL GREY PYRAMID</t>
        </is>
      </c>
      <c r="F439" s="7" t="n">
        <v>1</v>
      </c>
      <c r="G439" s="7" t="inlineStr">
        <is>
          <t>PCS</t>
        </is>
      </c>
      <c r="H439" t="inlineStr">
        <is>
          <t>BLEND BLACK TEA EARL GREY CC EXOTIC</t>
        </is>
      </c>
    </row>
    <row r="440" ht="14.25" customHeight="1" s="5">
      <c r="A440" s="7" t="n">
        <v>20262</v>
      </c>
      <c r="B440" s="7" t="inlineStr">
        <is>
          <t>EMPERIA LOOSE  ENV ENGLISH BREAK FAST PYRAMID ENV POUCH</t>
        </is>
      </c>
      <c r="C440" s="7" t="inlineStr">
        <is>
          <t>BIG BASKET</t>
        </is>
      </c>
      <c r="D440" s="7" t="n">
        <v>20273</v>
      </c>
      <c r="E440" s="7" t="inlineStr">
        <is>
          <t>EMPERIA LOOSE TBGS ENGLISH BREAK FAST PYRAMID</t>
        </is>
      </c>
      <c r="F440" s="7" t="n">
        <v>1</v>
      </c>
      <c r="G440" s="7" t="inlineStr">
        <is>
          <t>PCS</t>
        </is>
      </c>
      <c r="H440" t="inlineStr">
        <is>
          <t>BLEND ASSAM -SP</t>
        </is>
      </c>
    </row>
    <row r="441" ht="14.25" customHeight="1" s="5">
      <c r="A441" s="7" t="n">
        <v>20263</v>
      </c>
      <c r="B441" s="7" t="inlineStr">
        <is>
          <t>EMPERIA LOOSE  ENV JASMINE GREEN PYRAMID ENV POUCH</t>
        </is>
      </c>
      <c r="C441" s="7" t="inlineStr">
        <is>
          <t>BIG BASKET</t>
        </is>
      </c>
      <c r="D441" s="7" t="n">
        <v>20274</v>
      </c>
      <c r="E441" s="7" t="inlineStr">
        <is>
          <t>EMPERIA LOOSE TBGS JASMINE GREEN PYRAMID</t>
        </is>
      </c>
      <c r="F441" s="7" t="n">
        <v>1</v>
      </c>
      <c r="G441" s="7" t="inlineStr">
        <is>
          <t>PCS</t>
        </is>
      </c>
      <c r="H441" t="inlineStr">
        <is>
          <t>BLEND JASMINE GREEN TEA CC EXOTIC</t>
        </is>
      </c>
    </row>
    <row r="442" ht="14.25" customHeight="1" s="5">
      <c r="A442" s="7" t="n">
        <v>20264</v>
      </c>
      <c r="B442" s="7" t="inlineStr">
        <is>
          <t>EMPERIA LOOSE  ENV KASHMIRI KAWA GREEN TEA PYRAMID ENV POUCH</t>
        </is>
      </c>
      <c r="C442" s="7" t="inlineStr">
        <is>
          <t>BIG BASKET</t>
        </is>
      </c>
      <c r="D442" s="7" t="n">
        <v>20275</v>
      </c>
      <c r="E442" s="7" t="inlineStr">
        <is>
          <t>EMPERIA LOOSE TBGS KASHMIRI KAWA GREEN TEA PYRAMID</t>
        </is>
      </c>
      <c r="F442" s="7" t="n">
        <v>1</v>
      </c>
      <c r="G442" s="7" t="inlineStr">
        <is>
          <t>PCS</t>
        </is>
      </c>
      <c r="H442" t="inlineStr">
        <is>
          <t>BLEND GREEN TEA KASHMIRI KAHWA CC EXOTIC</t>
        </is>
      </c>
    </row>
    <row r="443" ht="14.25" customHeight="1" s="5">
      <c r="A443" s="7" t="n">
        <v>20260</v>
      </c>
      <c r="B443" s="7" t="inlineStr">
        <is>
          <t>EMPERIA LOOSE  ENV MASALA PYRAMID ENV POUCH</t>
        </is>
      </c>
      <c r="C443" s="7" t="inlineStr">
        <is>
          <t>BIG BASKET</t>
        </is>
      </c>
      <c r="D443" s="7" t="n">
        <v>20271</v>
      </c>
      <c r="E443" s="7" t="inlineStr">
        <is>
          <t>EMPERIA LOOSE TBGS MASALA PYRAMID</t>
        </is>
      </c>
      <c r="F443" s="7" t="n">
        <v>1</v>
      </c>
      <c r="G443" s="7" t="inlineStr">
        <is>
          <t>PCS</t>
        </is>
      </c>
      <c r="H443" t="inlineStr">
        <is>
          <t>BLEND BLACK TEA MASALA CC EXOTIC</t>
        </is>
      </c>
    </row>
    <row r="444" ht="14.25" customHeight="1" s="5">
      <c r="A444" s="7" t="n">
        <v>20265</v>
      </c>
      <c r="B444" s="7" t="inlineStr">
        <is>
          <t>EMPERIA LOOSE  ENV MINT ROSE PYRAMID ENV POUCH</t>
        </is>
      </c>
      <c r="C444" s="7" t="inlineStr">
        <is>
          <t>BIG BASKET</t>
        </is>
      </c>
      <c r="D444" s="7" t="n">
        <v>20276</v>
      </c>
      <c r="E444" s="7" t="inlineStr">
        <is>
          <t>EMPERIA LOOSE TBGS MINT ROSE PYRAMID</t>
        </is>
      </c>
      <c r="F444" s="7" t="n">
        <v>1</v>
      </c>
      <c r="G444" s="7" t="inlineStr">
        <is>
          <t>PCS</t>
        </is>
      </c>
      <c r="H444" t="inlineStr">
        <is>
          <t>BLEND GREEN TEA MINT ROSE CC EXOTIC</t>
        </is>
      </c>
    </row>
    <row r="445" ht="14.25" customHeight="1" s="5">
      <c r="A445" s="7" t="n">
        <v>20266</v>
      </c>
      <c r="B445" s="7" t="inlineStr">
        <is>
          <t>EMPERIA LOOSE  ENV ORANGE SPICER PYRAMID ENV POUCH</t>
        </is>
      </c>
      <c r="C445" s="7" t="inlineStr">
        <is>
          <t>BIG BASKET</t>
        </is>
      </c>
      <c r="D445" s="7" t="n">
        <v>20277</v>
      </c>
      <c r="E445" s="7" t="inlineStr">
        <is>
          <t>EMPERIA LOOSE TBGS ORANGE SPICER PYRAMID</t>
        </is>
      </c>
      <c r="F445" s="7" t="n">
        <v>1</v>
      </c>
      <c r="G445" s="7" t="inlineStr">
        <is>
          <t>PCS</t>
        </is>
      </c>
      <c r="H445" t="inlineStr">
        <is>
          <t>BLEND GREEN TEA ORANGE SPICE CC EXOTIC</t>
        </is>
      </c>
    </row>
    <row r="446" ht="14.25" customHeight="1" s="5">
      <c r="A446" s="7" t="n">
        <v>20267</v>
      </c>
      <c r="B446" s="7" t="inlineStr">
        <is>
          <t>EMPERIA LOOSE  ENV PASSION FRUIT PYRAMID ENV POUCH</t>
        </is>
      </c>
      <c r="C446" s="7" t="inlineStr">
        <is>
          <t>BIG BASKET</t>
        </is>
      </c>
      <c r="D446" s="7" t="n">
        <v>20278</v>
      </c>
      <c r="E446" s="7" t="inlineStr">
        <is>
          <t>EMPERIA LOOSE TBGS PASSION FRUIT PYRAMID</t>
        </is>
      </c>
      <c r="F446" s="7" t="n">
        <v>1</v>
      </c>
      <c r="G446" s="7" t="inlineStr">
        <is>
          <t>PCS</t>
        </is>
      </c>
      <c r="H446" t="inlineStr">
        <is>
          <t>BLEND BLACK TEA PASSION FRUIT CC EXOTIC</t>
        </is>
      </c>
    </row>
    <row r="447" ht="14.25" customHeight="1" s="5">
      <c r="A447" s="7" t="n">
        <v>20268</v>
      </c>
      <c r="B447" s="7" t="inlineStr">
        <is>
          <t>EMPERIA LOOSE  ENV TROPICAL FRUIT PYRAMID ENV POUCH</t>
        </is>
      </c>
      <c r="C447" s="7" t="inlineStr">
        <is>
          <t>BIG BASKET</t>
        </is>
      </c>
      <c r="D447" s="7" t="n">
        <v>20279</v>
      </c>
      <c r="E447" s="7" t="inlineStr">
        <is>
          <t>EMPERIA LOOSE TBGS TROPICAL FRUIT PYRAMID</t>
        </is>
      </c>
      <c r="F447" s="7" t="n">
        <v>1</v>
      </c>
      <c r="G447" s="7" t="inlineStr">
        <is>
          <t>PCS</t>
        </is>
      </c>
      <c r="H447" t="inlineStr">
        <is>
          <t>BLEND BLACK TEA TROPICAL FRUIT CC EXOTIC</t>
        </is>
      </c>
    </row>
    <row r="448" ht="14.25" customHeight="1" s="5">
      <c r="A448" s="7" t="n">
        <v>21909</v>
      </c>
      <c r="B448" s="7" t="inlineStr">
        <is>
          <t>EMPERIA TULSI GREEN TEA 24/25 DC SF HS ENV TBGS</t>
        </is>
      </c>
      <c r="C448" s="7" t="inlineStr">
        <is>
          <t>BIG BASKET</t>
        </is>
      </c>
      <c r="D448" s="7" t="n">
        <v>21903</v>
      </c>
      <c r="E448" s="7" t="inlineStr">
        <is>
          <t>EMPERIA TULSI GREEN TEA 25 DC SF HS ENV TBGS</t>
        </is>
      </c>
      <c r="F448" s="7" t="n">
        <v>24</v>
      </c>
      <c r="G448" s="7" t="inlineStr">
        <is>
          <t>CTN</t>
        </is>
      </c>
      <c r="H448" t="inlineStr">
        <is>
          <t>BLEND GREEN TEA TULSI AMAZON TBC</t>
        </is>
      </c>
    </row>
    <row r="449" ht="14.25" customHeight="1" s="5">
      <c r="A449" s="7" t="n">
        <v>22056</v>
      </c>
      <c r="B449" s="7" t="inlineStr">
        <is>
          <t>ESSNTL EVERYDAY 12/100 PENV TBGS</t>
        </is>
      </c>
      <c r="C449" s="7" t="inlineStr">
        <is>
          <t>ESSNTL EVERYDAY</t>
        </is>
      </c>
      <c r="D449" s="7" t="n">
        <v>22461</v>
      </c>
      <c r="E449" s="7" t="inlineStr">
        <is>
          <t>ESSNTL EVERYDAY 100 PENV TBGS</t>
        </is>
      </c>
      <c r="F449" s="7" t="n">
        <v>12</v>
      </c>
      <c r="G449" s="7" t="inlineStr">
        <is>
          <t>CTN</t>
        </is>
      </c>
      <c r="H449" t="inlineStr">
        <is>
          <t>BLEND 7004</t>
        </is>
      </c>
    </row>
    <row r="450" ht="14.25" customHeight="1" s="5">
      <c r="A450" s="7" t="n">
        <v>36017</v>
      </c>
      <c r="B450" s="7" t="inlineStr">
        <is>
          <t>ETERNAL GOLD NATURE PROTECT LEAF EGNP MASALA PKT [48 X 250 GM CTN] CFC</t>
        </is>
      </c>
      <c r="C450" s="7" t="inlineStr">
        <is>
          <t>TEZ</t>
        </is>
      </c>
      <c r="D450" s="7" t="n">
        <v>36016</v>
      </c>
      <c r="E450" s="7" t="inlineStr">
        <is>
          <t>ETERNAL GOLD NATURE PROTECT LEAF EGNP MASALA PKT 250 GM CTN</t>
        </is>
      </c>
      <c r="F450" s="7" t="n">
        <v>48</v>
      </c>
      <c r="G450" s="7" t="inlineStr">
        <is>
          <t>CTN</t>
        </is>
      </c>
      <c r="H450" t="inlineStr">
        <is>
          <t>BLEND BLACK TEA EGNP MASALA PKT</t>
        </is>
      </c>
    </row>
    <row r="451" ht="14.25" customHeight="1" s="5">
      <c r="A451" s="7" t="n">
        <v>36327</v>
      </c>
      <c r="B451" s="7" t="inlineStr">
        <is>
          <t>ETERNAL GOLD NATURE PROTECT LEAF EGNP MASALA PKT [8 X 40 X 20 GM LAMINATE POUCH] CFC</t>
        </is>
      </c>
      <c r="C451" s="7" t="inlineStr">
        <is>
          <t>ETERNAL GOLD</t>
        </is>
      </c>
      <c r="D451" s="7" t="n">
        <v>36318</v>
      </c>
      <c r="E451" s="7" t="inlineStr">
        <is>
          <t>ETERNAL GOLD NATURE PROTECT LEAF EGNP MASALA PKT 20 GM POUCH</t>
        </is>
      </c>
      <c r="F451" s="7" t="n">
        <v>320</v>
      </c>
      <c r="G451" s="7" t="inlineStr">
        <is>
          <t>POUCH</t>
        </is>
      </c>
      <c r="H451" t="inlineStr">
        <is>
          <t>BLEND BLACK TEA EGNP MASALA PKT</t>
        </is>
      </c>
    </row>
    <row r="452" ht="14.25" customHeight="1" s="5">
      <c r="A452" s="7" t="n">
        <v>35940</v>
      </c>
      <c r="B452" s="7" t="inlineStr">
        <is>
          <t>ETERNAL GOLD PREMIUM ELAICHI LEAF EGNP ELAICHI PKT [6 X 12 X 250 GM LAMINATE POUCH] PP BAG</t>
        </is>
      </c>
      <c r="C452" s="7" t="inlineStr">
        <is>
          <t>TEZ</t>
        </is>
      </c>
      <c r="D452" s="7" t="n">
        <v>35935</v>
      </c>
      <c r="E452" s="7" t="inlineStr">
        <is>
          <t>ETERNAL GOLD PREMIUM ELAICHI LEAF EGNP ELAICHI PKT 250 GM POUCH</t>
        </is>
      </c>
      <c r="F452" s="7" t="n">
        <v>72</v>
      </c>
      <c r="G452" s="7" t="inlineStr">
        <is>
          <t>POUCH</t>
        </is>
      </c>
      <c r="H452" t="inlineStr">
        <is>
          <t>BLEND BLACK TEA EGNP ELAICHI PKT</t>
        </is>
      </c>
    </row>
    <row r="453" ht="14.25" customHeight="1" s="5">
      <c r="A453" s="7" t="n">
        <v>36325</v>
      </c>
      <c r="B453" s="7" t="inlineStr">
        <is>
          <t>ETERNAL GOLD PREMIUM ELAICHI LEAF EGNP ELAICHI PKT [8 X 40 X 20 GM LAMINATE POUCH] CFC</t>
        </is>
      </c>
      <c r="C453" s="7" t="inlineStr">
        <is>
          <t>ETERNAL GOLD</t>
        </is>
      </c>
      <c r="D453" s="7" t="n">
        <v>36317</v>
      </c>
      <c r="E453" s="7" t="inlineStr">
        <is>
          <t>ETERNAL GOLD PREMIUM ELAICHI LEAF EGNP ELAICHI PKT 20 GM POUCH</t>
        </is>
      </c>
      <c r="F453" s="7" t="n">
        <v>320</v>
      </c>
      <c r="G453" s="7" t="inlineStr">
        <is>
          <t>POUCH</t>
        </is>
      </c>
      <c r="H453" t="inlineStr">
        <is>
          <t>BLEND BLACK TEA EGNP ELAICHI PKT</t>
        </is>
      </c>
    </row>
    <row r="454" ht="14.25" customHeight="1" s="5">
      <c r="A454" s="7" t="n">
        <v>36328</v>
      </c>
      <c r="B454" s="7" t="inlineStr">
        <is>
          <t>ETERNAL GOLD PREMIUM LEAF TEA [8 X 40 X 20 GM LAMINATE POUCH] CFC</t>
        </is>
      </c>
      <c r="C454" s="7" t="inlineStr">
        <is>
          <t>ETERNAL GOLD</t>
        </is>
      </c>
      <c r="D454" s="7" t="n">
        <v>36319</v>
      </c>
      <c r="E454" s="7" t="inlineStr">
        <is>
          <t>ETERNAL GOLD PREMIUM LEAF TEA 20 GM POUCH</t>
        </is>
      </c>
      <c r="F454" s="7" t="n">
        <v>320</v>
      </c>
      <c r="G454" s="7" t="inlineStr">
        <is>
          <t>POUCH</t>
        </is>
      </c>
      <c r="H454" t="inlineStr">
        <is>
          <t>BLEND ETERNAL GOLD</t>
        </is>
      </c>
    </row>
    <row r="455" ht="14.25" customHeight="1" s="5">
      <c r="A455" s="7" t="n">
        <v>36066</v>
      </c>
      <c r="B455" s="7" t="inlineStr">
        <is>
          <t>ETERNAL GOLD PREMIUM LEAF TEA 250 GM STANDEE POUCH [48 X 250 GM LAMINATE POUCH] CFC</t>
        </is>
      </c>
      <c r="C455" s="7" t="inlineStr">
        <is>
          <t>ETERNAL GOLD</t>
        </is>
      </c>
      <c r="D455" s="7" t="n">
        <v>36065</v>
      </c>
      <c r="E455" s="7" t="inlineStr">
        <is>
          <t>ETERNAL GOLD PREMIUM LEAF TEA 250 GM STANDEE POUCH</t>
        </is>
      </c>
      <c r="F455" s="7" t="n">
        <v>48</v>
      </c>
      <c r="G455" s="7" t="inlineStr">
        <is>
          <t>POUCH</t>
        </is>
      </c>
      <c r="H455" t="inlineStr">
        <is>
          <t>BLEND ETERNAL GOLD</t>
        </is>
      </c>
    </row>
    <row r="456" ht="14.25" customHeight="1" s="5">
      <c r="A456" s="7" t="n">
        <v>36425</v>
      </c>
      <c r="B456" s="7" t="inlineStr">
        <is>
          <t>ETERNAL GOLD PREMIUM LEAF TEA 250 GM STANDEE POUCH [48 X 250 GM LAMINATE POUCH] CFC EAST</t>
        </is>
      </c>
      <c r="C456" s="7" t="inlineStr">
        <is>
          <t>ETERNAL GOLD</t>
        </is>
      </c>
      <c r="D456" s="7" t="n">
        <v>36065</v>
      </c>
      <c r="E456" s="7" t="inlineStr">
        <is>
          <t>ETERNAL GOLD PREMIUM LEAF TEA 250 GM STANDEE POUCH</t>
        </is>
      </c>
      <c r="F456" s="7" t="n">
        <v>48</v>
      </c>
      <c r="G456" s="7" t="inlineStr">
        <is>
          <t>POUCH</t>
        </is>
      </c>
      <c r="H456" t="inlineStr">
        <is>
          <t>BLEND ETERNAL GOLD</t>
        </is>
      </c>
    </row>
    <row r="457" ht="14.25" customHeight="1" s="5">
      <c r="A457" s="7" t="n">
        <v>17799</v>
      </c>
      <c r="B457" s="7" t="inlineStr">
        <is>
          <t>FESTIVA 12/100 DC ENV TBGS</t>
        </is>
      </c>
      <c r="C457" s="7" t="inlineStr">
        <is>
          <t>FESTIVA</t>
        </is>
      </c>
      <c r="D457" s="7" t="n">
        <v>17868</v>
      </c>
      <c r="E457" s="7" t="inlineStr">
        <is>
          <t>FESTIVA 100 DC ENV TBGS</t>
        </is>
      </c>
      <c r="F457" s="7" t="n">
        <v>12</v>
      </c>
      <c r="G457" s="7" t="inlineStr">
        <is>
          <t>CTN</t>
        </is>
      </c>
      <c r="H457" t="inlineStr">
        <is>
          <t>BLEND A33</t>
        </is>
      </c>
    </row>
    <row r="458" ht="14.25" customHeight="1" s="5">
      <c r="A458" s="7" t="n">
        <v>34043</v>
      </c>
      <c r="B458" s="7" t="inlineStr">
        <is>
          <t>FESTIVA 40/25 DC TAG TBGS</t>
        </is>
      </c>
      <c r="C458" s="7" t="inlineStr">
        <is>
          <t>FESTIVA</t>
        </is>
      </c>
      <c r="D458" s="7" t="n">
        <v>17870</v>
      </c>
      <c r="E458" s="7" t="inlineStr">
        <is>
          <t>FESTIVA 25 DC TAG TBGS</t>
        </is>
      </c>
      <c r="F458" s="7" t="n">
        <v>40</v>
      </c>
      <c r="G458" s="7" t="inlineStr">
        <is>
          <t>CTN</t>
        </is>
      </c>
      <c r="H458" t="inlineStr">
        <is>
          <t>BLEND A33</t>
        </is>
      </c>
    </row>
    <row r="459" ht="14.25" customHeight="1" s="5">
      <c r="A459" s="7" t="n">
        <v>27837</v>
      </c>
      <c r="B459" s="7" t="inlineStr">
        <is>
          <t>FESTIVA 80/25 DC TAG TBGS</t>
        </is>
      </c>
      <c r="C459" s="7" t="inlineStr">
        <is>
          <t>FESTIVA</t>
        </is>
      </c>
      <c r="D459" s="7" t="n">
        <v>17870</v>
      </c>
      <c r="E459" s="7" t="inlineStr">
        <is>
          <t>FESTIVA 25 DC TAG TBGS</t>
        </is>
      </c>
      <c r="F459" s="7" t="n">
        <v>80</v>
      </c>
      <c r="G459" s="7" t="inlineStr">
        <is>
          <t>CTN</t>
        </is>
      </c>
      <c r="H459" t="inlineStr">
        <is>
          <t>BLEND A33</t>
        </is>
      </c>
    </row>
    <row r="460" ht="14.25" customHeight="1" s="5">
      <c r="A460" s="7" t="n">
        <v>17800</v>
      </c>
      <c r="B460" s="7" t="inlineStr">
        <is>
          <t>FESTIVA 80/25 DC TAG TBGS WITH POSTER</t>
        </is>
      </c>
      <c r="C460" s="7" t="inlineStr">
        <is>
          <t>FESTIVA</t>
        </is>
      </c>
      <c r="D460" s="7" t="n">
        <v>17870</v>
      </c>
      <c r="E460" s="7" t="inlineStr">
        <is>
          <t>FESTIVA 25 DC TAG TBGS</t>
        </is>
      </c>
      <c r="F460" s="7" t="n">
        <v>80</v>
      </c>
      <c r="G460" s="7" t="inlineStr">
        <is>
          <t>CTN</t>
        </is>
      </c>
      <c r="H460" t="inlineStr">
        <is>
          <t>BLEND A33</t>
        </is>
      </c>
    </row>
    <row r="461" ht="14.25" customHeight="1" s="5">
      <c r="A461" s="7" t="n">
        <v>19729</v>
      </c>
      <c r="B461" s="7" t="inlineStr">
        <is>
          <t>FESTIVA GINGER 24/25 DC ENV TBGS</t>
        </is>
      </c>
      <c r="C461" s="7" t="inlineStr">
        <is>
          <t>FESTIVA</t>
        </is>
      </c>
      <c r="D461" s="7" t="n">
        <v>19733</v>
      </c>
      <c r="E461" s="7" t="inlineStr">
        <is>
          <t>FESTIVA GINGER 25 DC ENV TBGS</t>
        </is>
      </c>
      <c r="F461" s="7" t="n">
        <v>24</v>
      </c>
      <c r="G461" s="7" t="inlineStr">
        <is>
          <t>CTN</t>
        </is>
      </c>
      <c r="H461" t="inlineStr">
        <is>
          <t>BLEND AF BLACK TEA  GINGER TBGS</t>
        </is>
      </c>
    </row>
    <row r="462" ht="14.25" customHeight="1" s="5">
      <c r="A462" s="7" t="n">
        <v>19739</v>
      </c>
      <c r="B462" s="7" t="inlineStr">
        <is>
          <t>FESTIVA MINT 24/25 DC ENV TBGS</t>
        </is>
      </c>
      <c r="C462" s="7" t="inlineStr">
        <is>
          <t>FESTIVA</t>
        </is>
      </c>
      <c r="D462" s="7" t="n">
        <v>19743</v>
      </c>
      <c r="E462" s="7" t="inlineStr">
        <is>
          <t>FESTIVA MINT 25 DC ENV TBGS</t>
        </is>
      </c>
      <c r="F462" s="7" t="n">
        <v>24</v>
      </c>
      <c r="G462" s="7" t="inlineStr">
        <is>
          <t>CTN</t>
        </is>
      </c>
      <c r="H462" t="inlineStr">
        <is>
          <t>BLEND AF BLACK TEA MINT TBGS</t>
        </is>
      </c>
    </row>
    <row r="463" ht="14.25" customHeight="1" s="5">
      <c r="A463" s="7" t="n">
        <v>19751</v>
      </c>
      <c r="B463" s="7" t="inlineStr">
        <is>
          <t>FESTIVA STRAWBERRY 24/25 DC ENV TBGS</t>
        </is>
      </c>
      <c r="C463" s="7" t="inlineStr">
        <is>
          <t>FESTIVA</t>
        </is>
      </c>
      <c r="D463" s="7" t="n">
        <v>19753</v>
      </c>
      <c r="E463" s="7" t="inlineStr">
        <is>
          <t>FESTIVA STRAWBERRY 25 DC ENV TBGS</t>
        </is>
      </c>
      <c r="F463" s="7" t="n">
        <v>24</v>
      </c>
      <c r="G463" s="7" t="inlineStr">
        <is>
          <t>CTN</t>
        </is>
      </c>
      <c r="H463" t="inlineStr">
        <is>
          <t>BLEND STRAWBERRY TB</t>
        </is>
      </c>
    </row>
    <row r="464" ht="14.25" customHeight="1" s="5">
      <c r="A464" s="7" t="n">
        <v>30999</v>
      </c>
      <c r="B464" s="7" t="inlineStr">
        <is>
          <t>FG TEA SAMPLES</t>
        </is>
      </c>
      <c r="C464" s="7" t="inlineStr">
        <is>
          <t>NOT BRAND SPECIFIC</t>
        </is>
      </c>
      <c r="D464" s="7" t="n">
        <v>1391</v>
      </c>
      <c r="E464" s="7" t="inlineStr">
        <is>
          <t>CHAYA MINT 25 DC ENV TBGS</t>
        </is>
      </c>
      <c r="F464" s="7" t="n">
        <v>3</v>
      </c>
      <c r="G464" s="7" t="inlineStr">
        <is>
          <t>CTN</t>
        </is>
      </c>
      <c r="H464" t="inlineStr">
        <is>
          <t>BLEND AF BLACK TEA MINT TBGS</t>
        </is>
      </c>
    </row>
    <row r="465" ht="14.25" customHeight="1" s="5">
      <c r="A465" s="7" t="n">
        <v>30999</v>
      </c>
      <c r="B465" s="7" t="inlineStr">
        <is>
          <t>FG TEA SAMPLES</t>
        </is>
      </c>
      <c r="C465" s="7" t="inlineStr">
        <is>
          <t>NOT BRAND SPECIFIC</t>
        </is>
      </c>
      <c r="D465" s="7" t="n">
        <v>1566</v>
      </c>
      <c r="E465" s="7" t="inlineStr">
        <is>
          <t>FIRST PRICE EARL GREY 50 DC ENV TBGS FAIRTRADE</t>
        </is>
      </c>
      <c r="F465" s="7" t="n">
        <v>3</v>
      </c>
      <c r="G465" s="7" t="inlineStr">
        <is>
          <t>CTN</t>
        </is>
      </c>
      <c r="H465" t="inlineStr">
        <is>
          <t>BLEND FAIR TRADE EARL GREY</t>
        </is>
      </c>
    </row>
    <row r="466" ht="14.25" customHeight="1" s="5">
      <c r="A466" s="7" t="n">
        <v>30999</v>
      </c>
      <c r="B466" s="7" t="inlineStr">
        <is>
          <t>FG TEA SAMPLES</t>
        </is>
      </c>
      <c r="C466" s="7" t="inlineStr">
        <is>
          <t>NOT BRAND SPECIFIC</t>
        </is>
      </c>
      <c r="D466" s="7" t="n">
        <v>3931</v>
      </c>
      <c r="E466" s="7" t="inlineStr">
        <is>
          <t>TE-A-ME UTZ ASSAM TEA 100 DC SF HS ENV TBGS</t>
        </is>
      </c>
      <c r="F466" s="7" t="n">
        <v>3</v>
      </c>
      <c r="G466" s="7" t="inlineStr">
        <is>
          <t>CTN</t>
        </is>
      </c>
      <c r="H466" t="inlineStr">
        <is>
          <t>BLEND A135/7722 - RFA</t>
        </is>
      </c>
    </row>
    <row r="467" ht="14.25" customHeight="1" s="5">
      <c r="A467" s="7" t="n">
        <v>30999</v>
      </c>
      <c r="B467" s="7" t="inlineStr">
        <is>
          <t>FG TEA SAMPLES</t>
        </is>
      </c>
      <c r="C467" s="7" t="inlineStr">
        <is>
          <t>NOT BRAND SPECIFIC</t>
        </is>
      </c>
      <c r="D467" s="7" t="n">
        <v>27074</v>
      </c>
      <c r="E467" s="7" t="inlineStr">
        <is>
          <t>TE-A-ME ORGANIC GREEN TEA 100 DC SF HS ENV TBGS</t>
        </is>
      </c>
      <c r="F467" s="7" t="n">
        <v>3</v>
      </c>
      <c r="G467" s="7" t="inlineStr">
        <is>
          <t>CTN</t>
        </is>
      </c>
      <c r="H467" t="inlineStr">
        <is>
          <t>BLEND GREEN-ORGANIC(KOL)</t>
        </is>
      </c>
    </row>
    <row r="468" ht="14.25" customHeight="1" s="5">
      <c r="A468" s="7" t="n">
        <v>30999</v>
      </c>
      <c r="B468" s="7" t="inlineStr">
        <is>
          <t>FG TEA SAMPLES</t>
        </is>
      </c>
      <c r="C468" s="7" t="inlineStr">
        <is>
          <t>NOT BRAND SPECIFIC</t>
        </is>
      </c>
      <c r="D468" s="7" t="n">
        <v>77</v>
      </c>
      <c r="E468" s="7" t="inlineStr">
        <is>
          <t>VEDAKA GREEN TEA HONEY &amp; LEMON 100 DC SF HS ENV TBGS-B07KJRWMF3-FBA</t>
        </is>
      </c>
      <c r="F468" s="7" t="n">
        <v>3</v>
      </c>
      <c r="G468" s="7" t="inlineStr">
        <is>
          <t>CTN</t>
        </is>
      </c>
      <c r="H468" t="inlineStr">
        <is>
          <t>BLEND GREEN TEA HONEY LEMON AMAZON TBC</t>
        </is>
      </c>
    </row>
    <row r="469" ht="14.25" customHeight="1" s="5">
      <c r="A469" s="7" t="n">
        <v>30999</v>
      </c>
      <c r="B469" s="7" t="inlineStr">
        <is>
          <t>FG TEA SAMPLES</t>
        </is>
      </c>
      <c r="C469" s="7" t="inlineStr">
        <is>
          <t>NOT BRAND SPECIFIC</t>
        </is>
      </c>
      <c r="D469" s="7" t="n">
        <v>85</v>
      </c>
      <c r="E469" s="7" t="inlineStr">
        <is>
          <t>VEDAKA GREEN TEA HONEY &amp; LEMON 25 DC SF HS ENV TBGS-B07KJRXD9V-FBA</t>
        </is>
      </c>
      <c r="F469" s="7" t="n">
        <v>3</v>
      </c>
      <c r="G469" s="7" t="inlineStr">
        <is>
          <t>CTN</t>
        </is>
      </c>
      <c r="H469" t="inlineStr">
        <is>
          <t>BLEND GREEN TEA HONEY LEMON AMAZON TBC</t>
        </is>
      </c>
    </row>
    <row r="470" ht="14.25" customHeight="1" s="5">
      <c r="A470" s="7" t="n">
        <v>30999</v>
      </c>
      <c r="B470" s="7" t="inlineStr">
        <is>
          <t>FG TEA SAMPLES</t>
        </is>
      </c>
      <c r="C470" s="7" t="inlineStr">
        <is>
          <t>NOT BRAND SPECIFIC</t>
        </is>
      </c>
      <c r="D470" s="7" t="n">
        <v>1309</v>
      </c>
      <c r="E470" s="7" t="inlineStr">
        <is>
          <t>BONI SELECTION KAMILLE 25 DC ENV TBGS</t>
        </is>
      </c>
      <c r="F470" s="7" t="n">
        <v>2</v>
      </c>
      <c r="G470" s="7" t="inlineStr">
        <is>
          <t>CTN</t>
        </is>
      </c>
      <c r="H470" t="inlineStr">
        <is>
          <t>BLEND CHAMOMILE TBC 100% UTZ</t>
        </is>
      </c>
    </row>
    <row r="471" ht="14.25" customHeight="1" s="5">
      <c r="A471" s="7" t="n">
        <v>27691</v>
      </c>
      <c r="B471" s="7" t="inlineStr">
        <is>
          <t>FG WOODEN GIFT BOX SUPER VARIETY PACK 2/36 DC ENV TBGS</t>
        </is>
      </c>
      <c r="C471" s="7" t="inlineStr">
        <is>
          <t>SUPER</t>
        </is>
      </c>
      <c r="D471" s="7" t="n">
        <v>27487</v>
      </c>
      <c r="E471" s="7" t="inlineStr">
        <is>
          <t>SUPER TEA LOOSE ENV GREEN DC ENV TBGS</t>
        </is>
      </c>
      <c r="F471" s="7" t="n">
        <v>8</v>
      </c>
      <c r="G471" s="7" t="inlineStr">
        <is>
          <t>ENV</t>
        </is>
      </c>
      <c r="H471" t="inlineStr">
        <is>
          <t>BLEND TEAME GREEN</t>
        </is>
      </c>
    </row>
    <row r="472" ht="14.25" customHeight="1" s="5">
      <c r="A472" s="7" t="n">
        <v>27691</v>
      </c>
      <c r="B472" s="7" t="inlineStr">
        <is>
          <t>FG WOODEN GIFT BOX SUPER VARIETY PACK 2/36 DC ENV TBGS</t>
        </is>
      </c>
      <c r="C472" s="7" t="inlineStr">
        <is>
          <t>SUPER</t>
        </is>
      </c>
      <c r="D472" s="7" t="n">
        <v>27480</v>
      </c>
      <c r="E472" s="7" t="inlineStr">
        <is>
          <t>SUPER TEA LOOSE ENV GINGER DC ENV TBGS</t>
        </is>
      </c>
      <c r="F472" s="7" t="n">
        <v>8</v>
      </c>
      <c r="G472" s="7" t="inlineStr">
        <is>
          <t>ENV</t>
        </is>
      </c>
      <c r="H472" t="inlineStr">
        <is>
          <t>BLEND AF BLACK TEA  GINGER TBGS</t>
        </is>
      </c>
    </row>
    <row r="473" ht="14.25" customHeight="1" s="5">
      <c r="A473" s="7" t="n">
        <v>27691</v>
      </c>
      <c r="B473" s="7" t="inlineStr">
        <is>
          <t>FG WOODEN GIFT BOX SUPER VARIETY PACK 2/36 DC ENV TBGS</t>
        </is>
      </c>
      <c r="C473" s="7" t="inlineStr">
        <is>
          <t>SUPER</t>
        </is>
      </c>
      <c r="D473" s="7" t="n">
        <v>27481</v>
      </c>
      <c r="E473" s="7" t="inlineStr">
        <is>
          <t>SUPER TEA LOOSE ENV CLOVE DC ENV TBGS</t>
        </is>
      </c>
      <c r="F473" s="7" t="n">
        <v>8</v>
      </c>
      <c r="G473" s="7" t="inlineStr">
        <is>
          <t>ENV</t>
        </is>
      </c>
      <c r="H473" t="inlineStr">
        <is>
          <t>BLEND BLACK TEA CLOVE TBC</t>
        </is>
      </c>
    </row>
    <row r="474" ht="14.25" customHeight="1" s="5">
      <c r="A474" s="7" t="n">
        <v>27691</v>
      </c>
      <c r="B474" s="7" t="inlineStr">
        <is>
          <t>FG WOODEN GIFT BOX SUPER VARIETY PACK 2/36 DC ENV TBGS</t>
        </is>
      </c>
      <c r="C474" s="7" t="inlineStr">
        <is>
          <t>SUPER</t>
        </is>
      </c>
      <c r="D474" s="7" t="n">
        <v>27482</v>
      </c>
      <c r="E474" s="7" t="inlineStr">
        <is>
          <t>SUPER TEA LOOSE ENV CINNAMON DC ENV TBGS</t>
        </is>
      </c>
      <c r="F474" s="7" t="n">
        <v>8</v>
      </c>
      <c r="G474" s="7" t="inlineStr">
        <is>
          <t>ENV</t>
        </is>
      </c>
      <c r="H474" t="inlineStr">
        <is>
          <t>BLEND BLACK TEA CINNAMON SPICE TBC - AF</t>
        </is>
      </c>
    </row>
    <row r="475" ht="14.25" customHeight="1" s="5">
      <c r="A475" s="7" t="n">
        <v>27691</v>
      </c>
      <c r="B475" s="7" t="inlineStr">
        <is>
          <t>FG WOODEN GIFT BOX SUPER VARIETY PACK 2/36 DC ENV TBGS</t>
        </is>
      </c>
      <c r="C475" s="7" t="inlineStr">
        <is>
          <t>SUPER</t>
        </is>
      </c>
      <c r="D475" s="7" t="n">
        <v>27483</v>
      </c>
      <c r="E475" s="7" t="inlineStr">
        <is>
          <t>SUPER TEA LOOSE ENV PINEAPPLE DC ENV TBGS</t>
        </is>
      </c>
      <c r="F475" s="7" t="n">
        <v>8</v>
      </c>
      <c r="G475" s="7" t="inlineStr">
        <is>
          <t>ENV</t>
        </is>
      </c>
      <c r="H475" t="inlineStr">
        <is>
          <t>BLEND BLACK TEA PINEAPPLE TB</t>
        </is>
      </c>
    </row>
    <row r="476" ht="14.25" customHeight="1" s="5">
      <c r="A476" s="7" t="n">
        <v>27691</v>
      </c>
      <c r="B476" s="7" t="inlineStr">
        <is>
          <t>FG WOODEN GIFT BOX SUPER VARIETY PACK 2/36 DC ENV TBGS</t>
        </is>
      </c>
      <c r="C476" s="7" t="inlineStr">
        <is>
          <t>SUPER</t>
        </is>
      </c>
      <c r="D476" s="7" t="n">
        <v>27485</v>
      </c>
      <c r="E476" s="7" t="inlineStr">
        <is>
          <t>SUPER TEA LOOSE ENV WATERMELON DC ENV TBGS</t>
        </is>
      </c>
      <c r="F476" s="7" t="n">
        <v>8</v>
      </c>
      <c r="G476" s="7" t="inlineStr">
        <is>
          <t>ENV</t>
        </is>
      </c>
      <c r="H476" t="inlineStr">
        <is>
          <t>BLEND WATERMELON TB</t>
        </is>
      </c>
    </row>
    <row r="477" ht="14.25" customHeight="1" s="5">
      <c r="A477" s="7" t="n">
        <v>27691</v>
      </c>
      <c r="B477" s="7" t="inlineStr">
        <is>
          <t>FG WOODEN GIFT BOX SUPER VARIETY PACK 2/36 DC ENV TBGS</t>
        </is>
      </c>
      <c r="C477" s="7" t="inlineStr">
        <is>
          <t>SUPER</t>
        </is>
      </c>
      <c r="D477" s="7" t="n">
        <v>27486</v>
      </c>
      <c r="E477" s="7" t="inlineStr">
        <is>
          <t>SUPER TEA LOOSE ENV GREEN MORINGA DC ENV TBGS</t>
        </is>
      </c>
      <c r="F477" s="7" t="n">
        <v>8</v>
      </c>
      <c r="G477" s="7" t="inlineStr">
        <is>
          <t>ENV</t>
        </is>
      </c>
      <c r="H477" t="inlineStr">
        <is>
          <t>BLEND GREEN TEA MORINGA GINGER TB</t>
        </is>
      </c>
    </row>
    <row r="478" ht="14.25" customHeight="1" s="5">
      <c r="A478" s="7" t="n">
        <v>27691</v>
      </c>
      <c r="B478" s="7" t="inlineStr">
        <is>
          <t>FG WOODEN GIFT BOX SUPER VARIETY PACK 2/36 DC ENV TBGS</t>
        </is>
      </c>
      <c r="C478" s="7" t="inlineStr">
        <is>
          <t>SUPER</t>
        </is>
      </c>
      <c r="D478" s="7" t="n">
        <v>27478</v>
      </c>
      <c r="E478" s="7" t="inlineStr">
        <is>
          <t>SUPER TEA LOOSE ENV STRAWBERRY DC ENV TBGS</t>
        </is>
      </c>
      <c r="F478" s="7" t="n">
        <v>8</v>
      </c>
      <c r="G478" s="7" t="inlineStr">
        <is>
          <t>ENV</t>
        </is>
      </c>
      <c r="H478" t="inlineStr">
        <is>
          <t>BLEND STRAWBERRY TB</t>
        </is>
      </c>
    </row>
    <row r="479" ht="14.25" customHeight="1" s="5">
      <c r="A479" s="7" t="n">
        <v>27691</v>
      </c>
      <c r="B479" s="7" t="inlineStr">
        <is>
          <t>FG WOODEN GIFT BOX SUPER VARIETY PACK 2/36 DC ENV TBGS</t>
        </is>
      </c>
      <c r="C479" s="7" t="inlineStr">
        <is>
          <t>SUPER</t>
        </is>
      </c>
      <c r="D479" s="7" t="n">
        <v>27479</v>
      </c>
      <c r="E479" s="7" t="inlineStr">
        <is>
          <t>SUPER TEA LOOSE ENV MINT DC ENV TBGS</t>
        </is>
      </c>
      <c r="F479" s="7" t="n">
        <v>8</v>
      </c>
      <c r="G479" s="7" t="inlineStr">
        <is>
          <t>ENV</t>
        </is>
      </c>
      <c r="H479" t="inlineStr">
        <is>
          <t>BLEND AF BLACK TEA MINT TBGS</t>
        </is>
      </c>
    </row>
    <row r="480" ht="14.25" customHeight="1" s="5">
      <c r="A480" s="7" t="n">
        <v>27687</v>
      </c>
      <c r="B480" s="7" t="inlineStr">
        <is>
          <t>FG WOODEN GIFT BOX SUPER VARIETY PACK 4/36 DC ENV TBGS</t>
        </is>
      </c>
      <c r="C480" s="7" t="inlineStr">
        <is>
          <t>SUPER</t>
        </is>
      </c>
      <c r="D480" s="7" t="n">
        <v>27487</v>
      </c>
      <c r="E480" s="7" t="inlineStr">
        <is>
          <t>SUPER TEA LOOSE ENV GREEN DC ENV TBGS</t>
        </is>
      </c>
      <c r="F480" s="7" t="n">
        <v>16</v>
      </c>
      <c r="G480" s="7" t="inlineStr">
        <is>
          <t>ENV</t>
        </is>
      </c>
      <c r="H480" t="inlineStr">
        <is>
          <t>BLEND TEAME GREEN</t>
        </is>
      </c>
    </row>
    <row r="481" ht="14.25" customHeight="1" s="5">
      <c r="A481" s="7" t="n">
        <v>27687</v>
      </c>
      <c r="B481" s="7" t="inlineStr">
        <is>
          <t>FG WOODEN GIFT BOX SUPER VARIETY PACK 4/36 DC ENV TBGS</t>
        </is>
      </c>
      <c r="C481" s="7" t="inlineStr">
        <is>
          <t>SUPER</t>
        </is>
      </c>
      <c r="D481" s="7" t="n">
        <v>27486</v>
      </c>
      <c r="E481" s="7" t="inlineStr">
        <is>
          <t>SUPER TEA LOOSE ENV GREEN MORINGA DC ENV TBGS</t>
        </is>
      </c>
      <c r="F481" s="7" t="n">
        <v>16</v>
      </c>
      <c r="G481" s="7" t="inlineStr">
        <is>
          <t>ENV</t>
        </is>
      </c>
      <c r="H481" t="inlineStr">
        <is>
          <t>BLEND GREEN TEA MORINGA GINGER TB</t>
        </is>
      </c>
    </row>
    <row r="482" ht="14.25" customHeight="1" s="5">
      <c r="A482" s="7" t="n">
        <v>27687</v>
      </c>
      <c r="B482" s="7" t="inlineStr">
        <is>
          <t>FG WOODEN GIFT BOX SUPER VARIETY PACK 4/36 DC ENV TBGS</t>
        </is>
      </c>
      <c r="C482" s="7" t="inlineStr">
        <is>
          <t>SUPER</t>
        </is>
      </c>
      <c r="D482" s="7" t="n">
        <v>27485</v>
      </c>
      <c r="E482" s="7" t="inlineStr">
        <is>
          <t>SUPER TEA LOOSE ENV WATERMELON DC ENV TBGS</t>
        </is>
      </c>
      <c r="F482" s="7" t="n">
        <v>16</v>
      </c>
      <c r="G482" s="7" t="inlineStr">
        <is>
          <t>ENV</t>
        </is>
      </c>
      <c r="H482" t="inlineStr">
        <is>
          <t>BLEND WATERMELON TB</t>
        </is>
      </c>
    </row>
    <row r="483" ht="14.25" customHeight="1" s="5">
      <c r="A483" s="7" t="n">
        <v>27687</v>
      </c>
      <c r="B483" s="7" t="inlineStr">
        <is>
          <t>FG WOODEN GIFT BOX SUPER VARIETY PACK 4/36 DC ENV TBGS</t>
        </is>
      </c>
      <c r="C483" s="7" t="inlineStr">
        <is>
          <t>SUPER</t>
        </is>
      </c>
      <c r="D483" s="7" t="n">
        <v>27483</v>
      </c>
      <c r="E483" s="7" t="inlineStr">
        <is>
          <t>SUPER TEA LOOSE ENV PINEAPPLE DC ENV TBGS</t>
        </is>
      </c>
      <c r="F483" s="7" t="n">
        <v>16</v>
      </c>
      <c r="G483" s="7" t="inlineStr">
        <is>
          <t>ENV</t>
        </is>
      </c>
      <c r="H483" t="inlineStr">
        <is>
          <t>BLEND BLACK TEA PINEAPPLE TB</t>
        </is>
      </c>
    </row>
    <row r="484" ht="14.25" customHeight="1" s="5">
      <c r="A484" s="7" t="n">
        <v>27687</v>
      </c>
      <c r="B484" s="7" t="inlineStr">
        <is>
          <t>FG WOODEN GIFT BOX SUPER VARIETY PACK 4/36 DC ENV TBGS</t>
        </is>
      </c>
      <c r="C484" s="7" t="inlineStr">
        <is>
          <t>SUPER</t>
        </is>
      </c>
      <c r="D484" s="7" t="n">
        <v>27482</v>
      </c>
      <c r="E484" s="7" t="inlineStr">
        <is>
          <t>SUPER TEA LOOSE ENV CINNAMON DC ENV TBGS</t>
        </is>
      </c>
      <c r="F484" s="7" t="n">
        <v>16</v>
      </c>
      <c r="G484" s="7" t="inlineStr">
        <is>
          <t>ENV</t>
        </is>
      </c>
      <c r="H484" t="inlineStr">
        <is>
          <t>BLEND BLACK TEA CINNAMON SPICE TBC - AF</t>
        </is>
      </c>
    </row>
    <row r="485" ht="14.25" customHeight="1" s="5">
      <c r="A485" s="7" t="n">
        <v>27687</v>
      </c>
      <c r="B485" s="7" t="inlineStr">
        <is>
          <t>FG WOODEN GIFT BOX SUPER VARIETY PACK 4/36 DC ENV TBGS</t>
        </is>
      </c>
      <c r="C485" s="7" t="inlineStr">
        <is>
          <t>SUPER</t>
        </is>
      </c>
      <c r="D485" s="7" t="n">
        <v>27481</v>
      </c>
      <c r="E485" s="7" t="inlineStr">
        <is>
          <t>SUPER TEA LOOSE ENV CLOVE DC ENV TBGS</t>
        </is>
      </c>
      <c r="F485" s="7" t="n">
        <v>16</v>
      </c>
      <c r="G485" s="7" t="inlineStr">
        <is>
          <t>ENV</t>
        </is>
      </c>
      <c r="H485" t="inlineStr">
        <is>
          <t>BLEND BLACK TEA CLOVE TBC</t>
        </is>
      </c>
    </row>
    <row r="486" ht="14.25" customHeight="1" s="5">
      <c r="A486" s="7" t="n">
        <v>27687</v>
      </c>
      <c r="B486" s="7" t="inlineStr">
        <is>
          <t>FG WOODEN GIFT BOX SUPER VARIETY PACK 4/36 DC ENV TBGS</t>
        </is>
      </c>
      <c r="C486" s="7" t="inlineStr">
        <is>
          <t>SUPER</t>
        </is>
      </c>
      <c r="D486" s="7" t="n">
        <v>27480</v>
      </c>
      <c r="E486" s="7" t="inlineStr">
        <is>
          <t>SUPER TEA LOOSE ENV GINGER DC ENV TBGS</t>
        </is>
      </c>
      <c r="F486" s="7" t="n">
        <v>16</v>
      </c>
      <c r="G486" s="7" t="inlineStr">
        <is>
          <t>ENV</t>
        </is>
      </c>
      <c r="H486" t="inlineStr">
        <is>
          <t>BLEND AF BLACK TEA  GINGER TBGS</t>
        </is>
      </c>
    </row>
    <row r="487" ht="14.25" customHeight="1" s="5">
      <c r="A487" s="7" t="n">
        <v>27687</v>
      </c>
      <c r="B487" s="7" t="inlineStr">
        <is>
          <t>FG WOODEN GIFT BOX SUPER VARIETY PACK 4/36 DC ENV TBGS</t>
        </is>
      </c>
      <c r="C487" s="7" t="inlineStr">
        <is>
          <t>SUPER</t>
        </is>
      </c>
      <c r="D487" s="7" t="n">
        <v>27479</v>
      </c>
      <c r="E487" s="7" t="inlineStr">
        <is>
          <t>SUPER TEA LOOSE ENV MINT DC ENV TBGS</t>
        </is>
      </c>
      <c r="F487" s="7" t="n">
        <v>16</v>
      </c>
      <c r="G487" s="7" t="inlineStr">
        <is>
          <t>ENV</t>
        </is>
      </c>
      <c r="H487" t="inlineStr">
        <is>
          <t>BLEND AF BLACK TEA MINT TBGS</t>
        </is>
      </c>
    </row>
    <row r="488" ht="14.25" customHeight="1" s="5">
      <c r="A488" s="7" t="n">
        <v>27687</v>
      </c>
      <c r="B488" s="7" t="inlineStr">
        <is>
          <t>FG WOODEN GIFT BOX SUPER VARIETY PACK 4/36 DC ENV TBGS</t>
        </is>
      </c>
      <c r="C488" s="7" t="inlineStr">
        <is>
          <t>SUPER</t>
        </is>
      </c>
      <c r="D488" s="7" t="n">
        <v>27478</v>
      </c>
      <c r="E488" s="7" t="inlineStr">
        <is>
          <t>SUPER TEA LOOSE ENV STRAWBERRY DC ENV TBGS</t>
        </is>
      </c>
      <c r="F488" s="7" t="n">
        <v>16</v>
      </c>
      <c r="G488" s="7" t="inlineStr">
        <is>
          <t>ENV</t>
        </is>
      </c>
      <c r="H488" t="inlineStr">
        <is>
          <t>BLEND STRAWBERRY TB</t>
        </is>
      </c>
    </row>
    <row r="489" ht="14.25" customHeight="1" s="5">
      <c r="A489" s="7" t="n">
        <v>18314</v>
      </c>
      <c r="B489" s="7" t="inlineStr">
        <is>
          <t>FINE LIFE ASSAM  12/1 KG PKT TEA</t>
        </is>
      </c>
      <c r="C489" s="7" t="inlineStr">
        <is>
          <t>FINE LIFE</t>
        </is>
      </c>
      <c r="D489" s="7" t="n">
        <v>3018</v>
      </c>
      <c r="E489" s="7" t="inlineStr">
        <is>
          <t>FINE LIFE ASSAM 1 KG PKT TEA</t>
        </is>
      </c>
      <c r="F489" s="7" t="n">
        <v>12</v>
      </c>
      <c r="G489" s="7" t="inlineStr">
        <is>
          <t>CTN</t>
        </is>
      </c>
      <c r="H489" t="inlineStr">
        <is>
          <t>BLEND RD LBL - MET</t>
        </is>
      </c>
    </row>
    <row r="490" ht="14.25" customHeight="1" s="5">
      <c r="A490" s="7" t="n">
        <v>22582</v>
      </c>
      <c r="B490" s="7" t="inlineStr">
        <is>
          <t>FINE LIFE ASSAM 6/2 KG PKT TEA</t>
        </is>
      </c>
      <c r="C490" s="7" t="inlineStr">
        <is>
          <t>FINE LIFE</t>
        </is>
      </c>
      <c r="D490" s="7" t="n">
        <v>22581</v>
      </c>
      <c r="E490" s="7" t="inlineStr">
        <is>
          <t>FINE LIFE ASSAM 2 KG PKT TEA</t>
        </is>
      </c>
      <c r="F490" s="7" t="n">
        <v>6</v>
      </c>
      <c r="G490" s="7" t="inlineStr">
        <is>
          <t>PKT</t>
        </is>
      </c>
      <c r="H490" t="inlineStr">
        <is>
          <t>BLEND RD LBL - MET</t>
        </is>
      </c>
    </row>
    <row r="491" ht="14.25" customHeight="1" s="5">
      <c r="A491" s="7" t="n">
        <v>17885</v>
      </c>
      <c r="B491" s="7" t="inlineStr">
        <is>
          <t>FINE LIFE ASSAM TEA 36/100 DC SF HS TAG TBGS-330254</t>
        </is>
      </c>
      <c r="C491" s="7" t="inlineStr">
        <is>
          <t>FINE LIFE</t>
        </is>
      </c>
      <c r="D491" s="7" t="n">
        <v>17884</v>
      </c>
      <c r="E491" s="7" t="inlineStr">
        <is>
          <t>FINE LIFE ASSAM TEA 100 DC SF HS TAG TBGS</t>
        </is>
      </c>
      <c r="F491" s="7" t="n">
        <v>36</v>
      </c>
      <c r="G491" s="7" t="inlineStr">
        <is>
          <t>CTN</t>
        </is>
      </c>
      <c r="H491" t="inlineStr">
        <is>
          <t>BLEND PL</t>
        </is>
      </c>
    </row>
    <row r="492" ht="14.25" customHeight="1" s="5">
      <c r="A492" s="7" t="n">
        <v>17887</v>
      </c>
      <c r="B492" s="7" t="inlineStr">
        <is>
          <t>FINE LIFE GREEN TEA 40/25 BOGO DC SF HS ENV TBGS</t>
        </is>
      </c>
      <c r="C492" s="7" t="inlineStr">
        <is>
          <t>FINE LIFE</t>
        </is>
      </c>
      <c r="D492" s="7" t="n">
        <v>17886</v>
      </c>
      <c r="E492" s="7" t="inlineStr">
        <is>
          <t>FINE LIFE GREEN TEA 25 DC SF HS ENV TBGS</t>
        </is>
      </c>
      <c r="F492" s="7" t="n">
        <v>40</v>
      </c>
      <c r="G492" s="7" t="inlineStr">
        <is>
          <t>CTN</t>
        </is>
      </c>
      <c r="H492" t="inlineStr">
        <is>
          <t>BLEND GREEN PL</t>
        </is>
      </c>
    </row>
    <row r="493" ht="14.25" customHeight="1" s="5">
      <c r="A493" s="7" t="n">
        <v>17889</v>
      </c>
      <c r="B493" s="7" t="inlineStr">
        <is>
          <t>FINE LIFE HONEY LEMON GREEN TEA 40/25 BOGO DC SF HS ENV TBGS</t>
        </is>
      </c>
      <c r="C493" s="7" t="inlineStr">
        <is>
          <t>FINE LIFE</t>
        </is>
      </c>
      <c r="D493" s="7" t="n">
        <v>17888</v>
      </c>
      <c r="E493" s="7" t="inlineStr">
        <is>
          <t>FINE LIFE HONEY LEMON GREEN TEA 25 DC SF HS ENV TBGS</t>
        </is>
      </c>
      <c r="F493" s="7" t="n">
        <v>40</v>
      </c>
      <c r="G493" s="7" t="inlineStr">
        <is>
          <t>CTN</t>
        </is>
      </c>
      <c r="H493" t="inlineStr">
        <is>
          <t>BLEND CCD GREEN TEA HONEY LEMON</t>
        </is>
      </c>
    </row>
    <row r="494" ht="14.25" customHeight="1" s="5">
      <c r="A494" s="7" t="n">
        <v>1565</v>
      </c>
      <c r="B494" s="7" t="inlineStr">
        <is>
          <t>FIRST PRICE EARL GREY 12/50 DC ENV TBGS FAIRTRADE</t>
        </is>
      </c>
      <c r="C494" s="7" t="inlineStr">
        <is>
          <t>FIRST PRICE</t>
        </is>
      </c>
      <c r="D494" s="7" t="n">
        <v>1566</v>
      </c>
      <c r="E494" s="7" t="inlineStr">
        <is>
          <t>FIRST PRICE EARL GREY 50 DC ENV TBGS FAIRTRADE</t>
        </is>
      </c>
      <c r="F494" s="7" t="n">
        <v>12</v>
      </c>
      <c r="G494" s="7" t="inlineStr">
        <is>
          <t>CTN</t>
        </is>
      </c>
      <c r="H494" t="inlineStr">
        <is>
          <t>BLEND FAIR TRADE EARL GREY</t>
        </is>
      </c>
    </row>
    <row r="495" ht="14.25" customHeight="1" s="5">
      <c r="A495" s="7" t="n">
        <v>22058</v>
      </c>
      <c r="B495" s="7" t="inlineStr">
        <is>
          <t>FOOD CLUB 12/100 PENV TBGS</t>
        </is>
      </c>
      <c r="C495" s="7" t="inlineStr">
        <is>
          <t>FOOD CLUB</t>
        </is>
      </c>
      <c r="D495" s="7" t="n">
        <v>22462</v>
      </c>
      <c r="E495" s="7" t="inlineStr">
        <is>
          <t>FOOD CLUB 100 ENV TBGS</t>
        </is>
      </c>
      <c r="F495" s="7" t="n">
        <v>12</v>
      </c>
      <c r="G495" s="7" t="inlineStr">
        <is>
          <t>CTN</t>
        </is>
      </c>
      <c r="H495" t="inlineStr">
        <is>
          <t>BLEND 7004</t>
        </is>
      </c>
    </row>
    <row r="496" ht="14.25" customHeight="1" s="5">
      <c r="A496" s="7" t="n">
        <v>22062</v>
      </c>
      <c r="B496" s="7" t="inlineStr">
        <is>
          <t>FOOD LION 12/100 PTAG TBGS 775830</t>
        </is>
      </c>
      <c r="C496" s="7" t="inlineStr">
        <is>
          <t>FOOD LION</t>
        </is>
      </c>
      <c r="D496" s="7" t="n">
        <v>22465</v>
      </c>
      <c r="E496" s="7" t="inlineStr">
        <is>
          <t>FOOD LION 100 PTAG TBGS 775830</t>
        </is>
      </c>
      <c r="F496" s="7" t="n">
        <v>12</v>
      </c>
      <c r="G496" s="7" t="inlineStr">
        <is>
          <t>CTN</t>
        </is>
      </c>
      <c r="H496" t="inlineStr">
        <is>
          <t>BLEND 7002RF</t>
        </is>
      </c>
    </row>
    <row r="497" ht="14.25" customHeight="1" s="5">
      <c r="A497" s="7" t="n">
        <v>22181</v>
      </c>
      <c r="B497" s="7" t="inlineStr">
        <is>
          <t>FOOD LION 12/48 DCF PTAG TBGS 775460</t>
        </is>
      </c>
      <c r="C497" s="7" t="inlineStr">
        <is>
          <t>FOOD LION</t>
        </is>
      </c>
      <c r="D497" s="7" t="n">
        <v>22861</v>
      </c>
      <c r="E497" s="7" t="inlineStr">
        <is>
          <t>FOOD LION 48 DCF PTAG TBGS 775460</t>
        </is>
      </c>
      <c r="F497" s="7" t="n">
        <v>12</v>
      </c>
      <c r="G497" s="7" t="inlineStr">
        <is>
          <t>CTN</t>
        </is>
      </c>
      <c r="H497" t="inlineStr">
        <is>
          <t>BLEND 7001RF</t>
        </is>
      </c>
    </row>
    <row r="498" ht="14.25" customHeight="1" s="5">
      <c r="A498" s="7" t="n">
        <v>21759</v>
      </c>
      <c r="B498" s="7" t="inlineStr">
        <is>
          <t>FOOD LION RFA 12/24 PFSTAG TBGS 776000</t>
        </is>
      </c>
      <c r="C498" s="7" t="inlineStr">
        <is>
          <t>FOOD LION</t>
        </is>
      </c>
      <c r="D498" s="7" t="n">
        <v>21766</v>
      </c>
      <c r="E498" s="7" t="inlineStr">
        <is>
          <t>FOOD LION RFA 24 PFSTAG TBGS</t>
        </is>
      </c>
      <c r="F498" s="7" t="n">
        <v>12</v>
      </c>
      <c r="G498" s="7" t="inlineStr">
        <is>
          <t>CTN</t>
        </is>
      </c>
      <c r="H498" t="inlineStr">
        <is>
          <t>BLEND 7004RF</t>
        </is>
      </c>
    </row>
    <row r="499" ht="14.25" customHeight="1" s="5">
      <c r="A499" s="7" t="n">
        <v>510</v>
      </c>
      <c r="B499" s="7" t="inlineStr">
        <is>
          <t>FORCE 12/100 DC ENV TBGS 1.5 GMS</t>
        </is>
      </c>
      <c r="C499" s="7" t="inlineStr">
        <is>
          <t>FORCE</t>
        </is>
      </c>
      <c r="D499" s="7" t="n">
        <v>511</v>
      </c>
      <c r="E499" s="7" t="inlineStr">
        <is>
          <t>FORCE 100 DC ENV TBGS 1.5 GMS</t>
        </is>
      </c>
      <c r="F499" s="7" t="n">
        <v>12</v>
      </c>
      <c r="G499" s="7" t="inlineStr">
        <is>
          <t>CTN</t>
        </is>
      </c>
      <c r="H499" t="inlineStr">
        <is>
          <t>BLEND 786</t>
        </is>
      </c>
    </row>
    <row r="500" ht="14.25" customHeight="1" s="5">
      <c r="A500" s="7" t="n">
        <v>515</v>
      </c>
      <c r="B500" s="7" t="inlineStr">
        <is>
          <t>FORCE TEA 12/106 DC ENV TBGS WITH TSHIRT &amp; SPOON</t>
        </is>
      </c>
      <c r="C500" s="7" t="inlineStr">
        <is>
          <t>FORCE</t>
        </is>
      </c>
      <c r="D500" s="7" t="n">
        <v>516</v>
      </c>
      <c r="E500" s="7" t="inlineStr">
        <is>
          <t>FORCE TEA 106 DC ENV TBGS</t>
        </is>
      </c>
      <c r="F500" s="7" t="n">
        <v>12</v>
      </c>
      <c r="G500" s="7" t="inlineStr">
        <is>
          <t>CTN</t>
        </is>
      </c>
      <c r="H500" t="inlineStr">
        <is>
          <t>BLEND 786</t>
        </is>
      </c>
    </row>
    <row r="501" ht="14.25" customHeight="1" s="5">
      <c r="A501" s="7" t="n">
        <v>36496</v>
      </c>
      <c r="B501" s="7" t="inlineStr">
        <is>
          <t>FRESH &amp; HONEST ASSAM 18/100 DC SF HS ENV TBGS</t>
        </is>
      </c>
      <c r="C501" s="7" t="inlineStr">
        <is>
          <t>FRESH &amp; HONEST</t>
        </is>
      </c>
      <c r="D501" s="7" t="n">
        <v>36310</v>
      </c>
      <c r="E501" s="7" t="inlineStr">
        <is>
          <t>FRESH &amp; HONEST ASSAM 100 DC SF HS ENV TBGS</t>
        </is>
      </c>
      <c r="F501" s="7" t="n">
        <v>18</v>
      </c>
      <c r="G501" s="7" t="inlineStr">
        <is>
          <t>CTN</t>
        </is>
      </c>
      <c r="H501" t="inlineStr">
        <is>
          <t>BLEND TEAME 909</t>
        </is>
      </c>
    </row>
    <row r="502" ht="14.25" customHeight="1" s="5">
      <c r="A502" s="7" t="n">
        <v>36499</v>
      </c>
      <c r="B502" s="7" t="inlineStr">
        <is>
          <t>FRESH &amp; HONEST CARDAMOM 18/100 DC SF HS ENV TBGS</t>
        </is>
      </c>
      <c r="C502" s="7" t="inlineStr">
        <is>
          <t>FRESH &amp; HONEST</t>
        </is>
      </c>
      <c r="D502" s="7" t="n">
        <v>36313</v>
      </c>
      <c r="E502" s="7" t="inlineStr">
        <is>
          <t>FRESH &amp; HONEST CARDAMOM 100 DC SF HS ENV TBGS</t>
        </is>
      </c>
      <c r="F502" s="7" t="n">
        <v>18</v>
      </c>
      <c r="G502" s="7" t="inlineStr">
        <is>
          <t>CTN</t>
        </is>
      </c>
      <c r="H502" t="inlineStr">
        <is>
          <t>BLEND BLACK TEA CARDAMOM FLV TBC</t>
        </is>
      </c>
    </row>
    <row r="503" ht="14.25" customHeight="1" s="5">
      <c r="A503" s="7" t="n">
        <v>36687</v>
      </c>
      <c r="B503" s="7" t="inlineStr">
        <is>
          <t>FRESH &amp; HONEST DUST MWB2  [8 X 10 X 200 GM LAMINATE POUCH] PP BAG</t>
        </is>
      </c>
      <c r="C503" s="7" t="inlineStr">
        <is>
          <t>FRESH &amp; HONEST</t>
        </is>
      </c>
      <c r="D503" s="7" t="n">
        <v>36685</v>
      </c>
      <c r="E503" s="7" t="inlineStr">
        <is>
          <t>FRESH &amp; HONEST DUST MWB2 200 GM POUCH</t>
        </is>
      </c>
      <c r="F503" s="7" t="n">
        <v>80</v>
      </c>
      <c r="G503" s="7" t="inlineStr">
        <is>
          <t>POUCH</t>
        </is>
      </c>
      <c r="H503" t="inlineStr">
        <is>
          <t>BLEND MWB2</t>
        </is>
      </c>
    </row>
    <row r="504" ht="14.25" customHeight="1" s="5">
      <c r="A504" s="7" t="n">
        <v>36500</v>
      </c>
      <c r="B504" s="7" t="inlineStr">
        <is>
          <t>FRESH &amp; HONEST GINGER 18/100 DC SF HS ENV TBGS</t>
        </is>
      </c>
      <c r="C504" s="7" t="inlineStr">
        <is>
          <t>FRESH &amp; HONEST</t>
        </is>
      </c>
      <c r="D504" s="7" t="n">
        <v>36315</v>
      </c>
      <c r="E504" s="7" t="inlineStr">
        <is>
          <t>FRESH &amp; HONEST GINGER 100 DC SF HS ENV TBGS</t>
        </is>
      </c>
      <c r="F504" s="7" t="n">
        <v>18</v>
      </c>
      <c r="G504" s="7" t="inlineStr">
        <is>
          <t>CTN</t>
        </is>
      </c>
      <c r="H504" t="inlineStr">
        <is>
          <t>BLEND BLACK TEA GINGER FLVR TBC</t>
        </is>
      </c>
    </row>
    <row r="505" ht="14.25" customHeight="1" s="5">
      <c r="A505" s="7" t="n">
        <v>36495</v>
      </c>
      <c r="B505" s="7" t="inlineStr">
        <is>
          <t>FRESH &amp; HONEST GREEN 18/100 DC SF HS ENV TBGS</t>
        </is>
      </c>
      <c r="C505" s="7" t="inlineStr">
        <is>
          <t>FRESH &amp; HONEST</t>
        </is>
      </c>
      <c r="D505" s="7" t="n">
        <v>36309</v>
      </c>
      <c r="E505" s="7" t="inlineStr">
        <is>
          <t>FRESH &amp; HONEST GREEN 100 DC SF HS ENV TBGS</t>
        </is>
      </c>
      <c r="F505" s="7" t="n">
        <v>18</v>
      </c>
      <c r="G505" s="7" t="inlineStr">
        <is>
          <t>CTN</t>
        </is>
      </c>
      <c r="H505" t="inlineStr">
        <is>
          <t>BLEND TEAME GREEN</t>
        </is>
      </c>
    </row>
    <row r="506" ht="14.25" customHeight="1" s="5">
      <c r="A506" s="7" t="n">
        <v>36497</v>
      </c>
      <c r="B506" s="7" t="inlineStr">
        <is>
          <t>FRESH &amp; HONEST LEMON 18/100 DC SF HS ENV TBGS</t>
        </is>
      </c>
      <c r="C506" s="7" t="inlineStr">
        <is>
          <t>FRESH &amp; HONEST</t>
        </is>
      </c>
      <c r="D506" s="7" t="n">
        <v>36311</v>
      </c>
      <c r="E506" s="7" t="inlineStr">
        <is>
          <t>FRESH &amp; HONEST LEMON 100 DC SF HS ENV TBGS</t>
        </is>
      </c>
      <c r="F506" s="7" t="n">
        <v>18</v>
      </c>
      <c r="G506" s="7" t="inlineStr">
        <is>
          <t>CTN</t>
        </is>
      </c>
      <c r="H506" t="inlineStr">
        <is>
          <t>BLEND BLACK TEA LEMON TEAME NEW TB</t>
        </is>
      </c>
    </row>
    <row r="507" ht="14.25" customHeight="1" s="5">
      <c r="A507" s="7" t="n">
        <v>36498</v>
      </c>
      <c r="B507" s="7" t="inlineStr">
        <is>
          <t>FRESH &amp; HONEST MASALA 18/100 DC SF HS ENV TBGS</t>
        </is>
      </c>
      <c r="C507" s="7" t="inlineStr">
        <is>
          <t>FRESH &amp; HONEST</t>
        </is>
      </c>
      <c r="D507" s="7" t="n">
        <v>36312</v>
      </c>
      <c r="E507" s="7" t="inlineStr">
        <is>
          <t>FRESH &amp; HONEST MASALA 100 DC SF HS ENV TBGS</t>
        </is>
      </c>
      <c r="F507" s="7" t="n">
        <v>18</v>
      </c>
      <c r="G507" s="7" t="inlineStr">
        <is>
          <t>CTN</t>
        </is>
      </c>
      <c r="H507" t="inlineStr">
        <is>
          <t>BLEND BLACK TEA MASALA TBC</t>
        </is>
      </c>
    </row>
    <row r="508" ht="14.25" customHeight="1" s="5">
      <c r="A508" s="7" t="n">
        <v>36574</v>
      </c>
      <c r="B508" s="7" t="inlineStr">
        <is>
          <t>FRESH &amp; HONEST PREMIUM DUST MWB2 [12 X 1 KG LAMINATE POUCH] CFC</t>
        </is>
      </c>
      <c r="C508" s="7" t="inlineStr">
        <is>
          <t>FRESH &amp; HONEST</t>
        </is>
      </c>
      <c r="D508" s="7" t="n">
        <v>36572</v>
      </c>
      <c r="E508" s="7" t="inlineStr">
        <is>
          <t>FRESH &amp; HONEST PREMIUM DUST MWB2 1 KG POUCH</t>
        </is>
      </c>
      <c r="F508" s="7" t="n">
        <v>12</v>
      </c>
      <c r="G508" s="7" t="inlineStr">
        <is>
          <t>POUCH</t>
        </is>
      </c>
      <c r="H508" t="inlineStr">
        <is>
          <t>BLEND MWB2</t>
        </is>
      </c>
    </row>
    <row r="509" ht="14.25" customHeight="1" s="5">
      <c r="A509" s="7" t="n">
        <v>27297</v>
      </c>
      <c r="B509" s="7" t="inlineStr">
        <is>
          <t>FRESH AND HONEST ASSAM 36/100 DC SF TAG TBGS</t>
        </is>
      </c>
      <c r="C509" s="7" t="inlineStr">
        <is>
          <t>FRESH &amp; HONEST</t>
        </is>
      </c>
      <c r="D509" s="7" t="n">
        <v>27285</v>
      </c>
      <c r="E509" s="7" t="inlineStr">
        <is>
          <t>FRESH AND HONEST ASSAM 100 DC SF TAG TBGS</t>
        </is>
      </c>
      <c r="F509" s="7" t="n">
        <v>36</v>
      </c>
      <c r="G509" s="7" t="inlineStr">
        <is>
          <t>CTN</t>
        </is>
      </c>
      <c r="H509" t="inlineStr">
        <is>
          <t>BLEND PL</t>
        </is>
      </c>
    </row>
    <row r="510" ht="14.25" customHeight="1" s="5">
      <c r="A510" s="7" t="n">
        <v>36455</v>
      </c>
      <c r="B510" s="7" t="inlineStr">
        <is>
          <t>FRESH AND HONEST CARDAMOM 36/100 DC STAPLE FREE TAG TBGS</t>
        </is>
      </c>
      <c r="C510" s="7" t="inlineStr">
        <is>
          <t>FRESH &amp; HONEST</t>
        </is>
      </c>
      <c r="D510" s="7" t="n">
        <v>36435</v>
      </c>
      <c r="E510" s="7" t="inlineStr">
        <is>
          <t>FRESH AND HONEST CARDAMOM 100 DC STAPLE FREE TAG TBGS</t>
        </is>
      </c>
      <c r="F510" s="7" t="n">
        <v>36</v>
      </c>
      <c r="G510" s="7" t="inlineStr">
        <is>
          <t>CTN</t>
        </is>
      </c>
      <c r="H510" t="inlineStr">
        <is>
          <t>BLEND BLACK TEA CARDAMOM FLV TBC</t>
        </is>
      </c>
    </row>
    <row r="511" ht="14.25" customHeight="1" s="5">
      <c r="A511" s="7" t="n">
        <v>36456</v>
      </c>
      <c r="B511" s="7" t="inlineStr">
        <is>
          <t>FRESH AND HONEST GINGER 36/100 DC STAPLE FREE TAG TBGS</t>
        </is>
      </c>
      <c r="C511" s="7" t="inlineStr">
        <is>
          <t>FRESH &amp; HONEST</t>
        </is>
      </c>
      <c r="D511" s="7" t="n">
        <v>36436</v>
      </c>
      <c r="E511" s="7" t="inlineStr">
        <is>
          <t>FRESH AND HONEST GINGER 100 DC STAPLE FREE TAG TBGS</t>
        </is>
      </c>
      <c r="F511" s="7" t="n">
        <v>36</v>
      </c>
      <c r="G511" s="7" t="inlineStr">
        <is>
          <t>CTN</t>
        </is>
      </c>
      <c r="H511" t="inlineStr">
        <is>
          <t>BLEND BLACK TEA GINGER FLVR TBC</t>
        </is>
      </c>
    </row>
    <row r="512" ht="14.25" customHeight="1" s="5">
      <c r="A512" s="7" t="n">
        <v>36454</v>
      </c>
      <c r="B512" s="7" t="inlineStr">
        <is>
          <t>FRESH AND HONEST MASALA 36/100 DC STAPLE FREE TAG TBGS</t>
        </is>
      </c>
      <c r="C512" s="7" t="inlineStr">
        <is>
          <t>FRESH &amp; HONEST</t>
        </is>
      </c>
      <c r="D512" s="7" t="n">
        <v>37035</v>
      </c>
      <c r="E512" s="7" t="inlineStr">
        <is>
          <t>FRESH AND HONEST MASALA 100 DC STAPLE FREE TAG TBGS-</t>
        </is>
      </c>
      <c r="F512" s="7" t="n">
        <v>36</v>
      </c>
      <c r="G512" s="7" t="inlineStr">
        <is>
          <t>CTN</t>
        </is>
      </c>
      <c r="H512" t="inlineStr">
        <is>
          <t>BLEND BLACK TEA MASALA TBC</t>
        </is>
      </c>
    </row>
    <row r="513" ht="14.25" customHeight="1" s="5">
      <c r="A513" s="7" t="n">
        <v>36699</v>
      </c>
      <c r="B513" s="7" t="inlineStr">
        <is>
          <t>FRESHTEA LEAF TEA [8 X 40 X 20 GM LAMINATE POUCH] CFC</t>
        </is>
      </c>
      <c r="C513" s="7" t="inlineStr">
        <is>
          <t>FRESHTEA</t>
        </is>
      </c>
      <c r="D513" s="7" t="n">
        <v>36698</v>
      </c>
      <c r="E513" s="7" t="inlineStr">
        <is>
          <t>FRESHTEA LEAF TEA 20 GM POUCH</t>
        </is>
      </c>
      <c r="F513" s="7" t="n">
        <v>320</v>
      </c>
      <c r="G513" s="7" t="inlineStr">
        <is>
          <t>POUCH</t>
        </is>
      </c>
      <c r="H513" t="inlineStr">
        <is>
          <t>BLEND FRESH TEA</t>
        </is>
      </c>
    </row>
    <row r="514" ht="14.25" customHeight="1" s="5">
      <c r="A514" s="7" t="n">
        <v>36114</v>
      </c>
      <c r="B514" s="7" t="inlineStr">
        <is>
          <t>FRESHTEA LEAF TEA 100 GM [8 X 30 X 100 GM LAMINATE POUCH] PP BAG</t>
        </is>
      </c>
      <c r="C514" s="7" t="inlineStr">
        <is>
          <t>FRESHTEA</t>
        </is>
      </c>
      <c r="D514" s="7" t="n">
        <v>36109</v>
      </c>
      <c r="E514" s="7" t="inlineStr">
        <is>
          <t>FRESHTEA LEAF TEA 100 GM POUCH</t>
        </is>
      </c>
      <c r="F514" s="7" t="n">
        <v>240</v>
      </c>
      <c r="G514" s="7" t="inlineStr">
        <is>
          <t>POUCH</t>
        </is>
      </c>
      <c r="H514" t="inlineStr">
        <is>
          <t>BLEND FRESH TEA</t>
        </is>
      </c>
    </row>
    <row r="515" ht="14.25" customHeight="1" s="5">
      <c r="A515" s="7" t="n">
        <v>35673</v>
      </c>
      <c r="B515" s="7" t="inlineStr">
        <is>
          <t>FRESHTEA LEAF TEA 250 GM [8 X 12 X 250 GM LAMINATE POUCH] PP BAG</t>
        </is>
      </c>
      <c r="C515" s="7" t="inlineStr">
        <is>
          <t>TEZ</t>
        </is>
      </c>
      <c r="D515" s="7" t="n">
        <v>35664</v>
      </c>
      <c r="E515" s="7" t="inlineStr">
        <is>
          <t>FRESH TEA LEAF TEA 250 GM POUCH</t>
        </is>
      </c>
      <c r="F515" s="7" t="n">
        <v>96</v>
      </c>
      <c r="G515" s="7" t="inlineStr">
        <is>
          <t>POUCH</t>
        </is>
      </c>
      <c r="H515" t="inlineStr">
        <is>
          <t>BLEND FRESH TEA</t>
        </is>
      </c>
    </row>
    <row r="516" ht="14.25" customHeight="1" s="5">
      <c r="A516" s="7" t="n">
        <v>521</v>
      </c>
      <c r="B516" s="7" t="inlineStr">
        <is>
          <t>GALILA 12/103 DC ENV TBGS WITH SPOON</t>
        </is>
      </c>
      <c r="C516" s="7" t="inlineStr">
        <is>
          <t>GALILA</t>
        </is>
      </c>
      <c r="D516" s="7" t="n">
        <v>522</v>
      </c>
      <c r="E516" s="7" t="inlineStr">
        <is>
          <t>GALILA 103 DC ENV TBGS</t>
        </is>
      </c>
      <c r="F516" s="7" t="n">
        <v>12</v>
      </c>
      <c r="G516" s="7" t="inlineStr">
        <is>
          <t>CTN</t>
        </is>
      </c>
      <c r="H516" t="inlineStr">
        <is>
          <t>BLEND 786</t>
        </is>
      </c>
    </row>
    <row r="517" ht="14.25" customHeight="1" s="5">
      <c r="A517" s="7" t="n">
        <v>35520</v>
      </c>
      <c r="B517" s="7" t="inlineStr">
        <is>
          <t>GARANT BLACK CURRANT 15/20 DC ENV TBGS-FT</t>
        </is>
      </c>
      <c r="C517" s="7" t="inlineStr">
        <is>
          <t>GARANT</t>
        </is>
      </c>
      <c r="D517" s="7" t="n">
        <v>35573</v>
      </c>
      <c r="E517" s="7" t="inlineStr">
        <is>
          <t>GARANT BLACK CURRANT 20 DC ENV TBGS-FT</t>
        </is>
      </c>
      <c r="F517" s="7" t="n">
        <v>15</v>
      </c>
      <c r="G517" s="7" t="inlineStr">
        <is>
          <t>CTN</t>
        </is>
      </c>
      <c r="H517" t="inlineStr">
        <is>
          <t>BLEND AX BLACKCURRANT TB FT</t>
        </is>
      </c>
    </row>
    <row r="518" ht="14.25" customHeight="1" s="5">
      <c r="A518" s="7" t="n">
        <v>1572</v>
      </c>
      <c r="B518" s="7" t="inlineStr">
        <is>
          <t>GARANT BLACK CURRANT 15/20 DC ENV TBGS-RFA</t>
        </is>
      </c>
      <c r="C518" s="7" t="inlineStr">
        <is>
          <t>GARANT</t>
        </is>
      </c>
      <c r="D518" s="7" t="n">
        <v>1573</v>
      </c>
      <c r="E518" s="7" t="inlineStr">
        <is>
          <t>GARANT BLACK CURRANT 20 DC ENV TBGS-RFA</t>
        </is>
      </c>
      <c r="F518" s="7" t="n">
        <v>15</v>
      </c>
      <c r="G518" s="7" t="inlineStr">
        <is>
          <t>CTN</t>
        </is>
      </c>
      <c r="H518" t="inlineStr">
        <is>
          <t>BLEND BLACK TEA BLACKCURRANT TB 100% RFA</t>
        </is>
      </c>
    </row>
    <row r="519" ht="14.25" customHeight="1" s="5">
      <c r="A519" s="7" t="n">
        <v>23045</v>
      </c>
      <c r="B519" s="7" t="inlineStr">
        <is>
          <t>GARANT BLACK TEA CINNAMON APPLE 15/20 DC SF ENV TBGS - RFA</t>
        </is>
      </c>
      <c r="C519" s="7" t="inlineStr">
        <is>
          <t>GARANT</t>
        </is>
      </c>
      <c r="D519" s="7" t="n">
        <v>23040</v>
      </c>
      <c r="E519" s="7" t="inlineStr">
        <is>
          <t>GARANT BLACK TEA CINNAMON APPLE 20 DC SF ENV TBGS - RFA</t>
        </is>
      </c>
      <c r="F519" s="7" t="n">
        <v>15</v>
      </c>
      <c r="G519" s="7" t="inlineStr">
        <is>
          <t>CTN</t>
        </is>
      </c>
      <c r="H519" t="inlineStr">
        <is>
          <t>BLEND BLACK TEA CINNAMON APPLE RFA TB</t>
        </is>
      </c>
    </row>
    <row r="520" ht="14.25" customHeight="1" s="5">
      <c r="A520" s="7" t="n">
        <v>35521</v>
      </c>
      <c r="B520" s="7" t="inlineStr">
        <is>
          <t>GARANT BLACK TEA CINNAMON APPLE 15/20 DC SF ENV TBGS-FT</t>
        </is>
      </c>
      <c r="C520" s="7" t="inlineStr">
        <is>
          <t>GARANT</t>
        </is>
      </c>
      <c r="D520" s="7" t="n">
        <v>35603</v>
      </c>
      <c r="E520" s="7" t="inlineStr">
        <is>
          <t>GARANT BLACK TEA CINNAMON APPLE 20 DC SF ENV TBGS-FT</t>
        </is>
      </c>
      <c r="F520" s="7" t="n">
        <v>15</v>
      </c>
      <c r="G520" s="7" t="inlineStr">
        <is>
          <t>CTN</t>
        </is>
      </c>
      <c r="H520" t="inlineStr">
        <is>
          <t>BLEND AX CINNAMON APPLE TB FT</t>
        </is>
      </c>
    </row>
    <row r="521" ht="14.25" customHeight="1" s="5">
      <c r="A521" s="7" t="n">
        <v>22623</v>
      </c>
      <c r="B521" s="7" t="inlineStr">
        <is>
          <t>GARANT BLACK TEA CINNAMON APPLE 15/20 DC SF ENV TBGSRFA</t>
        </is>
      </c>
      <c r="C521" s="7" t="inlineStr">
        <is>
          <t>GARANT</t>
        </is>
      </c>
      <c r="D521" s="7" t="n">
        <v>22546</v>
      </c>
      <c r="E521" s="7" t="inlineStr">
        <is>
          <t>GARANT BLACK TEA CINNAMON APPLE 20 DC SF ENV TBGS-RFA</t>
        </is>
      </c>
      <c r="F521" s="7" t="n">
        <v>15</v>
      </c>
      <c r="G521" s="7" t="inlineStr">
        <is>
          <t>CTN</t>
        </is>
      </c>
      <c r="H521" t="inlineStr">
        <is>
          <t>BLEND BLACK TEA CINNAMON APPLE RFA TB</t>
        </is>
      </c>
    </row>
    <row r="522" ht="14.25" customHeight="1" s="5">
      <c r="A522" s="7" t="n">
        <v>23038</v>
      </c>
      <c r="B522" s="7" t="inlineStr">
        <is>
          <t>GARANT BLACK TEA MANGO STRAWBERRY 15/20 DC SF ENV TBGS - RFA</t>
        </is>
      </c>
      <c r="C522" s="7" t="inlineStr">
        <is>
          <t>GARANT</t>
        </is>
      </c>
      <c r="D522" s="7" t="n">
        <v>23041</v>
      </c>
      <c r="E522" s="7" t="inlineStr">
        <is>
          <t>GARANT BLACK TEA MANGO STRAWBERRY 20 DC SF ENV TBGS - RFA</t>
        </is>
      </c>
      <c r="F522" s="7" t="n">
        <v>15</v>
      </c>
      <c r="G522" s="7" t="inlineStr">
        <is>
          <t>CTN</t>
        </is>
      </c>
      <c r="H522" t="inlineStr">
        <is>
          <t>BLEND BLACK TEA MANGO STRAWBERRY RFA TB</t>
        </is>
      </c>
    </row>
    <row r="523" ht="14.25" customHeight="1" s="5">
      <c r="A523" s="7" t="n">
        <v>35522</v>
      </c>
      <c r="B523" s="7" t="inlineStr">
        <is>
          <t>GARANT BLACK TEA MANGO STRAWBERRY 15/20 DC SF ENV TBGS-FT</t>
        </is>
      </c>
      <c r="C523" s="7" t="inlineStr">
        <is>
          <t>GARANT</t>
        </is>
      </c>
      <c r="D523" s="7" t="n">
        <v>35604</v>
      </c>
      <c r="E523" s="7" t="inlineStr">
        <is>
          <t>GARANT BLACK TEA MANGO STRAWBERRY 20 DC SF ENV TBGS-FT</t>
        </is>
      </c>
      <c r="F523" s="7" t="n">
        <v>15</v>
      </c>
      <c r="G523" s="7" t="inlineStr">
        <is>
          <t>CTN</t>
        </is>
      </c>
      <c r="H523" t="inlineStr">
        <is>
          <t>BLEND AX MANGO STRAWBERRY TB FT</t>
        </is>
      </c>
    </row>
    <row r="524" ht="14.25" customHeight="1" s="5">
      <c r="A524" s="7" t="n">
        <v>22542</v>
      </c>
      <c r="B524" s="7" t="inlineStr">
        <is>
          <t>GARANT BLACK TEA MANGO STRAWBERRY 15/20 DC SF ENV TBGS-RFA</t>
        </is>
      </c>
      <c r="C524" s="7" t="inlineStr">
        <is>
          <t>GARANT</t>
        </is>
      </c>
      <c r="D524" s="7" t="n">
        <v>22545</v>
      </c>
      <c r="E524" s="7" t="inlineStr">
        <is>
          <t>GARANT BLACK TEA MANGO STRAWBERRY 20 DC SF ENV TBGS-RFA</t>
        </is>
      </c>
      <c r="F524" s="7" t="n">
        <v>15</v>
      </c>
      <c r="G524" s="7" t="inlineStr">
        <is>
          <t>CTN</t>
        </is>
      </c>
      <c r="H524" t="inlineStr">
        <is>
          <t>BLEND BLACK TEA MANGO STRAWBERRY RFA TB</t>
        </is>
      </c>
    </row>
    <row r="525" ht="14.25" customHeight="1" s="5">
      <c r="A525" s="7" t="n">
        <v>1578</v>
      </c>
      <c r="B525" s="7" t="inlineStr">
        <is>
          <t>GARANT CHAI MASALA 12/150 GMS POUCH-100% RFA</t>
        </is>
      </c>
      <c r="C525" s="7" t="inlineStr">
        <is>
          <t>GARANT</t>
        </is>
      </c>
      <c r="D525" s="7" t="n">
        <v>1579</v>
      </c>
      <c r="E525" s="7" t="inlineStr">
        <is>
          <t>GARANT CHAI MASALA 150 GMS POUCH-100% RFA</t>
        </is>
      </c>
      <c r="F525" s="7" t="n">
        <v>12</v>
      </c>
      <c r="G525" s="7" t="inlineStr">
        <is>
          <t>CTN</t>
        </is>
      </c>
      <c r="H525" t="inlineStr">
        <is>
          <t>BLEND BLACK CHAI MASALA PCH 100% RFA</t>
        </is>
      </c>
    </row>
    <row r="526" ht="14.25" customHeight="1" s="5">
      <c r="A526" s="7" t="n">
        <v>1585</v>
      </c>
      <c r="B526" s="7" t="inlineStr">
        <is>
          <t>GARANT CHAI MASALA 12/20 PYRAMID TBGS - RFA</t>
        </is>
      </c>
      <c r="C526" s="7" t="inlineStr">
        <is>
          <t>GARANT</t>
        </is>
      </c>
      <c r="D526" s="7" t="n">
        <v>1586</v>
      </c>
      <c r="E526" s="7" t="inlineStr">
        <is>
          <t>GARANT CHAI MASALA 20 PYRAMID TBGS - RFA</t>
        </is>
      </c>
      <c r="F526" s="7" t="n">
        <v>12</v>
      </c>
      <c r="G526" s="7" t="inlineStr">
        <is>
          <t>CTN</t>
        </is>
      </c>
      <c r="H526" t="inlineStr">
        <is>
          <t>BLEND GREEN TEA MASALA PY 30% RFA</t>
        </is>
      </c>
    </row>
    <row r="527" ht="14.25" customHeight="1" s="5">
      <c r="A527" s="7" t="n">
        <v>1594</v>
      </c>
      <c r="B527" s="7" t="inlineStr">
        <is>
          <t>GARANT CHAI MASALA 15/20 DC ENV TBGS - RFA</t>
        </is>
      </c>
      <c r="C527" s="7" t="inlineStr">
        <is>
          <t>GARANT</t>
        </is>
      </c>
      <c r="D527" s="7" t="n">
        <v>1595</v>
      </c>
      <c r="E527" s="7" t="inlineStr">
        <is>
          <t>GARANT CHAI MASALA 20 DC ENV TBGS - RFA</t>
        </is>
      </c>
      <c r="F527" s="7" t="n">
        <v>15</v>
      </c>
      <c r="G527" s="7" t="inlineStr">
        <is>
          <t>CTN</t>
        </is>
      </c>
      <c r="H527" t="inlineStr">
        <is>
          <t>BLEND AX-MASALA TB 30% RFA</t>
        </is>
      </c>
    </row>
    <row r="528" ht="14.25" customHeight="1" s="5">
      <c r="A528" s="7" t="n">
        <v>35526</v>
      </c>
      <c r="B528" s="7" t="inlineStr">
        <is>
          <t>GARANT CHAI MASALA 15/20 DC ENV TBGS-FT</t>
        </is>
      </c>
      <c r="C528" s="7" t="inlineStr">
        <is>
          <t>GARANT</t>
        </is>
      </c>
      <c r="D528" s="7" t="n">
        <v>35611</v>
      </c>
      <c r="E528" s="7" t="inlineStr">
        <is>
          <t>GARANT CHAI MASALA 20 DC SF ENV TBGS-FT</t>
        </is>
      </c>
      <c r="F528" s="7" t="n">
        <v>15</v>
      </c>
      <c r="G528" s="7" t="inlineStr">
        <is>
          <t>CTN</t>
        </is>
      </c>
      <c r="H528" t="inlineStr">
        <is>
          <t>BLEND AX MASALA TB FT</t>
        </is>
      </c>
    </row>
    <row r="529" ht="14.25" customHeight="1" s="5">
      <c r="A529" s="7" t="n">
        <v>1599</v>
      </c>
      <c r="B529" s="7" t="inlineStr">
        <is>
          <t>GARANT EARL GREY 12/150 GMS POUCH-100% RFA</t>
        </is>
      </c>
      <c r="C529" s="7" t="inlineStr">
        <is>
          <t>GARANT</t>
        </is>
      </c>
      <c r="D529" s="7" t="n">
        <v>1600</v>
      </c>
      <c r="E529" s="7" t="inlineStr">
        <is>
          <t>GARANT EARL GREY 150 GMS POUCH-100% RFA</t>
        </is>
      </c>
      <c r="F529" s="7" t="n">
        <v>12</v>
      </c>
      <c r="G529" s="7" t="inlineStr">
        <is>
          <t>CTN</t>
        </is>
      </c>
      <c r="H529" t="inlineStr">
        <is>
          <t>BLEND EARL GREY PCH 100% RFA</t>
        </is>
      </c>
    </row>
    <row r="530" ht="14.25" customHeight="1" s="5">
      <c r="A530" s="7" t="n">
        <v>36050</v>
      </c>
      <c r="B530" s="7" t="inlineStr">
        <is>
          <t>GARANT EARL GREY 15/20 DC ENV TBGS-FT</t>
        </is>
      </c>
      <c r="C530" s="7" t="inlineStr">
        <is>
          <t>GARANT</t>
        </is>
      </c>
      <c r="D530" s="7" t="n">
        <v>36169</v>
      </c>
      <c r="E530" s="7" t="inlineStr">
        <is>
          <t>GARANT EARL GREY 20 DC ENV TBGS-FT</t>
        </is>
      </c>
      <c r="F530" s="7" t="n">
        <v>15</v>
      </c>
      <c r="G530" s="7" t="inlineStr">
        <is>
          <t>CTN</t>
        </is>
      </c>
      <c r="H530" t="inlineStr">
        <is>
          <t>BLEND AX EARL GREY TB FT</t>
        </is>
      </c>
    </row>
    <row r="531" ht="14.25" customHeight="1" s="5">
      <c r="A531" s="7" t="n">
        <v>1603</v>
      </c>
      <c r="B531" s="7" t="inlineStr">
        <is>
          <t>GARANT EARL GREY 15/20 DC ENV TBGS-RFA</t>
        </is>
      </c>
      <c r="C531" s="7" t="inlineStr">
        <is>
          <t>GARANT</t>
        </is>
      </c>
      <c r="D531" s="7" t="n">
        <v>1604</v>
      </c>
      <c r="E531" s="7" t="inlineStr">
        <is>
          <t>GARANT EARL GREY 20 DC ENV TBGS-RFA</t>
        </is>
      </c>
      <c r="F531" s="7" t="n">
        <v>15</v>
      </c>
      <c r="G531" s="7" t="inlineStr">
        <is>
          <t>CTN</t>
        </is>
      </c>
      <c r="H531" t="inlineStr">
        <is>
          <t>BLEND BLACK TEA EARL GREY TB - 30% RFA</t>
        </is>
      </c>
    </row>
    <row r="532" ht="14.25" customHeight="1" s="5">
      <c r="A532" s="7" t="n">
        <v>1608</v>
      </c>
      <c r="B532" s="7" t="inlineStr">
        <is>
          <t>GARANT EARL GREY 6/100 DC TAG TBGS-RFA</t>
        </is>
      </c>
      <c r="C532" s="7" t="inlineStr">
        <is>
          <t>GARANT</t>
        </is>
      </c>
      <c r="D532" s="7" t="n">
        <v>1609</v>
      </c>
      <c r="E532" s="7" t="inlineStr">
        <is>
          <t>GARANT EARL GREY 100 DC TAG TBGS-RFA</t>
        </is>
      </c>
      <c r="F532" s="7" t="n">
        <v>6</v>
      </c>
      <c r="G532" s="7" t="inlineStr">
        <is>
          <t>CTN</t>
        </is>
      </c>
      <c r="H532" t="inlineStr">
        <is>
          <t>BLEND BLACK TEA EARL GREY TB - 30% RFA</t>
        </is>
      </c>
    </row>
    <row r="533" ht="14.25" customHeight="1" s="5">
      <c r="A533" s="7" t="n">
        <v>1613</v>
      </c>
      <c r="B533" s="7" t="inlineStr">
        <is>
          <t>GARANT ECOLOGICAL ASSAM 8/20 DC SF HS ENV TBGS</t>
        </is>
      </c>
      <c r="C533" s="7" t="inlineStr">
        <is>
          <t>GARANT</t>
        </is>
      </c>
      <c r="D533" s="7" t="n">
        <v>1614</v>
      </c>
      <c r="E533" s="7" t="inlineStr">
        <is>
          <t>GARANT ECOLOGICAL ASSAM 20 DC SF HS ENV TBGS</t>
        </is>
      </c>
      <c r="F533" s="7" t="n">
        <v>8</v>
      </c>
      <c r="G533" s="7" t="inlineStr">
        <is>
          <t>CTN</t>
        </is>
      </c>
      <c r="H533" t="inlineStr">
        <is>
          <t>BLEND ASSAM ORGANIC TB</t>
        </is>
      </c>
    </row>
    <row r="534" ht="14.25" customHeight="1" s="5">
      <c r="A534" s="7" t="n">
        <v>1621</v>
      </c>
      <c r="B534" s="7" t="inlineStr">
        <is>
          <t>GARANT ECOLOGICAL DARJEELING 8/20 DC SF HS ENV TBGS</t>
        </is>
      </c>
      <c r="C534" s="7" t="inlineStr">
        <is>
          <t>GARANT</t>
        </is>
      </c>
      <c r="D534" s="7" t="n">
        <v>1622</v>
      </c>
      <c r="E534" s="7" t="inlineStr">
        <is>
          <t>GARANT ECOLOGICAL DARJEELING 20 DC SF HS ENV TBGS</t>
        </is>
      </c>
      <c r="F534" s="7" t="n">
        <v>8</v>
      </c>
      <c r="G534" s="7" t="inlineStr">
        <is>
          <t>CTN</t>
        </is>
      </c>
      <c r="H534" t="inlineStr">
        <is>
          <t>BLEND DJTB ORGANIC</t>
        </is>
      </c>
    </row>
    <row r="535" ht="14.25" customHeight="1" s="5">
      <c r="A535" s="7" t="n">
        <v>1627</v>
      </c>
      <c r="B535" s="7" t="inlineStr">
        <is>
          <t>GARANT EKO ENGLISH BREAKFAST 10/50 SF DC TBGS</t>
        </is>
      </c>
      <c r="C535" s="7" t="inlineStr">
        <is>
          <t>GARANT</t>
        </is>
      </c>
      <c r="D535" s="7" t="n">
        <v>1628</v>
      </c>
      <c r="E535" s="7" t="inlineStr">
        <is>
          <t>GARANT EKO ENGLISH BREAKFAST 50 SF DC TBGS</t>
        </is>
      </c>
      <c r="F535" s="7" t="n">
        <v>10</v>
      </c>
      <c r="G535" s="7" t="inlineStr">
        <is>
          <t>CTN</t>
        </is>
      </c>
      <c r="H535" t="inlineStr">
        <is>
          <t>BLEND ASSAM ORGANIC TB</t>
        </is>
      </c>
    </row>
    <row r="536" ht="14.25" customHeight="1" s="5">
      <c r="A536" s="7" t="n">
        <v>37746</v>
      </c>
      <c r="B536" s="7" t="inlineStr">
        <is>
          <t>GARANT EKO ENGLISH BREAKFAST 15/20 DC SF ENV TBGS</t>
        </is>
      </c>
      <c r="C536" s="7" t="inlineStr">
        <is>
          <t>GARANT</t>
        </is>
      </c>
      <c r="D536" s="7" t="n">
        <v>37769</v>
      </c>
      <c r="E536" s="7" t="inlineStr">
        <is>
          <t>GARANT EKO ENGLISH BREAKFAST 20 DC SF ENV TBGS</t>
        </is>
      </c>
      <c r="F536" s="7" t="n">
        <v>15</v>
      </c>
      <c r="G536" s="7" t="inlineStr">
        <is>
          <t>CTN</t>
        </is>
      </c>
      <c r="H536" t="inlineStr">
        <is>
          <t>BLEND ASSAM ORGANIC TB</t>
        </is>
      </c>
    </row>
    <row r="537" ht="14.25" customHeight="1" s="5">
      <c r="A537" s="7" t="n">
        <v>37756</v>
      </c>
      <c r="B537" s="7" t="inlineStr">
        <is>
          <t>GARANT EKO GRONT TE 15/20 DC SF ENV TBGS</t>
        </is>
      </c>
      <c r="C537" s="7" t="inlineStr">
        <is>
          <t>GARANT</t>
        </is>
      </c>
      <c r="D537" s="7" t="n">
        <v>37770</v>
      </c>
      <c r="E537" s="7" t="inlineStr">
        <is>
          <t>GARANT EKO GRONT TE 20 DC SF ENV TBGS</t>
        </is>
      </c>
      <c r="F537" s="7" t="n">
        <v>15</v>
      </c>
      <c r="G537" s="7" t="inlineStr">
        <is>
          <t>CTN</t>
        </is>
      </c>
      <c r="H537" t="inlineStr">
        <is>
          <t>BLEND GREEN-S-ORGANIC TB</t>
        </is>
      </c>
    </row>
    <row r="538" ht="14.25" customHeight="1" s="5">
      <c r="A538" s="7" t="n">
        <v>36028</v>
      </c>
      <c r="B538" s="7" t="inlineStr">
        <is>
          <t>GARANT ENGLISH BREAKFAST 6/100 DC TAG TBGS-FT</t>
        </is>
      </c>
      <c r="C538" s="7" t="inlineStr">
        <is>
          <t>GARANT</t>
        </is>
      </c>
      <c r="D538" s="7" t="n">
        <v>36171</v>
      </c>
      <c r="E538" s="7" t="inlineStr">
        <is>
          <t>GARANT ENGLISH BREAKFAST 100 DC TAG TBGS-FT</t>
        </is>
      </c>
      <c r="F538" s="7" t="n">
        <v>6</v>
      </c>
      <c r="G538" s="7" t="inlineStr">
        <is>
          <t>CTN</t>
        </is>
      </c>
      <c r="H538" t="inlineStr">
        <is>
          <t>BLEND C33-S-RFA &amp; FT</t>
        </is>
      </c>
    </row>
    <row r="539" ht="14.25" customHeight="1" s="5">
      <c r="A539" s="7" t="n">
        <v>1632</v>
      </c>
      <c r="B539" s="7" t="inlineStr">
        <is>
          <t>GARANT ENGLISH BREAKFAST 6/100 DC TAG TBGS-RFA</t>
        </is>
      </c>
      <c r="C539" s="7" t="inlineStr">
        <is>
          <t>GARANT</t>
        </is>
      </c>
      <c r="D539" s="7" t="n">
        <v>1633</v>
      </c>
      <c r="E539" s="7" t="inlineStr">
        <is>
          <t>GARANT ENGLISH BREAKFAST 100 DC TAG TBGS-RFA</t>
        </is>
      </c>
      <c r="F539" s="7" t="n">
        <v>6</v>
      </c>
      <c r="G539" s="7" t="inlineStr">
        <is>
          <t>CTN</t>
        </is>
      </c>
      <c r="H539" t="inlineStr">
        <is>
          <t>BLEND A33 - 30% RFA</t>
        </is>
      </c>
    </row>
    <row r="540" ht="14.25" customHeight="1" s="5">
      <c r="A540" s="7" t="n">
        <v>1637</v>
      </c>
      <c r="B540" s="7" t="inlineStr">
        <is>
          <t>GARANT GAMLA SODER 12/150 GMS POUCH-100% RFA</t>
        </is>
      </c>
      <c r="C540" s="7" t="inlineStr">
        <is>
          <t>GARANT</t>
        </is>
      </c>
      <c r="D540" s="7" t="n">
        <v>1638</v>
      </c>
      <c r="E540" s="7" t="inlineStr">
        <is>
          <t>GARANT GAMLA SODER 150 GMS POUCH-100% RFA</t>
        </is>
      </c>
      <c r="F540" s="7" t="n">
        <v>12</v>
      </c>
      <c r="G540" s="7" t="inlineStr">
        <is>
          <t>CTN</t>
        </is>
      </c>
      <c r="H540" t="inlineStr">
        <is>
          <t>BLEND SODER PCH 100% RFA</t>
        </is>
      </c>
    </row>
    <row r="541" ht="14.25" customHeight="1" s="5">
      <c r="A541" s="7" t="n">
        <v>36026</v>
      </c>
      <c r="B541" s="7" t="inlineStr">
        <is>
          <t>GARANT GAMLA SODER 15/20 DC ENV TBGS-FT</t>
        </is>
      </c>
      <c r="C541" s="7" t="inlineStr">
        <is>
          <t>GARANT</t>
        </is>
      </c>
      <c r="D541" s="7" t="n">
        <v>36170</v>
      </c>
      <c r="E541" s="7" t="inlineStr">
        <is>
          <t>GARANT GAMLA SODER 20 DC ENV TBGS-FT</t>
        </is>
      </c>
      <c r="F541" s="7" t="n">
        <v>15</v>
      </c>
      <c r="G541" s="7" t="inlineStr">
        <is>
          <t>CTN</t>
        </is>
      </c>
      <c r="H541" t="inlineStr">
        <is>
          <t>BLEND AX SODER TB FT</t>
        </is>
      </c>
    </row>
    <row r="542" ht="14.25" customHeight="1" s="5">
      <c r="A542" s="7" t="n">
        <v>1641</v>
      </c>
      <c r="B542" s="7" t="inlineStr">
        <is>
          <t>GARANT GAMLA SODER 15/20 DC ENV TBGS-RFA</t>
        </is>
      </c>
      <c r="C542" s="7" t="inlineStr">
        <is>
          <t>GARANT</t>
        </is>
      </c>
      <c r="D542" s="7" t="n">
        <v>1642</v>
      </c>
      <c r="E542" s="7" t="inlineStr">
        <is>
          <t>GARANT GAMLA SODER 20 DC ENV TBGS-RFA</t>
        </is>
      </c>
      <c r="F542" s="7" t="n">
        <v>15</v>
      </c>
      <c r="G542" s="7" t="inlineStr">
        <is>
          <t>CTN</t>
        </is>
      </c>
      <c r="H542" t="inlineStr">
        <is>
          <t>BLEND AX-SODER TB 30% RFA</t>
        </is>
      </c>
    </row>
    <row r="543" ht="14.25" customHeight="1" s="5">
      <c r="A543" s="7" t="n">
        <v>1646</v>
      </c>
      <c r="B543" s="7" t="inlineStr">
        <is>
          <t>GARANT GREEN CITRUS 12/150 GMS POUCH-100% RFA</t>
        </is>
      </c>
      <c r="C543" s="7" t="inlineStr">
        <is>
          <t>GARANT</t>
        </is>
      </c>
      <c r="D543" s="7" t="n">
        <v>1647</v>
      </c>
      <c r="E543" s="7" t="inlineStr">
        <is>
          <t>GARANT GREEN CITRUS 150 GMS POUCH-100% RFA</t>
        </is>
      </c>
      <c r="F543" s="7" t="n">
        <v>12</v>
      </c>
      <c r="G543" s="7" t="inlineStr">
        <is>
          <t>CTN</t>
        </is>
      </c>
      <c r="H543" t="inlineStr">
        <is>
          <t>BLEND GREEN CITRUS PCH 100% RFA</t>
        </is>
      </c>
    </row>
    <row r="544" ht="14.25" customHeight="1" s="5">
      <c r="A544" s="7" t="n">
        <v>1650</v>
      </c>
      <c r="B544" s="7" t="inlineStr">
        <is>
          <t>GARANT GREEN MANGOSTEEN 12/20 PYRAMID TBGS-RFA</t>
        </is>
      </c>
      <c r="C544" s="7" t="inlineStr">
        <is>
          <t>GARANT</t>
        </is>
      </c>
      <c r="D544" s="7" t="n">
        <v>1651</v>
      </c>
      <c r="E544" s="7" t="inlineStr">
        <is>
          <t>GARANT GREEN MANGOSTEEN 20 PYRAMID TBGS-RFA</t>
        </is>
      </c>
      <c r="F544" s="7" t="n">
        <v>12</v>
      </c>
      <c r="G544" s="7" t="inlineStr">
        <is>
          <t>CTN</t>
        </is>
      </c>
      <c r="H544" t="inlineStr">
        <is>
          <t>BLEND GREEN TEA MANGOSTEEN CC 30% RFA</t>
        </is>
      </c>
    </row>
    <row r="545" ht="14.25" customHeight="1" s="5">
      <c r="A545" s="7" t="n">
        <v>23039</v>
      </c>
      <c r="B545" s="7" t="inlineStr">
        <is>
          <t>GARANT GREEN TEA GINGER LEMON 15/20 DC SF ENV TBGS - RFA</t>
        </is>
      </c>
      <c r="C545" s="7" t="inlineStr">
        <is>
          <t>GARANT</t>
        </is>
      </c>
      <c r="D545" s="7" t="n">
        <v>23042</v>
      </c>
      <c r="E545" s="7" t="inlineStr">
        <is>
          <t>GARANT GREEN TEA GINGER LEMON 20 DC SF ENV TBGS - RFA</t>
        </is>
      </c>
      <c r="F545" s="7" t="n">
        <v>15</v>
      </c>
      <c r="G545" s="7" t="inlineStr">
        <is>
          <t>CTN</t>
        </is>
      </c>
      <c r="H545" t="inlineStr">
        <is>
          <t>BLEND GREEN TEA GINGER LEMON RFA TB</t>
        </is>
      </c>
    </row>
    <row r="546" ht="14.25" customHeight="1" s="5">
      <c r="A546" s="7" t="n">
        <v>35523</v>
      </c>
      <c r="B546" s="7" t="inlineStr">
        <is>
          <t>GARANT GREEN TEA GINGER LEMON 15/20 DC SF ENV TBGS-FT</t>
        </is>
      </c>
      <c r="C546" s="7" t="inlineStr">
        <is>
          <t>GARANT</t>
        </is>
      </c>
      <c r="D546" s="7" t="n">
        <v>35605</v>
      </c>
      <c r="E546" s="7" t="inlineStr">
        <is>
          <t>GARANT GREEN TEA GINGER LEMON 20 DC SF ENV TBGS-FT</t>
        </is>
      </c>
      <c r="F546" s="7" t="n">
        <v>15</v>
      </c>
      <c r="G546" s="7" t="inlineStr">
        <is>
          <t>CTN</t>
        </is>
      </c>
      <c r="H546" t="inlineStr">
        <is>
          <t>BLEND AX GREEN TEA GINGER LEMON TB FT</t>
        </is>
      </c>
    </row>
    <row r="547" ht="14.25" customHeight="1" s="5">
      <c r="A547" s="7" t="n">
        <v>22544</v>
      </c>
      <c r="B547" s="7" t="inlineStr">
        <is>
          <t>GARANT GREEN TEA GINGER LEMON 15/20 DC SF ENV TBGS-RFA</t>
        </is>
      </c>
      <c r="C547" s="7" t="inlineStr">
        <is>
          <t>GARANT</t>
        </is>
      </c>
      <c r="D547" s="7" t="n">
        <v>22547</v>
      </c>
      <c r="E547" s="7" t="inlineStr">
        <is>
          <t>GARANT GREEN TEA GINGER LEMON 20 DC SF ENV TBGS-RFA</t>
        </is>
      </c>
      <c r="F547" s="7" t="n">
        <v>15</v>
      </c>
      <c r="G547" s="7" t="inlineStr">
        <is>
          <t>CTN</t>
        </is>
      </c>
      <c r="H547" t="inlineStr">
        <is>
          <t>BLEND GREEN TEA GINGER LEMON RFA TB</t>
        </is>
      </c>
    </row>
    <row r="548" ht="14.25" customHeight="1" s="5">
      <c r="A548" s="7" t="n">
        <v>35524</v>
      </c>
      <c r="B548" s="7" t="inlineStr">
        <is>
          <t>GARANT GRONT CITRUS 15/20 DC ENV TBGS-FT</t>
        </is>
      </c>
      <c r="C548" s="7" t="inlineStr">
        <is>
          <t>GARANT</t>
        </is>
      </c>
      <c r="D548" s="7" t="n">
        <v>35607</v>
      </c>
      <c r="E548" s="7" t="inlineStr">
        <is>
          <t>GARANT GRONT CITRUS 20 DC SF ENV TBGS-FT</t>
        </is>
      </c>
      <c r="F548" s="7" t="n">
        <v>15</v>
      </c>
      <c r="G548" s="7" t="inlineStr">
        <is>
          <t>CTN</t>
        </is>
      </c>
      <c r="H548" t="inlineStr">
        <is>
          <t>BLEND AX GREEN CITRUS TB FT</t>
        </is>
      </c>
    </row>
    <row r="549" ht="14.25" customHeight="1" s="5">
      <c r="A549" s="7" t="n">
        <v>1655</v>
      </c>
      <c r="B549" s="7" t="inlineStr">
        <is>
          <t>GARANT GRONT CITRUS 15/20 DC ENV TBGS-RFA</t>
        </is>
      </c>
      <c r="C549" s="7" t="inlineStr">
        <is>
          <t>GARANT</t>
        </is>
      </c>
      <c r="D549" s="7" t="n">
        <v>1656</v>
      </c>
      <c r="E549" s="7" t="inlineStr">
        <is>
          <t>GARANT GRONT CITRUS 20 DC ENV TBGS-RFA</t>
        </is>
      </c>
      <c r="F549" s="7" t="n">
        <v>15</v>
      </c>
      <c r="G549" s="7" t="inlineStr">
        <is>
          <t>CTN</t>
        </is>
      </c>
      <c r="H549" t="inlineStr">
        <is>
          <t>BLEND AX-GREEN CITRUS TB 30% RFA</t>
        </is>
      </c>
    </row>
    <row r="550" ht="14.25" customHeight="1" s="5">
      <c r="A550" s="7" t="n">
        <v>1659</v>
      </c>
      <c r="B550" s="7" t="inlineStr">
        <is>
          <t>GARANT GRONT TE JASMINE 15/20 DC ENV TBGS-RFA</t>
        </is>
      </c>
      <c r="C550" s="7" t="inlineStr">
        <is>
          <t>GARANT</t>
        </is>
      </c>
      <c r="D550" s="7" t="n">
        <v>1660</v>
      </c>
      <c r="E550" s="7" t="inlineStr">
        <is>
          <t>GARANT GRONT TE JASMINE 20 DC ENV TBGS-RFA</t>
        </is>
      </c>
      <c r="F550" s="7" t="n">
        <v>15</v>
      </c>
      <c r="G550" s="7" t="inlineStr">
        <is>
          <t>CTN</t>
        </is>
      </c>
      <c r="H550" t="inlineStr">
        <is>
          <t>BLEND JASMINE GREEN 30% RFA</t>
        </is>
      </c>
    </row>
    <row r="551" ht="14.25" customHeight="1" s="5">
      <c r="A551" s="7" t="n">
        <v>1659</v>
      </c>
      <c r="B551" s="7" t="inlineStr">
        <is>
          <t>GARANT GRONT TE JASMINE 15/20 DC ENV TBGS-RFA</t>
        </is>
      </c>
      <c r="C551" s="7" t="inlineStr">
        <is>
          <t>GARANT</t>
        </is>
      </c>
      <c r="D551" s="7" t="n">
        <v>1660</v>
      </c>
      <c r="E551" s="7" t="inlineStr">
        <is>
          <t>GARANT GRONT TE JASMINE 20 DC ENV TBGS-RFA</t>
        </is>
      </c>
      <c r="F551" s="7" t="n">
        <v>15</v>
      </c>
      <c r="G551" s="7" t="inlineStr">
        <is>
          <t>CTN</t>
        </is>
      </c>
      <c r="H551" t="inlineStr">
        <is>
          <t>BLEND JASMINE GREEN 30% RFA</t>
        </is>
      </c>
    </row>
    <row r="552" ht="14.25" customHeight="1" s="5">
      <c r="A552" s="7" t="n">
        <v>35525</v>
      </c>
      <c r="B552" s="7" t="inlineStr">
        <is>
          <t>GARANT GRONT TE VANILJ 15/20 DC ENV TBGS-FT</t>
        </is>
      </c>
      <c r="C552" s="7" t="inlineStr">
        <is>
          <t>GARANT</t>
        </is>
      </c>
      <c r="D552" s="7" t="n">
        <v>35610</v>
      </c>
      <c r="E552" s="7" t="inlineStr">
        <is>
          <t>GARANT GRONT TE VANILJ 20 DC SF ENV TBGS-FT</t>
        </is>
      </c>
      <c r="F552" s="7" t="n">
        <v>15</v>
      </c>
      <c r="G552" s="7" t="inlineStr">
        <is>
          <t>CTN</t>
        </is>
      </c>
      <c r="H552" t="inlineStr">
        <is>
          <t>BLEND AX GREEN TEA VANILLA TB FT</t>
        </is>
      </c>
    </row>
    <row r="553" ht="14.25" customHeight="1" s="5">
      <c r="A553" s="7" t="n">
        <v>1664</v>
      </c>
      <c r="B553" s="7" t="inlineStr">
        <is>
          <t>GARANT GRONT TE VANILJ 15/20 DC ENV TBGS-RFA</t>
        </is>
      </c>
      <c r="C553" s="7" t="inlineStr">
        <is>
          <t>GARANT</t>
        </is>
      </c>
      <c r="D553" s="7" t="n">
        <v>1665</v>
      </c>
      <c r="E553" s="7" t="inlineStr">
        <is>
          <t>GARANT GRONT TE VANILJ 20 DC ENV TBGS-RFA</t>
        </is>
      </c>
      <c r="F553" s="7" t="n">
        <v>15</v>
      </c>
      <c r="G553" s="7" t="inlineStr">
        <is>
          <t>CTN</t>
        </is>
      </c>
      <c r="H553" t="inlineStr">
        <is>
          <t>BLEND GREEN TEA VANILLA 30% RFA</t>
        </is>
      </c>
    </row>
    <row r="554" ht="14.25" customHeight="1" s="5">
      <c r="A554" s="7" t="n">
        <v>1669</v>
      </c>
      <c r="B554" s="7" t="inlineStr">
        <is>
          <t>GARANT KAMOMILL TE 15/20 DC ENV TBGS</t>
        </is>
      </c>
      <c r="C554" s="7" t="inlineStr">
        <is>
          <t>GARANT</t>
        </is>
      </c>
      <c r="D554" s="7" t="n">
        <v>1670</v>
      </c>
      <c r="E554" s="7" t="inlineStr">
        <is>
          <t>GARANT KAMOMILL TE 20 DC ENV TBGS</t>
        </is>
      </c>
      <c r="F554" s="7" t="n">
        <v>15</v>
      </c>
      <c r="G554" s="7" t="inlineStr">
        <is>
          <t>CTN</t>
        </is>
      </c>
      <c r="H554" t="inlineStr">
        <is>
          <t>BLEND CHAMOMILE TBC 100% UTZ</t>
        </is>
      </c>
    </row>
    <row r="555" ht="14.25" customHeight="1" s="5">
      <c r="A555" s="7" t="n">
        <v>35542</v>
      </c>
      <c r="B555" s="7" t="inlineStr">
        <is>
          <t>GARANT KAMOMILL TE 15/20 DC ENV TBGS (V2)</t>
        </is>
      </c>
      <c r="C555" s="7" t="inlineStr">
        <is>
          <t>GARANT</t>
        </is>
      </c>
      <c r="D555" s="7" t="n">
        <v>35617</v>
      </c>
      <c r="E555" s="7" t="inlineStr">
        <is>
          <t>GARANT KAMOMILL TE 20 DC ENV TBGS (V2)</t>
        </is>
      </c>
      <c r="F555" s="7" t="n">
        <v>15</v>
      </c>
      <c r="G555" s="7" t="inlineStr">
        <is>
          <t>CTN</t>
        </is>
      </c>
      <c r="H555" t="inlineStr">
        <is>
          <t>BLEND CHAMOMILE TBC 100% UTZ</t>
        </is>
      </c>
    </row>
    <row r="556" ht="14.25" customHeight="1" s="5">
      <c r="A556" s="7" t="n">
        <v>1673</v>
      </c>
      <c r="B556" s="7" t="inlineStr">
        <is>
          <t>GARANT ORTTE 15/20 DC ENV TBGS</t>
        </is>
      </c>
      <c r="C556" s="7" t="inlineStr">
        <is>
          <t>GARANT</t>
        </is>
      </c>
      <c r="D556" s="7" t="n">
        <v>1674</v>
      </c>
      <c r="E556" s="7" t="inlineStr">
        <is>
          <t>GARANT ORTTE 20 DC ENV TBGS</t>
        </is>
      </c>
      <c r="F556" s="7" t="n">
        <v>15</v>
      </c>
      <c r="G556" s="7" t="inlineStr">
        <is>
          <t>CTN</t>
        </is>
      </c>
      <c r="H556" t="inlineStr">
        <is>
          <t>BLEND MIXED HERBS</t>
        </is>
      </c>
    </row>
    <row r="557" ht="14.25" customHeight="1" s="5">
      <c r="A557" s="7" t="n">
        <v>1673</v>
      </c>
      <c r="B557" s="7" t="inlineStr">
        <is>
          <t>GARANT ORTTE 15/20 DC ENV TBGS</t>
        </is>
      </c>
      <c r="C557" s="7" t="inlineStr">
        <is>
          <t>GARANT</t>
        </is>
      </c>
      <c r="D557" s="7" t="n">
        <v>1674</v>
      </c>
      <c r="E557" s="7" t="inlineStr">
        <is>
          <t>GARANT ORTTE 20 DC ENV TBGS</t>
        </is>
      </c>
      <c r="F557" s="7" t="n">
        <v>15</v>
      </c>
      <c r="G557" s="7" t="inlineStr">
        <is>
          <t>CTN</t>
        </is>
      </c>
      <c r="H557" t="inlineStr">
        <is>
          <t>BLEND MIXED HERBS</t>
        </is>
      </c>
    </row>
    <row r="558" ht="14.25" customHeight="1" s="5">
      <c r="A558" s="7" t="n">
        <v>1678</v>
      </c>
      <c r="B558" s="7" t="inlineStr">
        <is>
          <t>GARANT PEPPARMYNT TE 15/20 DC ENV TBGS</t>
        </is>
      </c>
      <c r="C558" s="7" t="inlineStr">
        <is>
          <t>GARANT</t>
        </is>
      </c>
      <c r="D558" s="7" t="n">
        <v>1679</v>
      </c>
      <c r="E558" s="7" t="inlineStr">
        <is>
          <t>GARANT PEPPARMYNT TE 20 DC ENV TBGS</t>
        </is>
      </c>
      <c r="F558" s="7" t="n">
        <v>15</v>
      </c>
      <c r="G558" s="7" t="inlineStr">
        <is>
          <t>CTN</t>
        </is>
      </c>
      <c r="H558" t="inlineStr">
        <is>
          <t>BLEND PEPPERMINT TBGS</t>
        </is>
      </c>
    </row>
    <row r="559" ht="14.25" customHeight="1" s="5">
      <c r="A559" s="7" t="n">
        <v>35543</v>
      </c>
      <c r="B559" s="7" t="inlineStr">
        <is>
          <t>GARANT PEPPARMYNT TE 15/20 DC ENV TBGS (v2)</t>
        </is>
      </c>
      <c r="C559" s="7" t="inlineStr">
        <is>
          <t>GARANT</t>
        </is>
      </c>
      <c r="D559" s="7" t="n">
        <v>35618</v>
      </c>
      <c r="E559" s="7" t="inlineStr">
        <is>
          <t>GARANT PEPPARMYNT TE 20 DC ENV TBGS (v2)</t>
        </is>
      </c>
      <c r="F559" s="7" t="n">
        <v>15</v>
      </c>
      <c r="G559" s="7" t="inlineStr">
        <is>
          <t>CTN</t>
        </is>
      </c>
      <c r="H559" t="inlineStr">
        <is>
          <t>BLEND PEPPERMINT TBGS</t>
        </is>
      </c>
    </row>
    <row r="560" ht="14.25" customHeight="1" s="5">
      <c r="A560" s="7" t="n">
        <v>35527</v>
      </c>
      <c r="B560" s="7" t="inlineStr">
        <is>
          <t>GARANT RABARBERGRADD 15/20 DC ENV TBGS-FT</t>
        </is>
      </c>
      <c r="C560" s="7" t="inlineStr">
        <is>
          <t>GARANT</t>
        </is>
      </c>
      <c r="D560" s="7" t="n">
        <v>35612</v>
      </c>
      <c r="E560" s="7" t="inlineStr">
        <is>
          <t>GARANT RABARBERGRADD 20 DC ENV TBGS-FT</t>
        </is>
      </c>
      <c r="F560" s="7" t="n">
        <v>15</v>
      </c>
      <c r="G560" s="7" t="inlineStr">
        <is>
          <t>CTN</t>
        </is>
      </c>
      <c r="H560" t="inlineStr">
        <is>
          <t>BLEND AX RHUBARB TB FT</t>
        </is>
      </c>
    </row>
    <row r="561" ht="14.25" customHeight="1" s="5">
      <c r="A561" s="7" t="n">
        <v>1682</v>
      </c>
      <c r="B561" s="7" t="inlineStr">
        <is>
          <t>GARANT RABARBERGRADD 15/20 DC ENV TBGS-RFA</t>
        </is>
      </c>
      <c r="C561" s="7" t="inlineStr">
        <is>
          <t>GARANT</t>
        </is>
      </c>
      <c r="D561" s="7" t="n">
        <v>1683</v>
      </c>
      <c r="E561" s="7" t="inlineStr">
        <is>
          <t>GARANT RABARBERGRADD 20 DC ENV TBGS-RFA</t>
        </is>
      </c>
      <c r="F561" s="7" t="n">
        <v>15</v>
      </c>
      <c r="G561" s="7" t="inlineStr">
        <is>
          <t>CTN</t>
        </is>
      </c>
      <c r="H561" t="inlineStr">
        <is>
          <t>BLEND AX-RHUBARB TB 30% RFA</t>
        </is>
      </c>
    </row>
    <row r="562" ht="14.25" customHeight="1" s="5">
      <c r="A562" s="7" t="n">
        <v>1687</v>
      </c>
      <c r="B562" s="7" t="inlineStr">
        <is>
          <t>GARANT RED POMELO 12/20 PYRAMID TBGS - RFA</t>
        </is>
      </c>
      <c r="C562" s="7" t="inlineStr">
        <is>
          <t>GARANT</t>
        </is>
      </c>
      <c r="D562" s="7" t="n">
        <v>1688</v>
      </c>
      <c r="E562" s="7" t="inlineStr">
        <is>
          <t>GARANT RED POMELO 20 PYRAMID TBGS - RFA</t>
        </is>
      </c>
      <c r="F562" s="7" t="n">
        <v>12</v>
      </c>
      <c r="G562" s="7" t="inlineStr">
        <is>
          <t>CTN</t>
        </is>
      </c>
      <c r="H562" t="inlineStr">
        <is>
          <t>BLEND ROOIBOS POMELO CC 30% RFA</t>
        </is>
      </c>
    </row>
    <row r="563" ht="14.25" customHeight="1" s="5">
      <c r="A563" s="7" t="n">
        <v>1692</v>
      </c>
      <c r="B563" s="7" t="inlineStr">
        <is>
          <t>GARANT RHUBARBER 12/150 GMS POUCH-100% RFA</t>
        </is>
      </c>
      <c r="C563" s="7" t="inlineStr">
        <is>
          <t>GARANT</t>
        </is>
      </c>
      <c r="D563" s="7" t="n">
        <v>1693</v>
      </c>
      <c r="E563" s="7" t="inlineStr">
        <is>
          <t>GARANT RHUBARBER 150 GMS POUCH-100% RFA</t>
        </is>
      </c>
      <c r="F563" s="7" t="n">
        <v>12</v>
      </c>
      <c r="G563" s="7" t="inlineStr">
        <is>
          <t>CTN</t>
        </is>
      </c>
      <c r="H563" t="inlineStr">
        <is>
          <t>BLEND RHUBARB PCH 100% RFA</t>
        </is>
      </c>
    </row>
    <row r="564" ht="14.25" customHeight="1" s="5">
      <c r="A564" s="7" t="n">
        <v>35538</v>
      </c>
      <c r="B564" s="7" t="inlineStr">
        <is>
          <t>GARANT ROOIBOS LEMONGRASS CORNFLOWER 15/20 DC ENV TBGS- FT</t>
        </is>
      </c>
      <c r="C564" s="7" t="inlineStr">
        <is>
          <t>GARANT</t>
        </is>
      </c>
      <c r="D564" s="7" t="n">
        <v>35615</v>
      </c>
      <c r="E564" s="7" t="inlineStr">
        <is>
          <t>GARANT ROOIBOS LEMONGRASS CORNFLOWER 20 DC SF ENV TBGS-FT</t>
        </is>
      </c>
      <c r="F564" s="7" t="n">
        <v>15</v>
      </c>
      <c r="G564" s="7" t="inlineStr">
        <is>
          <t>CTN</t>
        </is>
      </c>
      <c r="H564" t="inlineStr">
        <is>
          <t>BLEND AX ROOIBOS TB FT</t>
        </is>
      </c>
    </row>
    <row r="565" ht="14.25" customHeight="1" s="5">
      <c r="A565" s="7" t="n">
        <v>35537</v>
      </c>
      <c r="B565" s="7" t="inlineStr">
        <is>
          <t>GARANT ROOIBOS RABARBER &amp; VANILJ 15/20 DC ENV TBGS- FT</t>
        </is>
      </c>
      <c r="C565" s="7" t="inlineStr">
        <is>
          <t>GARANT</t>
        </is>
      </c>
      <c r="D565" s="7" t="n">
        <v>35614</v>
      </c>
      <c r="E565" s="7" t="inlineStr">
        <is>
          <t>GARANT ROOIBOS RABARBER &amp; VANILJ 20 DC ENV TBGS- FT</t>
        </is>
      </c>
      <c r="F565" s="7" t="n">
        <v>15</v>
      </c>
      <c r="G565" s="7" t="inlineStr">
        <is>
          <t>CTN</t>
        </is>
      </c>
      <c r="H565" t="inlineStr">
        <is>
          <t>BLEND AX ROOIBOS RHUBARB VANILLATB FT</t>
        </is>
      </c>
    </row>
    <row r="566" ht="14.25" customHeight="1" s="5">
      <c r="A566" s="7" t="n">
        <v>35536</v>
      </c>
      <c r="B566" s="7" t="inlineStr">
        <is>
          <t>GARANT ROOIBOS TEA BLAKLINT 15/20 DC ENV TBGS-FT</t>
        </is>
      </c>
      <c r="C566" s="7" t="inlineStr">
        <is>
          <t>GARANT</t>
        </is>
      </c>
      <c r="D566" s="7" t="n">
        <v>35613</v>
      </c>
      <c r="E566" s="7" t="inlineStr">
        <is>
          <t>GARANT ROOIBOS TEA BLAKLINT 20 DC SF ENV TBGS-FT</t>
        </is>
      </c>
      <c r="F566" s="7" t="n">
        <v>15</v>
      </c>
      <c r="G566" s="7" t="inlineStr">
        <is>
          <t>CTN</t>
        </is>
      </c>
      <c r="H566" t="inlineStr">
        <is>
          <t>BLEND AX ROOIBOS TB FT</t>
        </is>
      </c>
    </row>
    <row r="567" ht="14.25" customHeight="1" s="5">
      <c r="A567" s="7" t="n">
        <v>1696</v>
      </c>
      <c r="B567" s="7" t="inlineStr">
        <is>
          <t>GARANT ROOIBOS TEA BLAKLINT 15/20 DC ENV TBGS-RFA</t>
        </is>
      </c>
      <c r="C567" s="7" t="inlineStr">
        <is>
          <t>GARANT</t>
        </is>
      </c>
      <c r="D567" s="7" t="n">
        <v>1697</v>
      </c>
      <c r="E567" s="7" t="inlineStr">
        <is>
          <t>GARANT ROOIBOS TEA BLAKLINT 20 DC ENV TBGS-RFA</t>
        </is>
      </c>
      <c r="F567" s="7" t="n">
        <v>15</v>
      </c>
      <c r="G567" s="7" t="inlineStr">
        <is>
          <t>CTN</t>
        </is>
      </c>
      <c r="H567" t="inlineStr">
        <is>
          <t>BLEND AX-ROOIBOS TB 30% RFA</t>
        </is>
      </c>
    </row>
    <row r="568" ht="14.25" customHeight="1" s="5">
      <c r="A568" s="7" t="n">
        <v>1701</v>
      </c>
      <c r="B568" s="7" t="inlineStr">
        <is>
          <t>GARANT SKOGSBAR 15/20 DC ENV TBGS-RFA</t>
        </is>
      </c>
      <c r="C568" s="7" t="inlineStr">
        <is>
          <t>GARANT</t>
        </is>
      </c>
      <c r="D568" s="7" t="n">
        <v>1702</v>
      </c>
      <c r="E568" s="7" t="inlineStr">
        <is>
          <t>GARANT SKOGSBAR 20 DC ENV TBGS-RFA</t>
        </is>
      </c>
      <c r="F568" s="7" t="n">
        <v>15</v>
      </c>
      <c r="G568" s="7" t="inlineStr">
        <is>
          <t>CTN</t>
        </is>
      </c>
      <c r="H568" t="inlineStr">
        <is>
          <t>BLEND AX-FOREST FRUIT TB 30% RFA</t>
        </is>
      </c>
    </row>
    <row r="569" ht="14.25" customHeight="1" s="5">
      <c r="A569" s="7" t="n">
        <v>1706</v>
      </c>
      <c r="B569" s="7" t="inlineStr">
        <is>
          <t>GARANT STRAWBERRY 15/20 DC ENV TBGS-RFA</t>
        </is>
      </c>
      <c r="C569" s="7" t="inlineStr">
        <is>
          <t>GARANT</t>
        </is>
      </c>
      <c r="D569" s="7" t="n">
        <v>1707</v>
      </c>
      <c r="E569" s="7" t="inlineStr">
        <is>
          <t>GARANT STRAWBERRY 20 DC ENV TBGS-RFA</t>
        </is>
      </c>
      <c r="F569" s="7" t="n">
        <v>15</v>
      </c>
      <c r="G569" s="7" t="inlineStr">
        <is>
          <t>CTN</t>
        </is>
      </c>
      <c r="H569" t="inlineStr">
        <is>
          <t>BLEND BLACK TEA STRAWBERRY TB 100% RFA</t>
        </is>
      </c>
    </row>
    <row r="570" ht="14.25" customHeight="1" s="5">
      <c r="A570" s="7" t="n">
        <v>35644</v>
      </c>
      <c r="B570" s="7" t="inlineStr">
        <is>
          <t>GARANT SVART TE BLODAPELSIN 15/20 DC ENV TBGS- FT</t>
        </is>
      </c>
      <c r="C570" s="7" t="inlineStr">
        <is>
          <t>GARANT</t>
        </is>
      </c>
      <c r="D570" s="7" t="n">
        <v>35645</v>
      </c>
      <c r="E570" s="7" t="inlineStr">
        <is>
          <t>GARANT SVART TE BLODAPELSIN 20 DC ENV TBGS- FT</t>
        </is>
      </c>
      <c r="F570" s="7" t="n">
        <v>15</v>
      </c>
      <c r="G570" s="7" t="inlineStr">
        <is>
          <t>CTN</t>
        </is>
      </c>
      <c r="H570" t="inlineStr">
        <is>
          <t>BLEND AX BLOOD ORANGE BLODAPELSIN TB FT</t>
        </is>
      </c>
    </row>
    <row r="571" ht="14.25" customHeight="1" s="5">
      <c r="A571" s="7" t="n">
        <v>35540</v>
      </c>
      <c r="B571" s="7" t="inlineStr">
        <is>
          <t>GARANT SVART TE HALLON &amp; LAKRITS 15/20 DC ENV TBGS- FT</t>
        </is>
      </c>
      <c r="C571" s="7" t="inlineStr">
        <is>
          <t>GARANT</t>
        </is>
      </c>
      <c r="D571" s="7" t="n">
        <v>35616</v>
      </c>
      <c r="E571" s="7" t="inlineStr">
        <is>
          <t>GARANT SVART TE HALLON &amp; LAKRITS 20 DC ENV TBGS- FT</t>
        </is>
      </c>
      <c r="F571" s="7" t="n">
        <v>15</v>
      </c>
      <c r="G571" s="7" t="inlineStr">
        <is>
          <t>CTN</t>
        </is>
      </c>
      <c r="H571" t="inlineStr">
        <is>
          <t>BLEND AX RASPBERRY LICORICE HALLON &amp; LAKRITS TB FT</t>
        </is>
      </c>
    </row>
    <row r="572" ht="14.25" customHeight="1" s="5">
      <c r="A572" s="7" t="n">
        <v>1711</v>
      </c>
      <c r="B572" s="7" t="inlineStr">
        <is>
          <t>GARANT TE APLESIN 15/20 DC ENV TBGS-RFA</t>
        </is>
      </c>
      <c r="C572" s="7" t="inlineStr">
        <is>
          <t>GARANT</t>
        </is>
      </c>
      <c r="D572" s="7" t="n">
        <v>1712</v>
      </c>
      <c r="E572" s="7" t="inlineStr">
        <is>
          <t>GARANT TE APLESIN 20 DC ENV TBGS-RFA</t>
        </is>
      </c>
      <c r="F572" s="7" t="n">
        <v>15</v>
      </c>
      <c r="G572" s="7" t="inlineStr">
        <is>
          <t>CTN</t>
        </is>
      </c>
      <c r="H572" t="inlineStr">
        <is>
          <t>BLEND BLACK TEA ORANGE 30% RFA</t>
        </is>
      </c>
    </row>
    <row r="573" ht="14.25" customHeight="1" s="5">
      <c r="A573" s="7" t="n">
        <v>1716</v>
      </c>
      <c r="B573" s="7" t="inlineStr">
        <is>
          <t>GARANT TROPICAL FRUIT 12/20 PYRAMID TBGS-RFA</t>
        </is>
      </c>
      <c r="C573" s="7" t="inlineStr">
        <is>
          <t>GARANT</t>
        </is>
      </c>
      <c r="D573" s="7" t="n">
        <v>1717</v>
      </c>
      <c r="E573" s="7" t="inlineStr">
        <is>
          <t>GARANT TROPICAL FRUIT 20 PYRAMID TBGS-RFA</t>
        </is>
      </c>
      <c r="F573" s="7" t="n">
        <v>12</v>
      </c>
      <c r="G573" s="7" t="inlineStr">
        <is>
          <t>CTN</t>
        </is>
      </c>
      <c r="H573" t="inlineStr">
        <is>
          <t>BLEND BLACK TEA TROPICAL FRUIT PY 30% RFA</t>
        </is>
      </c>
    </row>
    <row r="574" ht="14.25" customHeight="1" s="5">
      <c r="A574" s="7" t="n">
        <v>23230</v>
      </c>
      <c r="B574" s="7" t="inlineStr">
        <is>
          <t>GINNY 12/100 DC ENV TBGS</t>
        </is>
      </c>
      <c r="C574" s="7" t="inlineStr">
        <is>
          <t>GINNY</t>
        </is>
      </c>
      <c r="D574" s="7" t="n">
        <v>1722</v>
      </c>
      <c r="E574" s="7" t="inlineStr">
        <is>
          <t>GINNY 100 DC ENV TBGS</t>
        </is>
      </c>
      <c r="F574" s="7" t="n">
        <v>12</v>
      </c>
      <c r="G574" s="7" t="inlineStr">
        <is>
          <t>CTN</t>
        </is>
      </c>
      <c r="H574" t="inlineStr">
        <is>
          <t>BLEND 786</t>
        </is>
      </c>
    </row>
    <row r="575" ht="14.25" customHeight="1" s="5">
      <c r="A575" s="7" t="n">
        <v>1721</v>
      </c>
      <c r="B575" s="7" t="inlineStr">
        <is>
          <t>GINNY 12/100 DC ENV TBGS WITH TSHIRT</t>
        </is>
      </c>
      <c r="C575" s="7" t="inlineStr">
        <is>
          <t>GINNY</t>
        </is>
      </c>
      <c r="D575" s="7" t="n">
        <v>1722</v>
      </c>
      <c r="E575" s="7" t="inlineStr">
        <is>
          <t>GINNY 100 DC ENV TBGS</t>
        </is>
      </c>
      <c r="F575" s="7" t="n">
        <v>12</v>
      </c>
      <c r="G575" s="7" t="inlineStr">
        <is>
          <t>CTN</t>
        </is>
      </c>
      <c r="H575" t="inlineStr">
        <is>
          <t>BLEND 786</t>
        </is>
      </c>
    </row>
    <row r="576" ht="14.25" customHeight="1" s="5">
      <c r="A576" s="7" t="n">
        <v>20655</v>
      </c>
      <c r="B576" s="7" t="inlineStr">
        <is>
          <t>GINNY 12/106 DC ENV TBGS</t>
        </is>
      </c>
      <c r="C576" s="7" t="inlineStr">
        <is>
          <t>GINNY</t>
        </is>
      </c>
      <c r="D576" s="7" t="n">
        <v>528</v>
      </c>
      <c r="E576" s="7" t="inlineStr">
        <is>
          <t>GINNY 106 DC ENV TBGS</t>
        </is>
      </c>
      <c r="F576" s="7" t="n">
        <v>12</v>
      </c>
      <c r="G576" s="7" t="inlineStr">
        <is>
          <t>CTN</t>
        </is>
      </c>
      <c r="H576" t="inlineStr">
        <is>
          <t>BLEND 786</t>
        </is>
      </c>
    </row>
    <row r="577" ht="14.25" customHeight="1" s="5">
      <c r="A577" s="7" t="n">
        <v>527</v>
      </c>
      <c r="B577" s="7" t="inlineStr">
        <is>
          <t>GINNY 12/106 DC ENV TBGS WITH THIRT</t>
        </is>
      </c>
      <c r="C577" s="7" t="inlineStr">
        <is>
          <t>GINNY</t>
        </is>
      </c>
      <c r="D577" s="7" t="n">
        <v>528</v>
      </c>
      <c r="E577" s="7" t="inlineStr">
        <is>
          <t>GINNY 106 DC ENV TBGS</t>
        </is>
      </c>
      <c r="F577" s="7" t="n">
        <v>12</v>
      </c>
      <c r="G577" s="7" t="inlineStr">
        <is>
          <t>CTN</t>
        </is>
      </c>
      <c r="H577" t="inlineStr">
        <is>
          <t>BLEND 786</t>
        </is>
      </c>
    </row>
    <row r="578" ht="14.25" customHeight="1" s="5">
      <c r="A578" s="7" t="n">
        <v>26739</v>
      </c>
      <c r="B578" s="7" t="inlineStr">
        <is>
          <t>GINNY 24/100 SC TAGLESS TBGS-1.5 GMS</t>
        </is>
      </c>
      <c r="C578" s="7" t="inlineStr">
        <is>
          <t>GINNY</t>
        </is>
      </c>
      <c r="D578" s="7" t="n">
        <v>26741</v>
      </c>
      <c r="E578" s="7" t="inlineStr">
        <is>
          <t>GINNY  100 SC TAGLESS TBGS-1.5 GMS</t>
        </is>
      </c>
      <c r="F578" s="7" t="n">
        <v>24</v>
      </c>
      <c r="G578" s="7" t="inlineStr">
        <is>
          <t>CTN</t>
        </is>
      </c>
      <c r="H578" t="inlineStr">
        <is>
          <t>BLEND 786</t>
        </is>
      </c>
    </row>
    <row r="579" ht="14.25" customHeight="1" s="5">
      <c r="A579" s="7" t="n">
        <v>22390</v>
      </c>
      <c r="B579" s="7" t="inlineStr">
        <is>
          <t>GINNY 24/110 SC TAGLESS TBGS-1.5 GMS</t>
        </is>
      </c>
      <c r="C579" s="7" t="inlineStr">
        <is>
          <t>GINNY</t>
        </is>
      </c>
      <c r="D579" s="7" t="n">
        <v>22553</v>
      </c>
      <c r="E579" s="7" t="inlineStr">
        <is>
          <t>GINNY 110 SC TAGLESS TBGS-1.5 GMS</t>
        </is>
      </c>
      <c r="F579" s="7" t="n">
        <v>24</v>
      </c>
      <c r="G579" s="7" t="inlineStr">
        <is>
          <t>CTN</t>
        </is>
      </c>
      <c r="H579">
        <f>#N/A</f>
        <v/>
      </c>
    </row>
    <row r="580" ht="14.25" customHeight="1" s="5">
      <c r="A580" s="7" t="n">
        <v>27124</v>
      </c>
      <c r="B580" s="7" t="inlineStr">
        <is>
          <t>GINNY 24/50 DC ENV TBGS</t>
        </is>
      </c>
      <c r="C580" s="7" t="inlineStr">
        <is>
          <t>GINNY</t>
        </is>
      </c>
      <c r="D580" s="7" t="n">
        <v>27126</v>
      </c>
      <c r="E580" s="7" t="inlineStr">
        <is>
          <t>GINNY 50 DC ENV TBGS</t>
        </is>
      </c>
      <c r="F580" s="7" t="n">
        <v>24</v>
      </c>
      <c r="G580" s="7" t="inlineStr">
        <is>
          <t>CTN</t>
        </is>
      </c>
      <c r="H580" t="inlineStr">
        <is>
          <t>BLEND 786</t>
        </is>
      </c>
    </row>
    <row r="581" ht="14.25" customHeight="1" s="5">
      <c r="A581" s="7" t="n">
        <v>1729</v>
      </c>
      <c r="B581" s="7" t="inlineStr">
        <is>
          <t>GINNY APPLE 24/25 SC ENV TBGS WITH TSHIRT</t>
        </is>
      </c>
      <c r="C581" s="7" t="inlineStr">
        <is>
          <t>GINNY</t>
        </is>
      </c>
      <c r="D581" s="7" t="n">
        <v>1730</v>
      </c>
      <c r="E581" s="7" t="inlineStr">
        <is>
          <t>GINNY APPLE 25 SC ENV TBGS</t>
        </is>
      </c>
      <c r="F581" s="7" t="n">
        <v>24</v>
      </c>
      <c r="G581" s="7" t="inlineStr">
        <is>
          <t>CTN</t>
        </is>
      </c>
      <c r="H581">
        <f>#N/A</f>
        <v/>
      </c>
    </row>
    <row r="582" ht="14.25" customHeight="1" s="5">
      <c r="A582" s="7" t="n">
        <v>28304</v>
      </c>
      <c r="B582" s="7" t="inlineStr">
        <is>
          <t>GINNY CLOVE 24/25 DC ENV TBGS</t>
        </is>
      </c>
      <c r="C582" s="7" t="inlineStr">
        <is>
          <t>GINNY</t>
        </is>
      </c>
      <c r="D582" s="7" t="n">
        <v>28664</v>
      </c>
      <c r="E582" s="7" t="inlineStr">
        <is>
          <t>GINNY CLOVE 25 DC ENV TBGS</t>
        </is>
      </c>
      <c r="F582" s="7" t="n">
        <v>24</v>
      </c>
      <c r="G582" s="7" t="inlineStr">
        <is>
          <t>CTN</t>
        </is>
      </c>
      <c r="H582" t="inlineStr">
        <is>
          <t>BLEND BLACK TEA CLOVE TBC</t>
        </is>
      </c>
    </row>
    <row r="583" ht="14.25" customHeight="1" s="5">
      <c r="A583" s="7" t="n">
        <v>28024</v>
      </c>
      <c r="B583" s="7" t="inlineStr">
        <is>
          <t>GINNY CRANBERRY APPLE 24/25 DC ENV TBGS</t>
        </is>
      </c>
      <c r="C583" s="7" t="inlineStr">
        <is>
          <t>GINNY</t>
        </is>
      </c>
      <c r="D583" s="7" t="n">
        <v>28057</v>
      </c>
      <c r="E583" s="7" t="inlineStr">
        <is>
          <t>GINNY CRANBERRY APPLE 25 DC ENV TBGS</t>
        </is>
      </c>
      <c r="F583" s="7" t="n">
        <v>24</v>
      </c>
      <c r="G583" s="7" t="inlineStr">
        <is>
          <t>CTN</t>
        </is>
      </c>
      <c r="H583" t="inlineStr">
        <is>
          <t>BLEND BLACK TEA CRANBERRY TBC</t>
        </is>
      </c>
    </row>
    <row r="584" ht="14.25" customHeight="1" s="5">
      <c r="A584" s="7" t="n">
        <v>1736</v>
      </c>
      <c r="B584" s="7" t="inlineStr">
        <is>
          <t>GINNY CRANBERRY APPLE 24/25 SC ENV TBGS WITH TSHIRT</t>
        </is>
      </c>
      <c r="C584" s="7" t="inlineStr">
        <is>
          <t>GINNY</t>
        </is>
      </c>
      <c r="D584" s="7" t="n">
        <v>1737</v>
      </c>
      <c r="E584" s="7" t="inlineStr">
        <is>
          <t>GINNY CRANBERRY APPLE 25 SC ENV TBGS</t>
        </is>
      </c>
      <c r="F584" s="7" t="n">
        <v>24</v>
      </c>
      <c r="G584" s="7" t="inlineStr">
        <is>
          <t>CTN</t>
        </is>
      </c>
      <c r="H584">
        <f>#N/A</f>
        <v/>
      </c>
    </row>
    <row r="585" ht="14.25" customHeight="1" s="5">
      <c r="A585" s="7" t="n">
        <v>26211</v>
      </c>
      <c r="B585" s="7" t="inlineStr">
        <is>
          <t>GINNY GINGER 24/25 DC ENV TBGS</t>
        </is>
      </c>
      <c r="C585" s="7" t="inlineStr">
        <is>
          <t>GINNY</t>
        </is>
      </c>
      <c r="D585" s="7" t="n">
        <v>27593</v>
      </c>
      <c r="E585" s="7" t="inlineStr">
        <is>
          <t>GINNY GINGER 25 DC ENV TBGS</t>
        </is>
      </c>
      <c r="F585" s="7" t="n">
        <v>24</v>
      </c>
      <c r="G585" s="7" t="inlineStr">
        <is>
          <t>CTN</t>
        </is>
      </c>
      <c r="H585" t="inlineStr">
        <is>
          <t>BLEND AF BLACK TEA  GINGER TBGS</t>
        </is>
      </c>
    </row>
    <row r="586" ht="14.25" customHeight="1" s="5">
      <c r="A586" s="7" t="n">
        <v>1746</v>
      </c>
      <c r="B586" s="7" t="inlineStr">
        <is>
          <t>GINNY GOLD 12/102 DC ENV TBGS WITH SPOON</t>
        </is>
      </c>
      <c r="C586" s="7" t="inlineStr">
        <is>
          <t>GINNY</t>
        </is>
      </c>
      <c r="D586" s="7" t="n">
        <v>1747</v>
      </c>
      <c r="E586" s="7" t="inlineStr">
        <is>
          <t>GINNY GOLD 102 DC ENV TBGS</t>
        </is>
      </c>
      <c r="F586" s="7" t="n">
        <v>12</v>
      </c>
      <c r="G586" s="7" t="inlineStr">
        <is>
          <t>CTN</t>
        </is>
      </c>
      <c r="H586" t="inlineStr">
        <is>
          <t>BLEND A33</t>
        </is>
      </c>
    </row>
    <row r="587" ht="14.25" customHeight="1" s="5">
      <c r="A587" s="7" t="n">
        <v>20686</v>
      </c>
      <c r="B587" s="7" t="inlineStr">
        <is>
          <t>GINNY GOLD GINGER LEMON 24/26 SC ENV TBGS</t>
        </is>
      </c>
      <c r="C587" s="7" t="inlineStr">
        <is>
          <t>GINNY</t>
        </is>
      </c>
      <c r="D587" s="7" t="n">
        <v>20688</v>
      </c>
      <c r="E587" s="7" t="inlineStr">
        <is>
          <t>GINNY GOLD GINGER LEMON 26 SC ENV TBGS</t>
        </is>
      </c>
      <c r="F587" s="7" t="n">
        <v>24</v>
      </c>
      <c r="G587" s="7" t="inlineStr">
        <is>
          <t>CTN</t>
        </is>
      </c>
      <c r="H587">
        <f>#N/A</f>
        <v/>
      </c>
    </row>
    <row r="588" ht="14.25" customHeight="1" s="5">
      <c r="A588" s="7" t="n">
        <v>20680</v>
      </c>
      <c r="B588" s="7" t="inlineStr">
        <is>
          <t>GINNY GOLD LEMON 24/26 SC ENV TBGS</t>
        </is>
      </c>
      <c r="C588" s="7" t="inlineStr">
        <is>
          <t>GV</t>
        </is>
      </c>
      <c r="D588" s="7" t="n">
        <v>20687</v>
      </c>
      <c r="E588" s="7" t="inlineStr">
        <is>
          <t>GINNY GOLD LEMON 26 SC ENV TBGS</t>
        </is>
      </c>
      <c r="F588" s="7" t="n">
        <v>24</v>
      </c>
      <c r="G588" s="7" t="inlineStr">
        <is>
          <t>CTN</t>
        </is>
      </c>
      <c r="H588">
        <f>#N/A</f>
        <v/>
      </c>
    </row>
    <row r="589" ht="14.25" customHeight="1" s="5">
      <c r="A589" s="7" t="n">
        <v>20684</v>
      </c>
      <c r="B589" s="7" t="inlineStr">
        <is>
          <t>GINNY GOLD MANGO 24/26 SC ENV TBGS</t>
        </is>
      </c>
      <c r="C589" s="7" t="inlineStr">
        <is>
          <t>GINNY</t>
        </is>
      </c>
      <c r="D589" s="7" t="n">
        <v>20690</v>
      </c>
      <c r="E589" s="7" t="inlineStr">
        <is>
          <t>GINNY GOLD MANGO 26 SC ENV TBGS</t>
        </is>
      </c>
      <c r="F589" s="7" t="n">
        <v>24</v>
      </c>
      <c r="G589" s="7" t="inlineStr">
        <is>
          <t>CTN</t>
        </is>
      </c>
      <c r="H589">
        <f>#N/A</f>
        <v/>
      </c>
    </row>
    <row r="590" ht="14.25" customHeight="1" s="5">
      <c r="A590" s="7" t="n">
        <v>20683</v>
      </c>
      <c r="B590" s="7" t="inlineStr">
        <is>
          <t>GINNY GOLD MINT LEMON 24/26 SC ENV TBGS</t>
        </is>
      </c>
      <c r="C590" s="7" t="inlineStr">
        <is>
          <t>GINNY</t>
        </is>
      </c>
      <c r="D590" s="7" t="n">
        <v>20691</v>
      </c>
      <c r="E590" s="7" t="inlineStr">
        <is>
          <t>GINNY GOLD MINT LEMON 26 SC ENV TBGS</t>
        </is>
      </c>
      <c r="F590" s="7" t="n">
        <v>24</v>
      </c>
      <c r="G590" s="7" t="inlineStr">
        <is>
          <t>CTN</t>
        </is>
      </c>
      <c r="H590">
        <f>#N/A</f>
        <v/>
      </c>
    </row>
    <row r="591" ht="14.25" customHeight="1" s="5">
      <c r="A591" s="7" t="n">
        <v>21516</v>
      </c>
      <c r="B591" s="7" t="inlineStr">
        <is>
          <t>(DNU)GINNY GOLD(S) 12/100 DC ENV TBGS</t>
        </is>
      </c>
      <c r="C591" s="7" t="inlineStr">
        <is>
          <t>GINNY</t>
        </is>
      </c>
      <c r="D591" s="7" t="n">
        <v>21517</v>
      </c>
      <c r="E591" s="7" t="inlineStr">
        <is>
          <t>GINNY GOLD(S) 100 DC ENV TBGS</t>
        </is>
      </c>
      <c r="F591" s="7" t="n">
        <v>12</v>
      </c>
      <c r="G591" s="7" t="inlineStr">
        <is>
          <t>CTN</t>
        </is>
      </c>
      <c r="H591" t="inlineStr">
        <is>
          <t>BLEND 786</t>
        </is>
      </c>
    </row>
    <row r="592" ht="14.25" customHeight="1" s="5">
      <c r="A592" s="7" t="n">
        <v>34488</v>
      </c>
      <c r="B592" s="7" t="inlineStr">
        <is>
          <t>GINNY GOLD(S) 12/100 DC ENV TBGS</t>
        </is>
      </c>
      <c r="C592" s="7" t="inlineStr">
        <is>
          <t>GINNY</t>
        </is>
      </c>
      <c r="D592" s="7" t="n">
        <v>21517</v>
      </c>
      <c r="E592" s="7" t="inlineStr">
        <is>
          <t>GINNY GOLD(S) 100 DC ENV TBGS</t>
        </is>
      </c>
      <c r="F592" s="7" t="n">
        <v>12</v>
      </c>
      <c r="G592" s="7" t="inlineStr">
        <is>
          <t>CTN</t>
        </is>
      </c>
      <c r="H592" t="inlineStr">
        <is>
          <t>BLEND 786</t>
        </is>
      </c>
    </row>
    <row r="593" ht="14.25" customHeight="1" s="5">
      <c r="A593" s="7" t="n">
        <v>21678</v>
      </c>
      <c r="B593" s="7" t="inlineStr">
        <is>
          <t>GINNY GOLD(S) 12/100 DC ENV TBGS WITH T-SHIRT</t>
        </is>
      </c>
      <c r="C593" s="7" t="inlineStr">
        <is>
          <t>GINNY</t>
        </is>
      </c>
      <c r="D593" s="7" t="n">
        <v>21517</v>
      </c>
      <c r="E593" s="7" t="inlineStr">
        <is>
          <t>GINNY GOLD(S) 100 DC ENV TBGS</t>
        </is>
      </c>
      <c r="F593" s="7" t="n">
        <v>12</v>
      </c>
      <c r="G593" s="7" t="inlineStr">
        <is>
          <t>CTN</t>
        </is>
      </c>
      <c r="H593" t="inlineStr">
        <is>
          <t>BLEND 786</t>
        </is>
      </c>
    </row>
    <row r="594" ht="14.25" customHeight="1" s="5">
      <c r="A594" s="7" t="n">
        <v>1763</v>
      </c>
      <c r="B594" s="7" t="inlineStr">
        <is>
          <t>GINNY GREEN TEA LEMON 24/25 SC ENV TBGS WITH TSHIRT</t>
        </is>
      </c>
      <c r="C594" s="7" t="inlineStr">
        <is>
          <t>GINNY</t>
        </is>
      </c>
      <c r="D594" s="7" t="n">
        <v>1764</v>
      </c>
      <c r="E594" s="7" t="inlineStr">
        <is>
          <t>GINNY GREEN TEA LEMON 25 SC ENV TBGS</t>
        </is>
      </c>
      <c r="F594" s="7" t="n">
        <v>24</v>
      </c>
      <c r="G594" s="7" t="inlineStr">
        <is>
          <t>CTN</t>
        </is>
      </c>
      <c r="H594">
        <f>#N/A</f>
        <v/>
      </c>
    </row>
    <row r="595" ht="14.25" customHeight="1" s="5">
      <c r="A595" s="7" t="n">
        <v>27580</v>
      </c>
      <c r="B595" s="7" t="inlineStr">
        <is>
          <t>GINNY LEMON 24/25 DC ENV TBGS</t>
        </is>
      </c>
      <c r="C595" s="7" t="inlineStr">
        <is>
          <t>GINNY</t>
        </is>
      </c>
      <c r="D595" s="7" t="n">
        <v>27596</v>
      </c>
      <c r="E595" s="7" t="inlineStr">
        <is>
          <t>GINNY LEMON 25 DC ENV TBGS</t>
        </is>
      </c>
      <c r="F595" s="7" t="n">
        <v>24</v>
      </c>
      <c r="G595" s="7" t="inlineStr">
        <is>
          <t>CTN</t>
        </is>
      </c>
      <c r="H595" t="inlineStr">
        <is>
          <t>BLEND BLACK TEA LEMON TB</t>
        </is>
      </c>
    </row>
    <row r="596" ht="14.25" customHeight="1" s="5">
      <c r="A596" s="7" t="n">
        <v>1773</v>
      </c>
      <c r="B596" s="7" t="inlineStr">
        <is>
          <t>GINNY MANGO 24/25 SC ENV TBGS WITH TSHIRT</t>
        </is>
      </c>
      <c r="C596" s="7" t="inlineStr">
        <is>
          <t>GINNY</t>
        </is>
      </c>
      <c r="D596" s="7" t="n">
        <v>1774</v>
      </c>
      <c r="E596" s="7" t="inlineStr">
        <is>
          <t>GINNY MANGO 25 SC ENV TBGS</t>
        </is>
      </c>
      <c r="F596" s="7" t="n">
        <v>24</v>
      </c>
      <c r="G596" s="7" t="inlineStr">
        <is>
          <t>CTN</t>
        </is>
      </c>
      <c r="H596">
        <f>#N/A</f>
        <v/>
      </c>
    </row>
    <row r="597" ht="14.25" customHeight="1" s="5">
      <c r="A597" s="7" t="n">
        <v>27578</v>
      </c>
      <c r="B597" s="7" t="inlineStr">
        <is>
          <t>GINNY MINT 24/25 DC ENV TBGS</t>
        </is>
      </c>
      <c r="C597" s="7" t="inlineStr">
        <is>
          <t>GINNY</t>
        </is>
      </c>
      <c r="D597" s="7" t="n">
        <v>27594</v>
      </c>
      <c r="E597" s="7" t="inlineStr">
        <is>
          <t>GINNY MINT 25 DC ENV TBGS</t>
        </is>
      </c>
      <c r="F597" s="7" t="n">
        <v>24</v>
      </c>
      <c r="G597" s="7" t="inlineStr">
        <is>
          <t>CTN</t>
        </is>
      </c>
      <c r="H597" t="inlineStr">
        <is>
          <t>BLEND AF BLACK TEA MINT TBGS</t>
        </is>
      </c>
    </row>
    <row r="598" ht="14.25" customHeight="1" s="5">
      <c r="A598" s="7" t="n">
        <v>1788</v>
      </c>
      <c r="B598" s="7" t="inlineStr">
        <is>
          <t>GINNY PINEAPPLE 24/25 SC ENV TBGS WITH TSHIRT</t>
        </is>
      </c>
      <c r="C598" s="7" t="inlineStr">
        <is>
          <t>GINNY</t>
        </is>
      </c>
      <c r="D598" s="7" t="n">
        <v>1789</v>
      </c>
      <c r="E598" s="7" t="inlineStr">
        <is>
          <t>GINNY PINEAPPLE 25 SC ENV TBGS</t>
        </is>
      </c>
      <c r="F598" s="7" t="n">
        <v>24</v>
      </c>
      <c r="G598" s="7" t="inlineStr">
        <is>
          <t>CTN</t>
        </is>
      </c>
      <c r="H598">
        <f>#N/A</f>
        <v/>
      </c>
    </row>
    <row r="599" ht="14.25" customHeight="1" s="5">
      <c r="A599" s="7" t="n">
        <v>27579</v>
      </c>
      <c r="B599" s="7" t="inlineStr">
        <is>
          <t>GINNY STRAWBERRY 24/25 DC ENV TBGS</t>
        </is>
      </c>
      <c r="C599" s="7" t="inlineStr">
        <is>
          <t>GINNY</t>
        </is>
      </c>
      <c r="D599" s="7" t="n">
        <v>27595</v>
      </c>
      <c r="E599" s="7" t="inlineStr">
        <is>
          <t>GINNY STRAWBERRY 25 DC ENV TBGS</t>
        </is>
      </c>
      <c r="F599" s="7" t="n">
        <v>24</v>
      </c>
      <c r="G599" s="7" t="inlineStr">
        <is>
          <t>CTN</t>
        </is>
      </c>
      <c r="H599" t="inlineStr">
        <is>
          <t>BLEND STRAWBERRY TB</t>
        </is>
      </c>
    </row>
    <row r="600" ht="14.25" customHeight="1" s="5">
      <c r="A600" s="7" t="n">
        <v>1803</v>
      </c>
      <c r="B600" s="7" t="inlineStr">
        <is>
          <t>GINNY WILD CHERRY 24/25 SC ENV TBGS WITH TSHIRT</t>
        </is>
      </c>
      <c r="C600" s="7" t="inlineStr">
        <is>
          <t>GINNY</t>
        </is>
      </c>
      <c r="D600" s="7" t="n">
        <v>1804</v>
      </c>
      <c r="E600" s="7" t="inlineStr">
        <is>
          <t>GINNY WILD CHERRY 25 SC ENV TBGS</t>
        </is>
      </c>
      <c r="F600" s="7" t="n">
        <v>24</v>
      </c>
      <c r="G600" s="7" t="inlineStr">
        <is>
          <t>CTN</t>
        </is>
      </c>
      <c r="H600">
        <f>#N/A</f>
        <v/>
      </c>
    </row>
    <row r="601" ht="14.25" customHeight="1" s="5">
      <c r="A601" s="7" t="n">
        <v>31556</v>
      </c>
      <c r="B601" s="7" t="inlineStr">
        <is>
          <t>GLOBETECH CARDAMOM LEAF BLACK TEA ELAICHI PKT [12 X 500 GM LAMINATE POUCH] CFC</t>
        </is>
      </c>
      <c r="C601" s="7" t="inlineStr">
        <is>
          <t>GLOBE TECH</t>
        </is>
      </c>
      <c r="D601" s="7" t="n">
        <v>31548</v>
      </c>
      <c r="E601" s="7" t="inlineStr">
        <is>
          <t>GLOBETECH CARDAMOM LEAF BLACK TEA ELAICHI PKT 500 GM POUCH</t>
        </is>
      </c>
      <c r="F601" s="7" t="n">
        <v>12</v>
      </c>
      <c r="G601" s="7" t="inlineStr">
        <is>
          <t>POUCH</t>
        </is>
      </c>
      <c r="H601" t="inlineStr">
        <is>
          <t>BLEND BLACK TEA ELAICHI PKT</t>
        </is>
      </c>
    </row>
    <row r="602" ht="14.25" customHeight="1" s="5">
      <c r="A602" s="7" t="n">
        <v>31554</v>
      </c>
      <c r="B602" s="7" t="inlineStr">
        <is>
          <t>GLOBETECH CARDAMOM LEAF BLACK TEA ELAICHI PKT [24 X 250 GM LAMINATE POUCH] CFC</t>
        </is>
      </c>
      <c r="C602" s="7" t="inlineStr">
        <is>
          <t>GLOBE TECH</t>
        </is>
      </c>
      <c r="D602" s="7" t="n">
        <v>31546</v>
      </c>
      <c r="E602" s="7" t="inlineStr">
        <is>
          <t>GLOBETECH CARDAMOM LEAF BLACK TEA ELAICHI PKT 250 GM POUCH</t>
        </is>
      </c>
      <c r="F602" s="7" t="n">
        <v>24</v>
      </c>
      <c r="G602" s="7" t="inlineStr">
        <is>
          <t>POUCH</t>
        </is>
      </c>
      <c r="H602" t="inlineStr">
        <is>
          <t>BLEND BLACK TEA ELAICHI PKT</t>
        </is>
      </c>
    </row>
    <row r="603" ht="14.25" customHeight="1" s="5">
      <c r="A603" s="7" t="n">
        <v>31555</v>
      </c>
      <c r="B603" s="7" t="inlineStr">
        <is>
          <t>GLOBETECH MASALA LEAF BLACK TEA MASALA GLOBETECH PKT [12 X 500 GM LAMINATE POUCH] CFC</t>
        </is>
      </c>
      <c r="C603" s="7" t="inlineStr">
        <is>
          <t>GLOBE TECH</t>
        </is>
      </c>
      <c r="D603" s="7" t="n">
        <v>31547</v>
      </c>
      <c r="E603" s="7" t="inlineStr">
        <is>
          <t>GLOBETECH MASALA LEAF BLACK TEA MASALA GLOBETECH PKT 500 GM POUCH</t>
        </is>
      </c>
      <c r="F603" s="7" t="n">
        <v>12</v>
      </c>
      <c r="G603" s="7" t="inlineStr">
        <is>
          <t>POUCH</t>
        </is>
      </c>
      <c r="H603" t="inlineStr">
        <is>
          <t>BLEND BLACK TEA MASALA GLOBETECH PKT</t>
        </is>
      </c>
    </row>
    <row r="604" ht="14.25" customHeight="1" s="5">
      <c r="A604" s="7" t="n">
        <v>31550</v>
      </c>
      <c r="B604" s="7" t="inlineStr">
        <is>
          <t>GLOBETECH MASALA LEAF BLACK TEA MASALA GLOBETECH PKT [24 X 250 GM LAMINATE POUCH] CFC</t>
        </is>
      </c>
      <c r="C604" s="7" t="inlineStr">
        <is>
          <t>GLOBE TECH</t>
        </is>
      </c>
      <c r="D604" s="7" t="n">
        <v>31540</v>
      </c>
      <c r="E604" s="7" t="inlineStr">
        <is>
          <t>GLOBETECH MASALA LEAF BLACK TEA MASALA GLOBETECH PKT 250 GM POUCH</t>
        </is>
      </c>
      <c r="F604" s="7" t="n">
        <v>24</v>
      </c>
      <c r="G604" s="7" t="inlineStr">
        <is>
          <t>POUCH</t>
        </is>
      </c>
      <c r="H604" t="inlineStr">
        <is>
          <t>BLEND BLACK TEA MASALA GLOBETECH PKT</t>
        </is>
      </c>
    </row>
    <row r="605" ht="14.25" customHeight="1" s="5">
      <c r="A605" s="7" t="n">
        <v>533</v>
      </c>
      <c r="B605" s="7" t="inlineStr">
        <is>
          <t>GOLD BOND 12/100 DC ENV TBGS</t>
        </is>
      </c>
      <c r="C605" s="7" t="inlineStr">
        <is>
          <t>GOLD BOND</t>
        </is>
      </c>
      <c r="D605" s="7" t="n">
        <v>534</v>
      </c>
      <c r="E605" s="7" t="inlineStr">
        <is>
          <t>GOLD BOND 100 DC ENV TBGS</t>
        </is>
      </c>
      <c r="F605" s="7" t="n">
        <v>12</v>
      </c>
      <c r="G605" s="7" t="inlineStr">
        <is>
          <t>CTN</t>
        </is>
      </c>
      <c r="H605" t="inlineStr">
        <is>
          <t>BLEND 786</t>
        </is>
      </c>
    </row>
    <row r="606" ht="14.25" customHeight="1" s="5">
      <c r="A606" s="7" t="n">
        <v>37654</v>
      </c>
      <c r="B606" s="7" t="inlineStr">
        <is>
          <t>GOLD BOND 12/100 DC ENV TBGS WITH SHOPPING BAG</t>
        </is>
      </c>
      <c r="C606" s="7" t="inlineStr">
        <is>
          <t>GOLD BOND</t>
        </is>
      </c>
      <c r="D606" s="7" t="n">
        <v>534</v>
      </c>
      <c r="E606" s="7" t="inlineStr">
        <is>
          <t>GOLD BOND 100 DC ENV TBGS</t>
        </is>
      </c>
      <c r="F606" s="7" t="n">
        <v>12</v>
      </c>
      <c r="G606" s="7" t="inlineStr">
        <is>
          <t>CTN</t>
        </is>
      </c>
      <c r="H606" t="inlineStr">
        <is>
          <t>BLEND 786</t>
        </is>
      </c>
    </row>
    <row r="607" ht="14.25" customHeight="1" s="5">
      <c r="A607" s="7" t="n">
        <v>538</v>
      </c>
      <c r="B607" s="7" t="inlineStr">
        <is>
          <t>GOLD BOND 12/100 DC ENV TBGS WITH TSHIRT</t>
        </is>
      </c>
      <c r="C607" s="7" t="inlineStr">
        <is>
          <t>GOLD BOND</t>
        </is>
      </c>
      <c r="D607" s="7" t="n">
        <v>534</v>
      </c>
      <c r="E607" s="7" t="inlineStr">
        <is>
          <t>GOLD BOND 100 DC ENV TBGS</t>
        </is>
      </c>
      <c r="F607" s="7" t="n">
        <v>12</v>
      </c>
      <c r="G607" s="7" t="inlineStr">
        <is>
          <t>CTN</t>
        </is>
      </c>
      <c r="H607" t="inlineStr">
        <is>
          <t>BLEND 786</t>
        </is>
      </c>
    </row>
    <row r="608" ht="14.25" customHeight="1" s="5">
      <c r="A608" s="7" t="n">
        <v>19760</v>
      </c>
      <c r="B608" s="7" t="inlineStr">
        <is>
          <t>GOLD BOND 12/100 SC POT TBGS</t>
        </is>
      </c>
      <c r="C608" s="7" t="inlineStr">
        <is>
          <t>JAY GOLD BOND</t>
        </is>
      </c>
      <c r="D608" s="7" t="n">
        <v>19763</v>
      </c>
      <c r="E608" s="7" t="inlineStr">
        <is>
          <t>GOLD BOND 100 SC POT TBGS</t>
        </is>
      </c>
      <c r="F608" s="7" t="n">
        <v>12</v>
      </c>
      <c r="G608" s="7" t="inlineStr">
        <is>
          <t>CTN</t>
        </is>
      </c>
      <c r="H608" t="inlineStr">
        <is>
          <t>BLEND 786</t>
        </is>
      </c>
    </row>
    <row r="609" ht="14.25" customHeight="1" s="5">
      <c r="A609" s="7" t="n">
        <v>20410</v>
      </c>
      <c r="B609" s="7" t="inlineStr">
        <is>
          <t>GOLD BOND 12/100 SC TBGS TAGLESS</t>
        </is>
      </c>
      <c r="C609" s="7" t="inlineStr">
        <is>
          <t>GOLD BOND</t>
        </is>
      </c>
      <c r="D609" s="7" t="n">
        <v>20382</v>
      </c>
      <c r="E609" s="7" t="inlineStr">
        <is>
          <t>GOLD BOND 100 SC TBGS TAGLESS</t>
        </is>
      </c>
      <c r="F609" s="7" t="n">
        <v>12</v>
      </c>
      <c r="G609" s="7" t="inlineStr">
        <is>
          <t>CTN</t>
        </is>
      </c>
      <c r="H609" t="inlineStr">
        <is>
          <t>BLEND STD-789</t>
        </is>
      </c>
    </row>
    <row r="610" ht="14.25" customHeight="1" s="5">
      <c r="A610" s="7" t="n">
        <v>32999</v>
      </c>
      <c r="B610" s="7" t="inlineStr">
        <is>
          <t>GOLD BOND 18/25 DC SF TAG TBGS</t>
        </is>
      </c>
      <c r="C610" s="7" t="inlineStr">
        <is>
          <t>GOLD BOND</t>
        </is>
      </c>
      <c r="D610" s="7" t="n">
        <v>32994</v>
      </c>
      <c r="E610" s="7" t="inlineStr">
        <is>
          <t>GOLD BOND 25 DC SF TAG TBGS</t>
        </is>
      </c>
      <c r="F610" s="7" t="n">
        <v>18</v>
      </c>
      <c r="G610" s="7" t="inlineStr">
        <is>
          <t>CTN</t>
        </is>
      </c>
      <c r="H610" t="inlineStr">
        <is>
          <t>BLEND R-132-S</t>
        </is>
      </c>
    </row>
    <row r="611" ht="14.25" customHeight="1" s="5">
      <c r="A611" s="7" t="n">
        <v>32998</v>
      </c>
      <c r="B611" s="7" t="inlineStr">
        <is>
          <t>GOLD BOND 18/50 DC SF TAG TBGS</t>
        </is>
      </c>
      <c r="C611" s="7" t="inlineStr">
        <is>
          <t>GOLD BOND</t>
        </is>
      </c>
      <c r="D611" s="7" t="n">
        <v>32995</v>
      </c>
      <c r="E611" s="7" t="inlineStr">
        <is>
          <t>GOLD BOND 50 DC SF TAG TBGS</t>
        </is>
      </c>
      <c r="F611" s="7" t="n">
        <v>18</v>
      </c>
      <c r="G611" s="7" t="inlineStr">
        <is>
          <t>CTN</t>
        </is>
      </c>
      <c r="H611" t="inlineStr">
        <is>
          <t>BLEND R-132-S</t>
        </is>
      </c>
    </row>
    <row r="612" ht="14.25" customHeight="1" s="5">
      <c r="A612" s="7" t="n">
        <v>19766</v>
      </c>
      <c r="B612" s="7" t="inlineStr">
        <is>
          <t>GOLD BOND 24/100 SC POT TBGS</t>
        </is>
      </c>
      <c r="C612" s="7" t="inlineStr">
        <is>
          <t>JAY GOLD BOND</t>
        </is>
      </c>
      <c r="D612" s="7" t="n">
        <v>19763</v>
      </c>
      <c r="E612" s="7" t="inlineStr">
        <is>
          <t>GOLD BOND 100 SC POT TBGS</t>
        </is>
      </c>
      <c r="F612" s="7" t="n">
        <v>24</v>
      </c>
      <c r="G612" s="7" t="inlineStr">
        <is>
          <t>CTN</t>
        </is>
      </c>
      <c r="H612" t="inlineStr">
        <is>
          <t>BLEND 786</t>
        </is>
      </c>
    </row>
    <row r="613" ht="14.25" customHeight="1" s="5">
      <c r="A613" s="7" t="n">
        <v>20383</v>
      </c>
      <c r="B613" s="7" t="inlineStr">
        <is>
          <t>GOLD BOND 24/100 SC TBGS TAGLESS</t>
        </is>
      </c>
      <c r="C613" s="7" t="inlineStr">
        <is>
          <t>GOLD BOND</t>
        </is>
      </c>
      <c r="D613" s="7" t="n">
        <v>20382</v>
      </c>
      <c r="E613" s="7" t="inlineStr">
        <is>
          <t>GOLD BOND 100 SC TBGS TAGLESS</t>
        </is>
      </c>
      <c r="F613" s="7" t="n">
        <v>24</v>
      </c>
      <c r="G613" s="7" t="inlineStr">
        <is>
          <t>CTN</t>
        </is>
      </c>
      <c r="H613" t="inlineStr">
        <is>
          <t>BLEND STD-789</t>
        </is>
      </c>
    </row>
    <row r="614" ht="14.25" customHeight="1" s="5">
      <c r="A614" s="7" t="n">
        <v>22148</v>
      </c>
      <c r="B614" s="7" t="inlineStr">
        <is>
          <t>GOLD BOND 24/100 SC TBGS TAGLESS(1.5 GMS)</t>
        </is>
      </c>
      <c r="C614" s="7" t="inlineStr">
        <is>
          <t>GOLD BOND</t>
        </is>
      </c>
      <c r="D614" s="7" t="n">
        <v>22283</v>
      </c>
      <c r="E614" s="7" t="inlineStr">
        <is>
          <t>GOLD BOND 100 SC TBGS TAGLESS 1.5GMS</t>
        </is>
      </c>
      <c r="F614" s="7" t="n">
        <v>24</v>
      </c>
      <c r="G614" s="7" t="inlineStr">
        <is>
          <t>CTN</t>
        </is>
      </c>
      <c r="H614" t="inlineStr">
        <is>
          <t>BLEND 786</t>
        </is>
      </c>
    </row>
    <row r="615" ht="14.25" customHeight="1" s="5">
      <c r="A615" s="7" t="n">
        <v>27676</v>
      </c>
      <c r="B615" s="7" t="inlineStr">
        <is>
          <t>GOLD BOND 24/25 DC ENV TBGS</t>
        </is>
      </c>
      <c r="C615" s="7" t="inlineStr">
        <is>
          <t>GOLD BOND</t>
        </is>
      </c>
      <c r="D615" s="7" t="n">
        <v>543</v>
      </c>
      <c r="E615" s="7" t="inlineStr">
        <is>
          <t>GOLD BOND 25 DC ENV TBGS</t>
        </is>
      </c>
      <c r="F615" s="7" t="n">
        <v>24</v>
      </c>
      <c r="G615" s="7" t="inlineStr">
        <is>
          <t>CTN</t>
        </is>
      </c>
      <c r="H615" t="inlineStr">
        <is>
          <t>BLEND 786</t>
        </is>
      </c>
    </row>
    <row r="616" ht="14.25" customHeight="1" s="5">
      <c r="A616" s="7" t="n">
        <v>20727</v>
      </c>
      <c r="B616" s="7" t="inlineStr">
        <is>
          <t>GOLD BOND 24/50 DC ENV TBGS</t>
        </is>
      </c>
      <c r="C616" s="7" t="inlineStr">
        <is>
          <t>GOLD BOND</t>
        </is>
      </c>
      <c r="D616" s="7" t="n">
        <v>20728</v>
      </c>
      <c r="E616" s="7" t="inlineStr">
        <is>
          <t>GOLD BOND 50 DC ENV TBGS</t>
        </is>
      </c>
      <c r="F616" s="7" t="n">
        <v>24</v>
      </c>
      <c r="G616" s="7" t="inlineStr">
        <is>
          <t>CTN</t>
        </is>
      </c>
      <c r="H616" t="inlineStr">
        <is>
          <t>BLEND 786</t>
        </is>
      </c>
    </row>
    <row r="617" ht="14.25" customHeight="1" s="5">
      <c r="A617" s="7" t="n">
        <v>542</v>
      </c>
      <c r="B617" s="7" t="inlineStr">
        <is>
          <t>Gold Bond 48/25 DC ENV TBGS With TShirt</t>
        </is>
      </c>
      <c r="C617" s="7" t="inlineStr">
        <is>
          <t>GOLD BOND</t>
        </is>
      </c>
      <c r="D617" s="7" t="n">
        <v>543</v>
      </c>
      <c r="E617" s="7" t="inlineStr">
        <is>
          <t>GOLD BOND 25 DC ENV TBGS</t>
        </is>
      </c>
      <c r="F617" s="7" t="n">
        <v>48</v>
      </c>
      <c r="G617" s="7" t="inlineStr">
        <is>
          <t>CTN</t>
        </is>
      </c>
      <c r="H617" t="inlineStr">
        <is>
          <t>BLEND 786</t>
        </is>
      </c>
    </row>
    <row r="618" ht="14.25" customHeight="1" s="5">
      <c r="A618" s="7" t="n">
        <v>33096</v>
      </c>
      <c r="B618" s="7" t="inlineStr">
        <is>
          <t>GOLD BOND ASSAM 18/100 DC TAG TBGS</t>
        </is>
      </c>
      <c r="C618" s="7" t="inlineStr">
        <is>
          <t>GOLD BOND</t>
        </is>
      </c>
      <c r="D618" s="7" t="n">
        <v>33102</v>
      </c>
      <c r="E618" s="7" t="inlineStr">
        <is>
          <t>GOLD BOND ASSAM 100 DC TAG TBGS</t>
        </is>
      </c>
      <c r="F618" s="7" t="n">
        <v>18</v>
      </c>
      <c r="G618" s="7" t="inlineStr">
        <is>
          <t>CTN</t>
        </is>
      </c>
      <c r="H618" t="inlineStr">
        <is>
          <t>BLEND R-132-S</t>
        </is>
      </c>
    </row>
    <row r="619" ht="14.25" customHeight="1" s="5">
      <c r="A619" s="7" t="n">
        <v>27677</v>
      </c>
      <c r="B619" s="7" t="inlineStr">
        <is>
          <t>GOLD BOND CLOVE 24/25 DC ENV TBGS</t>
        </is>
      </c>
      <c r="C619" s="7" t="inlineStr">
        <is>
          <t>GOLD BOND</t>
        </is>
      </c>
      <c r="D619" s="7" t="n">
        <v>27681</v>
      </c>
      <c r="E619" s="7" t="inlineStr">
        <is>
          <t>GOLD BOND CLOVE 25 DC ENV TBGS</t>
        </is>
      </c>
      <c r="F619" s="7" t="n">
        <v>24</v>
      </c>
      <c r="G619" s="7" t="inlineStr">
        <is>
          <t>CTN</t>
        </is>
      </c>
      <c r="H619" t="inlineStr">
        <is>
          <t>BLEND BLACK TEA CLOVE TBC</t>
        </is>
      </c>
    </row>
    <row r="620" ht="14.25" customHeight="1" s="5">
      <c r="A620" s="7" t="n">
        <v>37063</v>
      </c>
      <c r="B620" s="7" t="inlineStr">
        <is>
          <t>GOLD BOND CLOVE 48/25 DC ENV TBGS</t>
        </is>
      </c>
      <c r="C620" s="7" t="inlineStr">
        <is>
          <t>GOLD BOND</t>
        </is>
      </c>
      <c r="D620" s="7" t="n">
        <v>27681</v>
      </c>
      <c r="E620" s="7" t="inlineStr">
        <is>
          <t>GOLD BOND CLOVE 25 DC ENV TBGS</t>
        </is>
      </c>
      <c r="F620" s="7" t="n">
        <v>48</v>
      </c>
      <c r="G620" s="7" t="inlineStr">
        <is>
          <t>CTN</t>
        </is>
      </c>
      <c r="H620" t="inlineStr">
        <is>
          <t>BLEND BLACK TEA CLOVE TBC</t>
        </is>
      </c>
    </row>
    <row r="621" ht="14.25" customHeight="1" s="5">
      <c r="A621" s="7" t="n">
        <v>26723</v>
      </c>
      <c r="B621" s="7" t="inlineStr">
        <is>
          <t>GOLD BOND COCKTAIL 24/25 DC ENV TBGS</t>
        </is>
      </c>
      <c r="C621" s="7" t="inlineStr">
        <is>
          <t>GOLD BOND</t>
        </is>
      </c>
      <c r="D621" s="7" t="n">
        <v>23260</v>
      </c>
      <c r="E621" s="7" t="inlineStr">
        <is>
          <t>JAY GOLD BOND COCKTAIL 25 DC ENV TBGS</t>
        </is>
      </c>
      <c r="F621" s="7" t="n">
        <v>24</v>
      </c>
      <c r="G621" s="7" t="inlineStr">
        <is>
          <t>CTN</t>
        </is>
      </c>
      <c r="H621" t="inlineStr">
        <is>
          <t>BLEND BLACK TEA COCKTAIL TBC</t>
        </is>
      </c>
    </row>
    <row r="622" ht="14.25" customHeight="1" s="5">
      <c r="A622" s="7" t="n">
        <v>37064</v>
      </c>
      <c r="B622" s="7" t="inlineStr">
        <is>
          <t>GOLD BOND COCKTAIL 48/25 DC ENV TBGS</t>
        </is>
      </c>
      <c r="C622" s="7" t="inlineStr">
        <is>
          <t>GOLD BOND</t>
        </is>
      </c>
      <c r="D622" s="7" t="n">
        <v>23260</v>
      </c>
      <c r="E622" s="7" t="inlineStr">
        <is>
          <t>JAY GOLD BOND COCKTAIL 25 DC ENV TBGS</t>
        </is>
      </c>
      <c r="F622" s="7" t="n">
        <v>48</v>
      </c>
      <c r="G622" s="7" t="inlineStr">
        <is>
          <t>CTN</t>
        </is>
      </c>
      <c r="H622" t="inlineStr">
        <is>
          <t>BLEND BLACK TEA COCKTAIL TBC</t>
        </is>
      </c>
    </row>
    <row r="623" ht="14.25" customHeight="1" s="5">
      <c r="A623" s="7" t="n">
        <v>20027</v>
      </c>
      <c r="B623" s="7" t="inlineStr">
        <is>
          <t>GOLD BOND DUST RK KTG [48 X 250 GM LAMINATE POUCH] CFC</t>
        </is>
      </c>
      <c r="C623" s="7" t="inlineStr">
        <is>
          <t>GOLD BOND</t>
        </is>
      </c>
      <c r="D623" s="7" t="n">
        <v>20030</v>
      </c>
      <c r="E623" s="7" t="inlineStr">
        <is>
          <t>GOLD BOND DUST 250 GMS POUCH</t>
        </is>
      </c>
      <c r="F623" s="7" t="n">
        <v>48</v>
      </c>
      <c r="G623" s="7" t="inlineStr">
        <is>
          <t>POUCH</t>
        </is>
      </c>
      <c r="H623" t="inlineStr">
        <is>
          <t>BLEND RK KTG (GOLD BOND)</t>
        </is>
      </c>
    </row>
    <row r="624" ht="14.25" customHeight="1" s="5">
      <c r="A624" s="7" t="n">
        <v>26718</v>
      </c>
      <c r="B624" s="7" t="inlineStr">
        <is>
          <t>GOLD BOND GINGER 24/25 DC ENV TBGS</t>
        </is>
      </c>
      <c r="C624" s="7" t="inlineStr">
        <is>
          <t>GOLD BOND</t>
        </is>
      </c>
      <c r="D624" s="7" t="n">
        <v>2220</v>
      </c>
      <c r="E624" s="7" t="inlineStr">
        <is>
          <t>JAY GOLD BOND GINGER 25 DC ENV TBGS</t>
        </is>
      </c>
      <c r="F624" s="7" t="n">
        <v>24</v>
      </c>
      <c r="G624" s="7" t="inlineStr">
        <is>
          <t>CTN</t>
        </is>
      </c>
      <c r="H624" t="inlineStr">
        <is>
          <t>BLEND AF BLACK TEA  GINGER TBGS</t>
        </is>
      </c>
    </row>
    <row r="625" ht="14.25" customHeight="1" s="5">
      <c r="A625" s="7" t="n">
        <v>37649</v>
      </c>
      <c r="B625" s="7" t="inlineStr">
        <is>
          <t>GOLD BOND GINGER 24/25 DC ENV TBGS WITH SHOPPING BAG</t>
        </is>
      </c>
      <c r="C625" s="7" t="inlineStr">
        <is>
          <t>GOLD BOND</t>
        </is>
      </c>
      <c r="D625" s="7" t="n">
        <v>2220</v>
      </c>
      <c r="E625" s="7" t="inlineStr">
        <is>
          <t>JAY GOLD BOND GINGER 25 DC ENV TBGS</t>
        </is>
      </c>
      <c r="F625" s="7" t="n">
        <v>24</v>
      </c>
      <c r="G625" s="7" t="inlineStr">
        <is>
          <t>CTN</t>
        </is>
      </c>
      <c r="H625" t="inlineStr">
        <is>
          <t>BLEND AF BLACK TEA  GINGER TBGS</t>
        </is>
      </c>
    </row>
    <row r="626" ht="14.25" customHeight="1" s="5">
      <c r="A626" s="7" t="n">
        <v>26720</v>
      </c>
      <c r="B626" s="7" t="inlineStr">
        <is>
          <t>GOLD BOND LEMON 24/25 DC ENV TBGS</t>
        </is>
      </c>
      <c r="C626" s="7" t="inlineStr">
        <is>
          <t>GOLD BOND</t>
        </is>
      </c>
      <c r="D626" s="7" t="n">
        <v>2230</v>
      </c>
      <c r="E626" s="7" t="inlineStr">
        <is>
          <t>JAY GOLD BOND LEMON 25 DC ENV TBGS</t>
        </is>
      </c>
      <c r="F626" s="7" t="n">
        <v>24</v>
      </c>
      <c r="G626" s="7" t="inlineStr">
        <is>
          <t>CTN</t>
        </is>
      </c>
      <c r="H626" t="inlineStr">
        <is>
          <t>BLEND BLACK TEA LEMON TB</t>
        </is>
      </c>
    </row>
    <row r="627" ht="14.25" customHeight="1" s="5">
      <c r="A627" s="7" t="n">
        <v>37798</v>
      </c>
      <c r="B627" s="7" t="inlineStr">
        <is>
          <t>GOLD BOND LEMON 24/25 DC ENV TBGS WITH SHOPPING BAG</t>
        </is>
      </c>
      <c r="C627" s="7" t="inlineStr">
        <is>
          <t>GOLD BOND</t>
        </is>
      </c>
      <c r="D627" s="7" t="n">
        <v>2230</v>
      </c>
      <c r="E627" s="7" t="inlineStr">
        <is>
          <t>JAY GOLD BOND LEMON 25 DC ENV TBGS</t>
        </is>
      </c>
      <c r="F627" s="7" t="n">
        <v>24</v>
      </c>
      <c r="G627" s="7" t="inlineStr">
        <is>
          <t>CTN</t>
        </is>
      </c>
      <c r="H627" t="inlineStr">
        <is>
          <t>BLEND BLACK TEA LEMON TB</t>
        </is>
      </c>
    </row>
    <row r="628" ht="14.25" customHeight="1" s="5">
      <c r="A628" s="7" t="n">
        <v>26722</v>
      </c>
      <c r="B628" s="7" t="inlineStr">
        <is>
          <t>GOLD BOND MANGO 24/25 DC ENV TBGS</t>
        </is>
      </c>
      <c r="C628" s="7" t="inlineStr">
        <is>
          <t>GOLD BOND</t>
        </is>
      </c>
      <c r="D628" s="7" t="n">
        <v>2240</v>
      </c>
      <c r="E628" s="7" t="inlineStr">
        <is>
          <t>JAY GOLD BOND MANGO 25 DC ENV TBGS</t>
        </is>
      </c>
      <c r="F628" s="7" t="n">
        <v>24</v>
      </c>
      <c r="G628" s="7" t="inlineStr">
        <is>
          <t>CTN</t>
        </is>
      </c>
      <c r="H628" t="inlineStr">
        <is>
          <t>BLEND AF BLACK TEA WITH MANGO TBGS</t>
        </is>
      </c>
    </row>
    <row r="629" ht="14.25" customHeight="1" s="5">
      <c r="A629" s="7" t="n">
        <v>26719</v>
      </c>
      <c r="B629" s="7" t="inlineStr">
        <is>
          <t>GOLD BOND MINT 24/25 DC ENV TBGS</t>
        </is>
      </c>
      <c r="C629" s="7" t="inlineStr">
        <is>
          <t>GOLD BOND</t>
        </is>
      </c>
      <c r="D629" s="7" t="n">
        <v>23272</v>
      </c>
      <c r="E629" s="7" t="inlineStr">
        <is>
          <t>JAY GOLD BOND MINT 25 DC ENV TBGS</t>
        </is>
      </c>
      <c r="F629" s="7" t="n">
        <v>24</v>
      </c>
      <c r="G629" s="7" t="inlineStr">
        <is>
          <t>CTN</t>
        </is>
      </c>
      <c r="H629" t="inlineStr">
        <is>
          <t>BLEND AF BLACK TEA MINT TBGS</t>
        </is>
      </c>
    </row>
    <row r="630" ht="14.25" customHeight="1" s="5">
      <c r="A630" s="7" t="n">
        <v>37650</v>
      </c>
      <c r="B630" s="7" t="inlineStr">
        <is>
          <t>GOLD BOND MINT 24/25 DC ENV TBGS WITH SHOPPING BAG</t>
        </is>
      </c>
      <c r="C630" s="7" t="inlineStr">
        <is>
          <t>GOLD BOND</t>
        </is>
      </c>
      <c r="D630" s="7" t="n">
        <v>23272</v>
      </c>
      <c r="E630" s="7" t="inlineStr">
        <is>
          <t>JAY GOLD BOND MINT 25 DC ENV TBGS</t>
        </is>
      </c>
      <c r="F630" s="7" t="n">
        <v>24</v>
      </c>
      <c r="G630" s="7" t="inlineStr">
        <is>
          <t>CTN</t>
        </is>
      </c>
      <c r="H630" t="inlineStr">
        <is>
          <t>BLEND AF BLACK TEA MINT TBGS</t>
        </is>
      </c>
    </row>
    <row r="631" ht="14.25" customHeight="1" s="5">
      <c r="A631" s="7" t="n">
        <v>27859</v>
      </c>
      <c r="B631" s="7" t="inlineStr">
        <is>
          <t>GOLD BOND MINT 48/25 DC ENV TBGS</t>
        </is>
      </c>
      <c r="C631" s="7" t="inlineStr">
        <is>
          <t>GOLD BOND</t>
        </is>
      </c>
      <c r="D631" s="7" t="n">
        <v>23272</v>
      </c>
      <c r="E631" s="7" t="inlineStr">
        <is>
          <t>JAY GOLD BOND MINT 25 DC ENV TBGS</t>
        </is>
      </c>
      <c r="F631" s="7" t="n">
        <v>48</v>
      </c>
      <c r="G631" s="7" t="inlineStr">
        <is>
          <t>CTN</t>
        </is>
      </c>
      <c r="H631" t="inlineStr">
        <is>
          <t>BLEND AF BLACK TEA MINT TBGS</t>
        </is>
      </c>
    </row>
    <row r="632" ht="14.25" customHeight="1" s="5">
      <c r="A632" s="7" t="n">
        <v>26764</v>
      </c>
      <c r="B632" s="7" t="inlineStr">
        <is>
          <t>GOLD BOND ORANGE 24/25 DC ENV TBGS</t>
        </is>
      </c>
      <c r="C632" s="7" t="inlineStr">
        <is>
          <t>GOLD BOND</t>
        </is>
      </c>
      <c r="D632" s="7" t="n">
        <v>2257</v>
      </c>
      <c r="E632" s="7" t="inlineStr">
        <is>
          <t>JAY GOLD BOND ORANGE 25 DC ENV TBGS</t>
        </is>
      </c>
      <c r="F632" s="7" t="n">
        <v>24</v>
      </c>
      <c r="G632" s="7" t="inlineStr">
        <is>
          <t>CTN</t>
        </is>
      </c>
      <c r="H632" t="inlineStr">
        <is>
          <t>BLEND AX-BLACK ORANGE TB</t>
        </is>
      </c>
    </row>
    <row r="633" ht="14.25" customHeight="1" s="5">
      <c r="A633" s="7" t="n">
        <v>37651</v>
      </c>
      <c r="B633" s="7" t="inlineStr">
        <is>
          <t>GOLD BOND ORANGE 24/25 DC ENV TBGS WITH SHOPPING BAG</t>
        </is>
      </c>
      <c r="C633" s="7" t="inlineStr">
        <is>
          <t>GOLD BOND</t>
        </is>
      </c>
      <c r="D633" s="7" t="n">
        <v>2257</v>
      </c>
      <c r="E633" s="7" t="inlineStr">
        <is>
          <t>JAY GOLD BOND ORANGE 25 DC ENV TBGS</t>
        </is>
      </c>
      <c r="F633" s="7" t="n">
        <v>24</v>
      </c>
      <c r="G633" s="7" t="inlineStr">
        <is>
          <t>CTN</t>
        </is>
      </c>
      <c r="H633" t="inlineStr">
        <is>
          <t>BLEND AX-BLACK ORANGE TB</t>
        </is>
      </c>
    </row>
    <row r="634" ht="14.25" customHeight="1" s="5">
      <c r="A634" s="7" t="n">
        <v>26725</v>
      </c>
      <c r="B634" s="7" t="inlineStr">
        <is>
          <t>GOLD BOND PINEAPPLE 24/25 DC ENV TBGS</t>
        </is>
      </c>
      <c r="C634" s="7" t="inlineStr">
        <is>
          <t>GOLD BOND</t>
        </is>
      </c>
      <c r="D634" s="7" t="n">
        <v>2267</v>
      </c>
      <c r="E634" s="7" t="inlineStr">
        <is>
          <t>JAY GOLD BOND PINEAPPLE 25 DC ENV TBGS</t>
        </is>
      </c>
      <c r="F634" s="7" t="n">
        <v>24</v>
      </c>
      <c r="G634" s="7" t="inlineStr">
        <is>
          <t>CTN</t>
        </is>
      </c>
      <c r="H634" t="inlineStr">
        <is>
          <t>BLEND BLACK TEA PINEAPPLE TB</t>
        </is>
      </c>
    </row>
    <row r="635" ht="14.25" customHeight="1" s="5">
      <c r="A635" s="7" t="n">
        <v>26721</v>
      </c>
      <c r="B635" s="7" t="inlineStr">
        <is>
          <t>GOLD BOND STRAWBERRY 24/25 DC ENV TBGS</t>
        </is>
      </c>
      <c r="C635" s="7" t="inlineStr">
        <is>
          <t>GOLD BOND</t>
        </is>
      </c>
      <c r="D635" s="7" t="n">
        <v>2272</v>
      </c>
      <c r="E635" s="7" t="inlineStr">
        <is>
          <t>JAY GOLD BOND STRAWBERRY 25 DC ENV TBGS</t>
        </is>
      </c>
      <c r="F635" s="7" t="n">
        <v>24</v>
      </c>
      <c r="G635" s="7" t="inlineStr">
        <is>
          <t>CTN</t>
        </is>
      </c>
      <c r="H635" t="inlineStr">
        <is>
          <t>BLEND STRAWBERRY TB</t>
        </is>
      </c>
    </row>
    <row r="636" ht="14.25" customHeight="1" s="5">
      <c r="A636" s="7" t="n">
        <v>37799</v>
      </c>
      <c r="B636" s="7" t="inlineStr">
        <is>
          <t>GOLD BOND STRAWBERRY 24/25 DC ENV TBGS WITH SHOPPING BAG</t>
        </is>
      </c>
      <c r="C636" s="7" t="inlineStr">
        <is>
          <t>GOLD BOND</t>
        </is>
      </c>
      <c r="D636" s="7" t="n">
        <v>2272</v>
      </c>
      <c r="E636" s="7" t="inlineStr">
        <is>
          <t>JAY GOLD BOND STRAWBERRY 25 DC ENV TBGS</t>
        </is>
      </c>
      <c r="F636" s="7" t="n">
        <v>24</v>
      </c>
      <c r="G636" s="7" t="inlineStr">
        <is>
          <t>CTN</t>
        </is>
      </c>
      <c r="H636" t="inlineStr">
        <is>
          <t>BLEND STRAWBERRY TB</t>
        </is>
      </c>
    </row>
    <row r="637" ht="14.25" customHeight="1" s="5">
      <c r="A637" s="7" t="n">
        <v>27860</v>
      </c>
      <c r="B637" s="7" t="inlineStr">
        <is>
          <t>GOLD BOND STRAWBERRY 48/25 DC ENV TBGS</t>
        </is>
      </c>
      <c r="C637" s="7" t="inlineStr">
        <is>
          <t>GOLD BOND</t>
        </is>
      </c>
      <c r="D637" s="7" t="n">
        <v>2272</v>
      </c>
      <c r="E637" s="7" t="inlineStr">
        <is>
          <t>JAY GOLD BOND STRAWBERRY 25 DC ENV TBGS</t>
        </is>
      </c>
      <c r="F637" s="7" t="n">
        <v>48</v>
      </c>
      <c r="G637" s="7" t="inlineStr">
        <is>
          <t>CTN</t>
        </is>
      </c>
      <c r="H637" t="inlineStr">
        <is>
          <t>BLEND STRAWBERRY TB</t>
        </is>
      </c>
    </row>
    <row r="638" ht="14.25" customHeight="1" s="5">
      <c r="A638" s="7" t="n">
        <v>26724</v>
      </c>
      <c r="B638" s="7" t="inlineStr">
        <is>
          <t>GOLD BOND TAMARIND 24/25 DC ENV TBGS</t>
        </is>
      </c>
      <c r="C638" s="7" t="inlineStr">
        <is>
          <t>GOLD BOND</t>
        </is>
      </c>
      <c r="D638" s="7" t="n">
        <v>31964</v>
      </c>
      <c r="E638" s="7" t="inlineStr">
        <is>
          <t>GOLD BOND TAMARIND 25 DC ENV TBGS</t>
        </is>
      </c>
      <c r="F638" s="7" t="n">
        <v>24</v>
      </c>
      <c r="G638" s="7" t="inlineStr">
        <is>
          <t>CTN</t>
        </is>
      </c>
      <c r="H638" t="inlineStr">
        <is>
          <t>BLEND BLACK TEA WITH TAMARIND FLAVOUR</t>
        </is>
      </c>
    </row>
    <row r="639" ht="14.25" customHeight="1" s="5">
      <c r="A639" s="7" t="n">
        <v>37529</v>
      </c>
      <c r="B639" s="7" t="inlineStr">
        <is>
          <t>GREAT VALUE 20 VARIETY HERBAL TEA COLLECTIONS DC SF HS ENV TBGS</t>
        </is>
      </c>
      <c r="C639" s="7" t="inlineStr">
        <is>
          <t>GREAT VALUE</t>
        </is>
      </c>
      <c r="D639" s="7" t="n">
        <v>37532</v>
      </c>
      <c r="E639" s="7" t="inlineStr">
        <is>
          <t>GREAT VALUE LOOSE ENV CHAMOMILE DC SF HS ENV TBGS</t>
        </is>
      </c>
      <c r="F639" s="7" t="n">
        <v>5</v>
      </c>
      <c r="G639" s="7" t="inlineStr">
        <is>
          <t>ENV</t>
        </is>
      </c>
      <c r="H639" t="inlineStr">
        <is>
          <t>BLEND CHAMOMILE USA TB</t>
        </is>
      </c>
    </row>
    <row r="640" ht="14.25" customHeight="1" s="5">
      <c r="A640" s="7" t="n">
        <v>37529</v>
      </c>
      <c r="B640" s="7" t="inlineStr">
        <is>
          <t>GREAT VALUE 20 VARIETY HERBAL TEA COLLECTIONS DC SF HS ENV TBGS</t>
        </is>
      </c>
      <c r="C640" s="7" t="inlineStr">
        <is>
          <t>GREAT VALUE</t>
        </is>
      </c>
      <c r="D640" s="7" t="n">
        <v>37533</v>
      </c>
      <c r="E640" s="7" t="inlineStr">
        <is>
          <t>GREAT VALUE LOOSE ENV HIBISCUS DC SF HS ENV TBGS</t>
        </is>
      </c>
      <c r="F640" s="7" t="n">
        <v>5</v>
      </c>
      <c r="G640" s="7" t="inlineStr">
        <is>
          <t>ENV</t>
        </is>
      </c>
      <c r="H640" t="inlineStr">
        <is>
          <t>BLEND HIBISCUS BLEND WALMART USA TB</t>
        </is>
      </c>
    </row>
    <row r="641" ht="14.25" customHeight="1" s="5">
      <c r="A641" s="7" t="n">
        <v>37529</v>
      </c>
      <c r="B641" s="7" t="inlineStr">
        <is>
          <t>GREAT VALUE 20 VARIETY HERBAL TEA COLLECTIONS DC SF HS ENV TBGS</t>
        </is>
      </c>
      <c r="C641" s="7" t="inlineStr">
        <is>
          <t>GREAT VALUE</t>
        </is>
      </c>
      <c r="D641" s="7" t="n">
        <v>37534</v>
      </c>
      <c r="E641" s="7" t="inlineStr">
        <is>
          <t>GREAT VALUE LOOSE ENV LEMON GINGER DC SF HS ENV TBGS</t>
        </is>
      </c>
      <c r="F641" s="7" t="n">
        <v>5</v>
      </c>
      <c r="G641" s="7" t="inlineStr">
        <is>
          <t>ENV</t>
        </is>
      </c>
      <c r="H641" t="inlineStr">
        <is>
          <t>BLEND LEMON GINGER WALMART USA TB</t>
        </is>
      </c>
    </row>
    <row r="642" ht="14.25" customHeight="1" s="5">
      <c r="A642" s="7" t="n">
        <v>37529</v>
      </c>
      <c r="B642" s="7" t="inlineStr">
        <is>
          <t>GREAT VALUE 20 VARIETY HERBAL TEA COLLECTIONS DC SF HS ENV TBGS</t>
        </is>
      </c>
      <c r="C642" s="7" t="inlineStr">
        <is>
          <t>GREAT VALUE</t>
        </is>
      </c>
      <c r="D642" s="7" t="n">
        <v>37535</v>
      </c>
      <c r="E642" s="7" t="inlineStr">
        <is>
          <t>GREAT VALUE LOOSE ENV PEPPERMINT DC SF HS ENV TBGS</t>
        </is>
      </c>
      <c r="F642" s="7" t="n">
        <v>5</v>
      </c>
      <c r="G642" s="7" t="inlineStr">
        <is>
          <t>ENV</t>
        </is>
      </c>
      <c r="H642" t="inlineStr">
        <is>
          <t>BLEND PEPPERMINT USA TB</t>
        </is>
      </c>
    </row>
    <row r="643" ht="14.25" customHeight="1" s="5">
      <c r="A643" s="7" t="n">
        <v>37527</v>
      </c>
      <c r="B643" s="7" t="inlineStr">
        <is>
          <t>GREAT VALUE 4/20 VARIETY HERBAL TEA COLLECTIONS DC SF HS ENV TBGS</t>
        </is>
      </c>
      <c r="C643" s="7" t="inlineStr">
        <is>
          <t>GREAT VALUE</t>
        </is>
      </c>
      <c r="D643" s="7" t="n">
        <v>37529</v>
      </c>
      <c r="E643" s="7" t="inlineStr">
        <is>
          <t>GREAT VALUE 20 VARIETY HERBAL TEA COLLECTIONS DC SF HS ENV TBGS</t>
        </is>
      </c>
      <c r="F643" s="7" t="n">
        <v>4</v>
      </c>
      <c r="G643" s="7" t="inlineStr">
        <is>
          <t>CTN</t>
        </is>
      </c>
      <c r="H643">
        <f>#N/A</f>
        <v/>
      </c>
    </row>
    <row r="644" ht="14.25" customHeight="1" s="5">
      <c r="A644" s="7" t="n">
        <v>20656</v>
      </c>
      <c r="B644" s="7" t="inlineStr">
        <is>
          <t>GUEMILA 12/100 DC ENV TBGS</t>
        </is>
      </c>
      <c r="C644" s="7" t="inlineStr">
        <is>
          <t>GUEMILA</t>
        </is>
      </c>
      <c r="D644" s="7" t="n">
        <v>547</v>
      </c>
      <c r="E644" s="7" t="inlineStr">
        <is>
          <t>GUEMILA 100 DC ENV TBGS WITH SHOPPING BAG</t>
        </is>
      </c>
      <c r="F644" s="7" t="n">
        <v>12</v>
      </c>
      <c r="G644" s="7" t="inlineStr">
        <is>
          <t>CTN</t>
        </is>
      </c>
      <c r="H644" t="inlineStr">
        <is>
          <t>BLEND 786</t>
        </is>
      </c>
    </row>
    <row r="645" ht="14.25" customHeight="1" s="5">
      <c r="A645" s="7" t="n">
        <v>546</v>
      </c>
      <c r="B645" s="7" t="inlineStr">
        <is>
          <t>GUEMILA 12/100 DC ENV TBGS WITH SHOPPING BAG</t>
        </is>
      </c>
      <c r="C645" s="7" t="inlineStr">
        <is>
          <t>GUEMILA</t>
        </is>
      </c>
      <c r="D645" s="7" t="n">
        <v>547</v>
      </c>
      <c r="E645" s="7" t="inlineStr">
        <is>
          <t>GUEMILA 100 DC ENV TBGS WITH SHOPPING BAG</t>
        </is>
      </c>
      <c r="F645" s="7" t="n">
        <v>12</v>
      </c>
      <c r="G645" s="7" t="inlineStr">
        <is>
          <t>CTN</t>
        </is>
      </c>
      <c r="H645" t="inlineStr">
        <is>
          <t>BLEND 786</t>
        </is>
      </c>
    </row>
    <row r="646" ht="14.25" customHeight="1" s="5">
      <c r="A646" s="7" t="n">
        <v>553</v>
      </c>
      <c r="B646" s="7" t="inlineStr">
        <is>
          <t>GUEMILA 12/100 DC ENV TBGS WITH TSHIRT</t>
        </is>
      </c>
      <c r="C646" s="7" t="inlineStr">
        <is>
          <t>GUEMILA</t>
        </is>
      </c>
      <c r="D646" s="7" t="n">
        <v>547</v>
      </c>
      <c r="E646" s="7" t="inlineStr">
        <is>
          <t>GUEMILA 100 DC ENV TBGS WITH SHOPPING BAG</t>
        </is>
      </c>
      <c r="F646" s="7" t="n">
        <v>12</v>
      </c>
      <c r="G646" s="7" t="inlineStr">
        <is>
          <t>CTN</t>
        </is>
      </c>
      <c r="H646" t="inlineStr">
        <is>
          <t>BLEND 786</t>
        </is>
      </c>
    </row>
    <row r="647" ht="14.25" customHeight="1" s="5">
      <c r="A647" s="7" t="n">
        <v>20741</v>
      </c>
      <c r="B647" s="7" t="inlineStr">
        <is>
          <t>GUEMILA 24/50 DC ENV TBGS</t>
        </is>
      </c>
      <c r="C647" s="7" t="inlineStr">
        <is>
          <t>GUEMILA</t>
        </is>
      </c>
      <c r="D647" s="7" t="n">
        <v>20742</v>
      </c>
      <c r="E647" s="7" t="inlineStr">
        <is>
          <t>GUEMILA 50 DC ENV TBGS</t>
        </is>
      </c>
      <c r="F647" s="7" t="n">
        <v>24</v>
      </c>
      <c r="G647" s="7" t="inlineStr">
        <is>
          <t>CTN</t>
        </is>
      </c>
      <c r="H647" t="inlineStr">
        <is>
          <t>BLEND 786</t>
        </is>
      </c>
    </row>
    <row r="648" ht="14.25" customHeight="1" s="5">
      <c r="A648" s="7" t="n">
        <v>23256</v>
      </c>
      <c r="B648" s="7" t="inlineStr">
        <is>
          <t>GUEMILA GINGER 24/25 DC ENV TBGS</t>
        </is>
      </c>
      <c r="C648" s="7" t="inlineStr">
        <is>
          <t>GUEMILA</t>
        </is>
      </c>
      <c r="D648" s="7" t="n">
        <v>23409</v>
      </c>
      <c r="E648" s="7" t="inlineStr">
        <is>
          <t>GUEMILA GINGER 25 DC ENV TBGS</t>
        </is>
      </c>
      <c r="F648" s="7" t="n">
        <v>24</v>
      </c>
      <c r="G648" s="7" t="inlineStr">
        <is>
          <t>CTN</t>
        </is>
      </c>
      <c r="H648" t="inlineStr">
        <is>
          <t>BLEND AF BLACK TEA  GINGER TBGS</t>
        </is>
      </c>
    </row>
    <row r="649" ht="14.25" customHeight="1" s="5">
      <c r="A649" s="7" t="n">
        <v>23255</v>
      </c>
      <c r="B649" s="7" t="inlineStr">
        <is>
          <t>GUEMILA MINT 24/25 DC ENV TBGS</t>
        </is>
      </c>
      <c r="C649" s="7" t="inlineStr">
        <is>
          <t>GUEMILA</t>
        </is>
      </c>
      <c r="D649" s="7" t="n">
        <v>23410</v>
      </c>
      <c r="E649" s="7" t="inlineStr">
        <is>
          <t>GUEMILA MINT 25 DC ENV TBGS</t>
        </is>
      </c>
      <c r="F649" s="7" t="n">
        <v>24</v>
      </c>
      <c r="G649" s="7" t="inlineStr">
        <is>
          <t>CTN</t>
        </is>
      </c>
      <c r="H649" t="inlineStr">
        <is>
          <t>BLEND AF BLACK TEA MINT TBGS</t>
        </is>
      </c>
    </row>
    <row r="650" ht="14.25" customHeight="1" s="5">
      <c r="A650" s="7" t="n">
        <v>23257</v>
      </c>
      <c r="B650" s="7" t="inlineStr">
        <is>
          <t>GUEMILA ORANGE 24/25 DC ENV TBGS</t>
        </is>
      </c>
      <c r="C650" s="7" t="inlineStr">
        <is>
          <t>GUEMILA</t>
        </is>
      </c>
      <c r="D650" s="7" t="n">
        <v>23411</v>
      </c>
      <c r="E650" s="7" t="inlineStr">
        <is>
          <t>GUEMILA ORANGE 25 DC ENV TBGS</t>
        </is>
      </c>
      <c r="F650" s="7" t="n">
        <v>24</v>
      </c>
      <c r="G650" s="7" t="inlineStr">
        <is>
          <t>CTN</t>
        </is>
      </c>
      <c r="H650" t="inlineStr">
        <is>
          <t>BLEND AX-BLACK ORANGE TB</t>
        </is>
      </c>
    </row>
    <row r="651" ht="14.25" customHeight="1" s="5">
      <c r="A651" s="7" t="n">
        <v>23254</v>
      </c>
      <c r="B651" s="7" t="inlineStr">
        <is>
          <t>GUEMILA STRAWBERRY 24/25 DC ENV TBGS</t>
        </is>
      </c>
      <c r="C651" s="7" t="inlineStr">
        <is>
          <t>GUEMILA</t>
        </is>
      </c>
      <c r="D651" s="7" t="n">
        <v>23412</v>
      </c>
      <c r="E651" s="7" t="inlineStr">
        <is>
          <t>GUEMILA STRAWBERRY 25 DC ENV TBGS</t>
        </is>
      </c>
      <c r="F651" s="7" t="n">
        <v>24</v>
      </c>
      <c r="G651" s="7" t="inlineStr">
        <is>
          <t>CTN</t>
        </is>
      </c>
      <c r="H651" t="inlineStr">
        <is>
          <t>BLEND STRAWBERRY TB</t>
        </is>
      </c>
    </row>
    <row r="652" ht="14.25" customHeight="1" s="5">
      <c r="A652" s="7" t="n">
        <v>23258</v>
      </c>
      <c r="B652" s="7" t="inlineStr">
        <is>
          <t>GUEMILA TAMARIND 24/25 DC ENV TBGS</t>
        </is>
      </c>
      <c r="C652" s="7" t="inlineStr">
        <is>
          <t>GUEMILA</t>
        </is>
      </c>
      <c r="D652" s="7" t="n">
        <v>23413</v>
      </c>
      <c r="E652" s="7" t="inlineStr">
        <is>
          <t>GUEMILA TAMARIND 25 DC ENV TBGS</t>
        </is>
      </c>
      <c r="F652" s="7" t="n">
        <v>24</v>
      </c>
      <c r="G652" s="7" t="inlineStr">
        <is>
          <t>CTN</t>
        </is>
      </c>
      <c r="H652" t="inlineStr">
        <is>
          <t>BLEND BLACK TEA WITH TAMARIND FLAVOUR</t>
        </is>
      </c>
    </row>
    <row r="653" ht="14.25" customHeight="1" s="5">
      <c r="A653" s="7" t="n">
        <v>21193</v>
      </c>
      <c r="B653" s="7" t="inlineStr">
        <is>
          <t>GV 12/100 DC TAG TBGS</t>
        </is>
      </c>
      <c r="C653" s="7" t="inlineStr">
        <is>
          <t>GV</t>
        </is>
      </c>
      <c r="D653" s="7" t="n">
        <v>19024</v>
      </c>
      <c r="E653" s="7" t="inlineStr">
        <is>
          <t>GV 100 DC TAG TBGS (AR)</t>
        </is>
      </c>
      <c r="F653" s="7" t="n">
        <v>12</v>
      </c>
      <c r="G653" s="7" t="inlineStr">
        <is>
          <t>CTN</t>
        </is>
      </c>
      <c r="H653" t="inlineStr">
        <is>
          <t>BLEND A33</t>
        </is>
      </c>
    </row>
    <row r="654" ht="14.25" customHeight="1" s="5">
      <c r="A654" s="7" t="n">
        <v>18550</v>
      </c>
      <c r="B654" s="7" t="inlineStr">
        <is>
          <t>GV 12/100 DC TAG TBGS (AF)</t>
        </is>
      </c>
      <c r="C654" s="7" t="inlineStr">
        <is>
          <t>GV</t>
        </is>
      </c>
      <c r="D654" s="7" t="n">
        <v>19024</v>
      </c>
      <c r="E654" s="7" t="inlineStr">
        <is>
          <t>GV 100 DC TAG TBGS (AR)</t>
        </is>
      </c>
      <c r="F654" s="7" t="n">
        <v>12</v>
      </c>
      <c r="G654" s="7" t="inlineStr">
        <is>
          <t>CTN</t>
        </is>
      </c>
      <c r="H654" t="inlineStr">
        <is>
          <t>BLEND A33</t>
        </is>
      </c>
    </row>
    <row r="655" ht="14.25" customHeight="1" s="5">
      <c r="A655" s="7" t="n">
        <v>18553</v>
      </c>
      <c r="B655" s="7" t="inlineStr">
        <is>
          <t>GV 12/100 DC TAG TBGS (AR)</t>
        </is>
      </c>
      <c r="C655" s="7" t="inlineStr">
        <is>
          <t>GV</t>
        </is>
      </c>
      <c r="D655" s="7" t="n">
        <v>19024</v>
      </c>
      <c r="E655" s="7" t="inlineStr">
        <is>
          <t>GV 100 DC TAG TBGS (AR)</t>
        </is>
      </c>
      <c r="F655" s="7" t="n">
        <v>12</v>
      </c>
      <c r="G655" s="7" t="inlineStr">
        <is>
          <t>CTN</t>
        </is>
      </c>
      <c r="H655" t="inlineStr">
        <is>
          <t>BLEND A33</t>
        </is>
      </c>
    </row>
    <row r="656" ht="14.25" customHeight="1" s="5">
      <c r="A656" s="7" t="n">
        <v>35721</v>
      </c>
      <c r="B656" s="7" t="inlineStr">
        <is>
          <t>GV 18/100 DC TAG TBGS (MOLDOVA)</t>
        </is>
      </c>
      <c r="C656" s="7" t="inlineStr">
        <is>
          <t>GV</t>
        </is>
      </c>
      <c r="D656" s="7" t="n">
        <v>35854</v>
      </c>
      <c r="E656" s="7" t="inlineStr">
        <is>
          <t>GV 100 DC TAG TBGS (MOLDOVA)</t>
        </is>
      </c>
      <c r="F656" s="7" t="n">
        <v>18</v>
      </c>
      <c r="G656" s="7" t="inlineStr">
        <is>
          <t>CTN</t>
        </is>
      </c>
      <c r="H656" t="inlineStr">
        <is>
          <t>BLEND C 33</t>
        </is>
      </c>
    </row>
    <row r="657" ht="14.25" customHeight="1" s="5">
      <c r="A657" s="7" t="n">
        <v>35716</v>
      </c>
      <c r="B657" s="7" t="inlineStr">
        <is>
          <t>GV 18/25 DC TAG TBGS (MOLDOVA)</t>
        </is>
      </c>
      <c r="C657" s="7" t="inlineStr">
        <is>
          <t>GV</t>
        </is>
      </c>
      <c r="D657" s="7" t="n">
        <v>35850</v>
      </c>
      <c r="E657" s="7" t="inlineStr">
        <is>
          <t>GV 25 DC TAG TBGS (MOLDOVA)</t>
        </is>
      </c>
      <c r="F657" s="7" t="n">
        <v>18</v>
      </c>
      <c r="G657" s="7" t="inlineStr">
        <is>
          <t>CTN</t>
        </is>
      </c>
      <c r="H657" t="inlineStr">
        <is>
          <t>BLEND C 33</t>
        </is>
      </c>
    </row>
    <row r="658" ht="14.25" customHeight="1" s="5">
      <c r="A658" s="7" t="n">
        <v>18551</v>
      </c>
      <c r="B658" s="7" t="inlineStr">
        <is>
          <t>GV 24/50 DC TAG TBGS</t>
        </is>
      </c>
      <c r="C658" s="7" t="inlineStr">
        <is>
          <t>GV</t>
        </is>
      </c>
      <c r="D658" s="7" t="n">
        <v>19811</v>
      </c>
      <c r="E658" s="7" t="inlineStr">
        <is>
          <t>GV 50 DC TAG TBGS (AR)</t>
        </is>
      </c>
      <c r="F658" s="7" t="n">
        <v>24</v>
      </c>
      <c r="G658" s="7" t="inlineStr">
        <is>
          <t>CTN</t>
        </is>
      </c>
      <c r="H658" t="inlineStr">
        <is>
          <t>BLEND A33</t>
        </is>
      </c>
    </row>
    <row r="659" ht="14.25" customHeight="1" s="5">
      <c r="A659" s="7" t="n">
        <v>19808</v>
      </c>
      <c r="B659" s="7" t="inlineStr">
        <is>
          <t>GV 24/50 DC TAG TBGS (AR)</t>
        </is>
      </c>
      <c r="C659" s="7" t="inlineStr">
        <is>
          <t>GV</t>
        </is>
      </c>
      <c r="D659" s="7" t="n">
        <v>19811</v>
      </c>
      <c r="E659" s="7" t="inlineStr">
        <is>
          <t>GV 50 DC TAG TBGS (AR)</t>
        </is>
      </c>
      <c r="F659" s="7" t="n">
        <v>24</v>
      </c>
      <c r="G659" s="7" t="inlineStr">
        <is>
          <t>CTN</t>
        </is>
      </c>
      <c r="H659" t="inlineStr">
        <is>
          <t>BLEND A33</t>
        </is>
      </c>
    </row>
    <row r="660" ht="14.25" customHeight="1" s="5">
      <c r="A660" s="7" t="n">
        <v>19812</v>
      </c>
      <c r="B660" s="7" t="inlineStr">
        <is>
          <t>GV 48/25 DC TAG TBGS (AR)</t>
        </is>
      </c>
      <c r="C660" s="7" t="inlineStr">
        <is>
          <t>GV</t>
        </is>
      </c>
      <c r="D660" s="7" t="n">
        <v>19815</v>
      </c>
      <c r="E660" s="7" t="inlineStr">
        <is>
          <t>GV 25 DC TAG TBGS (AR)</t>
        </is>
      </c>
      <c r="F660" s="7" t="n">
        <v>48</v>
      </c>
      <c r="G660" s="7" t="inlineStr">
        <is>
          <t>CTN</t>
        </is>
      </c>
      <c r="H660" t="inlineStr">
        <is>
          <t>BLEND A33</t>
        </is>
      </c>
    </row>
    <row r="661" ht="14.25" customHeight="1" s="5">
      <c r="A661" s="7" t="n">
        <v>18552</v>
      </c>
      <c r="B661" s="7" t="inlineStr">
        <is>
          <t>GV 48/25 DC TAG TBGS (INNER PCH)</t>
        </is>
      </c>
      <c r="C661" s="7" t="inlineStr">
        <is>
          <t>GV</t>
        </is>
      </c>
      <c r="D661" s="7" t="n">
        <v>18947</v>
      </c>
      <c r="E661" s="7" t="inlineStr">
        <is>
          <t>GV 25 DC TAG TBGS (INNER PCH)</t>
        </is>
      </c>
      <c r="F661" s="7" t="n">
        <v>48</v>
      </c>
      <c r="G661" s="7" t="inlineStr">
        <is>
          <t>CTN</t>
        </is>
      </c>
      <c r="H661" t="inlineStr">
        <is>
          <t>BLEND A33</t>
        </is>
      </c>
    </row>
    <row r="662" ht="14.25" customHeight="1" s="5">
      <c r="A662" s="7" t="n">
        <v>17803</v>
      </c>
      <c r="B662" s="7" t="inlineStr">
        <is>
          <t>GV BERRY DELIGHT 12/25 DC SF HS ENV TBGS</t>
        </is>
      </c>
      <c r="C662" s="7" t="inlineStr">
        <is>
          <t>GV</t>
        </is>
      </c>
      <c r="D662" s="7" t="n">
        <v>1831</v>
      </c>
      <c r="E662" s="7" t="inlineStr">
        <is>
          <t>GV BERRY DELIGHT 25 DC SF HS ENV TBGS</t>
        </is>
      </c>
      <c r="F662" s="7" t="n">
        <v>12</v>
      </c>
      <c r="G662" s="7" t="inlineStr">
        <is>
          <t>CTN</t>
        </is>
      </c>
      <c r="H662" t="inlineStr">
        <is>
          <t>BLEND BLACK TEA FOREST FRUIT TB</t>
        </is>
      </c>
    </row>
    <row r="663" ht="14.25" customHeight="1" s="5">
      <c r="A663" s="7" t="n">
        <v>35348</v>
      </c>
      <c r="B663" s="7" t="inlineStr">
        <is>
          <t>GV BERRY DELIGHT 12/25 DC SF HS ENV TBGS (AF)</t>
        </is>
      </c>
      <c r="C663" s="7" t="inlineStr">
        <is>
          <t>GV</t>
        </is>
      </c>
      <c r="D663" s="7" t="n">
        <v>35319</v>
      </c>
      <c r="E663" s="7" t="inlineStr">
        <is>
          <t>GV BERRY DELIGHT 25 DC SF HS ENV TBGS (AF)</t>
        </is>
      </c>
      <c r="F663" s="7" t="n">
        <v>12</v>
      </c>
      <c r="G663" s="7" t="inlineStr">
        <is>
          <t>CTN</t>
        </is>
      </c>
      <c r="H663" t="inlineStr">
        <is>
          <t>BLEND BLACK TEA FOREST FRUIT TB</t>
        </is>
      </c>
    </row>
    <row r="664" ht="14.25" customHeight="1" s="5">
      <c r="A664" s="7" t="n">
        <v>33821</v>
      </c>
      <c r="B664" s="7" t="inlineStr">
        <is>
          <t>GV BERRY DELIGHT 12/25 DC SF HS ENV TBGS (F-ENV)</t>
        </is>
      </c>
      <c r="C664" s="7" t="inlineStr">
        <is>
          <t>GV</t>
        </is>
      </c>
      <c r="D664" s="7" t="n">
        <v>33835</v>
      </c>
      <c r="E664" s="7" t="inlineStr">
        <is>
          <t>GV BERRY DELIGHT 25 DC SF HS ENV TBGS (F-ENV)</t>
        </is>
      </c>
      <c r="F664" s="7" t="n">
        <v>12</v>
      </c>
      <c r="G664" s="7" t="inlineStr">
        <is>
          <t>CTN</t>
        </is>
      </c>
      <c r="H664" t="inlineStr">
        <is>
          <t>BLEND BLACK TEA FOREST FRUIT TB</t>
        </is>
      </c>
    </row>
    <row r="665" ht="14.25" customHeight="1" s="5">
      <c r="A665" s="7" t="n">
        <v>35706</v>
      </c>
      <c r="B665" s="7" t="inlineStr">
        <is>
          <t>GV BERRY DELIGHT 12/25 DC SF HS ENV TBGS (MOLDOVA)</t>
        </is>
      </c>
      <c r="C665" s="7" t="inlineStr">
        <is>
          <t>GV</t>
        </is>
      </c>
      <c r="D665" s="7" t="n">
        <v>35801</v>
      </c>
      <c r="E665" s="7" t="inlineStr">
        <is>
          <t>GV BERRY DELIGHT 25 DC SF HS ENV TBGS (MOLDOVA)</t>
        </is>
      </c>
      <c r="F665" s="7" t="n">
        <v>12</v>
      </c>
      <c r="G665" s="7" t="inlineStr">
        <is>
          <t>CTN</t>
        </is>
      </c>
      <c r="H665" t="inlineStr">
        <is>
          <t>BLEND BLACK TEA FOREST FRUIT TB</t>
        </is>
      </c>
    </row>
    <row r="666" ht="14.25" customHeight="1" s="5">
      <c r="A666" s="7" t="n">
        <v>1826</v>
      </c>
      <c r="B666" s="7" t="inlineStr">
        <is>
          <t>GV BERRY DELIGHT 24/100 LOOSE SF HS ENV TBGS</t>
        </is>
      </c>
      <c r="C666" s="7" t="inlineStr">
        <is>
          <t>GV</t>
        </is>
      </c>
      <c r="D666" s="7" t="n">
        <v>1829</v>
      </c>
      <c r="E666" s="7" t="inlineStr">
        <is>
          <t>GV LOOSE TBGS BERRY DELIGHT DC SF HS ENV TBGS</t>
        </is>
      </c>
      <c r="F666" s="7" t="n">
        <v>2400</v>
      </c>
      <c r="G666" s="7" t="inlineStr">
        <is>
          <t>TBGS</t>
        </is>
      </c>
      <c r="H666">
        <f>#N/A</f>
        <v/>
      </c>
    </row>
    <row r="667" ht="14.25" customHeight="1" s="5">
      <c r="A667" s="7" t="n">
        <v>1830</v>
      </c>
      <c r="B667" s="7" t="inlineStr">
        <is>
          <t>GV BERRY DELIGHT 24/25 DC SF HS ENV TBGS</t>
        </is>
      </c>
      <c r="C667" s="7" t="inlineStr">
        <is>
          <t>GV</t>
        </is>
      </c>
      <c r="D667" s="7" t="n">
        <v>1831</v>
      </c>
      <c r="E667" s="7" t="inlineStr">
        <is>
          <t>GV BERRY DELIGHT 25 DC SF HS ENV TBGS</t>
        </is>
      </c>
      <c r="F667" s="7" t="n">
        <v>24</v>
      </c>
      <c r="G667" s="7" t="inlineStr">
        <is>
          <t>CTN</t>
        </is>
      </c>
      <c r="H667" t="inlineStr">
        <is>
          <t>BLEND BLACK TEA FOREST FRUIT TB</t>
        </is>
      </c>
    </row>
    <row r="668" ht="14.25" customHeight="1" s="5">
      <c r="A668" s="7" t="n">
        <v>19864</v>
      </c>
      <c r="B668" s="7" t="inlineStr">
        <is>
          <t>GV BLOOD PRESSURE 24/25 DC ENV TBGS (AR)</t>
        </is>
      </c>
      <c r="C668" s="7" t="inlineStr">
        <is>
          <t>GV</t>
        </is>
      </c>
      <c r="D668" s="7" t="n">
        <v>19866</v>
      </c>
      <c r="E668" s="7" t="inlineStr">
        <is>
          <t>GV BLOOD PRESSURE 25 DC ENV TBGS (AR)</t>
        </is>
      </c>
      <c r="F668" s="7" t="n">
        <v>24</v>
      </c>
      <c r="G668" s="7" t="inlineStr">
        <is>
          <t>CTN</t>
        </is>
      </c>
      <c r="H668" t="inlineStr">
        <is>
          <t>BLEND HERBAL BLOOD PRESSURE TBC</t>
        </is>
      </c>
    </row>
    <row r="669" ht="14.25" customHeight="1" s="5">
      <c r="A669" s="7" t="n">
        <v>20366</v>
      </c>
      <c r="B669" s="7" t="inlineStr">
        <is>
          <t>GV CARDAMOM 12/400 GMS PKT TEA</t>
        </is>
      </c>
      <c r="C669" s="7" t="inlineStr">
        <is>
          <t>GV</t>
        </is>
      </c>
      <c r="D669" s="7" t="n">
        <v>20561</v>
      </c>
      <c r="E669" s="7" t="inlineStr">
        <is>
          <t>GV CARDAMOM 400 GMS PKT TEA</t>
        </is>
      </c>
      <c r="F669" s="7" t="n">
        <v>12</v>
      </c>
      <c r="G669" s="7" t="inlineStr">
        <is>
          <t>CTN</t>
        </is>
      </c>
      <c r="H669" t="inlineStr">
        <is>
          <t>BLEND BLACK TEA CARDAMOM CC VIC</t>
        </is>
      </c>
    </row>
    <row r="670" ht="14.25" customHeight="1" s="5">
      <c r="A670" s="7" t="n">
        <v>20365</v>
      </c>
      <c r="B670" s="7" t="inlineStr">
        <is>
          <t>GV CARDAMOM 24/200 GMS POUCH</t>
        </is>
      </c>
      <c r="C670" s="7" t="inlineStr">
        <is>
          <t>GV</t>
        </is>
      </c>
      <c r="D670" s="7" t="n">
        <v>20565</v>
      </c>
      <c r="E670" s="7" t="inlineStr">
        <is>
          <t>GV CARDAMOM 200 GMS POUCH</t>
        </is>
      </c>
      <c r="F670" s="7" t="n">
        <v>24</v>
      </c>
      <c r="G670" s="7" t="inlineStr">
        <is>
          <t>PKT</t>
        </is>
      </c>
      <c r="H670" t="inlineStr">
        <is>
          <t>BLEND BLACK TEA CARDAMOM CC VIC</t>
        </is>
      </c>
    </row>
    <row r="671" ht="14.25" customHeight="1" s="5">
      <c r="A671" s="7" t="n">
        <v>19835</v>
      </c>
      <c r="B671" s="7" t="inlineStr">
        <is>
          <t>GV CHAMOMILE 24/25 DC ENV TBGS</t>
        </is>
      </c>
      <c r="C671" s="7" t="inlineStr">
        <is>
          <t>GV</t>
        </is>
      </c>
      <c r="D671" s="7" t="n">
        <v>19837</v>
      </c>
      <c r="E671" s="7" t="inlineStr">
        <is>
          <t>GV CHAMOMILE 25 DC ENV TBGS</t>
        </is>
      </c>
      <c r="F671" s="7" t="n">
        <v>24</v>
      </c>
      <c r="G671" s="7" t="inlineStr">
        <is>
          <t>CTN</t>
        </is>
      </c>
      <c r="H671" t="inlineStr">
        <is>
          <t>BLEND CHAMOMILE</t>
        </is>
      </c>
    </row>
    <row r="672" ht="14.25" customHeight="1" s="5">
      <c r="A672" s="7" t="n">
        <v>18555</v>
      </c>
      <c r="B672" s="7" t="inlineStr">
        <is>
          <t>GV CHAMOMILE 24/25 SC ENV TBGS</t>
        </is>
      </c>
      <c r="C672" s="7" t="inlineStr">
        <is>
          <t>GV</t>
        </is>
      </c>
      <c r="D672" s="7" t="n">
        <v>18944</v>
      </c>
      <c r="E672" s="7" t="inlineStr">
        <is>
          <t>GV CHAMOMILE 25 SC ENV TBGS</t>
        </is>
      </c>
      <c r="F672" s="7" t="n">
        <v>24</v>
      </c>
      <c r="G672" s="7" t="inlineStr">
        <is>
          <t>CTN</t>
        </is>
      </c>
      <c r="H672">
        <f>#N/A</f>
        <v/>
      </c>
    </row>
    <row r="673" ht="14.25" customHeight="1" s="5">
      <c r="A673" s="7" t="n">
        <v>22503</v>
      </c>
      <c r="B673" s="7" t="inlineStr">
        <is>
          <t>GV CINNAMON 24/25 DC ENV TBGS</t>
        </is>
      </c>
      <c r="C673" s="7" t="inlineStr">
        <is>
          <t>GV</t>
        </is>
      </c>
      <c r="D673" s="7" t="n">
        <v>21853</v>
      </c>
      <c r="E673" s="7" t="inlineStr">
        <is>
          <t>GV CINNAMON 25 DC ENV TBGS</t>
        </is>
      </c>
      <c r="F673" s="7" t="n">
        <v>24</v>
      </c>
      <c r="G673" s="7" t="inlineStr">
        <is>
          <t>CTN</t>
        </is>
      </c>
      <c r="H673" t="inlineStr">
        <is>
          <t>BLEND BLACK TEA CINNAMON SPICE TBC - AF</t>
        </is>
      </c>
    </row>
    <row r="674" ht="14.25" customHeight="1" s="5">
      <c r="A674" s="7" t="n">
        <v>21811</v>
      </c>
      <c r="B674" s="7" t="inlineStr">
        <is>
          <t>GV CINNAMON 24/25 DC ENV TBGS WITH TSHIRT</t>
        </is>
      </c>
      <c r="C674" s="7" t="inlineStr">
        <is>
          <t>GV</t>
        </is>
      </c>
      <c r="D674" s="7" t="n">
        <v>22503</v>
      </c>
      <c r="E674" s="7" t="inlineStr">
        <is>
          <t>GV CINNAMON 24/25 DC ENV TBGS</t>
        </is>
      </c>
      <c r="F674" s="7" t="n">
        <v>1</v>
      </c>
      <c r="G674" s="7" t="inlineStr">
        <is>
          <t>CFC</t>
        </is>
      </c>
      <c r="H674">
        <f>#N/A</f>
        <v/>
      </c>
    </row>
    <row r="675" ht="14.25" customHeight="1" s="5">
      <c r="A675" s="7" t="n">
        <v>21811</v>
      </c>
      <c r="B675" s="7" t="inlineStr">
        <is>
          <t>GV CINNAMON 24/25 DC ENV TBGS WITH TSHIRT</t>
        </is>
      </c>
      <c r="C675" s="7" t="inlineStr">
        <is>
          <t>GV</t>
        </is>
      </c>
      <c r="D675" s="7" t="n">
        <v>21853</v>
      </c>
      <c r="E675" s="7" t="inlineStr">
        <is>
          <t>GV CINNAMON 25 DC ENV TBGS</t>
        </is>
      </c>
      <c r="F675" s="7" t="n">
        <v>24</v>
      </c>
      <c r="G675" s="7" t="inlineStr">
        <is>
          <t>CTN</t>
        </is>
      </c>
      <c r="H675" t="inlineStr">
        <is>
          <t>BLEND BLACK TEA CINNAMON SPICE TBC - AF</t>
        </is>
      </c>
    </row>
    <row r="676" ht="14.25" customHeight="1" s="5">
      <c r="A676" s="7" t="n">
        <v>31222</v>
      </c>
      <c r="B676" s="7" t="inlineStr">
        <is>
          <t>GV CINNAMON 48/25 DC ENV TBGS</t>
        </is>
      </c>
      <c r="C676" s="7" t="inlineStr">
        <is>
          <t>GV</t>
        </is>
      </c>
      <c r="D676" s="7" t="n">
        <v>21853</v>
      </c>
      <c r="E676" s="7" t="inlineStr">
        <is>
          <t>GV CINNAMON 25 DC ENV TBGS</t>
        </is>
      </c>
      <c r="F676" s="7" t="n">
        <v>48</v>
      </c>
      <c r="G676" s="7" t="inlineStr">
        <is>
          <t>CTN</t>
        </is>
      </c>
      <c r="H676" t="inlineStr">
        <is>
          <t>BLEND BLACK TEA CINNAMON SPICE TBC - AF</t>
        </is>
      </c>
    </row>
    <row r="677" ht="14.25" customHeight="1" s="5">
      <c r="A677" s="7" t="n">
        <v>32985</v>
      </c>
      <c r="B677" s="7" t="inlineStr">
        <is>
          <t>GV CLASSIC EARL GREY 18/25 DC TAG TBGS</t>
        </is>
      </c>
      <c r="C677" s="7" t="inlineStr">
        <is>
          <t>GV</t>
        </is>
      </c>
      <c r="D677" s="7" t="n">
        <v>32077</v>
      </c>
      <c r="E677" s="7" t="inlineStr">
        <is>
          <t>GV CLASSIC EARL GREY 25 DC TAG TBGS</t>
        </is>
      </c>
      <c r="F677" s="7" t="n">
        <v>18</v>
      </c>
      <c r="G677" s="7" t="inlineStr">
        <is>
          <t>CTN</t>
        </is>
      </c>
      <c r="H677" t="inlineStr">
        <is>
          <t>BLEND EARL GREY TB - RUS</t>
        </is>
      </c>
    </row>
    <row r="678" ht="14.25" customHeight="1" s="5">
      <c r="A678" s="7" t="n">
        <v>32073</v>
      </c>
      <c r="B678" s="7" t="inlineStr">
        <is>
          <t>GV CLASSIC EARL GREY 72/25 DC TAG TBGS</t>
        </is>
      </c>
      <c r="C678" s="7" t="inlineStr">
        <is>
          <t>GV</t>
        </is>
      </c>
      <c r="D678" s="7" t="n">
        <v>32077</v>
      </c>
      <c r="E678" s="7" t="inlineStr">
        <is>
          <t>GV CLASSIC EARL GREY 25 DC TAG TBGS</t>
        </is>
      </c>
      <c r="F678" s="7" t="n">
        <v>72</v>
      </c>
      <c r="G678" s="7" t="inlineStr">
        <is>
          <t>CTN</t>
        </is>
      </c>
      <c r="H678" t="inlineStr">
        <is>
          <t>BLEND EARL GREY TB - RUS</t>
        </is>
      </c>
    </row>
    <row r="679" ht="14.25" customHeight="1" s="5">
      <c r="A679" s="7" t="n">
        <v>1838</v>
      </c>
      <c r="B679" s="7" t="inlineStr">
        <is>
          <t>GV CLASSIC EARL GREY POUCH 24/100 DC HS TBGS</t>
        </is>
      </c>
      <c r="C679" s="7" t="inlineStr">
        <is>
          <t>GV</t>
        </is>
      </c>
      <c r="D679" s="7" t="n">
        <v>1839</v>
      </c>
      <c r="E679" s="7" t="inlineStr">
        <is>
          <t>GV LOOSE TBGS CLASSIC EARL GREY IMA HS TBGS</t>
        </is>
      </c>
      <c r="F679" s="7" t="n">
        <v>2400</v>
      </c>
      <c r="G679" s="7" t="inlineStr">
        <is>
          <t>TBGS</t>
        </is>
      </c>
      <c r="H679">
        <f>#N/A</f>
        <v/>
      </c>
    </row>
    <row r="680" ht="14.25" customHeight="1" s="5">
      <c r="A680" s="7" t="n">
        <v>1840</v>
      </c>
      <c r="B680" s="7" t="inlineStr">
        <is>
          <t>GV CLASSIC ENGLISH POUCH 24/100 DC HS ENV TBGS</t>
        </is>
      </c>
      <c r="C680" s="7" t="inlineStr">
        <is>
          <t>GV</t>
        </is>
      </c>
      <c r="D680" s="7" t="n">
        <v>1841</v>
      </c>
      <c r="E680" s="7" t="inlineStr">
        <is>
          <t>GV LOOSE TBGS CLASSIC ENGLISH IMA HS TBGS</t>
        </is>
      </c>
      <c r="F680" s="7" t="n">
        <v>2400</v>
      </c>
      <c r="G680" s="7" t="inlineStr">
        <is>
          <t>TBGS</t>
        </is>
      </c>
      <c r="H680" t="inlineStr">
        <is>
          <t>BLEND 7099</t>
        </is>
      </c>
    </row>
    <row r="681" ht="14.25" customHeight="1" s="5">
      <c r="A681" s="7" t="n">
        <v>1842</v>
      </c>
      <c r="B681" s="7" t="inlineStr">
        <is>
          <t>GV CLASSIC GREEN POUCH 24/100 DC HS TBGS</t>
        </is>
      </c>
      <c r="C681" s="7" t="inlineStr">
        <is>
          <t>GV</t>
        </is>
      </c>
      <c r="D681" s="7" t="n">
        <v>1843</v>
      </c>
      <c r="E681" s="7" t="inlineStr">
        <is>
          <t>GV LOOSE TBGS CLASSIC GREEN IMA HS TBGS</t>
        </is>
      </c>
      <c r="F681" s="7" t="n">
        <v>2400</v>
      </c>
      <c r="G681" s="7" t="inlineStr">
        <is>
          <t>TBGS</t>
        </is>
      </c>
      <c r="H681">
        <f>#N/A</f>
        <v/>
      </c>
    </row>
    <row r="682" ht="14.25" customHeight="1" s="5">
      <c r="A682" s="7" t="n">
        <v>21586</v>
      </c>
      <c r="B682" s="7" t="inlineStr">
        <is>
          <t>GV CLOVE 24/25 DC ENV TBGS</t>
        </is>
      </c>
      <c r="C682" s="7" t="inlineStr">
        <is>
          <t>GV</t>
        </is>
      </c>
      <c r="D682" s="7" t="n">
        <v>21592</v>
      </c>
      <c r="E682" s="7" t="inlineStr">
        <is>
          <t>GV CLOVE 25 DC ENV TBGS</t>
        </is>
      </c>
      <c r="F682" s="7" t="n">
        <v>24</v>
      </c>
      <c r="G682" s="7" t="inlineStr">
        <is>
          <t>CTN</t>
        </is>
      </c>
      <c r="H682" t="inlineStr">
        <is>
          <t>BLEND BLACK TEA CLOVE TBC</t>
        </is>
      </c>
    </row>
    <row r="683" ht="14.25" customHeight="1" s="5">
      <c r="A683" s="7" t="n">
        <v>21810</v>
      </c>
      <c r="B683" s="7" t="inlineStr">
        <is>
          <t>GV CLOVE 24/25 DC ENV TBGS WITH TSHIRT</t>
        </is>
      </c>
      <c r="C683" s="7" t="inlineStr">
        <is>
          <t>GV</t>
        </is>
      </c>
      <c r="D683" s="7" t="n">
        <v>21592</v>
      </c>
      <c r="E683" s="7" t="inlineStr">
        <is>
          <t>GV CLOVE 25 DC ENV TBGS</t>
        </is>
      </c>
      <c r="F683" s="7" t="n">
        <v>24</v>
      </c>
      <c r="G683" s="7" t="inlineStr">
        <is>
          <t>CTN</t>
        </is>
      </c>
      <c r="H683" t="inlineStr">
        <is>
          <t>BLEND BLACK TEA CLOVE TBC</t>
        </is>
      </c>
    </row>
    <row r="684" ht="14.25" customHeight="1" s="5">
      <c r="A684" s="7" t="n">
        <v>36529</v>
      </c>
      <c r="B684" s="7" t="inlineStr">
        <is>
          <t>GV CLOVE 24/25 DC SF ENV TBGS</t>
        </is>
      </c>
      <c r="C684" s="7" t="inlineStr">
        <is>
          <t>GV</t>
        </is>
      </c>
      <c r="D684" s="7" t="n">
        <v>36627</v>
      </c>
      <c r="E684" s="7" t="inlineStr">
        <is>
          <t>GV CLOVE 25 DC SF ENV TBGS</t>
        </is>
      </c>
      <c r="F684" s="7" t="n">
        <v>24</v>
      </c>
      <c r="G684" s="7" t="inlineStr">
        <is>
          <t>CTN</t>
        </is>
      </c>
      <c r="H684" t="inlineStr">
        <is>
          <t>BLEND BLACK TEA CLOVE TBC</t>
        </is>
      </c>
    </row>
    <row r="685" ht="14.25" customHeight="1" s="5">
      <c r="A685" s="7" t="n">
        <v>36989</v>
      </c>
      <c r="B685" s="7" t="inlineStr">
        <is>
          <t>GV CLOVE 24/25 DC SF ENV TBGS (VINDEMIA)</t>
        </is>
      </c>
      <c r="C685" s="7" t="inlineStr">
        <is>
          <t>GV</t>
        </is>
      </c>
      <c r="D685" s="7" t="n">
        <v>37004</v>
      </c>
      <c r="E685" s="7" t="inlineStr">
        <is>
          <t>GV CLOVE 25 DC SF ENV TBGS (VINDEMIA)</t>
        </is>
      </c>
      <c r="F685" s="7" t="n">
        <v>24</v>
      </c>
      <c r="G685" s="7" t="inlineStr">
        <is>
          <t>CTN</t>
        </is>
      </c>
      <c r="H685" t="inlineStr">
        <is>
          <t>BLEND BLACK TEA CLOVE TBC</t>
        </is>
      </c>
    </row>
    <row r="686" ht="14.25" customHeight="1" s="5">
      <c r="A686" s="7" t="n">
        <v>28051</v>
      </c>
      <c r="B686" s="7" t="inlineStr">
        <is>
          <t>GV CLOVE 48/25 DC ENV TBGS</t>
        </is>
      </c>
      <c r="C686" s="7" t="inlineStr">
        <is>
          <t>GV</t>
        </is>
      </c>
      <c r="D686" s="7" t="n">
        <v>21592</v>
      </c>
      <c r="E686" s="7" t="inlineStr">
        <is>
          <t>GV CLOVE 25 DC ENV TBGS</t>
        </is>
      </c>
      <c r="F686" s="7" t="n">
        <v>48</v>
      </c>
      <c r="G686" s="7" t="inlineStr">
        <is>
          <t>CTN</t>
        </is>
      </c>
      <c r="H686" t="inlineStr">
        <is>
          <t>BLEND BLACK TEA CLOVE TBC</t>
        </is>
      </c>
    </row>
    <row r="687" ht="14.25" customHeight="1" s="5">
      <c r="A687" s="7" t="n">
        <v>19830</v>
      </c>
      <c r="B687" s="7" t="inlineStr">
        <is>
          <t>GV COCKTAIL 24/25 DC ENV TBGS (AR)</t>
        </is>
      </c>
      <c r="C687" s="7" t="inlineStr">
        <is>
          <t>GV</t>
        </is>
      </c>
      <c r="D687" s="7" t="n">
        <v>1845</v>
      </c>
      <c r="E687" s="7" t="inlineStr">
        <is>
          <t>GV COCKTAIL 25 DC ENV TBGS</t>
        </is>
      </c>
      <c r="F687" s="7" t="n">
        <v>24</v>
      </c>
      <c r="G687" s="7" t="inlineStr">
        <is>
          <t>CTN</t>
        </is>
      </c>
      <c r="H687" t="inlineStr">
        <is>
          <t>BLEND BLACK TEA COCKTAIL TBC</t>
        </is>
      </c>
    </row>
    <row r="688" ht="14.25" customHeight="1" s="5">
      <c r="A688" s="7" t="n">
        <v>19845</v>
      </c>
      <c r="B688" s="7" t="inlineStr">
        <is>
          <t>GV COCKTAIL 24/25 DC ENV TBGS - 1 NOTEBOOK &amp; 1 WRITING PAD</t>
        </is>
      </c>
      <c r="C688" s="7" t="inlineStr">
        <is>
          <t>GV</t>
        </is>
      </c>
      <c r="D688" s="7" t="n">
        <v>1845</v>
      </c>
      <c r="E688" s="7" t="inlineStr">
        <is>
          <t>GV COCKTAIL 25 DC ENV TBGS</t>
        </is>
      </c>
      <c r="F688" s="7" t="n">
        <v>24</v>
      </c>
      <c r="G688" s="7" t="inlineStr">
        <is>
          <t>CTN</t>
        </is>
      </c>
      <c r="H688" t="inlineStr">
        <is>
          <t>BLEND BLACK TEA COCKTAIL TBC</t>
        </is>
      </c>
    </row>
    <row r="689" ht="14.25" customHeight="1" s="5">
      <c r="A689" s="7" t="n">
        <v>20648</v>
      </c>
      <c r="B689" s="7" t="inlineStr">
        <is>
          <t>GV COCKTAIL 24/25 DC ENV TBGS NOTEBOOK &amp; SHOPPING BAG</t>
        </is>
      </c>
      <c r="C689" s="7" t="inlineStr">
        <is>
          <t>GV</t>
        </is>
      </c>
      <c r="D689" s="7" t="n">
        <v>1845</v>
      </c>
      <c r="E689" s="7" t="inlineStr">
        <is>
          <t>GV COCKTAIL 25 DC ENV TBGS</t>
        </is>
      </c>
      <c r="F689" s="7" t="n">
        <v>24</v>
      </c>
      <c r="G689" s="7" t="inlineStr">
        <is>
          <t>CTN</t>
        </is>
      </c>
      <c r="H689" t="inlineStr">
        <is>
          <t>BLEND BLACK TEA COCKTAIL TBC</t>
        </is>
      </c>
    </row>
    <row r="690" ht="14.25" customHeight="1" s="5">
      <c r="A690" s="7" t="n">
        <v>1844</v>
      </c>
      <c r="B690" s="7" t="inlineStr">
        <is>
          <t>GV COCKTAIL 24/25 DC ENV TBGS WITH TSHIRT</t>
        </is>
      </c>
      <c r="C690" s="7" t="inlineStr">
        <is>
          <t>GV</t>
        </is>
      </c>
      <c r="D690" s="7" t="n">
        <v>1845</v>
      </c>
      <c r="E690" s="7" t="inlineStr">
        <is>
          <t>GV COCKTAIL 25 DC ENV TBGS</t>
        </is>
      </c>
      <c r="F690" s="7" t="n">
        <v>24</v>
      </c>
      <c r="G690" s="7" t="inlineStr">
        <is>
          <t>CTN</t>
        </is>
      </c>
      <c r="H690" t="inlineStr">
        <is>
          <t>BLEND BLACK TEA COCKTAIL TBC</t>
        </is>
      </c>
    </row>
    <row r="691" ht="14.25" customHeight="1" s="5">
      <c r="A691" s="7" t="n">
        <v>1850</v>
      </c>
      <c r="B691" s="7" t="inlineStr">
        <is>
          <t>GV COCKTAIL 24/25 SC ENV TBGS</t>
        </is>
      </c>
      <c r="C691" s="7" t="inlineStr">
        <is>
          <t>GV</t>
        </is>
      </c>
      <c r="D691" s="7" t="n">
        <v>1851</v>
      </c>
      <c r="E691" s="7" t="inlineStr">
        <is>
          <t>GV COCKTAIL 25 SC ENV TBGS</t>
        </is>
      </c>
      <c r="F691" s="7" t="n">
        <v>24</v>
      </c>
      <c r="G691" s="7" t="inlineStr">
        <is>
          <t>CTN</t>
        </is>
      </c>
      <c r="H691">
        <f>#N/A</f>
        <v/>
      </c>
    </row>
    <row r="692" ht="14.25" customHeight="1" s="5">
      <c r="A692" s="7" t="n">
        <v>1854</v>
      </c>
      <c r="B692" s="7" t="inlineStr">
        <is>
          <t>GV COCKTAIL 24/25 SC ENV TBGS - 1NOTEBOOK &amp; 1WRITING PAD</t>
        </is>
      </c>
      <c r="C692" s="7" t="inlineStr">
        <is>
          <t>GV</t>
        </is>
      </c>
      <c r="D692" s="7" t="n">
        <v>1851</v>
      </c>
      <c r="E692" s="7" t="inlineStr">
        <is>
          <t>GV COCKTAIL 25 SC ENV TBGS</t>
        </is>
      </c>
      <c r="F692" s="7" t="n">
        <v>24</v>
      </c>
      <c r="G692" s="7" t="inlineStr">
        <is>
          <t>CTN</t>
        </is>
      </c>
      <c r="H692">
        <f>#N/A</f>
        <v/>
      </c>
    </row>
    <row r="693" ht="14.25" customHeight="1" s="5">
      <c r="A693" s="7" t="n">
        <v>1856</v>
      </c>
      <c r="B693" s="7" t="inlineStr">
        <is>
          <t>GV COCKTAIL 24/25 SC ENV TBGS - NOTEBOOK &amp; WRITING PAD</t>
        </is>
      </c>
      <c r="C693" s="7" t="inlineStr">
        <is>
          <t>GV</t>
        </is>
      </c>
      <c r="D693" s="7" t="n">
        <v>1851</v>
      </c>
      <c r="E693" s="7" t="inlineStr">
        <is>
          <t>GV COCKTAIL 25 SC ENV TBGS</t>
        </is>
      </c>
      <c r="F693" s="7" t="n">
        <v>24</v>
      </c>
      <c r="G693" s="7" t="inlineStr">
        <is>
          <t>CTN</t>
        </is>
      </c>
      <c r="H693">
        <f>#N/A</f>
        <v/>
      </c>
    </row>
    <row r="694" ht="14.25" customHeight="1" s="5">
      <c r="A694" s="7" t="n">
        <v>19987</v>
      </c>
      <c r="B694" s="7" t="inlineStr">
        <is>
          <t>GV COCKTAIL 24/25 SC ENV TBGS NOTEBOOK &amp; SHOPPING BAG</t>
        </is>
      </c>
      <c r="C694" s="7" t="inlineStr">
        <is>
          <t>GV</t>
        </is>
      </c>
      <c r="D694" s="7" t="n">
        <v>1851</v>
      </c>
      <c r="E694" s="7" t="inlineStr">
        <is>
          <t>GV COCKTAIL 25 SC ENV TBGS</t>
        </is>
      </c>
      <c r="F694" s="7" t="n">
        <v>24</v>
      </c>
      <c r="G694" s="7" t="inlineStr">
        <is>
          <t>CTN</t>
        </is>
      </c>
      <c r="H694">
        <f>#N/A</f>
        <v/>
      </c>
    </row>
    <row r="695" ht="14.25" customHeight="1" s="5">
      <c r="A695" s="7" t="n">
        <v>1858</v>
      </c>
      <c r="B695" s="7" t="inlineStr">
        <is>
          <t>GV COCKTAIL 24/25 SC ENV TBGS WITH TSHIRT</t>
        </is>
      </c>
      <c r="C695" s="7" t="inlineStr">
        <is>
          <t>GV</t>
        </is>
      </c>
      <c r="D695" s="7" t="n">
        <v>1851</v>
      </c>
      <c r="E695" s="7" t="inlineStr">
        <is>
          <t>GV COCKTAIL 25 SC ENV TBGS</t>
        </is>
      </c>
      <c r="F695" s="7" t="n">
        <v>24</v>
      </c>
      <c r="G695" s="7" t="inlineStr">
        <is>
          <t>CTN</t>
        </is>
      </c>
      <c r="H695">
        <f>#N/A</f>
        <v/>
      </c>
    </row>
    <row r="696" ht="14.25" customHeight="1" s="5">
      <c r="A696" s="7" t="n">
        <v>26084</v>
      </c>
      <c r="B696" s="7" t="inlineStr">
        <is>
          <t>GV COCKTAIL 48/25 DC ENV TBGS</t>
        </is>
      </c>
      <c r="C696" s="7" t="inlineStr">
        <is>
          <t>GV</t>
        </is>
      </c>
      <c r="D696" s="7" t="n">
        <v>1845</v>
      </c>
      <c r="E696" s="7" t="inlineStr">
        <is>
          <t>GV COCKTAIL 25 DC ENV TBGS</t>
        </is>
      </c>
      <c r="F696" s="7" t="n">
        <v>48</v>
      </c>
      <c r="G696" s="7" t="inlineStr">
        <is>
          <t>CTN</t>
        </is>
      </c>
      <c r="H696" t="inlineStr">
        <is>
          <t>BLEND BLACK TEA COCKTAIL TBC</t>
        </is>
      </c>
    </row>
    <row r="697" ht="14.25" customHeight="1" s="5">
      <c r="A697" s="7" t="n">
        <v>19829</v>
      </c>
      <c r="B697" s="7" t="inlineStr">
        <is>
          <t>GV COCKTAIL 48/25 DC ENV TBGS WITH TSHIRT</t>
        </is>
      </c>
      <c r="C697" s="7" t="inlineStr">
        <is>
          <t>GV</t>
        </is>
      </c>
      <c r="D697" s="7" t="n">
        <v>1845</v>
      </c>
      <c r="E697" s="7" t="inlineStr">
        <is>
          <t>GV COCKTAIL 25 DC ENV TBGS</t>
        </is>
      </c>
      <c r="F697" s="7" t="n">
        <v>48</v>
      </c>
      <c r="G697" s="7" t="inlineStr">
        <is>
          <t>CTN</t>
        </is>
      </c>
      <c r="H697" t="inlineStr">
        <is>
          <t>BLEND BLACK TEA COCKTAIL TBC</t>
        </is>
      </c>
    </row>
    <row r="698" ht="14.25" customHeight="1" s="5">
      <c r="A698" s="7" t="n">
        <v>21261</v>
      </c>
      <c r="B698" s="7" t="inlineStr">
        <is>
          <t>GV COCKTAIL 48/25 SC ENV TBGS</t>
        </is>
      </c>
      <c r="C698" s="7" t="inlineStr">
        <is>
          <t>GV</t>
        </is>
      </c>
      <c r="D698" s="7" t="n">
        <v>1851</v>
      </c>
      <c r="E698" s="7" t="inlineStr">
        <is>
          <t>GV COCKTAIL 25 SC ENV TBGS</t>
        </is>
      </c>
      <c r="F698" s="7" t="n">
        <v>48</v>
      </c>
      <c r="G698" s="7" t="inlineStr">
        <is>
          <t>CTN</t>
        </is>
      </c>
      <c r="H698">
        <f>#N/A</f>
        <v/>
      </c>
    </row>
    <row r="699" ht="14.25" customHeight="1" s="5">
      <c r="A699" s="7" t="n">
        <v>19983</v>
      </c>
      <c r="B699" s="7" t="inlineStr">
        <is>
          <t>GV COCKTAIL 48/25 SC ENV TBGS WITH TSHIRT</t>
        </is>
      </c>
      <c r="C699" s="7" t="inlineStr">
        <is>
          <t>GV</t>
        </is>
      </c>
      <c r="D699" s="7" t="n">
        <v>1851</v>
      </c>
      <c r="E699" s="7" t="inlineStr">
        <is>
          <t>GV COCKTAIL 25 SC ENV TBGS</t>
        </is>
      </c>
      <c r="F699" s="7" t="n">
        <v>48</v>
      </c>
      <c r="G699" s="7" t="inlineStr">
        <is>
          <t>CTN</t>
        </is>
      </c>
      <c r="H699">
        <f>#N/A</f>
        <v/>
      </c>
    </row>
    <row r="700" ht="14.25" customHeight="1" s="5">
      <c r="A700" s="7" t="n">
        <v>19986</v>
      </c>
      <c r="B700" s="7" t="inlineStr">
        <is>
          <t>GV CRANBERRY (H) 24/25 SC ENV TBGS NOTEBOOK &amp; SHOPPING BAG</t>
        </is>
      </c>
      <c r="C700" s="7" t="inlineStr">
        <is>
          <t>GV</t>
        </is>
      </c>
      <c r="D700" s="7" t="n">
        <v>20022</v>
      </c>
      <c r="E700" s="7" t="inlineStr">
        <is>
          <t>GV CRANBERRY APPLE 25 SC ENV TBGS - 2GM</t>
        </is>
      </c>
      <c r="F700" s="7" t="n">
        <v>24</v>
      </c>
      <c r="G700" s="7" t="inlineStr">
        <is>
          <t>CTN</t>
        </is>
      </c>
      <c r="H700">
        <f>#N/A</f>
        <v/>
      </c>
    </row>
    <row r="701" ht="14.25" customHeight="1" s="5">
      <c r="A701" s="7" t="n">
        <v>19851</v>
      </c>
      <c r="B701" s="7" t="inlineStr">
        <is>
          <t>GV CRANBERRY 24/25 DC ENV TBGS -1 NOTEBOOK &amp; 1 WRITING PAD</t>
        </is>
      </c>
      <c r="C701" s="7" t="inlineStr">
        <is>
          <t>GV</t>
        </is>
      </c>
      <c r="D701" s="7" t="n">
        <v>1866</v>
      </c>
      <c r="E701" s="7" t="inlineStr">
        <is>
          <t>GV CRANBERRY APPLE 25 DC ENV TBGS</t>
        </is>
      </c>
      <c r="F701" s="7" t="n">
        <v>24</v>
      </c>
      <c r="G701" s="7" t="inlineStr">
        <is>
          <t>CTN</t>
        </is>
      </c>
      <c r="H701" t="inlineStr">
        <is>
          <t>BLEND CRANBERRY APPLE</t>
        </is>
      </c>
    </row>
    <row r="702" ht="14.25" customHeight="1" s="5">
      <c r="A702" s="7" t="n">
        <v>20716</v>
      </c>
      <c r="B702" s="7" t="inlineStr">
        <is>
          <t>GV CRANBERRY 24/25 DC ENV TBGS NOTEBOOK &amp; SHOPPING BAG</t>
        </is>
      </c>
      <c r="C702" s="7" t="inlineStr">
        <is>
          <t>GV</t>
        </is>
      </c>
      <c r="D702" s="7" t="n">
        <v>1866</v>
      </c>
      <c r="E702" s="7" t="inlineStr">
        <is>
          <t>GV CRANBERRY APPLE 25 DC ENV TBGS</t>
        </is>
      </c>
      <c r="F702" s="7" t="n">
        <v>24</v>
      </c>
      <c r="G702" s="7" t="inlineStr">
        <is>
          <t>CTN</t>
        </is>
      </c>
      <c r="H702" t="inlineStr">
        <is>
          <t>BLEND CRANBERRY APPLE</t>
        </is>
      </c>
    </row>
    <row r="703" ht="14.25" customHeight="1" s="5">
      <c r="A703" s="7" t="n">
        <v>20640</v>
      </c>
      <c r="B703" s="7" t="inlineStr">
        <is>
          <t>GV CRANBERRY 24/25 DC ENV TBGS NOTEBOOK &amp; SHOPPING BAG - 2GMS</t>
        </is>
      </c>
      <c r="C703" s="7" t="inlineStr">
        <is>
          <t>GV</t>
        </is>
      </c>
      <c r="D703" s="7" t="n">
        <v>20023</v>
      </c>
      <c r="E703" s="7" t="inlineStr">
        <is>
          <t>GV CRANBERRY APPLE 25 DC ENV TBGS - 2GM</t>
        </is>
      </c>
      <c r="F703" s="7" t="n">
        <v>24</v>
      </c>
      <c r="G703" s="7" t="inlineStr">
        <is>
          <t>CTN</t>
        </is>
      </c>
      <c r="H703" t="inlineStr">
        <is>
          <t>BLEND CRANBERRY APPLE</t>
        </is>
      </c>
    </row>
    <row r="704" ht="14.25" customHeight="1" s="5">
      <c r="A704" s="7" t="n">
        <v>1860</v>
      </c>
      <c r="B704" s="7" t="inlineStr">
        <is>
          <t>GV CRANBERRY 24/25 SC ENV TBGS -1NOTEBOOK &amp; 1WRITING PAD</t>
        </is>
      </c>
      <c r="C704" s="7" t="inlineStr">
        <is>
          <t>GV</t>
        </is>
      </c>
      <c r="D704" s="7" t="n">
        <v>1861</v>
      </c>
      <c r="E704" s="7" t="inlineStr">
        <is>
          <t>GV CRANBERRY 25 SC ENV TBGS</t>
        </is>
      </c>
      <c r="F704" s="7" t="n">
        <v>24</v>
      </c>
      <c r="G704" s="7" t="inlineStr">
        <is>
          <t>CTN</t>
        </is>
      </c>
      <c r="H704">
        <f>#N/A</f>
        <v/>
      </c>
    </row>
    <row r="705" ht="14.25" customHeight="1" s="5">
      <c r="A705" s="7" t="n">
        <v>20921</v>
      </c>
      <c r="B705" s="7" t="inlineStr">
        <is>
          <t>GV CRANBERRY 24/25 SC ENV TBGS NOTEBOOK &amp; SHOPPING BAG</t>
        </is>
      </c>
      <c r="C705" s="7" t="inlineStr">
        <is>
          <t>GV</t>
        </is>
      </c>
      <c r="D705" s="7" t="n">
        <v>1980</v>
      </c>
      <c r="E705" s="7" t="inlineStr">
        <is>
          <t>GV HERBAL CRANBERRY APPLE 25 SC ENV TBGS</t>
        </is>
      </c>
      <c r="F705" s="7" t="n">
        <v>24</v>
      </c>
      <c r="G705" s="7" t="inlineStr">
        <is>
          <t>CTN</t>
        </is>
      </c>
      <c r="H705">
        <f>#N/A</f>
        <v/>
      </c>
    </row>
    <row r="706" ht="14.25" customHeight="1" s="5">
      <c r="A706" s="7" t="n">
        <v>19833</v>
      </c>
      <c r="B706" s="7" t="inlineStr">
        <is>
          <t>GV CRANBERRY APPLE 24/25 DC ENV TBGS (AR)</t>
        </is>
      </c>
      <c r="C706" s="7" t="inlineStr">
        <is>
          <t>GV</t>
        </is>
      </c>
      <c r="D706" s="7" t="n">
        <v>1866</v>
      </c>
      <c r="E706" s="7" t="inlineStr">
        <is>
          <t>GV CRANBERRY APPLE 25 DC ENV TBGS</t>
        </is>
      </c>
      <c r="F706" s="7" t="n">
        <v>24</v>
      </c>
      <c r="G706" s="7" t="inlineStr">
        <is>
          <t>CTN</t>
        </is>
      </c>
      <c r="H706" t="inlineStr">
        <is>
          <t>BLEND CRANBERRY APPLE</t>
        </is>
      </c>
    </row>
    <row r="707" ht="14.25" customHeight="1" s="5">
      <c r="A707" s="7" t="n">
        <v>20042</v>
      </c>
      <c r="B707" s="7" t="inlineStr">
        <is>
          <t>GV CRANBERRY APPLE 24/25 DC ENV TBGS (AR) - 2GMS</t>
        </is>
      </c>
      <c r="C707" s="7" t="inlineStr">
        <is>
          <t>GV</t>
        </is>
      </c>
      <c r="D707" s="7" t="n">
        <v>20023</v>
      </c>
      <c r="E707" s="7" t="inlineStr">
        <is>
          <t>GV CRANBERRY APPLE 25 DC ENV TBGS - 2GM</t>
        </is>
      </c>
      <c r="F707" s="7" t="n">
        <v>24</v>
      </c>
      <c r="G707" s="7" t="inlineStr">
        <is>
          <t>CTN</t>
        </is>
      </c>
      <c r="H707" t="inlineStr">
        <is>
          <t>BLEND CRANBERRY APPLE</t>
        </is>
      </c>
    </row>
    <row r="708" ht="14.25" customHeight="1" s="5">
      <c r="A708" s="7" t="n">
        <v>1865</v>
      </c>
      <c r="B708" s="7" t="inlineStr">
        <is>
          <t>GV CRANBERRY APPLE 24/25 DC ENV TBGS WITH TSHIRT</t>
        </is>
      </c>
      <c r="C708" s="7" t="inlineStr">
        <is>
          <t>GV</t>
        </is>
      </c>
      <c r="D708" s="7" t="n">
        <v>1866</v>
      </c>
      <c r="E708" s="7" t="inlineStr">
        <is>
          <t>GV CRANBERRY APPLE 25 DC ENV TBGS</t>
        </is>
      </c>
      <c r="F708" s="7" t="n">
        <v>24</v>
      </c>
      <c r="G708" s="7" t="inlineStr">
        <is>
          <t>CTN</t>
        </is>
      </c>
      <c r="H708" t="inlineStr">
        <is>
          <t>BLEND CRANBERRY APPLE</t>
        </is>
      </c>
    </row>
    <row r="709" ht="14.25" customHeight="1" s="5">
      <c r="A709" s="7" t="n">
        <v>20043</v>
      </c>
      <c r="B709" s="7" t="inlineStr">
        <is>
          <t>GV CRANBERRY APPLE 24/25 SC ENV TBGS - 2GMS WITH TSHIRT</t>
        </is>
      </c>
      <c r="C709" s="7" t="inlineStr">
        <is>
          <t>GV</t>
        </is>
      </c>
      <c r="D709" s="7" t="n">
        <v>20022</v>
      </c>
      <c r="E709" s="7" t="inlineStr">
        <is>
          <t>GV CRANBERRY APPLE 25 SC ENV TBGS - 2GM</t>
        </is>
      </c>
      <c r="F709" s="7" t="n">
        <v>24</v>
      </c>
      <c r="G709" s="7" t="inlineStr">
        <is>
          <t>CTN</t>
        </is>
      </c>
      <c r="H709">
        <f>#N/A</f>
        <v/>
      </c>
    </row>
    <row r="710" ht="14.25" customHeight="1" s="5">
      <c r="A710" s="7" t="n">
        <v>1870</v>
      </c>
      <c r="B710" s="7" t="inlineStr">
        <is>
          <t>GV CRANBERRY APPLE 24/25 SC ENV TBGS WITH TSHIRT</t>
        </is>
      </c>
      <c r="C710" s="7" t="inlineStr">
        <is>
          <t>GV</t>
        </is>
      </c>
      <c r="D710" s="7" t="n">
        <v>1871</v>
      </c>
      <c r="E710" s="7" t="inlineStr">
        <is>
          <t>GV CRANBERRY APPLE 25 SC ENV TBGS</t>
        </is>
      </c>
      <c r="F710" s="7" t="n">
        <v>24</v>
      </c>
      <c r="G710" s="7" t="inlineStr">
        <is>
          <t>CTN</t>
        </is>
      </c>
      <c r="H710">
        <f>#N/A</f>
        <v/>
      </c>
    </row>
    <row r="711" ht="14.25" customHeight="1" s="5">
      <c r="A711" s="7" t="n">
        <v>31223</v>
      </c>
      <c r="B711" s="7" t="inlineStr">
        <is>
          <t>GV CRANBERRY APPLE 48/25 DC ENV TBGS</t>
        </is>
      </c>
      <c r="C711" s="7" t="inlineStr">
        <is>
          <t>GV</t>
        </is>
      </c>
      <c r="D711" s="7" t="n">
        <v>20023</v>
      </c>
      <c r="E711" s="7" t="inlineStr">
        <is>
          <t>GV CRANBERRY APPLE 25 DC ENV TBGS - 2GM</t>
        </is>
      </c>
      <c r="F711" s="7" t="n">
        <v>48</v>
      </c>
      <c r="G711" s="7" t="inlineStr">
        <is>
          <t>CTN</t>
        </is>
      </c>
      <c r="H711" t="inlineStr">
        <is>
          <t>BLEND CRANBERRY APPLE</t>
        </is>
      </c>
    </row>
    <row r="712" ht="14.25" customHeight="1" s="5">
      <c r="A712" s="7" t="n">
        <v>19844</v>
      </c>
      <c r="B712" s="7" t="inlineStr">
        <is>
          <t>GV CRANBERRY APPLE 48/25 DC ENV TBGS WITH TSHIRT</t>
        </is>
      </c>
      <c r="C712" s="7" t="inlineStr">
        <is>
          <t>GV</t>
        </is>
      </c>
      <c r="D712" s="7" t="n">
        <v>1866</v>
      </c>
      <c r="E712" s="7" t="inlineStr">
        <is>
          <t>GV CRANBERRY APPLE 25 DC ENV TBGS</t>
        </is>
      </c>
      <c r="F712" s="7" t="n">
        <v>48</v>
      </c>
      <c r="G712" s="7" t="inlineStr">
        <is>
          <t>CTN</t>
        </is>
      </c>
      <c r="H712" t="inlineStr">
        <is>
          <t>BLEND CRANBERRY APPLE</t>
        </is>
      </c>
    </row>
    <row r="713" ht="14.25" customHeight="1" s="5">
      <c r="A713" s="7" t="n">
        <v>21926</v>
      </c>
      <c r="B713" s="7" t="inlineStr">
        <is>
          <t>GV CRANBERRY APPLE SACHET 24 X 10 X 3 DC ENV TBGS</t>
        </is>
      </c>
      <c r="C713" s="7" t="inlineStr">
        <is>
          <t>GV</t>
        </is>
      </c>
      <c r="D713" s="7" t="n">
        <v>21929</v>
      </c>
      <c r="E713" s="7" t="inlineStr">
        <is>
          <t>GV CRANBERRY APPLE STRIP 3TBGS X 10 SACHET</t>
        </is>
      </c>
      <c r="F713" s="7" t="n">
        <v>24</v>
      </c>
      <c r="G713" s="7" t="inlineStr">
        <is>
          <t>PCS</t>
        </is>
      </c>
      <c r="H713">
        <f>#N/A</f>
        <v/>
      </c>
    </row>
    <row r="714" ht="14.25" customHeight="1" s="5">
      <c r="A714" s="7" t="n">
        <v>21929</v>
      </c>
      <c r="B714" s="7" t="inlineStr">
        <is>
          <t>GV CRANBERRY APPLE STRIP 3TBGS X 10 SACHET</t>
        </is>
      </c>
      <c r="C714" s="7" t="inlineStr">
        <is>
          <t>GV</t>
        </is>
      </c>
      <c r="D714" s="7" t="n">
        <v>21932</v>
      </c>
      <c r="E714" s="7" t="inlineStr">
        <is>
          <t>GV CRANBERRY APPLE LOOSE DC ENV TBGS</t>
        </is>
      </c>
      <c r="F714" s="7" t="n">
        <v>30</v>
      </c>
      <c r="G714" s="7" t="inlineStr">
        <is>
          <t>ENV</t>
        </is>
      </c>
      <c r="H714" t="inlineStr">
        <is>
          <t>BLEND CRANBERRY APPLE</t>
        </is>
      </c>
    </row>
    <row r="715" ht="14.25" customHeight="1" s="5">
      <c r="A715" s="7" t="n">
        <v>33596</v>
      </c>
      <c r="B715" s="7" t="inlineStr">
        <is>
          <t>GV CRANBERRY MINT HERBAL 24/25 DC ENV TBGS</t>
        </is>
      </c>
      <c r="C715" s="7" t="inlineStr">
        <is>
          <t>GV</t>
        </is>
      </c>
      <c r="D715" s="7" t="n">
        <v>33597</v>
      </c>
      <c r="E715" s="7" t="inlineStr">
        <is>
          <t>GV CRANBERRY MINT HERBAL 25 DC ENV TBGS</t>
        </is>
      </c>
      <c r="F715" s="7" t="n">
        <v>24</v>
      </c>
      <c r="G715" s="7" t="inlineStr">
        <is>
          <t>CTN</t>
        </is>
      </c>
      <c r="H715" t="inlineStr">
        <is>
          <t>BLEND FRUITY CRANBERRY MINT TB</t>
        </is>
      </c>
    </row>
    <row r="716" ht="14.25" customHeight="1" s="5">
      <c r="A716" s="7" t="n">
        <v>33595</v>
      </c>
      <c r="B716" s="7" t="inlineStr">
        <is>
          <t>GV CRANBERRY MINT HERBAL 48/25 DC ENV TBGS</t>
        </is>
      </c>
      <c r="C716" s="7" t="inlineStr">
        <is>
          <t>GV</t>
        </is>
      </c>
      <c r="D716" s="7" t="n">
        <v>33597</v>
      </c>
      <c r="E716" s="7" t="inlineStr">
        <is>
          <t>GV CRANBERRY MINT HERBAL 25 DC ENV TBGS</t>
        </is>
      </c>
      <c r="F716" s="7" t="n">
        <v>48</v>
      </c>
      <c r="G716" s="7" t="inlineStr">
        <is>
          <t>CTN</t>
        </is>
      </c>
      <c r="H716" t="inlineStr">
        <is>
          <t>BLEND FRUITY CRANBERRY MINT TB</t>
        </is>
      </c>
    </row>
    <row r="717" ht="14.25" customHeight="1" s="5">
      <c r="A717" s="7" t="n">
        <v>1873</v>
      </c>
      <c r="B717" s="7" t="inlineStr">
        <is>
          <t>GV DIABETIC 24/25 DC ENV TBGS</t>
        </is>
      </c>
      <c r="C717" s="7" t="inlineStr">
        <is>
          <t>GV</t>
        </is>
      </c>
      <c r="D717" s="7" t="n">
        <v>1874</v>
      </c>
      <c r="E717" s="7" t="inlineStr">
        <is>
          <t>GV DIABETIC 25 DC ENV TBGS</t>
        </is>
      </c>
      <c r="F717" s="7" t="n">
        <v>24</v>
      </c>
      <c r="G717" s="7" t="inlineStr">
        <is>
          <t>CTN</t>
        </is>
      </c>
      <c r="H717" t="inlineStr">
        <is>
          <t>BLEND HERBAL DIABETIC TBC</t>
        </is>
      </c>
    </row>
    <row r="718" ht="14.25" customHeight="1" s="5">
      <c r="A718" s="7" t="n">
        <v>1878</v>
      </c>
      <c r="B718" s="7" t="inlineStr">
        <is>
          <t>GV DIABETIC 24/25 SC ENV TBGS</t>
        </is>
      </c>
      <c r="C718" s="7" t="inlineStr">
        <is>
          <t>GV</t>
        </is>
      </c>
      <c r="D718" s="7" t="n">
        <v>1879</v>
      </c>
      <c r="E718" s="7" t="inlineStr">
        <is>
          <t>GV DIABETIC 25 SC ENV TBGS</t>
        </is>
      </c>
      <c r="F718" s="7" t="n">
        <v>24</v>
      </c>
      <c r="G718" s="7" t="inlineStr">
        <is>
          <t>CTN</t>
        </is>
      </c>
      <c r="H718">
        <f>#N/A</f>
        <v/>
      </c>
    </row>
    <row r="719" ht="14.25" customHeight="1" s="5">
      <c r="A719" s="7" t="n">
        <v>1881</v>
      </c>
      <c r="B719" s="7" t="inlineStr">
        <is>
          <t>GV DIABETIC 24/25 SC ENV TBGS WITH TSHIRT</t>
        </is>
      </c>
      <c r="C719" s="7" t="inlineStr">
        <is>
          <t>GV</t>
        </is>
      </c>
      <c r="D719" s="7" t="n">
        <v>1879</v>
      </c>
      <c r="E719" s="7" t="inlineStr">
        <is>
          <t>GV DIABETIC 25 SC ENV TBGS</t>
        </is>
      </c>
      <c r="F719" s="7" t="n">
        <v>24</v>
      </c>
      <c r="G719" s="7" t="inlineStr">
        <is>
          <t>CTN</t>
        </is>
      </c>
      <c r="H719">
        <f>#N/A</f>
        <v/>
      </c>
    </row>
    <row r="720" ht="14.25" customHeight="1" s="5">
      <c r="A720" s="7" t="n">
        <v>1881</v>
      </c>
      <c r="B720" s="7" t="inlineStr">
        <is>
          <t>GV DIABETIC 24/25 SC ENV TBGS WITH TSHIRT</t>
        </is>
      </c>
      <c r="C720" s="7" t="inlineStr">
        <is>
          <t>GV</t>
        </is>
      </c>
      <c r="D720" s="7" t="n">
        <v>1878</v>
      </c>
      <c r="E720" s="7" t="inlineStr">
        <is>
          <t>GV DIABETIC 24/25 SC ENV TBGS</t>
        </is>
      </c>
      <c r="F720" s="7" t="n">
        <v>1</v>
      </c>
      <c r="G720" s="7" t="inlineStr">
        <is>
          <t>CFC</t>
        </is>
      </c>
      <c r="H720">
        <f>#N/A</f>
        <v/>
      </c>
    </row>
    <row r="721" ht="14.25" customHeight="1" s="5">
      <c r="A721" s="7" t="n">
        <v>1883</v>
      </c>
      <c r="B721" s="7" t="inlineStr">
        <is>
          <t>GV DIGESTIVE 24/25 DC ENV TBGS</t>
        </is>
      </c>
      <c r="C721" s="7" t="inlineStr">
        <is>
          <t>GV</t>
        </is>
      </c>
      <c r="D721" s="7" t="n">
        <v>1884</v>
      </c>
      <c r="E721" s="7" t="inlineStr">
        <is>
          <t>GV DIGESTIVE 25 DC ENV TBGS</t>
        </is>
      </c>
      <c r="F721" s="7" t="n">
        <v>24</v>
      </c>
      <c r="G721" s="7" t="inlineStr">
        <is>
          <t>CTN</t>
        </is>
      </c>
      <c r="H721" t="inlineStr">
        <is>
          <t>BLEND HERBAL DIGESTIVE TBC</t>
        </is>
      </c>
    </row>
    <row r="722" ht="14.25" customHeight="1" s="5">
      <c r="A722" s="7" t="n">
        <v>1888</v>
      </c>
      <c r="B722" s="7" t="inlineStr">
        <is>
          <t>GV DIGESTIVE 24/25 SC ENV TBGS</t>
        </is>
      </c>
      <c r="C722" s="7" t="inlineStr">
        <is>
          <t>GV</t>
        </is>
      </c>
      <c r="D722" s="7" t="n">
        <v>1889</v>
      </c>
      <c r="E722" s="7" t="inlineStr">
        <is>
          <t>GV DIGESTIVE 25 SC ENV TBGS</t>
        </is>
      </c>
      <c r="F722" s="7" t="n">
        <v>24</v>
      </c>
      <c r="G722" s="7" t="inlineStr">
        <is>
          <t>CTN</t>
        </is>
      </c>
      <c r="H722">
        <f>#N/A</f>
        <v/>
      </c>
    </row>
    <row r="723" ht="14.25" customHeight="1" s="5">
      <c r="A723" s="7" t="n">
        <v>1891</v>
      </c>
      <c r="B723" s="7" t="inlineStr">
        <is>
          <t>GV DIGESTIVE 24/25 SC ENV TBGS WITH TSHIRT</t>
        </is>
      </c>
      <c r="C723" s="7" t="inlineStr">
        <is>
          <t>GV</t>
        </is>
      </c>
      <c r="D723" s="7" t="n">
        <v>1889</v>
      </c>
      <c r="E723" s="7" t="inlineStr">
        <is>
          <t>GV DIGESTIVE 25 SC ENV TBGS</t>
        </is>
      </c>
      <c r="F723" s="7" t="n">
        <v>24</v>
      </c>
      <c r="G723" s="7" t="inlineStr">
        <is>
          <t>CTN</t>
        </is>
      </c>
      <c r="H723">
        <f>#N/A</f>
        <v/>
      </c>
    </row>
    <row r="724" ht="14.25" customHeight="1" s="5">
      <c r="A724" s="7" t="n">
        <v>1891</v>
      </c>
      <c r="B724" s="7" t="inlineStr">
        <is>
          <t>GV DIGESTIVE 24/25 SC ENV TBGS WITH TSHIRT</t>
        </is>
      </c>
      <c r="C724" s="7" t="inlineStr">
        <is>
          <t>GV</t>
        </is>
      </c>
      <c r="D724" s="7" t="n">
        <v>1888</v>
      </c>
      <c r="E724" s="7" t="inlineStr">
        <is>
          <t>GV DIGESTIVE 24/25 SC ENV TBGS</t>
        </is>
      </c>
      <c r="F724" s="7" t="n">
        <v>1</v>
      </c>
      <c r="G724" s="7" t="inlineStr">
        <is>
          <t>CFC</t>
        </is>
      </c>
      <c r="H724">
        <f>#N/A</f>
        <v/>
      </c>
    </row>
    <row r="725" ht="14.25" customHeight="1" s="5">
      <c r="A725" s="7" t="n">
        <v>20364</v>
      </c>
      <c r="B725" s="7" t="inlineStr">
        <is>
          <t>GV EARL GREY 12/400 GMS PKT TEA</t>
        </is>
      </c>
      <c r="C725" s="7" t="inlineStr">
        <is>
          <t>GV</t>
        </is>
      </c>
      <c r="D725" s="7" t="n">
        <v>20560</v>
      </c>
      <c r="E725" s="7" t="inlineStr">
        <is>
          <t>GV EARL GREY 400 GMS PKT TEA</t>
        </is>
      </c>
      <c r="F725" s="7" t="n">
        <v>12</v>
      </c>
      <c r="G725" s="7" t="inlineStr">
        <is>
          <t>CTN</t>
        </is>
      </c>
      <c r="H725" t="inlineStr">
        <is>
          <t>BLEND BLACK TEA EARL GREY CC VIC</t>
        </is>
      </c>
    </row>
    <row r="726" ht="14.25" customHeight="1" s="5">
      <c r="A726" s="7" t="n">
        <v>20362</v>
      </c>
      <c r="B726" s="7" t="inlineStr">
        <is>
          <t>GV EARL GREY 24/200 GMS POUCH</t>
        </is>
      </c>
      <c r="C726" s="7" t="inlineStr">
        <is>
          <t>GV</t>
        </is>
      </c>
      <c r="D726" s="7" t="n">
        <v>20564</v>
      </c>
      <c r="E726" s="7" t="inlineStr">
        <is>
          <t>GV EARL GREY 200 GMS POUCH</t>
        </is>
      </c>
      <c r="F726" s="7" t="n">
        <v>24</v>
      </c>
      <c r="G726" s="7" t="inlineStr">
        <is>
          <t>PKT</t>
        </is>
      </c>
      <c r="H726" t="inlineStr">
        <is>
          <t>BLEND BLACK TEA EARL GREY CC VIC</t>
        </is>
      </c>
    </row>
    <row r="727" ht="14.25" customHeight="1" s="5">
      <c r="A727" s="7" t="n">
        <v>1893</v>
      </c>
      <c r="B727" s="7" t="inlineStr">
        <is>
          <t>GV EARL GREY TEA WITH LEMON 18/100 DC TAG TBGS</t>
        </is>
      </c>
      <c r="C727" s="7" t="inlineStr">
        <is>
          <t>GV</t>
        </is>
      </c>
      <c r="D727" s="7" t="n">
        <v>1894</v>
      </c>
      <c r="E727" s="7" t="inlineStr">
        <is>
          <t>GV EARL GREY TEA WITH LEMON 100 DC TAG TBGS</t>
        </is>
      </c>
      <c r="F727" s="7" t="n">
        <v>18</v>
      </c>
      <c r="G727" s="7" t="inlineStr">
        <is>
          <t>CTN</t>
        </is>
      </c>
      <c r="H727" t="inlineStr">
        <is>
          <t>BLEND EARL GREY LEMON TB - RUS</t>
        </is>
      </c>
    </row>
    <row r="728" ht="14.25" customHeight="1" s="5">
      <c r="A728" s="7" t="n">
        <v>1901</v>
      </c>
      <c r="B728" s="7" t="inlineStr">
        <is>
          <t>GV EARL GREY TEA WITH LEMON 72/25 DC TAG TBGS</t>
        </is>
      </c>
      <c r="C728" s="7" t="inlineStr">
        <is>
          <t>GV</t>
        </is>
      </c>
      <c r="D728" s="7" t="n">
        <v>1902</v>
      </c>
      <c r="E728" s="7" t="inlineStr">
        <is>
          <t>GV EARL GREY TEA WITH LEMON 25 DC TAG TBGS</t>
        </is>
      </c>
      <c r="F728" s="7" t="n">
        <v>72</v>
      </c>
      <c r="G728" s="7" t="inlineStr">
        <is>
          <t>CTN</t>
        </is>
      </c>
      <c r="H728" t="inlineStr">
        <is>
          <t>BLEND EARL GREY LEMON TB - RUS</t>
        </is>
      </c>
    </row>
    <row r="729" ht="14.25" customHeight="1" s="5">
      <c r="A729" s="7" t="n">
        <v>1901</v>
      </c>
      <c r="B729" s="7" t="inlineStr">
        <is>
          <t>GV EARL GREY TEA WITH LEMON 72/25 DC TAG TBGS</t>
        </is>
      </c>
      <c r="C729" s="7" t="inlineStr">
        <is>
          <t>GV</t>
        </is>
      </c>
      <c r="D729" s="7" t="n">
        <v>1902</v>
      </c>
      <c r="E729" s="7" t="inlineStr">
        <is>
          <t>GV EARL GREY TEA WITH LEMON 25 DC TAG TBGS</t>
        </is>
      </c>
      <c r="F729" s="7" t="n">
        <v>72</v>
      </c>
      <c r="G729" s="7" t="inlineStr">
        <is>
          <t>CTN</t>
        </is>
      </c>
      <c r="H729" t="inlineStr">
        <is>
          <t>BLEND EARL GREY LEMON TB - RUS</t>
        </is>
      </c>
    </row>
    <row r="730" ht="14.25" customHeight="1" s="5">
      <c r="A730" s="7" t="n">
        <v>21143</v>
      </c>
      <c r="B730" s="7" t="inlineStr">
        <is>
          <t>GV ECONOMY 12/100 DC TAG TBGS</t>
        </is>
      </c>
      <c r="C730" s="7" t="inlineStr">
        <is>
          <t>GV</t>
        </is>
      </c>
      <c r="D730" s="7" t="n">
        <v>21148</v>
      </c>
      <c r="E730" s="7" t="inlineStr">
        <is>
          <t>GV ECONOMY 100 DC TAG TBGS</t>
        </is>
      </c>
      <c r="F730" s="7" t="n">
        <v>12</v>
      </c>
      <c r="G730" s="7" t="inlineStr">
        <is>
          <t>CTN</t>
        </is>
      </c>
      <c r="H730" t="inlineStr">
        <is>
          <t>BLEND 786</t>
        </is>
      </c>
    </row>
    <row r="731" ht="14.25" customHeight="1" s="5">
      <c r="A731" s="7" t="n">
        <v>27858</v>
      </c>
      <c r="B731" s="7" t="inlineStr">
        <is>
          <t>GV ECONOMY 24/25 DC ENV TBGS</t>
        </is>
      </c>
      <c r="C731" s="7" t="inlineStr">
        <is>
          <t>GV</t>
        </is>
      </c>
      <c r="D731" s="7" t="n">
        <v>27873</v>
      </c>
      <c r="E731" s="7" t="inlineStr">
        <is>
          <t>GV ECONOMY 25 DC ENV TBGS</t>
        </is>
      </c>
      <c r="F731" s="7" t="n">
        <v>24</v>
      </c>
      <c r="G731" s="7" t="inlineStr">
        <is>
          <t>CTN</t>
        </is>
      </c>
      <c r="H731" t="inlineStr">
        <is>
          <t>BLEND 786</t>
        </is>
      </c>
    </row>
    <row r="732" ht="14.25" customHeight="1" s="5">
      <c r="A732" s="7" t="n">
        <v>21144</v>
      </c>
      <c r="B732" s="7" t="inlineStr">
        <is>
          <t>GV ECONOMY 48/25 DC TAG TBGS</t>
        </is>
      </c>
      <c r="C732" s="7" t="inlineStr">
        <is>
          <t>GV</t>
        </is>
      </c>
      <c r="D732" s="7" t="n">
        <v>21149</v>
      </c>
      <c r="E732" s="7" t="inlineStr">
        <is>
          <t>GV ECONOMY 25 DC TAG TBGS</t>
        </is>
      </c>
      <c r="F732" s="7" t="n">
        <v>48</v>
      </c>
      <c r="G732" s="7" t="inlineStr">
        <is>
          <t>CTN</t>
        </is>
      </c>
      <c r="H732" t="inlineStr">
        <is>
          <t>BLEND 786</t>
        </is>
      </c>
    </row>
    <row r="733" ht="14.25" customHeight="1" s="5">
      <c r="A733" s="7" t="n">
        <v>21146</v>
      </c>
      <c r="B733" s="7" t="inlineStr">
        <is>
          <t>GV ECONOMY LEAF 12/400 GMS PKT TEA</t>
        </is>
      </c>
      <c r="C733" s="7" t="inlineStr">
        <is>
          <t>GV</t>
        </is>
      </c>
      <c r="D733" s="7" t="n">
        <v>21151</v>
      </c>
      <c r="E733" s="7" t="inlineStr">
        <is>
          <t>GV ECONOMY LEAF 400 GMS POUCH TEA</t>
        </is>
      </c>
      <c r="F733" s="7" t="n">
        <v>12</v>
      </c>
      <c r="G733" s="7" t="inlineStr">
        <is>
          <t>PKT</t>
        </is>
      </c>
      <c r="H733" t="inlineStr">
        <is>
          <t>BLEND STD 811</t>
        </is>
      </c>
    </row>
    <row r="734" ht="14.25" customHeight="1" s="5">
      <c r="A734" s="7" t="n">
        <v>21145</v>
      </c>
      <c r="B734" s="7" t="inlineStr">
        <is>
          <t>GV ECONOMY LEAF 24/200 GMS POUCH TEA</t>
        </is>
      </c>
      <c r="C734" s="7" t="inlineStr">
        <is>
          <t>GV</t>
        </is>
      </c>
      <c r="D734" s="7" t="n">
        <v>21150</v>
      </c>
      <c r="E734" s="7" t="inlineStr">
        <is>
          <t>GV ECONOMY LEAF 200 GMS POUCH TEA</t>
        </is>
      </c>
      <c r="F734" s="7" t="n">
        <v>24</v>
      </c>
      <c r="G734" s="7" t="inlineStr">
        <is>
          <t>PKT</t>
        </is>
      </c>
      <c r="H734" t="inlineStr">
        <is>
          <t>BLEND STD 811</t>
        </is>
      </c>
    </row>
    <row r="735" ht="14.25" customHeight="1" s="5">
      <c r="A735" s="7" t="n">
        <v>21147</v>
      </c>
      <c r="B735" s="7" t="inlineStr">
        <is>
          <t>GV ECONOMY LEAF 6/800 GMS PKT TEA</t>
        </is>
      </c>
      <c r="C735" s="7" t="inlineStr">
        <is>
          <t>GV</t>
        </is>
      </c>
      <c r="D735" s="7" t="n">
        <v>21152</v>
      </c>
      <c r="E735" s="7" t="inlineStr">
        <is>
          <t>GV ECONOMY LEAF 800 GMS POUCH TEA</t>
        </is>
      </c>
      <c r="F735" s="7" t="n">
        <v>6</v>
      </c>
      <c r="G735" s="7" t="inlineStr">
        <is>
          <t>PKT</t>
        </is>
      </c>
      <c r="H735" t="inlineStr">
        <is>
          <t>BLEND STD 811</t>
        </is>
      </c>
    </row>
    <row r="736" ht="14.25" customHeight="1" s="5">
      <c r="A736" s="7" t="n">
        <v>1906</v>
      </c>
      <c r="B736" s="7" t="inlineStr">
        <is>
          <t>GV ENERGIZER 24/25 DC ENV TBGS</t>
        </is>
      </c>
      <c r="C736" s="7" t="inlineStr">
        <is>
          <t>GV</t>
        </is>
      </c>
      <c r="D736" s="7" t="n">
        <v>1907</v>
      </c>
      <c r="E736" s="7" t="inlineStr">
        <is>
          <t>GV ENERGIZER 25 DC ENV TBGS</t>
        </is>
      </c>
      <c r="F736" s="7" t="n">
        <v>24</v>
      </c>
      <c r="G736" s="7" t="inlineStr">
        <is>
          <t>CTN</t>
        </is>
      </c>
      <c r="H736" t="inlineStr">
        <is>
          <t>BLEND HERBAL ENERGY TBC</t>
        </is>
      </c>
    </row>
    <row r="737" ht="14.25" customHeight="1" s="5">
      <c r="A737" s="7" t="n">
        <v>1911</v>
      </c>
      <c r="B737" s="7" t="inlineStr">
        <is>
          <t>GV ENERGIZER 24/25 SC ENV TBGS</t>
        </is>
      </c>
      <c r="C737" s="7" t="inlineStr">
        <is>
          <t>GV</t>
        </is>
      </c>
      <c r="D737" s="7" t="n">
        <v>1912</v>
      </c>
      <c r="E737" s="7" t="inlineStr">
        <is>
          <t>GV ENERGIZER 25 SC ENV TBGS</t>
        </is>
      </c>
      <c r="F737" s="7" t="n">
        <v>24</v>
      </c>
      <c r="G737" s="7" t="inlineStr">
        <is>
          <t>CTN</t>
        </is>
      </c>
      <c r="H737">
        <f>#N/A</f>
        <v/>
      </c>
    </row>
    <row r="738" ht="14.25" customHeight="1" s="5">
      <c r="A738" s="7" t="n">
        <v>18567</v>
      </c>
      <c r="B738" s="7" t="inlineStr">
        <is>
          <t>GV ENERGIZER 24/25 SC ENV TBGS WITH TSHIRT</t>
        </is>
      </c>
      <c r="C738" s="7" t="inlineStr">
        <is>
          <t>GV</t>
        </is>
      </c>
      <c r="D738" s="7" t="n">
        <v>1912</v>
      </c>
      <c r="E738" s="7" t="inlineStr">
        <is>
          <t>GV ENERGIZER 25 SC ENV TBGS</t>
        </is>
      </c>
      <c r="F738" s="7" t="n">
        <v>24</v>
      </c>
      <c r="G738" s="7" t="inlineStr">
        <is>
          <t>CTN</t>
        </is>
      </c>
      <c r="H738">
        <f>#N/A</f>
        <v/>
      </c>
    </row>
    <row r="739" ht="14.25" customHeight="1" s="5">
      <c r="A739" s="7" t="n">
        <v>17804</v>
      </c>
      <c r="B739" s="7" t="inlineStr">
        <is>
          <t>GV EXOTIC EARL GREY 12/25 DC SF HS ENV TBGS</t>
        </is>
      </c>
      <c r="C739" s="7" t="inlineStr">
        <is>
          <t>GV</t>
        </is>
      </c>
      <c r="D739" s="7" t="n">
        <v>1915</v>
      </c>
      <c r="E739" s="7" t="inlineStr">
        <is>
          <t>GV EXOTIC EARL GREY 25 DC SF HS ENV TBGS</t>
        </is>
      </c>
      <c r="F739" s="7" t="n">
        <v>12</v>
      </c>
      <c r="G739" s="7" t="inlineStr">
        <is>
          <t>CTN</t>
        </is>
      </c>
      <c r="H739" t="inlineStr">
        <is>
          <t>BLEND EARL GREY TB - RUS</t>
        </is>
      </c>
    </row>
    <row r="740" ht="14.25" customHeight="1" s="5">
      <c r="A740" s="7" t="n">
        <v>27512</v>
      </c>
      <c r="B740" s="7" t="inlineStr">
        <is>
          <t>GV EXOTIC EARL GREY 12/25 DC SF HS ENV TBGS (UKR)</t>
        </is>
      </c>
      <c r="C740" s="7" t="inlineStr">
        <is>
          <t>GV</t>
        </is>
      </c>
      <c r="D740" s="7" t="n">
        <v>27551</v>
      </c>
      <c r="E740" s="7" t="inlineStr">
        <is>
          <t>GV EXOTIC EARL GREY 25 DC SF HS ENV TBGS (UKR)</t>
        </is>
      </c>
      <c r="F740" s="7" t="n">
        <v>12</v>
      </c>
      <c r="G740" s="7" t="inlineStr">
        <is>
          <t>CTN</t>
        </is>
      </c>
      <c r="H740" t="inlineStr">
        <is>
          <t>BLEND EARL GREY TB - RUS</t>
        </is>
      </c>
    </row>
    <row r="741" ht="14.25" customHeight="1" s="5">
      <c r="A741" s="7" t="n">
        <v>1914</v>
      </c>
      <c r="B741" s="7" t="inlineStr">
        <is>
          <t>GV EXOTIC EARL GREY 24/25 DC SF HS ENV TBGS</t>
        </is>
      </c>
      <c r="C741" s="7" t="inlineStr">
        <is>
          <t>GV</t>
        </is>
      </c>
      <c r="D741" s="7" t="n">
        <v>1915</v>
      </c>
      <c r="E741" s="7" t="inlineStr">
        <is>
          <t>GV EXOTIC EARL GREY 25 DC SF HS ENV TBGS</t>
        </is>
      </c>
      <c r="F741" s="7" t="n">
        <v>24</v>
      </c>
      <c r="G741" s="7" t="inlineStr">
        <is>
          <t>CTN</t>
        </is>
      </c>
      <c r="H741" t="inlineStr">
        <is>
          <t>BLEND EARL GREY TB - RUS</t>
        </is>
      </c>
    </row>
    <row r="742" ht="14.25" customHeight="1" s="5">
      <c r="A742" s="7" t="n">
        <v>18561</v>
      </c>
      <c r="B742" s="7" t="inlineStr">
        <is>
          <t>GV EXOTIC EARL GREY 24/25 DC SF HS ENV TBGS (AF)</t>
        </is>
      </c>
      <c r="C742" s="7" t="inlineStr">
        <is>
          <t>GV</t>
        </is>
      </c>
      <c r="D742" s="7" t="n">
        <v>18963</v>
      </c>
      <c r="E742" s="7" t="inlineStr">
        <is>
          <t>GV EXOTIC EARL GREY 25 DC SF HS ENV TBGS (AF)</t>
        </is>
      </c>
      <c r="F742" s="7" t="n">
        <v>24</v>
      </c>
      <c r="G742" s="7" t="inlineStr">
        <is>
          <t>CTN</t>
        </is>
      </c>
      <c r="H742" t="inlineStr">
        <is>
          <t>BLEND EARL GREY TB - RUS</t>
        </is>
      </c>
    </row>
    <row r="743" ht="14.25" customHeight="1" s="5">
      <c r="A743" s="7" t="n">
        <v>19790</v>
      </c>
      <c r="B743" s="7" t="inlineStr">
        <is>
          <t>GV EXOTIC EARL GREY 24/25 DC SF HS ENV TBGS (AR)</t>
        </is>
      </c>
      <c r="C743" s="7" t="inlineStr">
        <is>
          <t>GV</t>
        </is>
      </c>
      <c r="D743" s="7" t="n">
        <v>19794</v>
      </c>
      <c r="E743" s="7" t="inlineStr">
        <is>
          <t>GV EXOTIC EARL GREY 25 DC SF HS ENV TBGS (AR)</t>
        </is>
      </c>
      <c r="F743" s="7" t="n">
        <v>24</v>
      </c>
      <c r="G743" s="7" t="inlineStr">
        <is>
          <t>CTN</t>
        </is>
      </c>
      <c r="H743" t="inlineStr">
        <is>
          <t>BLEND EARL GREY TB - RUS</t>
        </is>
      </c>
    </row>
    <row r="744" ht="14.25" customHeight="1" s="5">
      <c r="A744" s="7" t="n">
        <v>1919</v>
      </c>
      <c r="B744" s="7" t="inlineStr">
        <is>
          <t>GV ROYAL CEYLON 24/25 DC SF HS ENV TBGS</t>
        </is>
      </c>
      <c r="C744" s="7" t="inlineStr">
        <is>
          <t>GV</t>
        </is>
      </c>
      <c r="D744" s="7" t="n">
        <v>1920</v>
      </c>
      <c r="E744" s="7" t="inlineStr">
        <is>
          <t>GV ROYAL CEYLON 25 DC SF HS ENV TBGS</t>
        </is>
      </c>
      <c r="F744" s="7" t="n">
        <v>24</v>
      </c>
      <c r="G744" s="7" t="inlineStr">
        <is>
          <t>CTN</t>
        </is>
      </c>
      <c r="H744" t="inlineStr">
        <is>
          <t>BLEND GV CEYLON</t>
        </is>
      </c>
    </row>
    <row r="745" ht="14.25" customHeight="1" s="5">
      <c r="A745" s="7" t="n">
        <v>23233</v>
      </c>
      <c r="B745" s="7" t="inlineStr">
        <is>
          <t>GV FRUITY CRANBERRY HERBAL 24/25 DC ENV TBGS</t>
        </is>
      </c>
      <c r="C745" s="7" t="inlineStr">
        <is>
          <t>GV</t>
        </is>
      </c>
      <c r="D745" s="7" t="n">
        <v>23346</v>
      </c>
      <c r="E745" s="7" t="inlineStr">
        <is>
          <t>GV FRUITY CRANBERRY HERBAL 25 DC ENV TBGS</t>
        </is>
      </c>
      <c r="F745" s="7" t="n">
        <v>24</v>
      </c>
      <c r="G745" s="7" t="inlineStr">
        <is>
          <t>CTN</t>
        </is>
      </c>
      <c r="H745" t="inlineStr">
        <is>
          <t>BLEND FRUITY CRANBERRY HERBAL TBC</t>
        </is>
      </c>
    </row>
    <row r="746" ht="14.25" customHeight="1" s="5">
      <c r="A746" s="7" t="n">
        <v>23590</v>
      </c>
      <c r="B746" s="7" t="inlineStr">
        <is>
          <t>GV FRUITY CRANBERRY HERBAL 24/25 DC ENV TBGS WITH T-SHIRT</t>
        </is>
      </c>
      <c r="C746" s="7" t="inlineStr">
        <is>
          <t>GV</t>
        </is>
      </c>
      <c r="D746" s="7" t="n">
        <v>23233</v>
      </c>
      <c r="E746" s="7" t="inlineStr">
        <is>
          <t>GV FRUITY CRANBERRY HERBAL 24/25 DC ENV TBGS</t>
        </is>
      </c>
      <c r="F746" s="7" t="n">
        <v>1</v>
      </c>
      <c r="G746" s="7" t="inlineStr">
        <is>
          <t>CFC</t>
        </is>
      </c>
      <c r="H746">
        <f>#N/A</f>
        <v/>
      </c>
    </row>
    <row r="747" ht="14.25" customHeight="1" s="5">
      <c r="A747" s="7" t="n">
        <v>23590</v>
      </c>
      <c r="B747" s="7" t="inlineStr">
        <is>
          <t>GV FRUITY CRANBERRY HERBAL 24/25 DC ENV TBGS WITH T-SHIRT</t>
        </is>
      </c>
      <c r="C747" s="7" t="inlineStr">
        <is>
          <t>GV</t>
        </is>
      </c>
      <c r="D747" s="7" t="n">
        <v>23346</v>
      </c>
      <c r="E747" s="7" t="inlineStr">
        <is>
          <t>GV FRUITY CRANBERRY HERBAL 25 DC ENV TBGS</t>
        </is>
      </c>
      <c r="F747" s="7" t="n">
        <v>24</v>
      </c>
      <c r="G747" s="7" t="inlineStr">
        <is>
          <t>CTN</t>
        </is>
      </c>
      <c r="H747" t="inlineStr">
        <is>
          <t>BLEND FRUITY CRANBERRY HERBAL TBC</t>
        </is>
      </c>
    </row>
    <row r="748" ht="14.25" customHeight="1" s="5">
      <c r="A748" s="7" t="n">
        <v>1925</v>
      </c>
      <c r="B748" s="7" t="inlineStr">
        <is>
          <t>GV GARDEN STRAWBERRY 24/25 DC ENV TBGS</t>
        </is>
      </c>
      <c r="C748" s="7" t="inlineStr">
        <is>
          <t>GV</t>
        </is>
      </c>
      <c r="D748" s="7" t="n">
        <v>1926</v>
      </c>
      <c r="E748" s="7" t="inlineStr">
        <is>
          <t>GV GARDEN STRAWBERRY 25 DC ENV TBGS</t>
        </is>
      </c>
      <c r="F748" s="7" t="n">
        <v>24</v>
      </c>
      <c r="G748" s="7" t="inlineStr">
        <is>
          <t>CTN</t>
        </is>
      </c>
      <c r="H748" t="inlineStr">
        <is>
          <t>BLEND STRAWBERRY TB</t>
        </is>
      </c>
    </row>
    <row r="749" ht="14.25" customHeight="1" s="5">
      <c r="A749" s="7" t="n">
        <v>1933</v>
      </c>
      <c r="B749" s="7" t="inlineStr">
        <is>
          <t>GV GARDEN STRAWBERRY 24/25 DC ENV TBGS WITH TSHIRT</t>
        </is>
      </c>
      <c r="C749" s="7" t="inlineStr">
        <is>
          <t>GV</t>
        </is>
      </c>
      <c r="D749" s="7" t="n">
        <v>1926</v>
      </c>
      <c r="E749" s="7" t="inlineStr">
        <is>
          <t>GV GARDEN STRAWBERRY 25 DC ENV TBGS</t>
        </is>
      </c>
      <c r="F749" s="7" t="n">
        <v>24</v>
      </c>
      <c r="G749" s="7" t="inlineStr">
        <is>
          <t>CTN</t>
        </is>
      </c>
      <c r="H749" t="inlineStr">
        <is>
          <t>BLEND STRAWBERRY TB</t>
        </is>
      </c>
    </row>
    <row r="750" ht="14.25" customHeight="1" s="5">
      <c r="A750" s="7" t="n">
        <v>36522</v>
      </c>
      <c r="B750" s="7" t="inlineStr">
        <is>
          <t>GV GARDEN STRAWBERRY 24/25 DC SF ENV TBGS (v2)</t>
        </is>
      </c>
      <c r="C750" s="7" t="inlineStr">
        <is>
          <t>GV</t>
        </is>
      </c>
      <c r="D750" s="7" t="n">
        <v>36618</v>
      </c>
      <c r="E750" s="7" t="inlineStr">
        <is>
          <t>GV GARDEN STRAWBERRY 25 DC SF ENV TBGS (v2)</t>
        </is>
      </c>
      <c r="F750" s="7" t="n">
        <v>24</v>
      </c>
      <c r="G750" s="7" t="inlineStr">
        <is>
          <t>CTN</t>
        </is>
      </c>
      <c r="H750" t="inlineStr">
        <is>
          <t>BLEND STRAWBERRY TB</t>
        </is>
      </c>
    </row>
    <row r="751" ht="14.25" customHeight="1" s="5">
      <c r="A751" s="7" t="n">
        <v>36980</v>
      </c>
      <c r="B751" s="7" t="inlineStr">
        <is>
          <t>GV GARDEN STRAWBERRY 24/25 DC SF ENV TBGS (VINDEMIA)</t>
        </is>
      </c>
      <c r="C751" s="7" t="inlineStr">
        <is>
          <t>GV</t>
        </is>
      </c>
      <c r="D751" s="7" t="n">
        <v>37005</v>
      </c>
      <c r="E751" s="7" t="inlineStr">
        <is>
          <t>GV GARDEN STRAWBERRY 25 DC SF ENV TBGS (VINDEMIA)</t>
        </is>
      </c>
      <c r="F751" s="7" t="n">
        <v>24</v>
      </c>
      <c r="G751" s="7" t="inlineStr">
        <is>
          <t>CTN</t>
        </is>
      </c>
      <c r="H751" t="inlineStr">
        <is>
          <t>BLEND STRAWBERRY TB</t>
        </is>
      </c>
    </row>
    <row r="752" ht="14.25" customHeight="1" s="5">
      <c r="A752" s="7" t="n">
        <v>1935</v>
      </c>
      <c r="B752" s="7" t="inlineStr">
        <is>
          <t>GV GARDEN STRAWBERRY 24/25 SC ENV TBGS</t>
        </is>
      </c>
      <c r="C752" s="7" t="inlineStr">
        <is>
          <t>GV</t>
        </is>
      </c>
      <c r="D752" s="7" t="n">
        <v>2145</v>
      </c>
      <c r="E752" s="7" t="inlineStr">
        <is>
          <t>GV STRAWBERRY 25 SC ENV TBGS</t>
        </is>
      </c>
      <c r="F752" s="7" t="n">
        <v>24</v>
      </c>
      <c r="G752" s="7" t="inlineStr">
        <is>
          <t>CTN</t>
        </is>
      </c>
      <c r="H752">
        <f>#N/A</f>
        <v/>
      </c>
    </row>
    <row r="753" ht="14.25" customHeight="1" s="5">
      <c r="A753" s="7" t="n">
        <v>1938</v>
      </c>
      <c r="B753" s="7" t="inlineStr">
        <is>
          <t>GV GARDEN STRAWBERRY 24/25 SC ENV TBGS WITH TSHIRT</t>
        </is>
      </c>
      <c r="C753" s="7" t="inlineStr">
        <is>
          <t>GV</t>
        </is>
      </c>
      <c r="D753" s="7" t="n">
        <v>2145</v>
      </c>
      <c r="E753" s="7" t="inlineStr">
        <is>
          <t>GV STRAWBERRY 25 SC ENV TBGS</t>
        </is>
      </c>
      <c r="F753" s="7" t="n">
        <v>24</v>
      </c>
      <c r="G753" s="7" t="inlineStr">
        <is>
          <t>CTN</t>
        </is>
      </c>
      <c r="H753">
        <f>#N/A</f>
        <v/>
      </c>
    </row>
    <row r="754" ht="14.25" customHeight="1" s="5">
      <c r="A754" s="7" t="n">
        <v>26083</v>
      </c>
      <c r="B754" s="7" t="inlineStr">
        <is>
          <t>GV GARDEN STRAWBERRY 48/25 DC ENV TBGS</t>
        </is>
      </c>
      <c r="C754" s="7" t="inlineStr">
        <is>
          <t>GV</t>
        </is>
      </c>
      <c r="D754" s="7" t="n">
        <v>1926</v>
      </c>
      <c r="E754" s="7" t="inlineStr">
        <is>
          <t>GV GARDEN STRAWBERRY 25 DC ENV TBGS</t>
        </is>
      </c>
      <c r="F754" s="7" t="n">
        <v>48</v>
      </c>
      <c r="G754" s="7" t="inlineStr">
        <is>
          <t>CTN</t>
        </is>
      </c>
      <c r="H754" t="inlineStr">
        <is>
          <t>BLEND STRAWBERRY TB</t>
        </is>
      </c>
    </row>
    <row r="755" ht="14.25" customHeight="1" s="5">
      <c r="A755" s="7" t="n">
        <v>21258</v>
      </c>
      <c r="B755" s="7" t="inlineStr">
        <is>
          <t>GV GARDEN STRAWBERRY 48/25 SC ENV TBGS</t>
        </is>
      </c>
      <c r="C755" s="7" t="inlineStr">
        <is>
          <t>GV</t>
        </is>
      </c>
      <c r="D755" s="7" t="n">
        <v>2145</v>
      </c>
      <c r="E755" s="7" t="inlineStr">
        <is>
          <t>GV STRAWBERRY 25 SC ENV TBGS</t>
        </is>
      </c>
      <c r="F755" s="7" t="n">
        <v>48</v>
      </c>
      <c r="G755" s="7" t="inlineStr">
        <is>
          <t>CTN</t>
        </is>
      </c>
      <c r="H755">
        <f>#N/A</f>
        <v/>
      </c>
    </row>
    <row r="756" ht="14.25" customHeight="1" s="5">
      <c r="A756" s="7" t="n">
        <v>1940</v>
      </c>
      <c r="B756" s="7" t="inlineStr">
        <is>
          <t>GV GARDEN STRAWBERRY 48/25 SC ENV TBGS WITH TSHIRT</t>
        </is>
      </c>
      <c r="C756" s="7" t="inlineStr">
        <is>
          <t>GV</t>
        </is>
      </c>
      <c r="D756" s="7" t="n">
        <v>2145</v>
      </c>
      <c r="E756" s="7" t="inlineStr">
        <is>
          <t>GV STRAWBERRY 25 SC ENV TBGS</t>
        </is>
      </c>
      <c r="F756" s="7" t="n">
        <v>48</v>
      </c>
      <c r="G756" s="7" t="inlineStr">
        <is>
          <t>CTN</t>
        </is>
      </c>
      <c r="H756">
        <f>#N/A</f>
        <v/>
      </c>
    </row>
    <row r="757" ht="14.25" customHeight="1" s="5">
      <c r="A757" s="7" t="n">
        <v>19850</v>
      </c>
      <c r="B757" s="7" t="inlineStr">
        <is>
          <t>GV GINGER 24/25 DC ENV TBGS - 1 NOTEBOOK &amp; 1 WRITING PAD</t>
        </is>
      </c>
      <c r="C757" s="7" t="inlineStr">
        <is>
          <t>GV</t>
        </is>
      </c>
      <c r="D757" s="7" t="n">
        <v>2127</v>
      </c>
      <c r="E757" s="7" t="inlineStr">
        <is>
          <t>GV SPICY GINGER 25 DC ENV TBGS</t>
        </is>
      </c>
      <c r="F757" s="7" t="n">
        <v>24</v>
      </c>
      <c r="G757" s="7" t="inlineStr">
        <is>
          <t>CTN</t>
        </is>
      </c>
      <c r="H757" t="inlineStr">
        <is>
          <t>BLEND AF BLACK TEA  GINGER TBGS</t>
        </is>
      </c>
    </row>
    <row r="758" ht="14.25" customHeight="1" s="5">
      <c r="A758" s="7" t="n">
        <v>20642</v>
      </c>
      <c r="B758" s="7" t="inlineStr">
        <is>
          <t>GV GINGER 24/25 DC ENV TBGS NOTEBOOK &amp; SHOPPING BAG</t>
        </is>
      </c>
      <c r="C758" s="7" t="inlineStr">
        <is>
          <t>GV</t>
        </is>
      </c>
      <c r="D758" s="7" t="n">
        <v>2127</v>
      </c>
      <c r="E758" s="7" t="inlineStr">
        <is>
          <t>GV SPICY GINGER 25 DC ENV TBGS</t>
        </is>
      </c>
      <c r="F758" s="7" t="n">
        <v>24</v>
      </c>
      <c r="G758" s="7" t="inlineStr">
        <is>
          <t>CTN</t>
        </is>
      </c>
      <c r="H758" t="inlineStr">
        <is>
          <t>BLEND AF BLACK TEA  GINGER TBGS</t>
        </is>
      </c>
    </row>
    <row r="759" ht="14.25" customHeight="1" s="5">
      <c r="A759" s="7" t="n">
        <v>19635</v>
      </c>
      <c r="B759" s="7" t="inlineStr">
        <is>
          <t>GV GINGER 24/25 DC SF HS ENV TBGS (AF)</t>
        </is>
      </c>
      <c r="C759" s="7" t="inlineStr">
        <is>
          <t>GV</t>
        </is>
      </c>
      <c r="D759" s="7" t="n">
        <v>19632</v>
      </c>
      <c r="E759" s="7" t="inlineStr">
        <is>
          <t>GV GINGER 25 DC SF HS ENV TBGS (AF)</t>
        </is>
      </c>
      <c r="F759" s="7" t="n">
        <v>24</v>
      </c>
      <c r="G759" s="7" t="inlineStr">
        <is>
          <t>CTN</t>
        </is>
      </c>
      <c r="H759" t="inlineStr">
        <is>
          <t>BLEND AF BLACK TEA  GINGER TBGS</t>
        </is>
      </c>
    </row>
    <row r="760" ht="14.25" customHeight="1" s="5">
      <c r="A760" s="7" t="n">
        <v>1943</v>
      </c>
      <c r="B760" s="7" t="inlineStr">
        <is>
          <t>GV GINGER 24/25 SC ENV TBGS - 1NOTEBOOK &amp; 1WRITING PAD</t>
        </is>
      </c>
      <c r="C760" s="7" t="inlineStr">
        <is>
          <t>GV</t>
        </is>
      </c>
      <c r="D760" s="7" t="n">
        <v>1944</v>
      </c>
      <c r="E760" s="7" t="inlineStr">
        <is>
          <t>GV GINGER 25 SC ENV TBGS</t>
        </is>
      </c>
      <c r="F760" s="7" t="n">
        <v>24</v>
      </c>
      <c r="G760" s="7" t="inlineStr">
        <is>
          <t>CTN</t>
        </is>
      </c>
      <c r="H760">
        <f>#N/A</f>
        <v/>
      </c>
    </row>
    <row r="761" ht="14.25" customHeight="1" s="5">
      <c r="A761" s="7" t="n">
        <v>1948</v>
      </c>
      <c r="B761" s="7" t="inlineStr">
        <is>
          <t>GV GINGER 24/25 SC ENV TBGS - NOTEBOOK &amp; WRITING PAD</t>
        </is>
      </c>
      <c r="C761" s="7" t="inlineStr">
        <is>
          <t>GV</t>
        </is>
      </c>
      <c r="D761" s="7" t="n">
        <v>1944</v>
      </c>
      <c r="E761" s="7" t="inlineStr">
        <is>
          <t>GV GINGER 25 SC ENV TBGS</t>
        </is>
      </c>
      <c r="F761" s="7" t="n">
        <v>24</v>
      </c>
      <c r="G761" s="7" t="inlineStr">
        <is>
          <t>CTN</t>
        </is>
      </c>
      <c r="H761">
        <f>#N/A</f>
        <v/>
      </c>
    </row>
    <row r="762" ht="14.25" customHeight="1" s="5">
      <c r="A762" s="7" t="n">
        <v>19994</v>
      </c>
      <c r="B762" s="7" t="inlineStr">
        <is>
          <t>GV GINGER 24/25 SC ENV TBGS NOTEBOOK &amp; SHOPPING BAG</t>
        </is>
      </c>
      <c r="C762" s="7" t="inlineStr">
        <is>
          <t>GV</t>
        </is>
      </c>
      <c r="D762" s="7" t="n">
        <v>1944</v>
      </c>
      <c r="E762" s="7" t="inlineStr">
        <is>
          <t>GV GINGER 25 SC ENV TBGS</t>
        </is>
      </c>
      <c r="F762" s="7" t="n">
        <v>24</v>
      </c>
      <c r="G762" s="7" t="inlineStr">
        <is>
          <t>CTN</t>
        </is>
      </c>
      <c r="H762">
        <f>#N/A</f>
        <v/>
      </c>
    </row>
    <row r="763" ht="14.25" customHeight="1" s="5">
      <c r="A763" s="7" t="n">
        <v>33953</v>
      </c>
      <c r="B763" s="7" t="inlineStr">
        <is>
          <t>GV GINGER CLOVE 24/25 DC ENV TBGS</t>
        </is>
      </c>
      <c r="C763" s="7" t="inlineStr">
        <is>
          <t>GV</t>
        </is>
      </c>
      <c r="D763" s="7" t="n">
        <v>33958</v>
      </c>
      <c r="E763" s="7" t="inlineStr">
        <is>
          <t>GV GINGER CLOVE 25 DC ENV TBGS</t>
        </is>
      </c>
      <c r="F763" s="7" t="n">
        <v>24</v>
      </c>
      <c r="G763" s="7" t="inlineStr">
        <is>
          <t>CTN</t>
        </is>
      </c>
      <c r="H763" t="inlineStr">
        <is>
          <t>BLEND BLACK TEA GINGER CLOVE TB AF</t>
        </is>
      </c>
    </row>
    <row r="764" ht="14.25" customHeight="1" s="5">
      <c r="A764" s="7" t="n">
        <v>35258</v>
      </c>
      <c r="B764" s="7" t="inlineStr">
        <is>
          <t>GV GINGER CLOVE 48/25 DC ENV TBGS</t>
        </is>
      </c>
      <c r="C764" s="7" t="inlineStr">
        <is>
          <t>GV</t>
        </is>
      </c>
      <c r="D764" s="7" t="n">
        <v>33958</v>
      </c>
      <c r="E764" s="7" t="inlineStr">
        <is>
          <t>GV GINGER CLOVE 25 DC ENV TBGS</t>
        </is>
      </c>
      <c r="F764" s="7" t="n">
        <v>48</v>
      </c>
      <c r="G764" s="7" t="inlineStr">
        <is>
          <t>CTN</t>
        </is>
      </c>
      <c r="H764" t="inlineStr">
        <is>
          <t>BLEND BLACK TEA GINGER CLOVE TB AF</t>
        </is>
      </c>
    </row>
    <row r="765" ht="14.25" customHeight="1" s="5">
      <c r="A765" s="7" t="n">
        <v>20361</v>
      </c>
      <c r="B765" s="7" t="inlineStr">
        <is>
          <t>GV GOLDEN CEYLON 24/200 GMS POUCH</t>
        </is>
      </c>
      <c r="C765" s="7" t="inlineStr">
        <is>
          <t>GV</t>
        </is>
      </c>
      <c r="D765" s="7" t="n">
        <v>20563</v>
      </c>
      <c r="E765" s="7" t="inlineStr">
        <is>
          <t>GV GOLDEN CEYLON 200 GMS POUCH</t>
        </is>
      </c>
      <c r="F765" s="7" t="n">
        <v>24</v>
      </c>
      <c r="G765" s="7" t="inlineStr">
        <is>
          <t>PKT</t>
        </is>
      </c>
      <c r="H765" t="inlineStr">
        <is>
          <t>BLEND MJ 4782</t>
        </is>
      </c>
    </row>
    <row r="766" ht="14.25" customHeight="1" s="5">
      <c r="A766" s="7" t="n">
        <v>19831</v>
      </c>
      <c r="B766" s="7" t="inlineStr">
        <is>
          <t>GV GREEN 24/25 DC ENV TBGS (AR)</t>
        </is>
      </c>
      <c r="C766" s="7" t="inlineStr">
        <is>
          <t>GV</t>
        </is>
      </c>
      <c r="D766" s="7" t="n">
        <v>1956</v>
      </c>
      <c r="E766" s="7" t="inlineStr">
        <is>
          <t>GV GREEN TEA 25 DC ENV TBGS</t>
        </is>
      </c>
      <c r="F766" s="7" t="n">
        <v>24</v>
      </c>
      <c r="G766" s="7" t="inlineStr">
        <is>
          <t>CTN</t>
        </is>
      </c>
      <c r="H766" t="inlineStr">
        <is>
          <t>BLEND 7434 GREEN - 90% UTZ</t>
        </is>
      </c>
    </row>
    <row r="767" ht="14.25" customHeight="1" s="5">
      <c r="A767" s="7" t="n">
        <v>20729</v>
      </c>
      <c r="B767" s="7" t="inlineStr">
        <is>
          <t>GV GREEN 24/25 DC ENV TBGS NOTEBOOK &amp; SHOPPING BAG</t>
        </is>
      </c>
      <c r="C767" s="7" t="inlineStr">
        <is>
          <t>GV</t>
        </is>
      </c>
      <c r="D767" s="7" t="n">
        <v>1956</v>
      </c>
      <c r="E767" s="7" t="inlineStr">
        <is>
          <t>GV GREEN TEA 25 DC ENV TBGS</t>
        </is>
      </c>
      <c r="F767" s="7" t="n">
        <v>24</v>
      </c>
      <c r="G767" s="7" t="inlineStr">
        <is>
          <t>CTN</t>
        </is>
      </c>
      <c r="H767" t="inlineStr">
        <is>
          <t>BLEND 7434 GREEN - 90% UTZ</t>
        </is>
      </c>
    </row>
    <row r="768" ht="14.25" customHeight="1" s="5">
      <c r="A768" s="7" t="n">
        <v>20922</v>
      </c>
      <c r="B768" s="7" t="inlineStr">
        <is>
          <t>GV GREEN 24/25 SC ENV TBGS NOTEBOOK &amp; SHOPPING BAG</t>
        </is>
      </c>
      <c r="C768" s="7" t="inlineStr">
        <is>
          <t>GV</t>
        </is>
      </c>
      <c r="D768" s="7" t="n">
        <v>1961</v>
      </c>
      <c r="E768" s="7" t="inlineStr">
        <is>
          <t>GV GREEN TEA 25 SC ENV TBGS</t>
        </is>
      </c>
      <c r="F768" s="7" t="n">
        <v>24</v>
      </c>
      <c r="G768" s="7" t="inlineStr">
        <is>
          <t>CTN</t>
        </is>
      </c>
      <c r="H768">
        <f>#N/A</f>
        <v/>
      </c>
    </row>
    <row r="769" ht="14.25" customHeight="1" s="5">
      <c r="A769" s="7" t="n">
        <v>19832</v>
      </c>
      <c r="B769" s="7" t="inlineStr">
        <is>
          <t>GV GREEN LEMON 24/25 DC ENV TBGS (AR)</t>
        </is>
      </c>
      <c r="C769" s="7" t="inlineStr">
        <is>
          <t>GV</t>
        </is>
      </c>
      <c r="D769" s="7" t="n">
        <v>1973</v>
      </c>
      <c r="E769" s="7" t="inlineStr">
        <is>
          <t>GV GREEN TEA LEMON 25 DC ENV TBGS</t>
        </is>
      </c>
      <c r="F769" s="7" t="n">
        <v>24</v>
      </c>
      <c r="G769" s="7" t="inlineStr">
        <is>
          <t>CTN</t>
        </is>
      </c>
      <c r="H769" t="inlineStr">
        <is>
          <t>BLEND GREEN CITRUS TB</t>
        </is>
      </c>
    </row>
    <row r="770" ht="14.25" customHeight="1" s="5">
      <c r="A770" s="7" t="n">
        <v>19854</v>
      </c>
      <c r="B770" s="7" t="inlineStr">
        <is>
          <t>GV GREEN LEMON 24/25 DC ENV TBGS -1NOTEBOOK &amp; 1WRITING PAD</t>
        </is>
      </c>
      <c r="C770" s="7" t="inlineStr">
        <is>
          <t>GV</t>
        </is>
      </c>
      <c r="D770" s="7" t="n">
        <v>1973</v>
      </c>
      <c r="E770" s="7" t="inlineStr">
        <is>
          <t>GV GREEN TEA LEMON 25 DC ENV TBGS</t>
        </is>
      </c>
      <c r="F770" s="7" t="n">
        <v>24</v>
      </c>
      <c r="G770" s="7" t="inlineStr">
        <is>
          <t>CTN</t>
        </is>
      </c>
      <c r="H770" t="inlineStr">
        <is>
          <t>BLEND GREEN CITRUS TB</t>
        </is>
      </c>
    </row>
    <row r="771" ht="14.25" customHeight="1" s="5">
      <c r="A771" s="7" t="n">
        <v>19995</v>
      </c>
      <c r="B771" s="7" t="inlineStr">
        <is>
          <t>GV GREEN LEMON 24/25 DC ENV TBGS NOTEBOOK &amp; SHOPPING BAG</t>
        </is>
      </c>
      <c r="C771" s="7" t="inlineStr">
        <is>
          <t>GV</t>
        </is>
      </c>
      <c r="D771" s="7" t="n">
        <v>1973</v>
      </c>
      <c r="E771" s="7" t="inlineStr">
        <is>
          <t>GV GREEN TEA LEMON 25 DC ENV TBGS</t>
        </is>
      </c>
      <c r="F771" s="7" t="n">
        <v>24</v>
      </c>
      <c r="G771" s="7" t="inlineStr">
        <is>
          <t>CTN</t>
        </is>
      </c>
      <c r="H771" t="inlineStr">
        <is>
          <t>BLEND GREEN CITRUS TB</t>
        </is>
      </c>
    </row>
    <row r="772" ht="14.25" customHeight="1" s="5">
      <c r="A772" s="7" t="n">
        <v>36531</v>
      </c>
      <c r="B772" s="7" t="inlineStr">
        <is>
          <t>GV GREEN LEMON 24/25 DC SF ENV TBGS</t>
        </is>
      </c>
      <c r="C772" s="7" t="inlineStr">
        <is>
          <t>GV</t>
        </is>
      </c>
      <c r="D772" s="7" t="n">
        <v>36624</v>
      </c>
      <c r="E772" s="7" t="inlineStr">
        <is>
          <t>GV GREEN LEMON 25 DC SF ENV TBGS</t>
        </is>
      </c>
      <c r="F772" s="7" t="n">
        <v>24</v>
      </c>
      <c r="G772" s="7" t="inlineStr">
        <is>
          <t>CTN</t>
        </is>
      </c>
      <c r="H772" t="inlineStr">
        <is>
          <t>BLEND GREEN CITRUS TB</t>
        </is>
      </c>
    </row>
    <row r="773" ht="14.25" customHeight="1" s="5">
      <c r="A773" s="7" t="n">
        <v>37001</v>
      </c>
      <c r="B773" s="7" t="inlineStr">
        <is>
          <t>GV GREEN LEMON 24/25 DC SF ENV TBGS (VINDEMIA)</t>
        </is>
      </c>
      <c r="C773" s="7" t="inlineStr">
        <is>
          <t>GV</t>
        </is>
      </c>
      <c r="D773" s="7" t="n">
        <v>37006</v>
      </c>
      <c r="E773" s="7" t="inlineStr">
        <is>
          <t>GV GREEN LEMON 25 DC SF ENV TBGS (VINDEMIA)</t>
        </is>
      </c>
      <c r="F773" s="7" t="n">
        <v>24</v>
      </c>
      <c r="G773" s="7" t="inlineStr">
        <is>
          <t>CTN</t>
        </is>
      </c>
      <c r="H773" t="inlineStr">
        <is>
          <t>BLEND GREEN CITRUS TB</t>
        </is>
      </c>
    </row>
    <row r="774" ht="14.25" customHeight="1" s="5">
      <c r="A774" s="7" t="n">
        <v>1950</v>
      </c>
      <c r="B774" s="7" t="inlineStr">
        <is>
          <t>GV GREEN LEMON 24/25 SC ENV TBGS -1NOTEBOOK &amp; 1WRITING PAD</t>
        </is>
      </c>
      <c r="C774" s="7" t="inlineStr">
        <is>
          <t>GV</t>
        </is>
      </c>
      <c r="D774" s="7" t="n">
        <v>1951</v>
      </c>
      <c r="E774" s="7" t="inlineStr">
        <is>
          <t>GV GREEN LEMON 25 SC ENV TBGS</t>
        </is>
      </c>
      <c r="F774" s="7" t="n">
        <v>24</v>
      </c>
      <c r="G774" s="7" t="inlineStr">
        <is>
          <t>CTN</t>
        </is>
      </c>
      <c r="H774">
        <f>#N/A</f>
        <v/>
      </c>
    </row>
    <row r="775" ht="14.25" customHeight="1" s="5">
      <c r="A775" s="7" t="n">
        <v>20001</v>
      </c>
      <c r="B775" s="7" t="inlineStr">
        <is>
          <t>GV GREEN LEMON 24/25 SC ENV TBGS NOTEBOOK &amp; SHOPPING BAG</t>
        </is>
      </c>
      <c r="C775" s="7" t="inlineStr">
        <is>
          <t>GV</t>
        </is>
      </c>
      <c r="D775" s="7" t="n">
        <v>1951</v>
      </c>
      <c r="E775" s="7" t="inlineStr">
        <is>
          <t>GV GREEN LEMON 25 SC ENV TBGS</t>
        </is>
      </c>
      <c r="F775" s="7" t="n">
        <v>24</v>
      </c>
      <c r="G775" s="7" t="inlineStr">
        <is>
          <t>CTN</t>
        </is>
      </c>
      <c r="H775">
        <f>#N/A</f>
        <v/>
      </c>
    </row>
    <row r="776" ht="14.25" customHeight="1" s="5">
      <c r="A776" s="7" t="n">
        <v>1955</v>
      </c>
      <c r="B776" s="7" t="inlineStr">
        <is>
          <t>GV GREEN TEA 24/25 DC ENV TBGS</t>
        </is>
      </c>
      <c r="C776" s="7" t="inlineStr">
        <is>
          <t>GV</t>
        </is>
      </c>
      <c r="D776" s="7" t="n">
        <v>1956</v>
      </c>
      <c r="E776" s="7" t="inlineStr">
        <is>
          <t>GV GREEN TEA 25 DC ENV TBGS</t>
        </is>
      </c>
      <c r="F776" s="7" t="n">
        <v>24</v>
      </c>
      <c r="G776" s="7" t="inlineStr">
        <is>
          <t>CTN</t>
        </is>
      </c>
      <c r="H776" t="inlineStr">
        <is>
          <t>BLEND 7434 GREEN - 90% UTZ</t>
        </is>
      </c>
    </row>
    <row r="777" ht="14.25" customHeight="1" s="5">
      <c r="A777" s="7" t="n">
        <v>20421</v>
      </c>
      <c r="B777" s="7" t="inlineStr">
        <is>
          <t>GV GREEN TEA 24/25 DC ENV TBGS WITH T-SHIRT (AR)</t>
        </is>
      </c>
      <c r="C777" s="7" t="inlineStr">
        <is>
          <t>GV</t>
        </is>
      </c>
      <c r="D777" s="7" t="n">
        <v>19831</v>
      </c>
      <c r="E777" s="7" t="inlineStr">
        <is>
          <t>GV GREEN 24/25 DC ENV TBGS (AR)</t>
        </is>
      </c>
      <c r="F777" s="7" t="n">
        <v>1</v>
      </c>
      <c r="G777" s="7" t="inlineStr">
        <is>
          <t>CFC</t>
        </is>
      </c>
      <c r="H777">
        <f>#N/A</f>
        <v/>
      </c>
    </row>
    <row r="778" ht="14.25" customHeight="1" s="5">
      <c r="A778" s="7" t="n">
        <v>20421</v>
      </c>
      <c r="B778" s="7" t="inlineStr">
        <is>
          <t>GV GREEN TEA 24/25 DC ENV TBGS WITH T-SHIRT (AR)</t>
        </is>
      </c>
      <c r="C778" s="7" t="inlineStr">
        <is>
          <t>GV</t>
        </is>
      </c>
      <c r="D778" s="7" t="n">
        <v>1956</v>
      </c>
      <c r="E778" s="7" t="inlineStr">
        <is>
          <t>GV GREEN TEA 25 DC ENV TBGS</t>
        </is>
      </c>
      <c r="F778" s="7" t="n">
        <v>24</v>
      </c>
      <c r="G778" s="7" t="inlineStr">
        <is>
          <t>CTN</t>
        </is>
      </c>
      <c r="H778" t="inlineStr">
        <is>
          <t>BLEND 7434 GREEN - 90% UTZ</t>
        </is>
      </c>
    </row>
    <row r="779" ht="14.25" customHeight="1" s="5">
      <c r="A779" s="7" t="n">
        <v>36532</v>
      </c>
      <c r="B779" s="7" t="inlineStr">
        <is>
          <t>GV GREEN TEA 24/25 DC SF ENV TBGS</t>
        </is>
      </c>
      <c r="C779" s="7" t="inlineStr">
        <is>
          <t>GV</t>
        </is>
      </c>
      <c r="D779" s="7" t="n">
        <v>36625</v>
      </c>
      <c r="E779" s="7" t="inlineStr">
        <is>
          <t>GV GREEN TEA 25 DC SF ENV TBGS</t>
        </is>
      </c>
      <c r="F779" s="7" t="n">
        <v>24</v>
      </c>
      <c r="G779" s="7" t="inlineStr">
        <is>
          <t>CTN</t>
        </is>
      </c>
      <c r="H779" t="inlineStr">
        <is>
          <t>BLEND 7434 GREEN - 90% UTZ</t>
        </is>
      </c>
    </row>
    <row r="780" ht="14.25" customHeight="1" s="5">
      <c r="A780" s="7" t="n">
        <v>37002</v>
      </c>
      <c r="B780" s="7" t="inlineStr">
        <is>
          <t>GV GREEN TEA 24/25 DC SF ENV TBGS (VINDEMIA)</t>
        </is>
      </c>
      <c r="C780" s="7" t="inlineStr">
        <is>
          <t>GV</t>
        </is>
      </c>
      <c r="D780" s="7" t="n">
        <v>37007</v>
      </c>
      <c r="E780" s="7" t="inlineStr">
        <is>
          <t>GV GREEN TEA 25 DC SF ENV TBGS (VINDEMIA)</t>
        </is>
      </c>
      <c r="F780" s="7" t="n">
        <v>24</v>
      </c>
      <c r="G780" s="7" t="inlineStr">
        <is>
          <t>CTN</t>
        </is>
      </c>
      <c r="H780" t="inlineStr">
        <is>
          <t>BLEND 7434 GREEN - 90% UTZ</t>
        </is>
      </c>
    </row>
    <row r="781" ht="14.25" customHeight="1" s="5">
      <c r="A781" s="7" t="n">
        <v>1960</v>
      </c>
      <c r="B781" s="7" t="inlineStr">
        <is>
          <t>GV GREEN TEA 24/25 SC ENV TBGS</t>
        </is>
      </c>
      <c r="C781" s="7" t="inlineStr">
        <is>
          <t>GV</t>
        </is>
      </c>
      <c r="D781" s="7" t="n">
        <v>1961</v>
      </c>
      <c r="E781" s="7" t="inlineStr">
        <is>
          <t>GV GREEN TEA 25 SC ENV TBGS</t>
        </is>
      </c>
      <c r="F781" s="7" t="n">
        <v>24</v>
      </c>
      <c r="G781" s="7" t="inlineStr">
        <is>
          <t>CTN</t>
        </is>
      </c>
      <c r="H781">
        <f>#N/A</f>
        <v/>
      </c>
    </row>
    <row r="782" ht="14.25" customHeight="1" s="5">
      <c r="A782" s="7" t="n">
        <v>1963</v>
      </c>
      <c r="B782" s="7" t="inlineStr">
        <is>
          <t>GV GREEN TEA 24/25 SC ENV TBGS WITH T-SHIRT</t>
        </is>
      </c>
      <c r="C782" s="7" t="inlineStr">
        <is>
          <t>GV</t>
        </is>
      </c>
      <c r="D782" s="7" t="n">
        <v>1961</v>
      </c>
      <c r="E782" s="7" t="inlineStr">
        <is>
          <t>GV GREEN TEA 25 SC ENV TBGS</t>
        </is>
      </c>
      <c r="F782" s="7" t="n">
        <v>24</v>
      </c>
      <c r="G782" s="7" t="inlineStr">
        <is>
          <t>CTN</t>
        </is>
      </c>
      <c r="H782">
        <f>#N/A</f>
        <v/>
      </c>
    </row>
    <row r="783" ht="14.25" customHeight="1" s="5">
      <c r="A783" s="7" t="n">
        <v>18566</v>
      </c>
      <c r="B783" s="7" t="inlineStr">
        <is>
          <t>GV GREEN TEA LEMON 24/25 SC ENV TBGS</t>
        </is>
      </c>
      <c r="C783" s="7" t="inlineStr">
        <is>
          <t>GV</t>
        </is>
      </c>
      <c r="D783" s="7" t="n">
        <v>1951</v>
      </c>
      <c r="E783" s="7" t="inlineStr">
        <is>
          <t>GV GREEN LEMON 25 SC ENV TBGS</t>
        </is>
      </c>
      <c r="F783" s="7" t="n">
        <v>24</v>
      </c>
      <c r="G783" s="7" t="inlineStr">
        <is>
          <t>CTN</t>
        </is>
      </c>
      <c r="H783">
        <f>#N/A</f>
        <v/>
      </c>
    </row>
    <row r="784" ht="14.25" customHeight="1" s="5">
      <c r="A784" s="7" t="n">
        <v>1965</v>
      </c>
      <c r="B784" s="7" t="inlineStr">
        <is>
          <t>GV GREEN TEA LEMON 24/25 SC ENV TBGS - NOTEBOOK &amp; WRITING PAD</t>
        </is>
      </c>
      <c r="C784" s="7" t="inlineStr">
        <is>
          <t>GV</t>
        </is>
      </c>
      <c r="D784" s="7" t="n">
        <v>1951</v>
      </c>
      <c r="E784" s="7" t="inlineStr">
        <is>
          <t>GV GREEN LEMON 25 SC ENV TBGS</t>
        </is>
      </c>
      <c r="F784" s="7" t="n">
        <v>24</v>
      </c>
      <c r="G784" s="7" t="inlineStr">
        <is>
          <t>CTN</t>
        </is>
      </c>
      <c r="H784">
        <f>#N/A</f>
        <v/>
      </c>
    </row>
    <row r="785" ht="14.25" customHeight="1" s="5">
      <c r="A785" s="7" t="n">
        <v>22316</v>
      </c>
      <c r="B785" s="7" t="inlineStr">
        <is>
          <t>GV GREEN TEA MINT 24/25 DC ENV TBGS</t>
        </is>
      </c>
      <c r="C785" s="7" t="inlineStr">
        <is>
          <t>GV</t>
        </is>
      </c>
      <c r="D785" s="7" t="n">
        <v>22318</v>
      </c>
      <c r="E785" s="7" t="inlineStr">
        <is>
          <t>GV GREEN TEA MINT 25 DC ENV TBGS</t>
        </is>
      </c>
      <c r="F785" s="7" t="n">
        <v>24</v>
      </c>
      <c r="G785" s="7" t="inlineStr">
        <is>
          <t>CTN</t>
        </is>
      </c>
      <c r="H785" t="inlineStr">
        <is>
          <t>BLEND GREEN TEA MINT TBC - AF</t>
        </is>
      </c>
    </row>
    <row r="786" ht="14.25" customHeight="1" s="5">
      <c r="A786" s="7" t="n">
        <v>31482</v>
      </c>
      <c r="B786" s="7" t="inlineStr">
        <is>
          <t>GV GREEN TEA MINT 24/25 DC ENV TBGS (1.5 GMS)</t>
        </is>
      </c>
      <c r="C786" s="7" t="inlineStr">
        <is>
          <t>GV</t>
        </is>
      </c>
      <c r="D786" s="7" t="n">
        <v>31539</v>
      </c>
      <c r="E786" s="7" t="inlineStr">
        <is>
          <t>GV GREEN TEA MINT 25 DC ENV TBGS (1.5 GMS)</t>
        </is>
      </c>
      <c r="F786" s="7" t="n">
        <v>24</v>
      </c>
      <c r="G786" s="7" t="inlineStr">
        <is>
          <t>KGS</t>
        </is>
      </c>
      <c r="H786" t="inlineStr">
        <is>
          <t>BLEND GREEN TEA MINT TBC - AF</t>
        </is>
      </c>
    </row>
    <row r="787" ht="14.25" customHeight="1" s="5">
      <c r="A787" s="7" t="n">
        <v>18554</v>
      </c>
      <c r="B787" s="7" t="inlineStr">
        <is>
          <t>GV GREEN TEA MINT 24/25 SC ENV TBGS</t>
        </is>
      </c>
      <c r="C787" s="7" t="inlineStr">
        <is>
          <t>GV</t>
        </is>
      </c>
      <c r="D787" s="7" t="n">
        <v>18782</v>
      </c>
      <c r="E787" s="7" t="inlineStr">
        <is>
          <t>GV GREEN MINT 25 SC ENV TBGS</t>
        </is>
      </c>
      <c r="F787" s="7" t="n">
        <v>24</v>
      </c>
      <c r="G787" s="7" t="inlineStr">
        <is>
          <t>CTN</t>
        </is>
      </c>
      <c r="H787">
        <f>#N/A</f>
        <v/>
      </c>
    </row>
    <row r="788" ht="14.25" customHeight="1" s="5">
      <c r="A788" s="7" t="n">
        <v>20423</v>
      </c>
      <c r="B788" s="7" t="inlineStr">
        <is>
          <t>GV GREEN TEA MORINGA 24/25 DC ENV TBGS WITH TSHIRT (AR)</t>
        </is>
      </c>
      <c r="C788" s="7" t="inlineStr">
        <is>
          <t>GV</t>
        </is>
      </c>
      <c r="D788" s="7" t="n">
        <v>21686</v>
      </c>
      <c r="E788" s="7" t="inlineStr">
        <is>
          <t>GV GREEN TEA MORINGA 24/25 DC ENV TBGS</t>
        </is>
      </c>
      <c r="F788" s="7" t="n">
        <v>1</v>
      </c>
      <c r="G788" s="7" t="inlineStr">
        <is>
          <t>CFC</t>
        </is>
      </c>
      <c r="H788">
        <f>#N/A</f>
        <v/>
      </c>
    </row>
    <row r="789" ht="14.25" customHeight="1" s="5">
      <c r="A789" s="7" t="n">
        <v>20423</v>
      </c>
      <c r="B789" s="7" t="inlineStr">
        <is>
          <t>GV GREEN TEA MORINGA 24/25 DC ENV TBGS WITH TSHIRT (AR)</t>
        </is>
      </c>
      <c r="C789" s="7" t="inlineStr">
        <is>
          <t>GV</t>
        </is>
      </c>
      <c r="D789" s="7" t="n">
        <v>21072</v>
      </c>
      <c r="E789" s="7" t="inlineStr">
        <is>
          <t>GV GREEN MORINGA 25 DC ENV TBGS</t>
        </is>
      </c>
      <c r="F789" s="7" t="n">
        <v>24</v>
      </c>
      <c r="G789" s="7" t="inlineStr">
        <is>
          <t>CTN</t>
        </is>
      </c>
      <c r="H789" t="inlineStr">
        <is>
          <t>BLEND GREEN TEA MORINGA GINGER TB</t>
        </is>
      </c>
    </row>
    <row r="790" ht="14.25" customHeight="1" s="5">
      <c r="A790" s="7" t="n">
        <v>36533</v>
      </c>
      <c r="B790" s="7" t="inlineStr">
        <is>
          <t>GV GREEN TEA MORINGA 24/25 DC SF ENV TBGS</t>
        </is>
      </c>
      <c r="C790" s="7" t="inlineStr">
        <is>
          <t>GV</t>
        </is>
      </c>
      <c r="D790" s="7" t="n">
        <v>36626</v>
      </c>
      <c r="E790" s="7" t="inlineStr">
        <is>
          <t>GV GREEN MORINGA 25 DC SF ENV TBGS</t>
        </is>
      </c>
      <c r="F790" s="7" t="n">
        <v>24</v>
      </c>
      <c r="G790" s="7" t="inlineStr">
        <is>
          <t>CTN</t>
        </is>
      </c>
      <c r="H790" t="inlineStr">
        <is>
          <t>BLEND GREEN TEA MORINGA GINGER TB</t>
        </is>
      </c>
    </row>
    <row r="791" ht="14.25" customHeight="1" s="5">
      <c r="A791" s="7" t="n">
        <v>37003</v>
      </c>
      <c r="B791" s="7" t="inlineStr">
        <is>
          <t>GV GREEN TEA MORINGA 24/25 DC SF ENV TBGS (VINDEMIA)</t>
        </is>
      </c>
      <c r="C791" s="7" t="inlineStr">
        <is>
          <t>GV</t>
        </is>
      </c>
      <c r="D791" s="7" t="n">
        <v>37008</v>
      </c>
      <c r="E791" s="7" t="inlineStr">
        <is>
          <t>GV GREEN MORINGA 25 DC SF ENV TBGS (VINDEMIA)</t>
        </is>
      </c>
      <c r="F791" s="7" t="n">
        <v>24</v>
      </c>
      <c r="G791" s="7" t="inlineStr">
        <is>
          <t>CTN</t>
        </is>
      </c>
      <c r="H791" t="inlineStr">
        <is>
          <t>BLEND GREEN TEA MORINGA GINGER TB</t>
        </is>
      </c>
    </row>
    <row r="792" ht="14.25" customHeight="1" s="5">
      <c r="A792" s="7" t="n">
        <v>1967</v>
      </c>
      <c r="B792" s="7" t="inlineStr">
        <is>
          <t>GV GREEN TEA MORINGA 24/25 SC ENV TBGS WITH TSHIRT</t>
        </is>
      </c>
      <c r="C792" s="7" t="inlineStr">
        <is>
          <t>GV</t>
        </is>
      </c>
      <c r="D792" s="7" t="n">
        <v>1968</v>
      </c>
      <c r="E792" s="7" t="inlineStr">
        <is>
          <t>GV GREEN TEA MORINGA 25 SC ENV TBGS</t>
        </is>
      </c>
      <c r="F792" s="7" t="n">
        <v>24</v>
      </c>
      <c r="G792" s="7" t="inlineStr">
        <is>
          <t>CTN</t>
        </is>
      </c>
      <c r="H792">
        <f>#N/A</f>
        <v/>
      </c>
    </row>
    <row r="793" ht="14.25" customHeight="1" s="5">
      <c r="A793" s="7" t="n">
        <v>1972</v>
      </c>
      <c r="B793" s="7" t="inlineStr">
        <is>
          <t>GV GREEN TEA WITH LEMON 24/25 DC ENV TBGS WITH TSHIRT</t>
        </is>
      </c>
      <c r="C793" s="7" t="inlineStr">
        <is>
          <t>GV</t>
        </is>
      </c>
      <c r="D793" s="7" t="n">
        <v>19832</v>
      </c>
      <c r="E793" s="7" t="inlineStr">
        <is>
          <t>GV GREEN LEMON 24/25 DC ENV TBGS (AR)</t>
        </is>
      </c>
      <c r="F793" s="7" t="n">
        <v>1</v>
      </c>
      <c r="G793" s="7" t="inlineStr">
        <is>
          <t>CFC</t>
        </is>
      </c>
      <c r="H793">
        <f>#N/A</f>
        <v/>
      </c>
    </row>
    <row r="794" ht="14.25" customHeight="1" s="5">
      <c r="A794" s="7" t="n">
        <v>1972</v>
      </c>
      <c r="B794" s="7" t="inlineStr">
        <is>
          <t>GV GREEN TEA WITH LEMON 24/25 DC ENV TBGS WITH TSHIRT</t>
        </is>
      </c>
      <c r="C794" s="7" t="inlineStr">
        <is>
          <t>GV</t>
        </is>
      </c>
      <c r="D794" s="7" t="n">
        <v>1973</v>
      </c>
      <c r="E794" s="7" t="inlineStr">
        <is>
          <t>GV GREEN TEA LEMON 25 DC ENV TBGS</t>
        </is>
      </c>
      <c r="F794" s="7" t="n">
        <v>24</v>
      </c>
      <c r="G794" s="7" t="inlineStr">
        <is>
          <t>CTN</t>
        </is>
      </c>
      <c r="H794" t="inlineStr">
        <is>
          <t>BLEND GREEN CITRUS TB</t>
        </is>
      </c>
    </row>
    <row r="795" ht="14.25" customHeight="1" s="5">
      <c r="A795" s="7" t="n">
        <v>1975</v>
      </c>
      <c r="B795" s="7" t="inlineStr">
        <is>
          <t>GV GREEN TEA WITH LEMON 24/25 SC ENV TBGS WITH TSHIRT</t>
        </is>
      </c>
      <c r="C795" s="7" t="inlineStr">
        <is>
          <t>GV</t>
        </is>
      </c>
      <c r="D795" s="7" t="n">
        <v>1951</v>
      </c>
      <c r="E795" s="7" t="inlineStr">
        <is>
          <t>GV GREEN LEMON 25 SC ENV TBGS</t>
        </is>
      </c>
      <c r="F795" s="7" t="n">
        <v>24</v>
      </c>
      <c r="G795" s="7" t="inlineStr">
        <is>
          <t>CTN</t>
        </is>
      </c>
      <c r="H795">
        <f>#N/A</f>
        <v/>
      </c>
    </row>
    <row r="796" ht="14.25" customHeight="1" s="5">
      <c r="A796" s="7" t="n">
        <v>21686</v>
      </c>
      <c r="B796" s="7" t="inlineStr">
        <is>
          <t>GV GREEN TEA MORINGA 24/25 DC ENV TBGS</t>
        </is>
      </c>
      <c r="C796" s="7" t="inlineStr">
        <is>
          <t>GV</t>
        </is>
      </c>
      <c r="D796" s="7" t="n">
        <v>21072</v>
      </c>
      <c r="E796" s="7" t="inlineStr">
        <is>
          <t>GV GREEN MORINGA 25 DC ENV TBGS</t>
        </is>
      </c>
      <c r="F796" s="7" t="n">
        <v>24</v>
      </c>
      <c r="G796" s="7" t="inlineStr">
        <is>
          <t>CTN</t>
        </is>
      </c>
      <c r="H796" t="inlineStr">
        <is>
          <t>BLEND GREEN TEA MORINGA GINGER TB</t>
        </is>
      </c>
    </row>
    <row r="797" ht="14.25" customHeight="1" s="5">
      <c r="A797" s="7" t="n">
        <v>1977</v>
      </c>
      <c r="B797" s="7" t="inlineStr">
        <is>
          <t>GV HERBAL CRANBERRY 24/25 SC ENV TBGS - NOTEBOOK &amp; WRITING PAD</t>
        </is>
      </c>
      <c r="C797" s="7" t="inlineStr">
        <is>
          <t>GV</t>
        </is>
      </c>
      <c r="D797" s="7" t="n">
        <v>1980</v>
      </c>
      <c r="E797" s="7" t="inlineStr">
        <is>
          <t>GV HERBAL CRANBERRY APPLE 25 SC ENV TBGS</t>
        </is>
      </c>
      <c r="F797" s="7" t="n">
        <v>24</v>
      </c>
      <c r="G797" s="7" t="inlineStr">
        <is>
          <t>CTN</t>
        </is>
      </c>
      <c r="H797">
        <f>#N/A</f>
        <v/>
      </c>
    </row>
    <row r="798" ht="14.25" customHeight="1" s="5">
      <c r="A798" s="7" t="n">
        <v>1979</v>
      </c>
      <c r="B798" s="7" t="inlineStr">
        <is>
          <t>GV HERBAL CRANBERRY APPLE 24/25 SC ENV TBGS</t>
        </is>
      </c>
      <c r="C798" s="7" t="inlineStr">
        <is>
          <t>GV</t>
        </is>
      </c>
      <c r="D798" s="7" t="n">
        <v>1980</v>
      </c>
      <c r="E798" s="7" t="inlineStr">
        <is>
          <t>GV HERBAL CRANBERRY APPLE 25 SC ENV TBGS</t>
        </is>
      </c>
      <c r="F798" s="7" t="n">
        <v>24</v>
      </c>
      <c r="G798" s="7" t="inlineStr">
        <is>
          <t>CTN</t>
        </is>
      </c>
      <c r="H798">
        <f>#N/A</f>
        <v/>
      </c>
    </row>
    <row r="799" ht="14.25" customHeight="1" s="5">
      <c r="A799" s="7" t="n">
        <v>1981</v>
      </c>
      <c r="B799" s="7" t="inlineStr">
        <is>
          <t>GV HERBAL CRANBERRY APPLE 24/25 SC ENV TBGS WITH TSHIRT</t>
        </is>
      </c>
      <c r="C799" s="7" t="inlineStr">
        <is>
          <t>GV</t>
        </is>
      </c>
      <c r="D799" s="7" t="n">
        <v>1980</v>
      </c>
      <c r="E799" s="7" t="inlineStr">
        <is>
          <t>GV HERBAL CRANBERRY APPLE 25 SC ENV TBGS</t>
        </is>
      </c>
      <c r="F799" s="7" t="n">
        <v>24</v>
      </c>
      <c r="G799" s="7" t="inlineStr">
        <is>
          <t>CTN</t>
        </is>
      </c>
      <c r="H799">
        <f>#N/A</f>
        <v/>
      </c>
    </row>
    <row r="800" ht="14.25" customHeight="1" s="5">
      <c r="A800" s="7" t="n">
        <v>1983</v>
      </c>
      <c r="B800" s="7" t="inlineStr">
        <is>
          <t>GV LEMON 24/25 SC ENV TBGS - NOTEBOOK &amp; WRITING PAD</t>
        </is>
      </c>
      <c r="C800" s="7" t="inlineStr">
        <is>
          <t>GV</t>
        </is>
      </c>
      <c r="D800" s="7" t="n">
        <v>1984</v>
      </c>
      <c r="E800" s="7" t="inlineStr">
        <is>
          <t>GV LEMON 25 SC ENV TBGS</t>
        </is>
      </c>
      <c r="F800" s="7" t="n">
        <v>24</v>
      </c>
      <c r="G800" s="7" t="inlineStr">
        <is>
          <t>CTN</t>
        </is>
      </c>
      <c r="H800">
        <f>#N/A</f>
        <v/>
      </c>
    </row>
    <row r="801" ht="14.25" customHeight="1" s="5">
      <c r="A801" s="7" t="n">
        <v>1988</v>
      </c>
      <c r="B801" s="7" t="inlineStr">
        <is>
          <t>GV LEMON 24/25 SC ENV TBGS -1NOTEBOOK &amp; 1WRITING PAD</t>
        </is>
      </c>
      <c r="C801" s="7" t="inlineStr">
        <is>
          <t>GV</t>
        </is>
      </c>
      <c r="D801" s="7" t="n">
        <v>1984</v>
      </c>
      <c r="E801" s="7" t="inlineStr">
        <is>
          <t>GV LEMON 25 SC ENV TBGS</t>
        </is>
      </c>
      <c r="F801" s="7" t="n">
        <v>24</v>
      </c>
      <c r="G801" s="7" t="inlineStr">
        <is>
          <t>CTN</t>
        </is>
      </c>
      <c r="H801">
        <f>#N/A</f>
        <v/>
      </c>
    </row>
    <row r="802" ht="14.25" customHeight="1" s="5">
      <c r="A802" s="7" t="n">
        <v>19996</v>
      </c>
      <c r="B802" s="7" t="inlineStr">
        <is>
          <t>GV LEMON 24/25 SC ENV TBGS NOTEBOOK &amp; SHOPPING BAG</t>
        </is>
      </c>
      <c r="C802" s="7" t="inlineStr">
        <is>
          <t>GV</t>
        </is>
      </c>
      <c r="D802" s="7" t="n">
        <v>1984</v>
      </c>
      <c r="E802" s="7" t="inlineStr">
        <is>
          <t>GV LEMON 25 SC ENV TBGS</t>
        </is>
      </c>
      <c r="F802" s="7" t="n">
        <v>24</v>
      </c>
      <c r="G802" s="7" t="inlineStr">
        <is>
          <t>CTN</t>
        </is>
      </c>
      <c r="H802">
        <f>#N/A</f>
        <v/>
      </c>
    </row>
    <row r="803" ht="14.25" customHeight="1" s="5">
      <c r="A803" s="7" t="n">
        <v>19826</v>
      </c>
      <c r="B803" s="7" t="inlineStr">
        <is>
          <t>GV LEMON 48/25 DC ENV TBGS WITH TSHIRT</t>
        </is>
      </c>
      <c r="C803" s="7" t="inlineStr">
        <is>
          <t>GV</t>
        </is>
      </c>
      <c r="D803" s="7" t="n">
        <v>2101</v>
      </c>
      <c r="E803" s="7" t="inlineStr">
        <is>
          <t>GV ROYAL LEMON 25 DC ENV TBGS</t>
        </is>
      </c>
      <c r="F803" s="7" t="n">
        <v>48</v>
      </c>
      <c r="G803" s="7" t="inlineStr">
        <is>
          <t>CTN</t>
        </is>
      </c>
      <c r="H803" t="inlineStr">
        <is>
          <t>BLEND BLACK TEA LEMON TB</t>
        </is>
      </c>
    </row>
    <row r="804" ht="14.25" customHeight="1" s="5">
      <c r="A804" s="7" t="n">
        <v>21166</v>
      </c>
      <c r="B804" s="7" t="inlineStr">
        <is>
          <t>GV LEMON GRASS 24/25 DC ENV TBGS</t>
        </is>
      </c>
      <c r="C804" s="7" t="inlineStr">
        <is>
          <t>GV</t>
        </is>
      </c>
      <c r="D804" s="7" t="n">
        <v>20724</v>
      </c>
      <c r="E804" s="7" t="inlineStr">
        <is>
          <t>GV LEMON GRASS 25 DC ENV TBGS</t>
        </is>
      </c>
      <c r="F804" s="7" t="n">
        <v>24</v>
      </c>
      <c r="G804" s="7" t="inlineStr">
        <is>
          <t>CTN</t>
        </is>
      </c>
      <c r="H804" t="inlineStr">
        <is>
          <t>BLEND GREEN TEA LEMON GRASS TBC - AF</t>
        </is>
      </c>
    </row>
    <row r="805" ht="14.25" customHeight="1" s="5">
      <c r="A805" s="7" t="n">
        <v>20422</v>
      </c>
      <c r="B805" s="7" t="inlineStr">
        <is>
          <t>GV LEMON GRASS 24/25 DC ENV TBGS WITH TSHIRT (AR)</t>
        </is>
      </c>
      <c r="C805" s="7" t="inlineStr">
        <is>
          <t>GV</t>
        </is>
      </c>
      <c r="D805" s="7" t="n">
        <v>21166</v>
      </c>
      <c r="E805" s="7" t="inlineStr">
        <is>
          <t>GV LEMON GRASS 24/25 DC ENV TBGS</t>
        </is>
      </c>
      <c r="F805" s="7" t="n">
        <v>1</v>
      </c>
      <c r="G805" s="7" t="inlineStr">
        <is>
          <t>CFC</t>
        </is>
      </c>
      <c r="H805">
        <f>#N/A</f>
        <v/>
      </c>
    </row>
    <row r="806" ht="14.25" customHeight="1" s="5">
      <c r="A806" s="7" t="n">
        <v>20422</v>
      </c>
      <c r="B806" s="7" t="inlineStr">
        <is>
          <t>GV LEMON GRASS 24/25 DC ENV TBGS WITH TSHIRT (AR)</t>
        </is>
      </c>
      <c r="C806" s="7" t="inlineStr">
        <is>
          <t>GV</t>
        </is>
      </c>
      <c r="D806" s="7" t="n">
        <v>20724</v>
      </c>
      <c r="E806" s="7" t="inlineStr">
        <is>
          <t>GV LEMON GRASS 25 DC ENV TBGS</t>
        </is>
      </c>
      <c r="F806" s="7" t="n">
        <v>24</v>
      </c>
      <c r="G806" s="7" t="inlineStr">
        <is>
          <t>CTN</t>
        </is>
      </c>
      <c r="H806" t="inlineStr">
        <is>
          <t>BLEND GREEN TEA LEMON GRASS TBC - AF</t>
        </is>
      </c>
    </row>
    <row r="807" ht="14.25" customHeight="1" s="5">
      <c r="A807" s="7" t="n">
        <v>1990</v>
      </c>
      <c r="B807" s="7" t="inlineStr">
        <is>
          <t>GV LEMON GRASS 24/25 SC ENV TBGS WITH TSHIRT</t>
        </is>
      </c>
      <c r="C807" s="7" t="inlineStr">
        <is>
          <t>GV</t>
        </is>
      </c>
      <c r="D807" s="7" t="n">
        <v>1991</v>
      </c>
      <c r="E807" s="7" t="inlineStr">
        <is>
          <t>GV LEMON GRASS 25 SC ENV TBGS</t>
        </is>
      </c>
      <c r="F807" s="7" t="n">
        <v>24</v>
      </c>
      <c r="G807" s="7" t="inlineStr">
        <is>
          <t>CTN</t>
        </is>
      </c>
      <c r="H807">
        <f>#N/A</f>
        <v/>
      </c>
    </row>
    <row r="808" ht="14.25" customHeight="1" s="5">
      <c r="A808" s="7" t="n">
        <v>17806</v>
      </c>
      <c r="B808" s="7" t="inlineStr">
        <is>
          <t>GV LEMON JAZZ 12/25 DC SF HS ENV TBGS</t>
        </is>
      </c>
      <c r="C808" s="7" t="inlineStr">
        <is>
          <t>GV</t>
        </is>
      </c>
      <c r="D808" s="7" t="n">
        <v>1996</v>
      </c>
      <c r="E808" s="7" t="inlineStr">
        <is>
          <t>GV LEMON JAZZ 25 DC SF HS ENV TBGS</t>
        </is>
      </c>
      <c r="F808" s="7" t="n">
        <v>12</v>
      </c>
      <c r="G808" s="7" t="inlineStr">
        <is>
          <t>CTN</t>
        </is>
      </c>
      <c r="H808" t="inlineStr">
        <is>
          <t>BLEND BLACK TEA LEMON TB - RUS</t>
        </is>
      </c>
    </row>
    <row r="809" ht="14.25" customHeight="1" s="5">
      <c r="A809" s="7" t="n">
        <v>35349</v>
      </c>
      <c r="B809" s="7" t="inlineStr">
        <is>
          <t>GV LEMON JAZZ 12/25 DC SF HS ENV TBGS (AF)</t>
        </is>
      </c>
      <c r="C809" s="7" t="inlineStr">
        <is>
          <t>GV</t>
        </is>
      </c>
      <c r="D809" s="7" t="n">
        <v>18961</v>
      </c>
      <c r="E809" s="7" t="inlineStr">
        <is>
          <t>GV LEMON JAZZ 25 DC SF HS ENV TBGS (AF)</t>
        </is>
      </c>
      <c r="F809" s="7" t="n">
        <v>12</v>
      </c>
      <c r="G809" s="7" t="inlineStr">
        <is>
          <t>CTN</t>
        </is>
      </c>
      <c r="H809" t="inlineStr">
        <is>
          <t>BLEND BLACK TEA LEMON TB - RUS</t>
        </is>
      </c>
    </row>
    <row r="810" ht="14.25" customHeight="1" s="5">
      <c r="A810" s="7" t="n">
        <v>33828</v>
      </c>
      <c r="B810" s="7" t="inlineStr">
        <is>
          <t>GV LEMON JAZZ 12/25 DC SF HS ENV TBGS (F-ENV)</t>
        </is>
      </c>
      <c r="C810" s="7" t="inlineStr">
        <is>
          <t>GV</t>
        </is>
      </c>
      <c r="D810" s="7" t="n">
        <v>33837</v>
      </c>
      <c r="E810" s="7" t="inlineStr">
        <is>
          <t>GV LEMON JAZZ 25 DC SF HS ENV TBGS (F-ENV)</t>
        </is>
      </c>
      <c r="F810" s="7" t="n">
        <v>12</v>
      </c>
      <c r="G810" s="7" t="inlineStr">
        <is>
          <t>CTN</t>
        </is>
      </c>
      <c r="H810" t="inlineStr">
        <is>
          <t>BLEND BLACK TEA LEMON TB - RUS</t>
        </is>
      </c>
    </row>
    <row r="811" ht="14.25" customHeight="1" s="5">
      <c r="A811" s="7" t="n">
        <v>35707</v>
      </c>
      <c r="B811" s="7" t="inlineStr">
        <is>
          <t>GV LEMON JAZZ 12/25 DC SF HS ENV TBGS (MOLDOVA)</t>
        </is>
      </c>
      <c r="C811" s="7" t="inlineStr">
        <is>
          <t>GV</t>
        </is>
      </c>
      <c r="D811" s="7" t="n">
        <v>35804</v>
      </c>
      <c r="E811" s="7" t="inlineStr">
        <is>
          <t>GV LEMON JAZZ 25 DC SF HS ENV TBGS (MOLDOVA)</t>
        </is>
      </c>
      <c r="F811" s="7" t="n">
        <v>12</v>
      </c>
      <c r="G811" s="7" t="inlineStr">
        <is>
          <t>CTN</t>
        </is>
      </c>
      <c r="H811" t="inlineStr">
        <is>
          <t>BLEND BLACK TEA LEMON TB - RUS</t>
        </is>
      </c>
    </row>
    <row r="812" ht="14.25" customHeight="1" s="5">
      <c r="A812" s="7" t="n">
        <v>27511</v>
      </c>
      <c r="B812" s="7" t="inlineStr">
        <is>
          <t>GV LEMON JAZZ 12/25 DC SF HS ENV TBGS (UKR)</t>
        </is>
      </c>
      <c r="C812" s="7" t="inlineStr">
        <is>
          <t>GV</t>
        </is>
      </c>
      <c r="D812" s="7" t="n">
        <v>27552</v>
      </c>
      <c r="E812" s="7" t="inlineStr">
        <is>
          <t>GV LEMON JAZZ 25 DC SF HS ENV TBGS (UKR)</t>
        </is>
      </c>
      <c r="F812" s="7" t="n">
        <v>12</v>
      </c>
      <c r="G812" s="7" t="inlineStr">
        <is>
          <t>CTN</t>
        </is>
      </c>
      <c r="H812" t="inlineStr">
        <is>
          <t>BLEND BLACK TEA LEMON TB - RUS</t>
        </is>
      </c>
    </row>
    <row r="813" ht="14.25" customHeight="1" s="5">
      <c r="A813" s="7" t="n">
        <v>1995</v>
      </c>
      <c r="B813" s="7" t="inlineStr">
        <is>
          <t>GV LEMON JAZZ 24/25 DC SF HS ENV TBGS</t>
        </is>
      </c>
      <c r="C813" s="7" t="inlineStr">
        <is>
          <t>GV</t>
        </is>
      </c>
      <c r="D813" s="7" t="n">
        <v>1996</v>
      </c>
      <c r="E813" s="7" t="inlineStr">
        <is>
          <t>GV LEMON JAZZ 25 DC SF HS ENV TBGS</t>
        </is>
      </c>
      <c r="F813" s="7" t="n">
        <v>24</v>
      </c>
      <c r="G813" s="7" t="inlineStr">
        <is>
          <t>CTN</t>
        </is>
      </c>
      <c r="H813" t="inlineStr">
        <is>
          <t>BLEND BLACK TEA LEMON TB - RUS</t>
        </is>
      </c>
    </row>
    <row r="814" ht="14.25" customHeight="1" s="5">
      <c r="A814" s="7" t="n">
        <v>18560</v>
      </c>
      <c r="B814" s="7" t="inlineStr">
        <is>
          <t>GV LEMON JAZZ 24/25 DC SF HS ENV TBGS (AF)</t>
        </is>
      </c>
      <c r="C814" s="7" t="inlineStr">
        <is>
          <t>GV</t>
        </is>
      </c>
      <c r="D814" s="7" t="n">
        <v>18961</v>
      </c>
      <c r="E814" s="7" t="inlineStr">
        <is>
          <t>GV LEMON JAZZ 25 DC SF HS ENV TBGS (AF)</t>
        </is>
      </c>
      <c r="F814" s="7" t="n">
        <v>24</v>
      </c>
      <c r="G814" s="7" t="inlineStr">
        <is>
          <t>CTN</t>
        </is>
      </c>
      <c r="H814" t="inlineStr">
        <is>
          <t>BLEND BLACK TEA LEMON TB - RUS</t>
        </is>
      </c>
    </row>
    <row r="815" ht="14.25" customHeight="1" s="5">
      <c r="A815" s="7" t="n">
        <v>19784</v>
      </c>
      <c r="B815" s="7" t="inlineStr">
        <is>
          <t>GV LEMON JAZZ 24/25 DC SF HS ENV TBGS (AR)</t>
        </is>
      </c>
      <c r="C815" s="7" t="inlineStr">
        <is>
          <t>GV</t>
        </is>
      </c>
      <c r="D815" s="7" t="n">
        <v>19788</v>
      </c>
      <c r="E815" s="7" t="inlineStr">
        <is>
          <t>GV LEMON JAZZ 25 DC SF HS ENV TBGS (AR)</t>
        </is>
      </c>
      <c r="F815" s="7" t="n">
        <v>24</v>
      </c>
      <c r="G815" s="7" t="inlineStr">
        <is>
          <t>CTN</t>
        </is>
      </c>
      <c r="H815" t="inlineStr">
        <is>
          <t>BLEND BLACK TEA LEMON TB - RUS</t>
        </is>
      </c>
    </row>
    <row r="816" ht="14.25" customHeight="1" s="5">
      <c r="A816" s="7" t="n">
        <v>26557</v>
      </c>
      <c r="B816" s="7" t="inlineStr">
        <is>
          <t>GV MANGO 24/25 DC ENV TBGS</t>
        </is>
      </c>
      <c r="C816" s="7" t="inlineStr">
        <is>
          <t>GV</t>
        </is>
      </c>
      <c r="D816" s="7" t="n">
        <v>2001</v>
      </c>
      <c r="E816" s="7" t="inlineStr">
        <is>
          <t>GV MANGO 25 DC ENV TBGS</t>
        </is>
      </c>
      <c r="F816" s="7" t="n">
        <v>24</v>
      </c>
      <c r="G816" s="7" t="inlineStr">
        <is>
          <t>CTN</t>
        </is>
      </c>
      <c r="H816" t="inlineStr">
        <is>
          <t>BLEND AF BLACK TEA WITH MANGO TBGS</t>
        </is>
      </c>
    </row>
    <row r="817" ht="14.25" customHeight="1" s="5">
      <c r="A817" s="7" t="n">
        <v>19846</v>
      </c>
      <c r="B817" s="7" t="inlineStr">
        <is>
          <t>GV MANGO 24/25 DC ENV TBGS -1 NOTEBOOK &amp; 1 WRITING PAD</t>
        </is>
      </c>
      <c r="C817" s="7" t="inlineStr">
        <is>
          <t>GV</t>
        </is>
      </c>
      <c r="D817" s="7" t="n">
        <v>2001</v>
      </c>
      <c r="E817" s="7" t="inlineStr">
        <is>
          <t>GV MANGO 25 DC ENV TBGS</t>
        </is>
      </c>
      <c r="F817" s="7" t="n">
        <v>24</v>
      </c>
      <c r="G817" s="7" t="inlineStr">
        <is>
          <t>CTN</t>
        </is>
      </c>
      <c r="H817" t="inlineStr">
        <is>
          <t>BLEND AF BLACK TEA WITH MANGO TBGS</t>
        </is>
      </c>
    </row>
    <row r="818" ht="14.25" customHeight="1" s="5">
      <c r="A818" s="7" t="n">
        <v>20653</v>
      </c>
      <c r="B818" s="7" t="inlineStr">
        <is>
          <t>GV MANGO 24/25 DC ENV TBGS NOTEBOOK &amp; SHOPPING BAG</t>
        </is>
      </c>
      <c r="C818" s="7" t="inlineStr">
        <is>
          <t>GV</t>
        </is>
      </c>
      <c r="D818" s="7" t="n">
        <v>2001</v>
      </c>
      <c r="E818" s="7" t="inlineStr">
        <is>
          <t>GV MANGO 25 DC ENV TBGS</t>
        </is>
      </c>
      <c r="F818" s="7" t="n">
        <v>24</v>
      </c>
      <c r="G818" s="7" t="inlineStr">
        <is>
          <t>CTN</t>
        </is>
      </c>
      <c r="H818" t="inlineStr">
        <is>
          <t>BLEND AF BLACK TEA WITH MANGO TBGS</t>
        </is>
      </c>
    </row>
    <row r="819" ht="14.25" customHeight="1" s="5">
      <c r="A819" s="7" t="n">
        <v>2000</v>
      </c>
      <c r="B819" s="7" t="inlineStr">
        <is>
          <t>GV MANGO 24/25 DC ENV TBGS WITH TSHIRT</t>
        </is>
      </c>
      <c r="C819" s="7" t="inlineStr">
        <is>
          <t>GV</t>
        </is>
      </c>
      <c r="D819" s="7" t="n">
        <v>2001</v>
      </c>
      <c r="E819" s="7" t="inlineStr">
        <is>
          <t>GV MANGO 25 DC ENV TBGS</t>
        </is>
      </c>
      <c r="F819" s="7" t="n">
        <v>24</v>
      </c>
      <c r="G819" s="7" t="inlineStr">
        <is>
          <t>CTN</t>
        </is>
      </c>
      <c r="H819" t="inlineStr">
        <is>
          <t>BLEND AF BLACK TEA WITH MANGO TBGS</t>
        </is>
      </c>
    </row>
    <row r="820" ht="14.25" customHeight="1" s="5">
      <c r="A820" s="7" t="n">
        <v>2005</v>
      </c>
      <c r="B820" s="7" t="inlineStr">
        <is>
          <t>GV MANGO 24/25 SC ENV WITH T-SHIRT</t>
        </is>
      </c>
      <c r="C820" s="7" t="inlineStr">
        <is>
          <t>GV</t>
        </is>
      </c>
      <c r="D820" s="7" t="n">
        <v>2013</v>
      </c>
      <c r="E820" s="7" t="inlineStr">
        <is>
          <t>GV MANGO 25 SC ENV</t>
        </is>
      </c>
      <c r="F820" s="7" t="n">
        <v>24</v>
      </c>
      <c r="G820" s="7" t="inlineStr">
        <is>
          <t>CTN</t>
        </is>
      </c>
      <c r="H820">
        <f>#N/A</f>
        <v/>
      </c>
    </row>
    <row r="821" ht="14.25" customHeight="1" s="5">
      <c r="A821" s="7" t="n">
        <v>2008</v>
      </c>
      <c r="B821" s="7" t="inlineStr">
        <is>
          <t>GV MANGO 24/25 SC ENV TBGS - NOTEBOOK &amp; WRITING PAD</t>
        </is>
      </c>
      <c r="C821" s="7" t="inlineStr">
        <is>
          <t>GV</t>
        </is>
      </c>
      <c r="D821" s="7" t="n">
        <v>2013</v>
      </c>
      <c r="E821" s="7" t="inlineStr">
        <is>
          <t>GV MANGO 25 SC ENV</t>
        </is>
      </c>
      <c r="F821" s="7" t="n">
        <v>24</v>
      </c>
      <c r="G821" s="7" t="inlineStr">
        <is>
          <t>CTN</t>
        </is>
      </c>
      <c r="H821">
        <f>#N/A</f>
        <v/>
      </c>
    </row>
    <row r="822" ht="14.25" customHeight="1" s="5">
      <c r="A822" s="7" t="n">
        <v>2010</v>
      </c>
      <c r="B822" s="7" t="inlineStr">
        <is>
          <t>GV MANGO 24/25 SC ENV TBGS -1NOTEBOOK &amp; 1WRITING PAD</t>
        </is>
      </c>
      <c r="C822" s="7" t="inlineStr">
        <is>
          <t>GV</t>
        </is>
      </c>
      <c r="D822" s="7" t="n">
        <v>2013</v>
      </c>
      <c r="E822" s="7" t="inlineStr">
        <is>
          <t>GV MANGO 25 SC ENV</t>
        </is>
      </c>
      <c r="F822" s="7" t="n">
        <v>24</v>
      </c>
      <c r="G822" s="7" t="inlineStr">
        <is>
          <t>CTN</t>
        </is>
      </c>
      <c r="H822">
        <f>#N/A</f>
        <v/>
      </c>
    </row>
    <row r="823" ht="14.25" customHeight="1" s="5">
      <c r="A823" s="7" t="n">
        <v>19988</v>
      </c>
      <c r="B823" s="7" t="inlineStr">
        <is>
          <t>GV MANGO 24/25 SC ENV TBGS NOTEBOOK &amp; SHOPPING BAG</t>
        </is>
      </c>
      <c r="C823" s="7" t="inlineStr">
        <is>
          <t>GV</t>
        </is>
      </c>
      <c r="D823" s="7" t="n">
        <v>2013</v>
      </c>
      <c r="E823" s="7" t="inlineStr">
        <is>
          <t>GV MANGO 25 SC ENV</t>
        </is>
      </c>
      <c r="F823" s="7" t="n">
        <v>24</v>
      </c>
      <c r="G823" s="7" t="inlineStr">
        <is>
          <t>CTN</t>
        </is>
      </c>
      <c r="H823">
        <f>#N/A</f>
        <v/>
      </c>
    </row>
    <row r="824" ht="14.25" customHeight="1" s="5">
      <c r="A824" s="7" t="n">
        <v>27220</v>
      </c>
      <c r="B824" s="7" t="inlineStr">
        <is>
          <t>GV MANGO 48/25 DC ENV TBGS</t>
        </is>
      </c>
      <c r="C824" s="7" t="inlineStr">
        <is>
          <t>GV</t>
        </is>
      </c>
      <c r="D824" s="7" t="n">
        <v>2001</v>
      </c>
      <c r="E824" s="7" t="inlineStr">
        <is>
          <t>GV MANGO 25 DC ENV TBGS</t>
        </is>
      </c>
      <c r="F824" s="7" t="n">
        <v>48</v>
      </c>
      <c r="G824" s="7" t="inlineStr">
        <is>
          <t>CTN</t>
        </is>
      </c>
      <c r="H824" t="inlineStr">
        <is>
          <t>BLEND AF BLACK TEA WITH MANGO TBGS</t>
        </is>
      </c>
    </row>
    <row r="825" ht="14.25" customHeight="1" s="5">
      <c r="A825" s="7" t="n">
        <v>19834</v>
      </c>
      <c r="B825" s="7" t="inlineStr">
        <is>
          <t>GV MANGO 48/25 DC ENV TBGS WITH TSHIRT</t>
        </is>
      </c>
      <c r="C825" s="7" t="inlineStr">
        <is>
          <t>GV</t>
        </is>
      </c>
      <c r="D825" s="7" t="n">
        <v>2001</v>
      </c>
      <c r="E825" s="7" t="inlineStr">
        <is>
          <t>GV MANGO 25 DC ENV TBGS</t>
        </is>
      </c>
      <c r="F825" s="7" t="n">
        <v>48</v>
      </c>
      <c r="G825" s="7" t="inlineStr">
        <is>
          <t>CTN</t>
        </is>
      </c>
      <c r="H825" t="inlineStr">
        <is>
          <t>BLEND AF BLACK TEA WITH MANGO TBGS</t>
        </is>
      </c>
    </row>
    <row r="826" ht="14.25" customHeight="1" s="5">
      <c r="A826" s="7" t="n">
        <v>21257</v>
      </c>
      <c r="B826" s="7" t="inlineStr">
        <is>
          <t>GV MANGO 48/25 SC ENV</t>
        </is>
      </c>
      <c r="C826" s="7" t="inlineStr">
        <is>
          <t>GV</t>
        </is>
      </c>
      <c r="D826" s="7" t="n">
        <v>2013</v>
      </c>
      <c r="E826" s="7" t="inlineStr">
        <is>
          <t>GV MANGO 25 SC ENV</t>
        </is>
      </c>
      <c r="F826" s="7" t="n">
        <v>48</v>
      </c>
      <c r="G826" s="7" t="inlineStr">
        <is>
          <t>CTN</t>
        </is>
      </c>
      <c r="H826">
        <f>#N/A</f>
        <v/>
      </c>
    </row>
    <row r="827" ht="14.25" customHeight="1" s="5">
      <c r="A827" s="7" t="n">
        <v>2012</v>
      </c>
      <c r="B827" s="7" t="inlineStr">
        <is>
          <t>GV MANGO 48/25 SC ENV WITH T-SHIRT</t>
        </is>
      </c>
      <c r="C827" s="7" t="inlineStr">
        <is>
          <t>GV</t>
        </is>
      </c>
      <c r="D827" s="7" t="n">
        <v>2013</v>
      </c>
      <c r="E827" s="7" t="inlineStr">
        <is>
          <t>GV MANGO 25 SC ENV</t>
        </is>
      </c>
      <c r="F827" s="7" t="n">
        <v>48</v>
      </c>
      <c r="G827" s="7" t="inlineStr">
        <is>
          <t>CTN</t>
        </is>
      </c>
      <c r="H827">
        <f>#N/A</f>
        <v/>
      </c>
    </row>
    <row r="828" ht="14.25" customHeight="1" s="5">
      <c r="A828" s="7" t="n">
        <v>2016</v>
      </c>
      <c r="B828" s="7" t="inlineStr">
        <is>
          <t>GV MINT 24/25 DC ENV TBGS</t>
        </is>
      </c>
      <c r="C828" s="7" t="inlineStr">
        <is>
          <t>GV</t>
        </is>
      </c>
      <c r="D828" s="7" t="n">
        <v>2017</v>
      </c>
      <c r="E828" s="7" t="inlineStr">
        <is>
          <t>GV MINT 25 DC ENV TBGS</t>
        </is>
      </c>
      <c r="F828" s="7" t="n">
        <v>24</v>
      </c>
      <c r="G828" s="7" t="inlineStr">
        <is>
          <t>CTN</t>
        </is>
      </c>
      <c r="H828" t="inlineStr">
        <is>
          <t>BLEND AF BLACK TEA MINT TBGS</t>
        </is>
      </c>
    </row>
    <row r="829" ht="14.25" customHeight="1" s="5">
      <c r="A829" s="7" t="n">
        <v>19847</v>
      </c>
      <c r="B829" s="7" t="inlineStr">
        <is>
          <t>GV MINT 24/25 DC ENV TBGS -1 NOTEBOOK &amp; 1 WRITING PAD</t>
        </is>
      </c>
      <c r="C829" s="7" t="inlineStr">
        <is>
          <t>GV</t>
        </is>
      </c>
      <c r="D829" s="7" t="n">
        <v>2017</v>
      </c>
      <c r="E829" s="7" t="inlineStr">
        <is>
          <t>GV MINT 25 DC ENV TBGS</t>
        </is>
      </c>
      <c r="F829" s="7" t="n">
        <v>24</v>
      </c>
      <c r="G829" s="7" t="inlineStr">
        <is>
          <t>CTN</t>
        </is>
      </c>
      <c r="H829" t="inlineStr">
        <is>
          <t>BLEND AF BLACK TEA MINT TBGS</t>
        </is>
      </c>
    </row>
    <row r="830" ht="14.25" customHeight="1" s="5">
      <c r="A830" s="7" t="n">
        <v>20667</v>
      </c>
      <c r="B830" s="7" t="inlineStr">
        <is>
          <t>GV MINT 24/25 DC ENV TBGS NOTEBOOK &amp; SHOPPING BAG</t>
        </is>
      </c>
      <c r="C830" s="7" t="inlineStr">
        <is>
          <t>GV</t>
        </is>
      </c>
      <c r="D830" s="7" t="n">
        <v>2017</v>
      </c>
      <c r="E830" s="7" t="inlineStr">
        <is>
          <t>GV MINT 25 DC ENV TBGS</t>
        </is>
      </c>
      <c r="F830" s="7" t="n">
        <v>24</v>
      </c>
      <c r="G830" s="7" t="inlineStr">
        <is>
          <t>CTN</t>
        </is>
      </c>
      <c r="H830" t="inlineStr">
        <is>
          <t>BLEND AF BLACK TEA MINT TBGS</t>
        </is>
      </c>
    </row>
    <row r="831" ht="14.25" customHeight="1" s="5">
      <c r="A831" s="7" t="n">
        <v>2023</v>
      </c>
      <c r="B831" s="7" t="inlineStr">
        <is>
          <t>GV MINT 24/25 DC ENV TBGS WITH TSHIRT</t>
        </is>
      </c>
      <c r="C831" s="7" t="inlineStr">
        <is>
          <t>GV</t>
        </is>
      </c>
      <c r="D831" s="7" t="n">
        <v>2017</v>
      </c>
      <c r="E831" s="7" t="inlineStr">
        <is>
          <t>GV MINT 25 DC ENV TBGS</t>
        </is>
      </c>
      <c r="F831" s="7" t="n">
        <v>24</v>
      </c>
      <c r="G831" s="7" t="inlineStr">
        <is>
          <t>CTN</t>
        </is>
      </c>
      <c r="H831" t="inlineStr">
        <is>
          <t>BLEND AF BLACK TEA MINT TBGS</t>
        </is>
      </c>
    </row>
    <row r="832" ht="14.25" customHeight="1" s="5">
      <c r="A832" s="7" t="n">
        <v>36523</v>
      </c>
      <c r="B832" s="7" t="inlineStr">
        <is>
          <t>GV MINT 24/25 DC SF ENV TBGS (v2)</t>
        </is>
      </c>
      <c r="C832" s="7" t="inlineStr">
        <is>
          <t>GV</t>
        </is>
      </c>
      <c r="D832" s="7" t="n">
        <v>36619</v>
      </c>
      <c r="E832" s="7" t="inlineStr">
        <is>
          <t>GV MINT 25 DC SF ENV TBGS (V2)</t>
        </is>
      </c>
      <c r="F832" s="7" t="n">
        <v>24</v>
      </c>
      <c r="G832" s="7" t="inlineStr">
        <is>
          <t>CTN</t>
        </is>
      </c>
      <c r="H832" t="inlineStr">
        <is>
          <t>BLEND AF BLACK TEA MINT TBGS</t>
        </is>
      </c>
    </row>
    <row r="833" ht="14.25" customHeight="1" s="5">
      <c r="A833" s="7" t="n">
        <v>36982</v>
      </c>
      <c r="B833" s="7" t="inlineStr">
        <is>
          <t>GV MINT 24/25 DC SF ENV TBGS (VINDEMIA)</t>
        </is>
      </c>
      <c r="C833" s="7" t="inlineStr">
        <is>
          <t>GV</t>
        </is>
      </c>
      <c r="D833" s="7" t="n">
        <v>37009</v>
      </c>
      <c r="E833" s="7" t="inlineStr">
        <is>
          <t>GV MINT 25 DC SF ENV TBGS (VINDEMIA)</t>
        </is>
      </c>
      <c r="F833" s="7" t="n">
        <v>24</v>
      </c>
      <c r="G833" s="7" t="inlineStr">
        <is>
          <t>CTN</t>
        </is>
      </c>
      <c r="H833" t="inlineStr">
        <is>
          <t>BLEND AF BLACK TEA MINT TBGS</t>
        </is>
      </c>
    </row>
    <row r="834" ht="14.25" customHeight="1" s="5">
      <c r="A834" s="7" t="n">
        <v>2026</v>
      </c>
      <c r="B834" s="7" t="inlineStr">
        <is>
          <t>GV MINT 24/25 SC ENV TBGS</t>
        </is>
      </c>
      <c r="C834" s="7" t="inlineStr">
        <is>
          <t>GV</t>
        </is>
      </c>
      <c r="D834" s="7" t="n">
        <v>2027</v>
      </c>
      <c r="E834" s="7" t="inlineStr">
        <is>
          <t>GV MINT 25 SC ENV TBGS</t>
        </is>
      </c>
      <c r="F834" s="7" t="n">
        <v>24</v>
      </c>
      <c r="G834" s="7" t="inlineStr">
        <is>
          <t>CTN</t>
        </is>
      </c>
      <c r="H834">
        <f>#N/A</f>
        <v/>
      </c>
    </row>
    <row r="835" ht="14.25" customHeight="1" s="5">
      <c r="A835" s="7" t="n">
        <v>2029</v>
      </c>
      <c r="B835" s="7" t="inlineStr">
        <is>
          <t>GV MINT 24/25 SC ENV TBGS - NOTEBOOK &amp; WRITING PAD</t>
        </is>
      </c>
      <c r="C835" s="7" t="inlineStr">
        <is>
          <t>GV</t>
        </is>
      </c>
      <c r="D835" s="7" t="n">
        <v>2027</v>
      </c>
      <c r="E835" s="7" t="inlineStr">
        <is>
          <t>GV MINT 25 SC ENV TBGS</t>
        </is>
      </c>
      <c r="F835" s="7" t="n">
        <v>24</v>
      </c>
      <c r="G835" s="7" t="inlineStr">
        <is>
          <t>CTN</t>
        </is>
      </c>
      <c r="H835">
        <f>#N/A</f>
        <v/>
      </c>
    </row>
    <row r="836" ht="14.25" customHeight="1" s="5">
      <c r="A836" s="7" t="n">
        <v>2031</v>
      </c>
      <c r="B836" s="7" t="inlineStr">
        <is>
          <t>GV MINT 24/25 SC ENV TBGS -1NOTEBOOK &amp; 1WRITING PAD</t>
        </is>
      </c>
      <c r="C836" s="7" t="inlineStr">
        <is>
          <t>GV</t>
        </is>
      </c>
      <c r="D836" s="7" t="n">
        <v>2027</v>
      </c>
      <c r="E836" s="7" t="inlineStr">
        <is>
          <t>GV MINT 25 SC ENV TBGS</t>
        </is>
      </c>
      <c r="F836" s="7" t="n">
        <v>24</v>
      </c>
      <c r="G836" s="7" t="inlineStr">
        <is>
          <t>CTN</t>
        </is>
      </c>
      <c r="H836">
        <f>#N/A</f>
        <v/>
      </c>
    </row>
    <row r="837" ht="14.25" customHeight="1" s="5">
      <c r="A837" s="7" t="n">
        <v>2033</v>
      </c>
      <c r="B837" s="7" t="inlineStr">
        <is>
          <t>GV MINT 24/25 SC ENV TBGS WITH TSHIRT</t>
        </is>
      </c>
      <c r="C837" s="7" t="inlineStr">
        <is>
          <t>GV</t>
        </is>
      </c>
      <c r="D837" s="7" t="n">
        <v>2027</v>
      </c>
      <c r="E837" s="7" t="inlineStr">
        <is>
          <t>GV MINT 25 SC ENV TBGS</t>
        </is>
      </c>
      <c r="F837" s="7" t="n">
        <v>24</v>
      </c>
      <c r="G837" s="7" t="inlineStr">
        <is>
          <t>CTN</t>
        </is>
      </c>
      <c r="H837">
        <f>#N/A</f>
        <v/>
      </c>
    </row>
    <row r="838" ht="14.25" customHeight="1" s="5">
      <c r="A838" s="7" t="n">
        <v>22922</v>
      </c>
      <c r="B838" s="7" t="inlineStr">
        <is>
          <t>GV MINT 48/25 DC ENV TBGS</t>
        </is>
      </c>
      <c r="C838" s="7" t="inlineStr">
        <is>
          <t>GV</t>
        </is>
      </c>
      <c r="D838" s="7" t="n">
        <v>2017</v>
      </c>
      <c r="E838" s="7" t="inlineStr">
        <is>
          <t>GV MINT 25 DC ENV TBGS</t>
        </is>
      </c>
      <c r="F838" s="7" t="n">
        <v>48</v>
      </c>
      <c r="G838" s="7" t="inlineStr">
        <is>
          <t>CTN</t>
        </is>
      </c>
      <c r="H838" t="inlineStr">
        <is>
          <t>BLEND AF BLACK TEA MINT TBGS</t>
        </is>
      </c>
    </row>
    <row r="839" ht="14.25" customHeight="1" s="5">
      <c r="A839" s="7" t="n">
        <v>19841</v>
      </c>
      <c r="B839" s="7" t="inlineStr">
        <is>
          <t>GV MINT 48/25 DC ENV TBGS WITH TSHIRT</t>
        </is>
      </c>
      <c r="C839" s="7" t="inlineStr">
        <is>
          <t>GV</t>
        </is>
      </c>
      <c r="D839" s="7" t="n">
        <v>2017</v>
      </c>
      <c r="E839" s="7" t="inlineStr">
        <is>
          <t>GV MINT 25 DC ENV TBGS</t>
        </is>
      </c>
      <c r="F839" s="7" t="n">
        <v>48</v>
      </c>
      <c r="G839" s="7" t="inlineStr">
        <is>
          <t>CTN</t>
        </is>
      </c>
      <c r="H839" t="inlineStr">
        <is>
          <t>BLEND AF BLACK TEA MINT TBGS</t>
        </is>
      </c>
    </row>
    <row r="840" ht="14.25" customHeight="1" s="5">
      <c r="A840" s="7" t="n">
        <v>21255</v>
      </c>
      <c r="B840" s="7" t="inlineStr">
        <is>
          <t>GV MINT 48/25 SC ENV TBGS</t>
        </is>
      </c>
      <c r="C840" s="7" t="inlineStr">
        <is>
          <t>GV</t>
        </is>
      </c>
      <c r="D840" s="7" t="n">
        <v>2027</v>
      </c>
      <c r="E840" s="7" t="inlineStr">
        <is>
          <t>GV MINT 25 SC ENV TBGS</t>
        </is>
      </c>
      <c r="F840" s="7" t="n">
        <v>48</v>
      </c>
      <c r="G840" s="7" t="inlineStr">
        <is>
          <t>CTN</t>
        </is>
      </c>
      <c r="H840">
        <f>#N/A</f>
        <v/>
      </c>
    </row>
    <row r="841" ht="14.25" customHeight="1" s="5">
      <c r="A841" s="7" t="n">
        <v>2035</v>
      </c>
      <c r="B841" s="7" t="inlineStr">
        <is>
          <t>GV MINT 48/25 SC ENV TBGS WITH TSHIRT</t>
        </is>
      </c>
      <c r="C841" s="7" t="inlineStr">
        <is>
          <t>GV</t>
        </is>
      </c>
      <c r="D841" s="7" t="n">
        <v>2027</v>
      </c>
      <c r="E841" s="7" t="inlineStr">
        <is>
          <t>GV MINT 25 SC ENV TBGS</t>
        </is>
      </c>
      <c r="F841" s="7" t="n">
        <v>48</v>
      </c>
      <c r="G841" s="7" t="inlineStr">
        <is>
          <t>CTN</t>
        </is>
      </c>
      <c r="H841">
        <f>#N/A</f>
        <v/>
      </c>
    </row>
    <row r="842" ht="14.25" customHeight="1" s="5">
      <c r="A842" s="7" t="n">
        <v>17807</v>
      </c>
      <c r="B842" s="7" t="inlineStr">
        <is>
          <t>GV MINT BREEZE 12/25 DC SF HS ENV TBGS</t>
        </is>
      </c>
      <c r="C842" s="7" t="inlineStr">
        <is>
          <t>GV</t>
        </is>
      </c>
      <c r="D842" s="7" t="n">
        <v>2039</v>
      </c>
      <c r="E842" s="7" t="inlineStr">
        <is>
          <t>GV MINT BREEZE 25 DC SF HS ENV TBGS</t>
        </is>
      </c>
      <c r="F842" s="7" t="n">
        <v>12</v>
      </c>
      <c r="G842" s="7" t="inlineStr">
        <is>
          <t>CTN</t>
        </is>
      </c>
      <c r="H842" t="inlineStr">
        <is>
          <t>BLEND GREEN TEA MINT RUS TB</t>
        </is>
      </c>
    </row>
    <row r="843" ht="14.25" customHeight="1" s="5">
      <c r="A843" s="7" t="n">
        <v>27509</v>
      </c>
      <c r="B843" s="7" t="inlineStr">
        <is>
          <t>GV MINT BREEZE 12/25 DC SF HS ENV TBGS (UKR)</t>
        </is>
      </c>
      <c r="C843" s="7" t="inlineStr">
        <is>
          <t>GV</t>
        </is>
      </c>
      <c r="D843" s="7" t="n">
        <v>27696</v>
      </c>
      <c r="E843" s="7" t="inlineStr">
        <is>
          <t>GV MINT BREEZE 25 DC SF HS ENV TBGS (UKR)</t>
        </is>
      </c>
      <c r="F843" s="7" t="n">
        <v>12</v>
      </c>
      <c r="G843" s="7" t="inlineStr">
        <is>
          <t>CTN</t>
        </is>
      </c>
      <c r="H843" t="inlineStr">
        <is>
          <t>BLEND GREEN TEA MINT RUS TB</t>
        </is>
      </c>
    </row>
    <row r="844" ht="14.25" customHeight="1" s="5">
      <c r="A844" s="7" t="n">
        <v>2038</v>
      </c>
      <c r="B844" s="7" t="inlineStr">
        <is>
          <t>GV MINT BREEZE 24/25 DC SF HS ENV TBGS</t>
        </is>
      </c>
      <c r="C844" s="7" t="inlineStr">
        <is>
          <t>GV</t>
        </is>
      </c>
      <c r="D844" s="7" t="n">
        <v>2039</v>
      </c>
      <c r="E844" s="7" t="inlineStr">
        <is>
          <t>GV MINT BREEZE 25 DC SF HS ENV TBGS</t>
        </is>
      </c>
      <c r="F844" s="7" t="n">
        <v>24</v>
      </c>
      <c r="G844" s="7" t="inlineStr">
        <is>
          <t>CTN</t>
        </is>
      </c>
      <c r="H844" t="inlineStr">
        <is>
          <t>BLEND GREEN TEA MINT RUS TB</t>
        </is>
      </c>
    </row>
    <row r="845" ht="14.25" customHeight="1" s="5">
      <c r="A845" s="7" t="n">
        <v>18562</v>
      </c>
      <c r="B845" s="7" t="inlineStr">
        <is>
          <t>GV MINT BREEZE 24/25 DC SF HS ENV TBGS (AF)</t>
        </is>
      </c>
      <c r="C845" s="7" t="inlineStr">
        <is>
          <t>GV</t>
        </is>
      </c>
      <c r="D845" s="7" t="n">
        <v>18965</v>
      </c>
      <c r="E845" s="7" t="inlineStr">
        <is>
          <t>GV MINT BREEZE 25 DC SF HS ENV TBGS (AF)</t>
        </is>
      </c>
      <c r="F845" s="7" t="n">
        <v>24</v>
      </c>
      <c r="G845" s="7" t="inlineStr">
        <is>
          <t>CTN</t>
        </is>
      </c>
      <c r="H845" t="inlineStr">
        <is>
          <t>BLEND GREEN TEA MINT RUS TB</t>
        </is>
      </c>
    </row>
    <row r="846" ht="14.25" customHeight="1" s="5">
      <c r="A846" s="7" t="n">
        <v>19796</v>
      </c>
      <c r="B846" s="7" t="inlineStr">
        <is>
          <t>GV MINT BREEZE 24/25 DC SF HS ENV TBGS (AR)</t>
        </is>
      </c>
      <c r="C846" s="7" t="inlineStr">
        <is>
          <t>GV</t>
        </is>
      </c>
      <c r="D846" s="7" t="n">
        <v>19800</v>
      </c>
      <c r="E846" s="7" t="inlineStr">
        <is>
          <t>GV MINT BREEZE 25 DC SF HS ENV TBGS (AR)</t>
        </is>
      </c>
      <c r="F846" s="7" t="n">
        <v>24</v>
      </c>
      <c r="G846" s="7" t="inlineStr">
        <is>
          <t>CTN</t>
        </is>
      </c>
      <c r="H846" t="inlineStr">
        <is>
          <t>BLEND GREEN TEA MINT RUS TB</t>
        </is>
      </c>
    </row>
    <row r="847" ht="14.25" customHeight="1" s="5">
      <c r="A847" s="7" t="n">
        <v>22267</v>
      </c>
      <c r="B847" s="7" t="inlineStr">
        <is>
          <t>GV MINT SACHET 24 X 10 X 3 DC ENV TBGS</t>
        </is>
      </c>
      <c r="C847" s="7" t="inlineStr">
        <is>
          <t>GV</t>
        </is>
      </c>
      <c r="D847" s="7" t="n">
        <v>22295</v>
      </c>
      <c r="E847" s="7" t="inlineStr">
        <is>
          <t>GV MINT STRIP 3TBGS X 10 SACHET</t>
        </is>
      </c>
      <c r="F847" s="7" t="n">
        <v>24</v>
      </c>
      <c r="G847" s="7" t="inlineStr">
        <is>
          <t>PCS</t>
        </is>
      </c>
      <c r="H847">
        <f>#N/A</f>
        <v/>
      </c>
    </row>
    <row r="848" ht="14.25" customHeight="1" s="5">
      <c r="A848" s="7" t="n">
        <v>22295</v>
      </c>
      <c r="B848" s="7" t="inlineStr">
        <is>
          <t>GV MINT STRIP 3TBGS X 10 SACHET</t>
        </is>
      </c>
      <c r="C848" s="7" t="inlineStr">
        <is>
          <t>GV</t>
        </is>
      </c>
      <c r="D848" s="7" t="n">
        <v>22298</v>
      </c>
      <c r="E848" s="7" t="inlineStr">
        <is>
          <t>GV MINT LOOSE ENV DC ENV TBGS</t>
        </is>
      </c>
      <c r="F848" s="7" t="n">
        <v>30</v>
      </c>
      <c r="G848" s="7" t="inlineStr">
        <is>
          <t>ENV</t>
        </is>
      </c>
      <c r="H848" t="inlineStr">
        <is>
          <t>BLEND AF BLACK TEA MINT TBGS</t>
        </is>
      </c>
    </row>
    <row r="849" ht="14.25" customHeight="1" s="5">
      <c r="A849" s="7" t="n">
        <v>2044</v>
      </c>
      <c r="B849" s="7" t="inlineStr">
        <is>
          <t>GV ORANGE 24/25 DC ENV TBGS</t>
        </is>
      </c>
      <c r="C849" s="7" t="inlineStr">
        <is>
          <t>GV</t>
        </is>
      </c>
      <c r="D849" s="7" t="n">
        <v>2045</v>
      </c>
      <c r="E849" s="7" t="inlineStr">
        <is>
          <t>GV ORANGE 25 DC ENV TBGS</t>
        </is>
      </c>
      <c r="F849" s="7" t="n">
        <v>24</v>
      </c>
      <c r="G849" s="7" t="inlineStr">
        <is>
          <t>CTN</t>
        </is>
      </c>
      <c r="H849" t="inlineStr">
        <is>
          <t>BLEND AX-BLACK ORANGE TB</t>
        </is>
      </c>
    </row>
    <row r="850" ht="14.25" customHeight="1" s="5">
      <c r="A850" s="7" t="n">
        <v>19828</v>
      </c>
      <c r="B850" s="7" t="inlineStr">
        <is>
          <t>GV ORANGE 24/25 DC ENV TBGS (AR)</t>
        </is>
      </c>
      <c r="C850" s="7" t="inlineStr">
        <is>
          <t>GV</t>
        </is>
      </c>
      <c r="D850" s="7" t="n">
        <v>2045</v>
      </c>
      <c r="E850" s="7" t="inlineStr">
        <is>
          <t>GV ORANGE 25 DC ENV TBGS</t>
        </is>
      </c>
      <c r="F850" s="7" t="n">
        <v>24</v>
      </c>
      <c r="G850" s="7" t="inlineStr">
        <is>
          <t>CTN</t>
        </is>
      </c>
      <c r="H850" t="inlineStr">
        <is>
          <t>BLEND AX-BLACK ORANGE TB</t>
        </is>
      </c>
    </row>
    <row r="851" ht="14.25" customHeight="1" s="5">
      <c r="A851" s="7" t="n">
        <v>19853</v>
      </c>
      <c r="B851" s="7" t="inlineStr">
        <is>
          <t>GV ORANGE 24/25 DC ENV TBGS - 1 NOTEBOOK &amp; 1 WRITING PAD</t>
        </is>
      </c>
      <c r="C851" s="7" t="inlineStr">
        <is>
          <t>GV</t>
        </is>
      </c>
      <c r="D851" s="7" t="n">
        <v>2045</v>
      </c>
      <c r="E851" s="7" t="inlineStr">
        <is>
          <t>GV ORANGE 25 DC ENV TBGS</t>
        </is>
      </c>
      <c r="F851" s="7" t="n">
        <v>24</v>
      </c>
      <c r="G851" s="7" t="inlineStr">
        <is>
          <t>CTN</t>
        </is>
      </c>
      <c r="H851" t="inlineStr">
        <is>
          <t>BLEND AX-BLACK ORANGE TB</t>
        </is>
      </c>
    </row>
    <row r="852" ht="14.25" customHeight="1" s="5">
      <c r="A852" s="7" t="n">
        <v>20668</v>
      </c>
      <c r="B852" s="7" t="inlineStr">
        <is>
          <t>GV ORANGE 24/25 DC ENV TBGS NOTEBOOK &amp; SHOPPING BAG</t>
        </is>
      </c>
      <c r="C852" s="7" t="inlineStr">
        <is>
          <t>GV</t>
        </is>
      </c>
      <c r="D852" s="7" t="n">
        <v>2045</v>
      </c>
      <c r="E852" s="7" t="inlineStr">
        <is>
          <t>GV ORANGE 25 DC ENV TBGS</t>
        </is>
      </c>
      <c r="F852" s="7" t="n">
        <v>24</v>
      </c>
      <c r="G852" s="7" t="inlineStr">
        <is>
          <t>CTN</t>
        </is>
      </c>
      <c r="H852" t="inlineStr">
        <is>
          <t>BLEND AX-BLACK ORANGE TB</t>
        </is>
      </c>
    </row>
    <row r="853" ht="14.25" customHeight="1" s="5">
      <c r="A853" s="7" t="n">
        <v>2051</v>
      </c>
      <c r="B853" s="7" t="inlineStr">
        <is>
          <t>GV ORANGE 24/25 DC ENV TBGS WITH TSHIRT</t>
        </is>
      </c>
      <c r="C853" s="7" t="inlineStr">
        <is>
          <t>GV</t>
        </is>
      </c>
      <c r="D853" s="7" t="n">
        <v>2045</v>
      </c>
      <c r="E853" s="7" t="inlineStr">
        <is>
          <t>GV ORANGE 25 DC ENV TBGS</t>
        </is>
      </c>
      <c r="F853" s="7" t="n">
        <v>24</v>
      </c>
      <c r="G853" s="7" t="inlineStr">
        <is>
          <t>CTN</t>
        </is>
      </c>
      <c r="H853" t="inlineStr">
        <is>
          <t>BLEND AX-BLACK ORANGE TB</t>
        </is>
      </c>
    </row>
    <row r="854" ht="14.25" customHeight="1" s="5">
      <c r="A854" s="7" t="n">
        <v>36525</v>
      </c>
      <c r="B854" s="7" t="inlineStr">
        <is>
          <t>GV ORANGE 24/25 DC SF ENV TBGS (v2)</t>
        </is>
      </c>
      <c r="C854" s="7" t="inlineStr">
        <is>
          <t>GV</t>
        </is>
      </c>
      <c r="D854" s="7" t="n">
        <v>36620</v>
      </c>
      <c r="E854" s="7" t="inlineStr">
        <is>
          <t>GV ORANGE 25 DC SF ENV TBGS (V2)</t>
        </is>
      </c>
      <c r="F854" s="7" t="n">
        <v>24</v>
      </c>
      <c r="G854" s="7" t="inlineStr">
        <is>
          <t>CTN</t>
        </is>
      </c>
      <c r="H854" t="inlineStr">
        <is>
          <t>BLEND AX-BLACK ORANGE TB</t>
        </is>
      </c>
    </row>
    <row r="855" ht="14.25" customHeight="1" s="5">
      <c r="A855" s="7" t="n">
        <v>36983</v>
      </c>
      <c r="B855" s="7" t="inlineStr">
        <is>
          <t>GV ORANGE 24/25 DC SF ENV TBGS (VINDEMIA)</t>
        </is>
      </c>
      <c r="C855" s="7" t="inlineStr">
        <is>
          <t>GV</t>
        </is>
      </c>
      <c r="D855" s="7" t="n">
        <v>37010</v>
      </c>
      <c r="E855" s="7" t="inlineStr">
        <is>
          <t>GV ORANGE 25 DC SF ENV TBGS (VINDEMIA)</t>
        </is>
      </c>
      <c r="F855" s="7" t="n">
        <v>24</v>
      </c>
      <c r="G855" s="7" t="inlineStr">
        <is>
          <t>CTN</t>
        </is>
      </c>
      <c r="H855" t="inlineStr">
        <is>
          <t>BLEND AX-BLACK ORANGE TB</t>
        </is>
      </c>
    </row>
    <row r="856" ht="14.25" customHeight="1" s="5">
      <c r="A856" s="7" t="n">
        <v>2056</v>
      </c>
      <c r="B856" s="7" t="inlineStr">
        <is>
          <t>GV ORANGE 24/25 SC ENV TBGS - NOTEBOOK &amp; WRITING PAD</t>
        </is>
      </c>
      <c r="C856" s="7" t="inlineStr">
        <is>
          <t>GV</t>
        </is>
      </c>
      <c r="D856" s="7" t="n">
        <v>2057</v>
      </c>
      <c r="E856" s="7" t="inlineStr">
        <is>
          <t>GV ORANGE 25 SC ENV TBGS</t>
        </is>
      </c>
      <c r="F856" s="7" t="n">
        <v>24</v>
      </c>
      <c r="G856" s="7" t="inlineStr">
        <is>
          <t>CTN</t>
        </is>
      </c>
      <c r="H856">
        <f>#N/A</f>
        <v/>
      </c>
    </row>
    <row r="857" ht="14.25" customHeight="1" s="5">
      <c r="A857" s="7" t="n">
        <v>19990</v>
      </c>
      <c r="B857" s="7" t="inlineStr">
        <is>
          <t>GV ORANGE 24/25 SC ENV TBGS NOTEBOOK &amp; SHOPPING BAG</t>
        </is>
      </c>
      <c r="C857" s="7" t="inlineStr">
        <is>
          <t>GV</t>
        </is>
      </c>
      <c r="D857" s="7" t="n">
        <v>2057</v>
      </c>
      <c r="E857" s="7" t="inlineStr">
        <is>
          <t>GV ORANGE 25 SC ENV TBGS</t>
        </is>
      </c>
      <c r="F857" s="7" t="n">
        <v>24</v>
      </c>
      <c r="G857" s="7" t="inlineStr">
        <is>
          <t>CTN</t>
        </is>
      </c>
      <c r="H857">
        <f>#N/A</f>
        <v/>
      </c>
    </row>
    <row r="858" ht="14.25" customHeight="1" s="5">
      <c r="A858" s="7" t="n">
        <v>2059</v>
      </c>
      <c r="B858" s="7" t="inlineStr">
        <is>
          <t>GV ORANGE 24/25 SC ENV TBGS WITH TSHIRT</t>
        </is>
      </c>
      <c r="C858" s="7" t="inlineStr">
        <is>
          <t>GV</t>
        </is>
      </c>
      <c r="D858" s="7" t="n">
        <v>2057</v>
      </c>
      <c r="E858" s="7" t="inlineStr">
        <is>
          <t>GV ORANGE 25 SC ENV TBGS</t>
        </is>
      </c>
      <c r="F858" s="7" t="n">
        <v>24</v>
      </c>
      <c r="G858" s="7" t="inlineStr">
        <is>
          <t>CTN</t>
        </is>
      </c>
      <c r="H858">
        <f>#N/A</f>
        <v/>
      </c>
    </row>
    <row r="859" ht="14.25" customHeight="1" s="5">
      <c r="A859" s="7" t="n">
        <v>32447</v>
      </c>
      <c r="B859" s="7" t="inlineStr">
        <is>
          <t>GV ORANGE 48/25 DC ENV TBGS</t>
        </is>
      </c>
      <c r="C859" s="7" t="inlineStr">
        <is>
          <t>GV</t>
        </is>
      </c>
      <c r="D859" s="7" t="n">
        <v>2045</v>
      </c>
      <c r="E859" s="7" t="inlineStr">
        <is>
          <t>GV ORANGE 25 DC ENV TBGS</t>
        </is>
      </c>
      <c r="F859" s="7" t="n">
        <v>48</v>
      </c>
      <c r="G859" s="7" t="inlineStr">
        <is>
          <t>CTN</t>
        </is>
      </c>
      <c r="H859" t="inlineStr">
        <is>
          <t>BLEND AX-BLACK ORANGE TB</t>
        </is>
      </c>
    </row>
    <row r="860" ht="14.25" customHeight="1" s="5">
      <c r="A860" s="7" t="n">
        <v>19840</v>
      </c>
      <c r="B860" s="7" t="inlineStr">
        <is>
          <t>GV ORANGE 48/25 DC ENV TBGS WITH TSHIRT</t>
        </is>
      </c>
      <c r="C860" s="7" t="inlineStr">
        <is>
          <t>GV</t>
        </is>
      </c>
      <c r="D860" s="7" t="n">
        <v>2045</v>
      </c>
      <c r="E860" s="7" t="inlineStr">
        <is>
          <t>GV ORANGE 25 DC ENV TBGS</t>
        </is>
      </c>
      <c r="F860" s="7" t="n">
        <v>48</v>
      </c>
      <c r="G860" s="7" t="inlineStr">
        <is>
          <t>CTN</t>
        </is>
      </c>
      <c r="H860" t="inlineStr">
        <is>
          <t>BLEND AX-BLACK ORANGE TB</t>
        </is>
      </c>
    </row>
    <row r="861" ht="14.25" customHeight="1" s="5">
      <c r="A861" s="7" t="n">
        <v>21262</v>
      </c>
      <c r="B861" s="7" t="inlineStr">
        <is>
          <t>GV ORANGE 48/25 SC ENV TBGS</t>
        </is>
      </c>
      <c r="C861" s="7" t="inlineStr">
        <is>
          <t>GV</t>
        </is>
      </c>
      <c r="D861" s="7" t="n">
        <v>2057</v>
      </c>
      <c r="E861" s="7" t="inlineStr">
        <is>
          <t>GV ORANGE 25 SC ENV TBGS</t>
        </is>
      </c>
      <c r="F861" s="7" t="n">
        <v>48</v>
      </c>
      <c r="G861" s="7" t="inlineStr">
        <is>
          <t>CTN</t>
        </is>
      </c>
      <c r="H861">
        <f>#N/A</f>
        <v/>
      </c>
    </row>
    <row r="862" ht="14.25" customHeight="1" s="5">
      <c r="A862" s="7" t="n">
        <v>2061</v>
      </c>
      <c r="B862" s="7" t="inlineStr">
        <is>
          <t>GV ORANGE 48/25 SC ENV TBGS WITH TSHIRT</t>
        </is>
      </c>
      <c r="C862" s="7" t="inlineStr">
        <is>
          <t>GV</t>
        </is>
      </c>
      <c r="D862" s="7" t="n">
        <v>2057</v>
      </c>
      <c r="E862" s="7" t="inlineStr">
        <is>
          <t>GV ORANGE 25 SC ENV TBGS</t>
        </is>
      </c>
      <c r="F862" s="7" t="n">
        <v>48</v>
      </c>
      <c r="G862" s="7" t="inlineStr">
        <is>
          <t>CTN</t>
        </is>
      </c>
      <c r="H862">
        <f>#N/A</f>
        <v/>
      </c>
    </row>
    <row r="863" ht="14.25" customHeight="1" s="5">
      <c r="A863" s="7" t="n">
        <v>28413</v>
      </c>
      <c r="B863" s="7" t="inlineStr">
        <is>
          <t>GV PASSION FRUIT 12/25 DC SF HS ENV TBGS</t>
        </is>
      </c>
      <c r="C863" s="7" t="inlineStr">
        <is>
          <t>GV</t>
        </is>
      </c>
      <c r="D863" s="7" t="n">
        <v>28419</v>
      </c>
      <c r="E863" s="7" t="inlineStr">
        <is>
          <t>GV PASSION FRUIT 25 DC SF HS ENV TBGS</t>
        </is>
      </c>
      <c r="F863" s="7" t="n">
        <v>12</v>
      </c>
      <c r="G863" s="7" t="inlineStr">
        <is>
          <t>CTN</t>
        </is>
      </c>
      <c r="H863" t="inlineStr">
        <is>
          <t>BLEND AX-SODER TB 30% RFA</t>
        </is>
      </c>
    </row>
    <row r="864" ht="14.25" customHeight="1" s="5">
      <c r="A864" s="7" t="n">
        <v>35359</v>
      </c>
      <c r="B864" s="7" t="inlineStr">
        <is>
          <t>GV PASSION FRUIT 12/25 DC SF HS ENV TBGS (AF)</t>
        </is>
      </c>
      <c r="C864" s="7" t="inlineStr">
        <is>
          <t>GV</t>
        </is>
      </c>
      <c r="D864" s="7" t="n">
        <v>35322</v>
      </c>
      <c r="E864" s="7" t="inlineStr">
        <is>
          <t>GV PASSION FRUIT 25 DC SF HS ENV TBGS (AF)</t>
        </is>
      </c>
      <c r="F864" s="7" t="n">
        <v>12</v>
      </c>
      <c r="G864" s="7" t="inlineStr">
        <is>
          <t>CTN</t>
        </is>
      </c>
      <c r="H864" t="inlineStr">
        <is>
          <t>BLEND AX-SODER TB 30% RFA</t>
        </is>
      </c>
    </row>
    <row r="865" ht="14.25" customHeight="1" s="5">
      <c r="A865" s="7" t="n">
        <v>33829</v>
      </c>
      <c r="B865" s="7" t="inlineStr">
        <is>
          <t>GV PASSION FRUIT 12/25 DC SF HS ENV TBGS (F-ENV)</t>
        </is>
      </c>
      <c r="C865" s="7" t="inlineStr">
        <is>
          <t>GV</t>
        </is>
      </c>
      <c r="D865" s="7" t="n">
        <v>33842</v>
      </c>
      <c r="E865" s="7" t="inlineStr">
        <is>
          <t>GV PASSION FRUIT 25 DC SF HS ENV TBGS (F-ENV)</t>
        </is>
      </c>
      <c r="F865" s="7" t="n">
        <v>12</v>
      </c>
      <c r="G865" s="7" t="inlineStr">
        <is>
          <t>CTN</t>
        </is>
      </c>
      <c r="H865" t="inlineStr">
        <is>
          <t>BLEND AX-SODER TB 30% RFA</t>
        </is>
      </c>
    </row>
    <row r="866" ht="14.25" customHeight="1" s="5">
      <c r="A866" s="7" t="n">
        <v>35708</v>
      </c>
      <c r="B866" s="7" t="inlineStr">
        <is>
          <t>GV PASSION FRUIT 12/25 DC SF HS ENV TBGS (MOLDOVA)</t>
        </is>
      </c>
      <c r="C866" s="7" t="inlineStr">
        <is>
          <t>GV</t>
        </is>
      </c>
      <c r="D866" s="7" t="n">
        <v>35806</v>
      </c>
      <c r="E866" s="7" t="inlineStr">
        <is>
          <t>GV PASSION FRUIT 25 DC SF HS ENV TBGS (MOLDOVA)</t>
        </is>
      </c>
      <c r="F866" s="7" t="n">
        <v>12</v>
      </c>
      <c r="G866" s="7" t="inlineStr">
        <is>
          <t>CTN</t>
        </is>
      </c>
      <c r="H866" t="inlineStr">
        <is>
          <t>BLEND AX-SODER TB 30% RFA</t>
        </is>
      </c>
    </row>
    <row r="867" ht="14.25" customHeight="1" s="5">
      <c r="A867" s="7" t="n">
        <v>21047</v>
      </c>
      <c r="B867" s="7" t="inlineStr">
        <is>
          <t>GV PINEAPPLE 24/25 DC ENV TBGS</t>
        </is>
      </c>
      <c r="C867" s="7" t="inlineStr">
        <is>
          <t>GV</t>
        </is>
      </c>
      <c r="D867" s="7" t="n">
        <v>2065</v>
      </c>
      <c r="E867" s="7" t="inlineStr">
        <is>
          <t>GV PINEAPPLE 25 DC ENV TBGS</t>
        </is>
      </c>
      <c r="F867" s="7" t="n">
        <v>24</v>
      </c>
      <c r="G867" s="7" t="inlineStr">
        <is>
          <t>CTN</t>
        </is>
      </c>
      <c r="H867" t="inlineStr">
        <is>
          <t>BLEND BLACK TEA PINEAPPLE TB</t>
        </is>
      </c>
    </row>
    <row r="868" ht="14.25" customHeight="1" s="5">
      <c r="A868" s="7" t="n">
        <v>19849</v>
      </c>
      <c r="B868" s="7" t="inlineStr">
        <is>
          <t>GV PINEAPPLE 24/25 DC ENV TBGS - 1 NOTEBOOK &amp; 1 WRITING PAD</t>
        </is>
      </c>
      <c r="C868" s="7" t="inlineStr">
        <is>
          <t>GV</t>
        </is>
      </c>
      <c r="D868" s="7" t="n">
        <v>2065</v>
      </c>
      <c r="E868" s="7" t="inlineStr">
        <is>
          <t>GV PINEAPPLE 25 DC ENV TBGS</t>
        </is>
      </c>
      <c r="F868" s="7" t="n">
        <v>24</v>
      </c>
      <c r="G868" s="7" t="inlineStr">
        <is>
          <t>CTN</t>
        </is>
      </c>
      <c r="H868" t="inlineStr">
        <is>
          <t>BLEND BLACK TEA PINEAPPLE TB</t>
        </is>
      </c>
    </row>
    <row r="869" ht="14.25" customHeight="1" s="5">
      <c r="A869" s="7" t="n">
        <v>20670</v>
      </c>
      <c r="B869" s="7" t="inlineStr">
        <is>
          <t>GV PINEAPPLE 24/25 DC ENV TBGS NOTEBOOK &amp; SHOPPING BAG</t>
        </is>
      </c>
      <c r="C869" s="7" t="inlineStr">
        <is>
          <t>GV</t>
        </is>
      </c>
      <c r="D869" s="7" t="n">
        <v>2065</v>
      </c>
      <c r="E869" s="7" t="inlineStr">
        <is>
          <t>GV PINEAPPLE 25 DC ENV TBGS</t>
        </is>
      </c>
      <c r="F869" s="7" t="n">
        <v>24</v>
      </c>
      <c r="G869" s="7" t="inlineStr">
        <is>
          <t>CTN</t>
        </is>
      </c>
      <c r="H869" t="inlineStr">
        <is>
          <t>BLEND BLACK TEA PINEAPPLE TB</t>
        </is>
      </c>
    </row>
    <row r="870" ht="14.25" customHeight="1" s="5">
      <c r="A870" s="7" t="n">
        <v>2064</v>
      </c>
      <c r="B870" s="7" t="inlineStr">
        <is>
          <t>GV PINEAPPLE 24/25 DC ENV TBGS WITH TSHIRT</t>
        </is>
      </c>
      <c r="C870" s="7" t="inlineStr">
        <is>
          <t>GV</t>
        </is>
      </c>
      <c r="D870" s="7" t="n">
        <v>2065</v>
      </c>
      <c r="E870" s="7" t="inlineStr">
        <is>
          <t>GV PINEAPPLE 25 DC ENV TBGS</t>
        </is>
      </c>
      <c r="F870" s="7" t="n">
        <v>24</v>
      </c>
      <c r="G870" s="7" t="inlineStr">
        <is>
          <t>CTN</t>
        </is>
      </c>
      <c r="H870" t="inlineStr">
        <is>
          <t>BLEND BLACK TEA PINEAPPLE TB</t>
        </is>
      </c>
    </row>
    <row r="871" ht="14.25" customHeight="1" s="5">
      <c r="A871" s="7" t="n">
        <v>36528</v>
      </c>
      <c r="B871" s="7" t="inlineStr">
        <is>
          <t>GV PINEAPPLE 24/25 DC SF ENV TBGS</t>
        </is>
      </c>
      <c r="C871" s="7" t="inlineStr">
        <is>
          <t>GV</t>
        </is>
      </c>
      <c r="D871" s="7" t="n">
        <v>36623</v>
      </c>
      <c r="E871" s="7" t="inlineStr">
        <is>
          <t>GV PINEAPPLE 25 DC SF ENV TBGS</t>
        </is>
      </c>
      <c r="F871" s="7" t="n">
        <v>24</v>
      </c>
      <c r="G871" s="7" t="inlineStr">
        <is>
          <t>CTN</t>
        </is>
      </c>
      <c r="H871" t="inlineStr">
        <is>
          <t>BLEND BLACK TEA PINEAPPLE TB</t>
        </is>
      </c>
    </row>
    <row r="872" ht="14.25" customHeight="1" s="5">
      <c r="A872" s="7" t="n">
        <v>36987</v>
      </c>
      <c r="B872" s="7" t="inlineStr">
        <is>
          <t>GV PINEAPPLE 24/25 DC SF ENV TBGS (VINDEMIA)</t>
        </is>
      </c>
      <c r="C872" s="7" t="inlineStr">
        <is>
          <t>GV</t>
        </is>
      </c>
      <c r="D872" s="7" t="n">
        <v>37011</v>
      </c>
      <c r="E872" s="7" t="inlineStr">
        <is>
          <t>GV PINEAPPLE 25 DC SF ENV TBGS (VINEDMIA)</t>
        </is>
      </c>
      <c r="F872" s="7" t="n">
        <v>24</v>
      </c>
      <c r="G872" s="7" t="inlineStr">
        <is>
          <t>CTN</t>
        </is>
      </c>
      <c r="H872" t="inlineStr">
        <is>
          <t>BLEND BLACK TEA PINEAPPLE TB</t>
        </is>
      </c>
    </row>
    <row r="873" ht="14.25" customHeight="1" s="5">
      <c r="A873" s="7" t="n">
        <v>2069</v>
      </c>
      <c r="B873" s="7" t="inlineStr">
        <is>
          <t>GV PINEAPPLE 24/25 SC ENV TBGS - NOTEBOOK &amp; WRITING PAD</t>
        </is>
      </c>
      <c r="C873" s="7" t="inlineStr">
        <is>
          <t>GV</t>
        </is>
      </c>
      <c r="D873" s="7" t="n">
        <v>2070</v>
      </c>
      <c r="E873" s="7" t="inlineStr">
        <is>
          <t>GV PINEAPPLE 25 SC ENV TBGS</t>
        </is>
      </c>
      <c r="F873" s="7" t="n">
        <v>24</v>
      </c>
      <c r="G873" s="7" t="inlineStr">
        <is>
          <t>CTN</t>
        </is>
      </c>
      <c r="H873">
        <f>#N/A</f>
        <v/>
      </c>
    </row>
    <row r="874" ht="14.25" customHeight="1" s="5">
      <c r="A874" s="7" t="n">
        <v>19992</v>
      </c>
      <c r="B874" s="7" t="inlineStr">
        <is>
          <t>GV PINEAPPLE 24/25 SC ENV TBGS NOTEBOOK &amp; SHOPPING BAG</t>
        </is>
      </c>
      <c r="C874" s="7" t="inlineStr">
        <is>
          <t>GV</t>
        </is>
      </c>
      <c r="D874" s="7" t="n">
        <v>2070</v>
      </c>
      <c r="E874" s="7" t="inlineStr">
        <is>
          <t>GV PINEAPPLE 25 SC ENV TBGS</t>
        </is>
      </c>
      <c r="F874" s="7" t="n">
        <v>24</v>
      </c>
      <c r="G874" s="7" t="inlineStr">
        <is>
          <t>CTN</t>
        </is>
      </c>
      <c r="H874">
        <f>#N/A</f>
        <v/>
      </c>
    </row>
    <row r="875" ht="14.25" customHeight="1" s="5">
      <c r="A875" s="7" t="n">
        <v>2072</v>
      </c>
      <c r="B875" s="7" t="inlineStr">
        <is>
          <t>GV PINEAPPLE 24/25 SC ENV TBGS WITH TSHIRT</t>
        </is>
      </c>
      <c r="C875" s="7" t="inlineStr">
        <is>
          <t>GV</t>
        </is>
      </c>
      <c r="D875" s="7" t="n">
        <v>2070</v>
      </c>
      <c r="E875" s="7" t="inlineStr">
        <is>
          <t>GV PINEAPPLE 25 SC ENV TBGS</t>
        </is>
      </c>
      <c r="F875" s="7" t="n">
        <v>24</v>
      </c>
      <c r="G875" s="7" t="inlineStr">
        <is>
          <t>CTN</t>
        </is>
      </c>
      <c r="H875">
        <f>#N/A</f>
        <v/>
      </c>
    </row>
    <row r="876" ht="14.25" customHeight="1" s="5">
      <c r="A876" s="7" t="n">
        <v>27221</v>
      </c>
      <c r="B876" s="7" t="inlineStr">
        <is>
          <t>GV PINEAPPLE 48/25 DC ENV TBGS</t>
        </is>
      </c>
      <c r="C876" s="7" t="inlineStr">
        <is>
          <t>GV</t>
        </is>
      </c>
      <c r="D876" s="7" t="n">
        <v>2065</v>
      </c>
      <c r="E876" s="7" t="inlineStr">
        <is>
          <t>GV PINEAPPLE 25 DC ENV TBGS</t>
        </is>
      </c>
      <c r="F876" s="7" t="n">
        <v>48</v>
      </c>
      <c r="G876" s="7" t="inlineStr">
        <is>
          <t>CTN</t>
        </is>
      </c>
      <c r="H876" t="inlineStr">
        <is>
          <t>BLEND BLACK TEA PINEAPPLE TB</t>
        </is>
      </c>
    </row>
    <row r="877" ht="14.25" customHeight="1" s="5">
      <c r="A877" s="7" t="n">
        <v>19827</v>
      </c>
      <c r="B877" s="7" t="inlineStr">
        <is>
          <t>GV PINEAPPLE 48/25 DC ENV TBGS WITH TSHIRT</t>
        </is>
      </c>
      <c r="C877" s="7" t="inlineStr">
        <is>
          <t>GV</t>
        </is>
      </c>
      <c r="D877" s="7" t="n">
        <v>2065</v>
      </c>
      <c r="E877" s="7" t="inlineStr">
        <is>
          <t>GV PINEAPPLE 25 DC ENV TBGS</t>
        </is>
      </c>
      <c r="F877" s="7" t="n">
        <v>48</v>
      </c>
      <c r="G877" s="7" t="inlineStr">
        <is>
          <t>CTN</t>
        </is>
      </c>
      <c r="H877" t="inlineStr">
        <is>
          <t>BLEND BLACK TEA PINEAPPLE TB</t>
        </is>
      </c>
    </row>
    <row r="878" ht="14.25" customHeight="1" s="5">
      <c r="A878" s="7" t="n">
        <v>21256</v>
      </c>
      <c r="B878" s="7" t="inlineStr">
        <is>
          <t>GV PINEAPPLE 48/25 SC ENV TBGS</t>
        </is>
      </c>
      <c r="C878" s="7" t="inlineStr">
        <is>
          <t>GV</t>
        </is>
      </c>
      <c r="D878" s="7" t="n">
        <v>2070</v>
      </c>
      <c r="E878" s="7" t="inlineStr">
        <is>
          <t>GV PINEAPPLE 25 SC ENV TBGS</t>
        </is>
      </c>
      <c r="F878" s="7" t="n">
        <v>48</v>
      </c>
      <c r="G878" s="7" t="inlineStr">
        <is>
          <t>CTN</t>
        </is>
      </c>
      <c r="H878">
        <f>#N/A</f>
        <v/>
      </c>
    </row>
    <row r="879" ht="14.25" customHeight="1" s="5">
      <c r="A879" s="7" t="n">
        <v>2074</v>
      </c>
      <c r="B879" s="7" t="inlineStr">
        <is>
          <t>GV PINEAPPLE 48/25 SC ENV TBGS WITH TSHIRT</t>
        </is>
      </c>
      <c r="C879" s="7" t="inlineStr">
        <is>
          <t>GV</t>
        </is>
      </c>
      <c r="D879" s="7" t="n">
        <v>2070</v>
      </c>
      <c r="E879" s="7" t="inlineStr">
        <is>
          <t>GV PINEAPPLE 25 SC ENV TBGS</t>
        </is>
      </c>
      <c r="F879" s="7" t="n">
        <v>48</v>
      </c>
      <c r="G879" s="7" t="inlineStr">
        <is>
          <t>CTN</t>
        </is>
      </c>
      <c r="H879">
        <f>#N/A</f>
        <v/>
      </c>
    </row>
    <row r="880" ht="14.25" customHeight="1" s="5">
      <c r="A880" s="7" t="n">
        <v>17808</v>
      </c>
      <c r="B880" s="7" t="inlineStr">
        <is>
          <t>GV PURE GREEN 12/25 DC SF HS ENV TBGS</t>
        </is>
      </c>
      <c r="C880" s="7" t="inlineStr">
        <is>
          <t>GV</t>
        </is>
      </c>
      <c r="D880" s="7" t="n">
        <v>2078</v>
      </c>
      <c r="E880" s="7" t="inlineStr">
        <is>
          <t>GV PURE GREEN 25 DC SF HS ENV TBGS</t>
        </is>
      </c>
      <c r="F880" s="7" t="n">
        <v>12</v>
      </c>
      <c r="G880" s="7" t="inlineStr">
        <is>
          <t>CTN</t>
        </is>
      </c>
      <c r="H880" t="inlineStr">
        <is>
          <t>BLEND TEAME GREEN</t>
        </is>
      </c>
    </row>
    <row r="881" ht="14.25" customHeight="1" s="5">
      <c r="A881" s="7" t="n">
        <v>2077</v>
      </c>
      <c r="B881" s="7" t="inlineStr">
        <is>
          <t>GV PURE GREEN 24/25 DC SF HS ENV TBGS</t>
        </is>
      </c>
      <c r="C881" s="7" t="inlineStr">
        <is>
          <t>GV</t>
        </is>
      </c>
      <c r="D881" s="7" t="n">
        <v>2078</v>
      </c>
      <c r="E881" s="7" t="inlineStr">
        <is>
          <t>GV PURE GREEN 25 DC SF HS ENV TBGS</t>
        </is>
      </c>
      <c r="F881" s="7" t="n">
        <v>24</v>
      </c>
      <c r="G881" s="7" t="inlineStr">
        <is>
          <t>CTN</t>
        </is>
      </c>
      <c r="H881" t="inlineStr">
        <is>
          <t>BLEND TEAME GREEN</t>
        </is>
      </c>
    </row>
    <row r="882" ht="14.25" customHeight="1" s="5">
      <c r="A882" s="7" t="n">
        <v>18563</v>
      </c>
      <c r="B882" s="7" t="inlineStr">
        <is>
          <t>GV PURE GREEN 24/25 DC SF HS ENV TBGS (AF)</t>
        </is>
      </c>
      <c r="C882" s="7" t="inlineStr">
        <is>
          <t>GV</t>
        </is>
      </c>
      <c r="D882" s="7" t="n">
        <v>18967</v>
      </c>
      <c r="E882" s="7" t="inlineStr">
        <is>
          <t>GV PURE GREEN 25 DC SF HS ENV TBGS (AF)</t>
        </is>
      </c>
      <c r="F882" s="7" t="n">
        <v>24</v>
      </c>
      <c r="G882" s="7" t="inlineStr">
        <is>
          <t>CTN</t>
        </is>
      </c>
      <c r="H882" t="inlineStr">
        <is>
          <t>BLEND 7434 GREEN - 90% UTZ</t>
        </is>
      </c>
    </row>
    <row r="883" ht="14.25" customHeight="1" s="5">
      <c r="A883" s="7" t="n">
        <v>19802</v>
      </c>
      <c r="B883" s="7" t="inlineStr">
        <is>
          <t>GV PURE GREEN 24/25 DC SF HS ENV TBGS (AR)</t>
        </is>
      </c>
      <c r="C883" s="7" t="inlineStr">
        <is>
          <t>GV</t>
        </is>
      </c>
      <c r="D883" s="7" t="n">
        <v>19806</v>
      </c>
      <c r="E883" s="7" t="inlineStr">
        <is>
          <t>GV PURE GREEN 25 DC SF HS ENV TBGS (AR)</t>
        </is>
      </c>
      <c r="F883" s="7" t="n">
        <v>24</v>
      </c>
      <c r="G883" s="7" t="inlineStr">
        <is>
          <t>CTN</t>
        </is>
      </c>
      <c r="H883" t="inlineStr">
        <is>
          <t>BLEND TEAME GREEN</t>
        </is>
      </c>
    </row>
    <row r="884" ht="14.25" customHeight="1" s="5">
      <c r="A884" s="7" t="n">
        <v>17809</v>
      </c>
      <c r="B884" s="7" t="inlineStr">
        <is>
          <t>GV RASPBERRY BLISS 12/25 DC SF HS ENV TBGS</t>
        </is>
      </c>
      <c r="C884" s="7" t="inlineStr">
        <is>
          <t>GV</t>
        </is>
      </c>
      <c r="D884" s="7" t="n">
        <v>2084</v>
      </c>
      <c r="E884" s="7" t="inlineStr">
        <is>
          <t>GV RASPBERRY BLISS 25 DC SF HS ENV TBGS</t>
        </is>
      </c>
      <c r="F884" s="7" t="n">
        <v>12</v>
      </c>
      <c r="G884" s="7" t="inlineStr">
        <is>
          <t>CTN</t>
        </is>
      </c>
      <c r="H884" t="inlineStr">
        <is>
          <t>BLEND BLACK TEA RASPBERRY TB - RUS</t>
        </is>
      </c>
    </row>
    <row r="885" ht="14.25" customHeight="1" s="5">
      <c r="A885" s="7" t="n">
        <v>35358</v>
      </c>
      <c r="B885" s="7" t="inlineStr">
        <is>
          <t>GV RASPBERRY BLISS 12/25 DC SF HS ENV TBGS (AF)</t>
        </is>
      </c>
      <c r="C885" s="7" t="inlineStr">
        <is>
          <t>GV</t>
        </is>
      </c>
      <c r="D885" s="7" t="n">
        <v>35320</v>
      </c>
      <c r="E885" s="7" t="inlineStr">
        <is>
          <t>GV RASPBERRY BLISS 25 DC SF HS ENV TBGS (AF)</t>
        </is>
      </c>
      <c r="F885" s="7" t="n">
        <v>12</v>
      </c>
      <c r="G885" s="7" t="inlineStr">
        <is>
          <t>CTN</t>
        </is>
      </c>
      <c r="H885" t="inlineStr">
        <is>
          <t>BLEND BLACK TEA RASPBERRY TB - RUS</t>
        </is>
      </c>
    </row>
    <row r="886" ht="14.25" customHeight="1" s="5">
      <c r="A886" s="7" t="n">
        <v>33830</v>
      </c>
      <c r="B886" s="7" t="inlineStr">
        <is>
          <t>GV RASPBERRY BLISS 12/25 DC SF HS ENV TBGS (F-ENV)</t>
        </is>
      </c>
      <c r="C886" s="7" t="inlineStr">
        <is>
          <t>GV</t>
        </is>
      </c>
      <c r="D886" s="7" t="n">
        <v>33843</v>
      </c>
      <c r="E886" s="7" t="inlineStr">
        <is>
          <t>GV RASPBERRY BLISS 25 DC SF HS ENV TBGS (F-ENV)</t>
        </is>
      </c>
      <c r="F886" s="7" t="n">
        <v>12</v>
      </c>
      <c r="G886" s="7" t="inlineStr">
        <is>
          <t>CTN</t>
        </is>
      </c>
      <c r="H886" t="inlineStr">
        <is>
          <t>BLEND BLACK TEA RASPBERRY TB - RUS</t>
        </is>
      </c>
    </row>
    <row r="887" ht="14.25" customHeight="1" s="5">
      <c r="A887" s="7" t="n">
        <v>35713</v>
      </c>
      <c r="B887" s="7" t="inlineStr">
        <is>
          <t>GV RASPBERRY BLISS 12/25 DC SF HS ENV TBGS (MOLDOVA)</t>
        </is>
      </c>
      <c r="C887" s="7" t="inlineStr">
        <is>
          <t>GV</t>
        </is>
      </c>
      <c r="D887" s="7" t="n">
        <v>35803</v>
      </c>
      <c r="E887" s="7" t="inlineStr">
        <is>
          <t>GV RASPBERRY BLISS 25 DC SF HS ENV TBGS (MOLDOVA)</t>
        </is>
      </c>
      <c r="F887" s="7" t="n">
        <v>12</v>
      </c>
      <c r="G887" s="7" t="inlineStr">
        <is>
          <t>CTN</t>
        </is>
      </c>
      <c r="H887" t="inlineStr">
        <is>
          <t>BLEND BLACK TEA RASPBERRY TB - RUS</t>
        </is>
      </c>
    </row>
    <row r="888" ht="14.25" customHeight="1" s="5">
      <c r="A888" s="7" t="n">
        <v>27514</v>
      </c>
      <c r="B888" s="7" t="inlineStr">
        <is>
          <t>GV RASPBERRY BLISS 12/25 DC SF HS ENV TBGS (UKR)</t>
        </is>
      </c>
      <c r="C888" s="7" t="inlineStr">
        <is>
          <t>GV</t>
        </is>
      </c>
      <c r="D888" s="7" t="n">
        <v>27549</v>
      </c>
      <c r="E888" s="7" t="inlineStr">
        <is>
          <t>GV RASPBERRY BLISS 25 DC SF HS ENV TBGS (UKR)</t>
        </is>
      </c>
      <c r="F888" s="7" t="n">
        <v>12</v>
      </c>
      <c r="G888" s="7" t="inlineStr">
        <is>
          <t>CTN</t>
        </is>
      </c>
      <c r="H888" t="inlineStr">
        <is>
          <t>BLEND BLACK TEA RASPBERRY TB - RUS</t>
        </is>
      </c>
    </row>
    <row r="889" ht="14.25" customHeight="1" s="5">
      <c r="A889" s="7" t="n">
        <v>2081</v>
      </c>
      <c r="B889" s="7" t="inlineStr">
        <is>
          <t>GV RASPBERRY BLISS 24/100 LOOSE SF HS ENV TBGS</t>
        </is>
      </c>
      <c r="C889" s="7" t="inlineStr">
        <is>
          <t>GV</t>
        </is>
      </c>
      <c r="D889" s="7" t="n">
        <v>2082</v>
      </c>
      <c r="E889" s="7" t="inlineStr">
        <is>
          <t>GV LOOSE TBGS RASPBERRY BLISS DC SF HS ENV TBGS</t>
        </is>
      </c>
      <c r="F889" s="7" t="n">
        <v>2400</v>
      </c>
      <c r="G889" s="7" t="inlineStr">
        <is>
          <t>TBGS</t>
        </is>
      </c>
      <c r="H889">
        <f>#N/A</f>
        <v/>
      </c>
    </row>
    <row r="890" ht="14.25" customHeight="1" s="5">
      <c r="A890" s="7" t="n">
        <v>2083</v>
      </c>
      <c r="B890" s="7" t="inlineStr">
        <is>
          <t>GV RASPBERRY BLISS 24/25 DC SF HS ENV TBGS</t>
        </is>
      </c>
      <c r="C890" s="7" t="inlineStr">
        <is>
          <t>GV</t>
        </is>
      </c>
      <c r="D890" s="7" t="n">
        <v>2084</v>
      </c>
      <c r="E890" s="7" t="inlineStr">
        <is>
          <t>GV RASPBERRY BLISS 25 DC SF HS ENV TBGS</t>
        </is>
      </c>
      <c r="F890" s="7" t="n">
        <v>24</v>
      </c>
      <c r="G890" s="7" t="inlineStr">
        <is>
          <t>CTN</t>
        </is>
      </c>
      <c r="H890" t="inlineStr">
        <is>
          <t>BLEND BLACK TEA RASPBERRY TB - RUS</t>
        </is>
      </c>
    </row>
    <row r="891" ht="14.25" customHeight="1" s="5">
      <c r="A891" s="7" t="n">
        <v>17810</v>
      </c>
      <c r="B891" s="7" t="inlineStr">
        <is>
          <t>GV ROMANTIC ASSAM 12/25 DC SF HS ENV TBGS</t>
        </is>
      </c>
      <c r="C891" s="7" t="inlineStr">
        <is>
          <t>GV</t>
        </is>
      </c>
      <c r="D891" s="7" t="n">
        <v>2089</v>
      </c>
      <c r="E891" s="7" t="inlineStr">
        <is>
          <t>GV ROMANTIC ASSAM 25 DC SF HS ENV TBGS</t>
        </is>
      </c>
      <c r="F891" s="7" t="n">
        <v>12</v>
      </c>
      <c r="G891" s="7" t="inlineStr">
        <is>
          <t>CTN</t>
        </is>
      </c>
      <c r="H891" t="inlineStr">
        <is>
          <t>BLEND GBTB</t>
        </is>
      </c>
    </row>
    <row r="892" ht="14.25" customHeight="1" s="5">
      <c r="A892" s="7" t="n">
        <v>2088</v>
      </c>
      <c r="B892" s="7" t="inlineStr">
        <is>
          <t>GV ROMANTIC ASSAM 24/25 DC SF HS ENV TBGS</t>
        </is>
      </c>
      <c r="C892" s="7" t="inlineStr">
        <is>
          <t>GV</t>
        </is>
      </c>
      <c r="D892" s="7" t="n">
        <v>2089</v>
      </c>
      <c r="E892" s="7" t="inlineStr">
        <is>
          <t>GV ROMANTIC ASSAM 25 DC SF HS ENV TBGS</t>
        </is>
      </c>
      <c r="F892" s="7" t="n">
        <v>24</v>
      </c>
      <c r="G892" s="7" t="inlineStr">
        <is>
          <t>CTN</t>
        </is>
      </c>
      <c r="H892" t="inlineStr">
        <is>
          <t>BLEND GBTB</t>
        </is>
      </c>
    </row>
    <row r="893" ht="14.25" customHeight="1" s="5">
      <c r="A893" s="7" t="n">
        <v>2093</v>
      </c>
      <c r="B893" s="7" t="inlineStr">
        <is>
          <t>GV ROMANTIC ASSAM 6/100 DC SF HS ENV TBGS</t>
        </is>
      </c>
      <c r="C893" s="7" t="inlineStr">
        <is>
          <t>GV</t>
        </is>
      </c>
      <c r="D893" s="7" t="n">
        <v>2094</v>
      </c>
      <c r="E893" s="7" t="inlineStr">
        <is>
          <t>GV ROMANTIC ASSAM 100 DC SF HS ENV TBGS</t>
        </is>
      </c>
      <c r="F893" s="7" t="n">
        <v>6</v>
      </c>
      <c r="G893" s="7" t="inlineStr">
        <is>
          <t>CTN</t>
        </is>
      </c>
      <c r="H893" t="inlineStr">
        <is>
          <t>BLEND GBTB</t>
        </is>
      </c>
    </row>
    <row r="894" ht="14.25" customHeight="1" s="5">
      <c r="A894" s="7" t="n">
        <v>23341</v>
      </c>
      <c r="B894" s="7" t="inlineStr">
        <is>
          <t>GV ROSE 24/25 DC ENV TBGS</t>
        </is>
      </c>
      <c r="C894" s="7" t="inlineStr">
        <is>
          <t>GV</t>
        </is>
      </c>
      <c r="D894" s="7" t="n">
        <v>23348</v>
      </c>
      <c r="E894" s="7" t="inlineStr">
        <is>
          <t>GV ROSE 25 DC ENV TBGS</t>
        </is>
      </c>
      <c r="F894" s="7" t="n">
        <v>24</v>
      </c>
      <c r="G894" s="7" t="inlineStr">
        <is>
          <t>CTN</t>
        </is>
      </c>
      <c r="H894" t="inlineStr">
        <is>
          <t>BLEND ROSE TB</t>
        </is>
      </c>
    </row>
    <row r="895" ht="14.25" customHeight="1" s="5">
      <c r="A895" s="7" t="n">
        <v>23591</v>
      </c>
      <c r="B895" s="7" t="inlineStr">
        <is>
          <t>GV ROSE 24/25 DC ENV TBGS WITH T-SHIRT</t>
        </is>
      </c>
      <c r="C895" s="7" t="inlineStr">
        <is>
          <t>GV</t>
        </is>
      </c>
      <c r="D895" s="7" t="n">
        <v>23348</v>
      </c>
      <c r="E895" s="7" t="inlineStr">
        <is>
          <t>GV ROSE 25 DC ENV TBGS</t>
        </is>
      </c>
      <c r="F895" s="7" t="n">
        <v>24</v>
      </c>
      <c r="G895" s="7" t="inlineStr">
        <is>
          <t>CTN</t>
        </is>
      </c>
      <c r="H895" t="inlineStr">
        <is>
          <t>BLEND ROSE TB</t>
        </is>
      </c>
    </row>
    <row r="896" ht="14.25" customHeight="1" s="5">
      <c r="A896" s="7" t="n">
        <v>17805</v>
      </c>
      <c r="B896" s="7" t="inlineStr">
        <is>
          <t>GV ROYAL CEYLON 12/25 DC SF HS ENV TBGS</t>
        </is>
      </c>
      <c r="C896" s="7" t="inlineStr">
        <is>
          <t>GV</t>
        </is>
      </c>
      <c r="D896" s="7" t="n">
        <v>1920</v>
      </c>
      <c r="E896" s="7" t="inlineStr">
        <is>
          <t>GV ROYAL CEYLON 25 DC SF HS ENV TBGS</t>
        </is>
      </c>
      <c r="F896" s="7" t="n">
        <v>12</v>
      </c>
      <c r="G896" s="7" t="inlineStr">
        <is>
          <t>CTN</t>
        </is>
      </c>
      <c r="H896" t="inlineStr">
        <is>
          <t>BLEND GV CEYLON</t>
        </is>
      </c>
    </row>
    <row r="897" ht="14.25" customHeight="1" s="5">
      <c r="A897" s="7" t="n">
        <v>27508</v>
      </c>
      <c r="B897" s="7" t="inlineStr">
        <is>
          <t>GV ROYAL CEYLON 12/25 DC SF HS ENV TBGS (UKR)</t>
        </is>
      </c>
      <c r="C897" s="7" t="inlineStr">
        <is>
          <t>GV</t>
        </is>
      </c>
      <c r="D897" s="7" t="n">
        <v>27554</v>
      </c>
      <c r="E897" s="7" t="inlineStr">
        <is>
          <t>GV ROYAL CEYLON 25 DC SF HS ENV TBGS (UKR)</t>
        </is>
      </c>
      <c r="F897" s="7" t="n">
        <v>12</v>
      </c>
      <c r="G897" s="7" t="inlineStr">
        <is>
          <t>CTN</t>
        </is>
      </c>
      <c r="H897" t="inlineStr">
        <is>
          <t>BLEND GV CEYLON</t>
        </is>
      </c>
    </row>
    <row r="898" ht="14.25" customHeight="1" s="5">
      <c r="A898" s="7" t="n">
        <v>18558</v>
      </c>
      <c r="B898" s="7" t="inlineStr">
        <is>
          <t>GV ROYAL CEYLON 24/25 DC SF HS ENV TBGS (AF)</t>
        </is>
      </c>
      <c r="C898" s="7" t="inlineStr">
        <is>
          <t>GV</t>
        </is>
      </c>
      <c r="D898" s="7" t="n">
        <v>18952</v>
      </c>
      <c r="E898" s="7" t="inlineStr">
        <is>
          <t>GV ROYAL CEYLON 25 DC SF HS ENV TBGS (AF)</t>
        </is>
      </c>
      <c r="F898" s="7" t="n">
        <v>24</v>
      </c>
      <c r="G898" s="7" t="inlineStr">
        <is>
          <t>CTN</t>
        </is>
      </c>
      <c r="H898" t="inlineStr">
        <is>
          <t>BLEND GV CEYLON</t>
        </is>
      </c>
    </row>
    <row r="899" ht="14.25" customHeight="1" s="5">
      <c r="A899" s="7" t="n">
        <v>19774</v>
      </c>
      <c r="B899" s="7" t="inlineStr">
        <is>
          <t>GV ROYAL CEYLON 24/25 DC SF HS ENV TBGS (AR)</t>
        </is>
      </c>
      <c r="C899" s="7" t="inlineStr">
        <is>
          <t>GV</t>
        </is>
      </c>
      <c r="D899" s="7" t="n">
        <v>19777</v>
      </c>
      <c r="E899" s="7" t="inlineStr">
        <is>
          <t>GV ROYAL CEYLON 25 DC SF HS ENV TBGS (AR)</t>
        </is>
      </c>
      <c r="F899" s="7" t="n">
        <v>24</v>
      </c>
      <c r="G899" s="7" t="inlineStr">
        <is>
          <t>CTN</t>
        </is>
      </c>
      <c r="H899" t="inlineStr">
        <is>
          <t>BLEND GV CEYLON</t>
        </is>
      </c>
    </row>
    <row r="900" ht="14.25" customHeight="1" s="5">
      <c r="A900" s="7" t="n">
        <v>2097</v>
      </c>
      <c r="B900" s="7" t="inlineStr">
        <is>
          <t>GV ROYAL CEYLON 6/100 DC SF HS ENV TBGS</t>
        </is>
      </c>
      <c r="C900" s="7" t="inlineStr">
        <is>
          <t>GV</t>
        </is>
      </c>
      <c r="D900" s="7" t="n">
        <v>2098</v>
      </c>
      <c r="E900" s="7" t="inlineStr">
        <is>
          <t>GV ROYAL CEYLON 100 DC SF HS ENV TBGS</t>
        </is>
      </c>
      <c r="F900" s="7" t="n">
        <v>6</v>
      </c>
      <c r="G900" s="7" t="inlineStr">
        <is>
          <t>CTN</t>
        </is>
      </c>
      <c r="H900" t="inlineStr">
        <is>
          <t>BLEND GV CEYLON</t>
        </is>
      </c>
    </row>
    <row r="901" ht="14.25" customHeight="1" s="5">
      <c r="A901" s="7" t="n">
        <v>18557</v>
      </c>
      <c r="B901" s="7" t="inlineStr">
        <is>
          <t>GV ROYAL CEYLON 6/100 DC SF HS ENV TBGS (AF)</t>
        </is>
      </c>
      <c r="C901" s="7" t="inlineStr">
        <is>
          <t>GV</t>
        </is>
      </c>
      <c r="D901" s="7" t="n">
        <v>18950</v>
      </c>
      <c r="E901" s="7" t="inlineStr">
        <is>
          <t>GV ROYAL CEYLON 100 DC SF HS ENV TBGS (AF)</t>
        </is>
      </c>
      <c r="F901" s="7" t="n">
        <v>6</v>
      </c>
      <c r="G901" s="7" t="inlineStr">
        <is>
          <t>CTN</t>
        </is>
      </c>
      <c r="H901" t="inlineStr">
        <is>
          <t>BLEND GV CEYLON</t>
        </is>
      </c>
    </row>
    <row r="902" ht="14.25" customHeight="1" s="5">
      <c r="A902" s="7" t="n">
        <v>19768</v>
      </c>
      <c r="B902" s="7" t="inlineStr">
        <is>
          <t>GV ROYAL CEYLON 6/100 DC SF HS ENV TBGS (AR)</t>
        </is>
      </c>
      <c r="C902" s="7" t="inlineStr">
        <is>
          <t>GV</t>
        </is>
      </c>
      <c r="D902" s="7" t="n">
        <v>19772</v>
      </c>
      <c r="E902" s="7" t="inlineStr">
        <is>
          <t>GV ROYAL CEYLON 100 DC SF HS ENV TBGS (AR)</t>
        </is>
      </c>
      <c r="F902" s="7" t="n">
        <v>6</v>
      </c>
      <c r="G902" s="7" t="inlineStr">
        <is>
          <t>CTN</t>
        </is>
      </c>
      <c r="H902" t="inlineStr">
        <is>
          <t>BLEND GV CEYLON</t>
        </is>
      </c>
    </row>
    <row r="903" ht="14.25" customHeight="1" s="5">
      <c r="A903" s="7" t="n">
        <v>2100</v>
      </c>
      <c r="B903" s="7" t="inlineStr">
        <is>
          <t>GV ROYAL LEMON 24/25 DC ENV TBGS</t>
        </is>
      </c>
      <c r="C903" s="7" t="inlineStr">
        <is>
          <t>GV</t>
        </is>
      </c>
      <c r="D903" s="7" t="n">
        <v>2101</v>
      </c>
      <c r="E903" s="7" t="inlineStr">
        <is>
          <t>GV ROYAL LEMON 25 DC ENV TBGS</t>
        </is>
      </c>
      <c r="F903" s="7" t="n">
        <v>24</v>
      </c>
      <c r="G903" s="7" t="inlineStr">
        <is>
          <t>CTN</t>
        </is>
      </c>
      <c r="H903" t="inlineStr">
        <is>
          <t>BLEND BLACK TEA LEMON TB</t>
        </is>
      </c>
    </row>
    <row r="904" ht="14.25" customHeight="1" s="5">
      <c r="A904" s="7" t="n">
        <v>2105</v>
      </c>
      <c r="B904" s="7" t="inlineStr">
        <is>
          <t>GV ROYAL LEMON 24/25 DC ENV TBGS WITH TSHIRT</t>
        </is>
      </c>
      <c r="C904" s="7" t="inlineStr">
        <is>
          <t>GV</t>
        </is>
      </c>
      <c r="D904" s="7" t="n">
        <v>2101</v>
      </c>
      <c r="E904" s="7" t="inlineStr">
        <is>
          <t>GV ROYAL LEMON 25 DC ENV TBGS</t>
        </is>
      </c>
      <c r="F904" s="7" t="n">
        <v>24</v>
      </c>
      <c r="G904" s="7" t="inlineStr">
        <is>
          <t>CTN</t>
        </is>
      </c>
      <c r="H904" t="inlineStr">
        <is>
          <t>BLEND BLACK TEA LEMON TB</t>
        </is>
      </c>
    </row>
    <row r="905" ht="14.25" customHeight="1" s="5">
      <c r="A905" s="7" t="n">
        <v>2107</v>
      </c>
      <c r="B905" s="7" t="inlineStr">
        <is>
          <t>GV ROYAL LEMON 24/25 SC ENV TBGS</t>
        </is>
      </c>
      <c r="C905" s="7" t="inlineStr">
        <is>
          <t>GV</t>
        </is>
      </c>
      <c r="D905" s="7" t="n">
        <v>2108</v>
      </c>
      <c r="E905" s="7" t="inlineStr">
        <is>
          <t>GV ROYAL LEMON 25 SC ENV TBGS</t>
        </is>
      </c>
      <c r="F905" s="7" t="n">
        <v>24</v>
      </c>
      <c r="G905" s="7" t="inlineStr">
        <is>
          <t>CTN</t>
        </is>
      </c>
      <c r="H905">
        <f>#N/A</f>
        <v/>
      </c>
    </row>
    <row r="906" ht="14.25" customHeight="1" s="5">
      <c r="A906" s="7" t="n">
        <v>2109</v>
      </c>
      <c r="B906" s="7" t="inlineStr">
        <is>
          <t>GV ROYAL LEMON 24/25 SC ENV TBGS WITH TSHIRT</t>
        </is>
      </c>
      <c r="C906" s="7" t="inlineStr">
        <is>
          <t>GV</t>
        </is>
      </c>
      <c r="D906" s="7" t="n">
        <v>1984</v>
      </c>
      <c r="E906" s="7" t="inlineStr">
        <is>
          <t>GV LEMON 25 SC ENV TBGS</t>
        </is>
      </c>
      <c r="F906" s="7" t="n">
        <v>24</v>
      </c>
      <c r="G906" s="7" t="inlineStr">
        <is>
          <t>CTN</t>
        </is>
      </c>
      <c r="H906">
        <f>#N/A</f>
        <v/>
      </c>
    </row>
    <row r="907" ht="14.25" customHeight="1" s="5">
      <c r="A907" s="7" t="n">
        <v>27219</v>
      </c>
      <c r="B907" s="7" t="inlineStr">
        <is>
          <t>GV ROYAL LEMON 48/25 DC ENV TBGS</t>
        </is>
      </c>
      <c r="C907" s="7" t="inlineStr">
        <is>
          <t>GV</t>
        </is>
      </c>
      <c r="D907" s="7" t="n">
        <v>2101</v>
      </c>
      <c r="E907" s="7" t="inlineStr">
        <is>
          <t>GV ROYAL LEMON 25 DC ENV TBGS</t>
        </is>
      </c>
      <c r="F907" s="7" t="n">
        <v>48</v>
      </c>
      <c r="G907" s="7" t="inlineStr">
        <is>
          <t>CTN</t>
        </is>
      </c>
      <c r="H907" t="inlineStr">
        <is>
          <t>BLEND BLACK TEA LEMON TB</t>
        </is>
      </c>
    </row>
    <row r="908" ht="14.25" customHeight="1" s="5">
      <c r="A908" s="7" t="n">
        <v>21259</v>
      </c>
      <c r="B908" s="7" t="inlineStr">
        <is>
          <t>GV ROYAL LEMON 48/25 SC ENV TBGS</t>
        </is>
      </c>
      <c r="C908" s="7" t="inlineStr">
        <is>
          <t>GV</t>
        </is>
      </c>
      <c r="D908" s="7" t="n">
        <v>1984</v>
      </c>
      <c r="E908" s="7" t="inlineStr">
        <is>
          <t>GV LEMON 25 SC ENV TBGS</t>
        </is>
      </c>
      <c r="F908" s="7" t="n">
        <v>48</v>
      </c>
      <c r="G908" s="7" t="inlineStr">
        <is>
          <t>CTN</t>
        </is>
      </c>
      <c r="H908">
        <f>#N/A</f>
        <v/>
      </c>
    </row>
    <row r="909" ht="14.25" customHeight="1" s="5">
      <c r="A909" s="7" t="n">
        <v>2111</v>
      </c>
      <c r="B909" s="7" t="inlineStr">
        <is>
          <t>GV ROYAL LEMON 48/25 SC ENV TBGS WITH TSHIRT</t>
        </is>
      </c>
      <c r="C909" s="7" t="inlineStr">
        <is>
          <t>GV</t>
        </is>
      </c>
      <c r="D909" s="7" t="n">
        <v>1984</v>
      </c>
      <c r="E909" s="7" t="inlineStr">
        <is>
          <t>GV LEMON 25 SC ENV TBGS</t>
        </is>
      </c>
      <c r="F909" s="7" t="n">
        <v>48</v>
      </c>
      <c r="G909" s="7" t="inlineStr">
        <is>
          <t>CTN</t>
        </is>
      </c>
      <c r="H909">
        <f>#N/A</f>
        <v/>
      </c>
    </row>
    <row r="910" ht="14.25" customHeight="1" s="5">
      <c r="A910" s="7" t="n">
        <v>22266</v>
      </c>
      <c r="B910" s="7" t="inlineStr">
        <is>
          <t>GV ROYAL LEMON SACHET 24 X 10 X 3 DC ENV TBGS</t>
        </is>
      </c>
      <c r="C910" s="7" t="inlineStr">
        <is>
          <t>GV</t>
        </is>
      </c>
      <c r="D910" s="7" t="n">
        <v>22296</v>
      </c>
      <c r="E910" s="7" t="inlineStr">
        <is>
          <t>GV ROYAL LEMON STRIP 3TBGS X 10 SACHET</t>
        </is>
      </c>
      <c r="F910" s="7" t="n">
        <v>24</v>
      </c>
      <c r="G910" s="7" t="inlineStr">
        <is>
          <t>PCS</t>
        </is>
      </c>
      <c r="H910">
        <f>#N/A</f>
        <v/>
      </c>
    </row>
    <row r="911" ht="14.25" customHeight="1" s="5">
      <c r="A911" s="7" t="n">
        <v>2114</v>
      </c>
      <c r="B911" s="7" t="inlineStr">
        <is>
          <t>GV ROYAL LEMON SACHET 24 X 10 X 5 SC ENV TBGS</t>
        </is>
      </c>
      <c r="C911" s="7" t="inlineStr">
        <is>
          <t>GV</t>
        </is>
      </c>
      <c r="D911" s="7" t="n">
        <v>2115</v>
      </c>
      <c r="E911" s="7" t="inlineStr">
        <is>
          <t>GV ROYAL LEMON STRIP 5TBGS X 10 SACHET</t>
        </is>
      </c>
      <c r="F911" s="7" t="n">
        <v>24</v>
      </c>
      <c r="G911" s="7" t="inlineStr">
        <is>
          <t>PCS</t>
        </is>
      </c>
      <c r="H911">
        <f>#N/A</f>
        <v/>
      </c>
    </row>
    <row r="912" ht="14.25" customHeight="1" s="5">
      <c r="A912" s="7" t="n">
        <v>22296</v>
      </c>
      <c r="B912" s="7" t="inlineStr">
        <is>
          <t>GV ROYAL LEMON STRIP 3TBGS X 10 SACHET</t>
        </is>
      </c>
      <c r="C912" s="7" t="inlineStr">
        <is>
          <t>GV</t>
        </is>
      </c>
      <c r="D912" s="7" t="n">
        <v>22271</v>
      </c>
      <c r="E912" s="7" t="inlineStr">
        <is>
          <t>GV ROYAL LEMON LOOSE DC ENV TBGS</t>
        </is>
      </c>
      <c r="F912" s="7" t="n">
        <v>30</v>
      </c>
      <c r="G912" s="7" t="inlineStr">
        <is>
          <t>ENV</t>
        </is>
      </c>
      <c r="H912" t="inlineStr">
        <is>
          <t>BLEND BLACK TEA LEMON TB</t>
        </is>
      </c>
    </row>
    <row r="913" ht="14.25" customHeight="1" s="5">
      <c r="A913" s="7" t="n">
        <v>2115</v>
      </c>
      <c r="B913" s="7" t="inlineStr">
        <is>
          <t>GV ROYAL LEMON STRIP 5TBGS X 10 SACHET</t>
        </is>
      </c>
      <c r="C913" s="7" t="inlineStr">
        <is>
          <t>GV</t>
        </is>
      </c>
      <c r="D913" s="7" t="n">
        <v>2119</v>
      </c>
      <c r="E913" s="7" t="inlineStr">
        <is>
          <t>GV ROYAL LEMON LOOSE ENV SC ENV TBGS</t>
        </is>
      </c>
      <c r="F913" s="7" t="n">
        <v>50</v>
      </c>
      <c r="G913" s="7" t="inlineStr">
        <is>
          <t>ENV</t>
        </is>
      </c>
      <c r="H913">
        <f>#N/A</f>
        <v/>
      </c>
    </row>
    <row r="914" ht="14.25" customHeight="1" s="5">
      <c r="A914" s="7" t="n">
        <v>22269</v>
      </c>
      <c r="B914" s="7" t="inlineStr">
        <is>
          <t>GV SACHET 24 X 10 X 3 DC ENV TBGS</t>
        </is>
      </c>
      <c r="C914" s="7" t="inlineStr">
        <is>
          <t>GV</t>
        </is>
      </c>
      <c r="D914" s="7" t="n">
        <v>22297</v>
      </c>
      <c r="E914" s="7" t="inlineStr">
        <is>
          <t>GV STRIP WITH 3 TBGS X 10 SACHET</t>
        </is>
      </c>
      <c r="F914" s="7" t="n">
        <v>24</v>
      </c>
      <c r="G914" s="7" t="inlineStr">
        <is>
          <t>PCS</t>
        </is>
      </c>
      <c r="H914">
        <f>#N/A</f>
        <v/>
      </c>
    </row>
    <row r="915" ht="14.25" customHeight="1" s="5">
      <c r="A915" s="7" t="n">
        <v>19819</v>
      </c>
      <c r="B915" s="7" t="inlineStr">
        <is>
          <t>GV SACHET 24 X 10 X 4 DC ENV TBGS (AR)</t>
        </is>
      </c>
      <c r="C915" s="7" t="inlineStr">
        <is>
          <t>GV</t>
        </is>
      </c>
      <c r="D915" s="7" t="n">
        <v>19822</v>
      </c>
      <c r="E915" s="7" t="inlineStr">
        <is>
          <t>GV STRIP WITH 4 TBGS X 10 SACHET</t>
        </is>
      </c>
      <c r="F915" s="7" t="n">
        <v>24</v>
      </c>
      <c r="G915" s="7" t="inlineStr">
        <is>
          <t>PCS</t>
        </is>
      </c>
      <c r="H915">
        <f>#N/A</f>
        <v/>
      </c>
    </row>
    <row r="916" ht="14.25" customHeight="1" s="5">
      <c r="A916" s="7" t="n">
        <v>2120</v>
      </c>
      <c r="B916" s="7" t="inlineStr">
        <is>
          <t>GV SACHET 24 X 10 X 5 DC ENV TBGS</t>
        </is>
      </c>
      <c r="C916" s="7" t="inlineStr">
        <is>
          <t>GV</t>
        </is>
      </c>
      <c r="D916" s="7" t="n">
        <v>5571</v>
      </c>
      <c r="E916" s="7" t="inlineStr">
        <is>
          <t>GV STRIP WITH 5 TBGS X 10 SACHET</t>
        </is>
      </c>
      <c r="F916" s="7" t="n">
        <v>24</v>
      </c>
      <c r="G916" s="7" t="inlineStr">
        <is>
          <t>PCS</t>
        </is>
      </c>
      <c r="H916">
        <f>#N/A</f>
        <v/>
      </c>
    </row>
    <row r="917" ht="14.25" customHeight="1" s="5">
      <c r="A917" s="7" t="n">
        <v>2124</v>
      </c>
      <c r="B917" s="7" t="inlineStr">
        <is>
          <t>GV SACHET 24 X 10 X 5 DC ENV TBGS WITH TSHIRT</t>
        </is>
      </c>
      <c r="C917" s="7" t="inlineStr">
        <is>
          <t>GV</t>
        </is>
      </c>
      <c r="D917" s="7" t="n">
        <v>5571</v>
      </c>
      <c r="E917" s="7" t="inlineStr">
        <is>
          <t>GV STRIP WITH 5 TBGS X 10 SACHET</t>
        </is>
      </c>
      <c r="F917" s="7" t="n">
        <v>24</v>
      </c>
      <c r="G917" s="7" t="inlineStr">
        <is>
          <t>CTN</t>
        </is>
      </c>
      <c r="H917">
        <f>#N/A</f>
        <v/>
      </c>
    </row>
    <row r="918" ht="14.25" customHeight="1" s="5">
      <c r="A918" s="7" t="n">
        <v>34980</v>
      </c>
      <c r="B918" s="7" t="inlineStr">
        <is>
          <t>GV SLIM CARE GREEN TEA HONEY LEMON 12/25 DC SF HS ENV TBGS</t>
        </is>
      </c>
      <c r="C918" s="7" t="inlineStr">
        <is>
          <t>GV</t>
        </is>
      </c>
      <c r="D918" s="7" t="n">
        <v>35059</v>
      </c>
      <c r="E918" s="7" t="inlineStr">
        <is>
          <t>GV SLIM CARE GREEN TEA HONEY LEMON 25 DC SF HS ENV TBGS</t>
        </is>
      </c>
      <c r="F918" s="7" t="n">
        <v>12</v>
      </c>
      <c r="G918" s="7" t="inlineStr">
        <is>
          <t>CTN</t>
        </is>
      </c>
      <c r="H918" t="inlineStr">
        <is>
          <t>BLEND SLIM GREEN TEA HONEY LEMON TB</t>
        </is>
      </c>
    </row>
    <row r="919" ht="14.25" customHeight="1" s="5">
      <c r="A919" s="7" t="n">
        <v>36432</v>
      </c>
      <c r="B919" s="7" t="inlineStr">
        <is>
          <t>GV SLIM CARE GREEN TEA HONEY LEMON 12/25 SC HS ENV TBGS</t>
        </is>
      </c>
      <c r="C919" s="7" t="inlineStr">
        <is>
          <t>GV</t>
        </is>
      </c>
      <c r="D919" s="7" t="n">
        <v>36461</v>
      </c>
      <c r="E919" s="7" t="inlineStr">
        <is>
          <t>GV SLIM CARE GREEN TEA HONEY LEMON 25 SC HS ENV TBGS</t>
        </is>
      </c>
      <c r="F919" s="7" t="n">
        <v>12</v>
      </c>
      <c r="G919" s="7" t="inlineStr">
        <is>
          <t>CTN</t>
        </is>
      </c>
      <c r="H919" t="inlineStr">
        <is>
          <t>BLEND SLIM GREEN TEA HONEY LEMON TB</t>
        </is>
      </c>
    </row>
    <row r="920" ht="14.25" customHeight="1" s="5">
      <c r="A920" s="7" t="n">
        <v>2126</v>
      </c>
      <c r="B920" s="7" t="inlineStr">
        <is>
          <t>GV SPICY GINGER 24/25 DC ENV TBGS</t>
        </is>
      </c>
      <c r="C920" s="7" t="inlineStr">
        <is>
          <t>GV</t>
        </is>
      </c>
      <c r="D920" s="7" t="n">
        <v>2127</v>
      </c>
      <c r="E920" s="7" t="inlineStr">
        <is>
          <t>GV SPICY GINGER 25 DC ENV TBGS</t>
        </is>
      </c>
      <c r="F920" s="7" t="n">
        <v>24</v>
      </c>
      <c r="G920" s="7" t="inlineStr">
        <is>
          <t>CTN</t>
        </is>
      </c>
      <c r="H920" t="inlineStr">
        <is>
          <t>BLEND AF BLACK TEA  GINGER TBGS</t>
        </is>
      </c>
    </row>
    <row r="921" ht="14.25" customHeight="1" s="5">
      <c r="A921" s="7" t="n">
        <v>19824</v>
      </c>
      <c r="B921" s="7" t="inlineStr">
        <is>
          <t>GV SPICY GINGER 24/25 DC ENV TBGS (AR)</t>
        </is>
      </c>
      <c r="C921" s="7" t="inlineStr">
        <is>
          <t>GV</t>
        </is>
      </c>
      <c r="D921" s="7" t="n">
        <v>2127</v>
      </c>
      <c r="E921" s="7" t="inlineStr">
        <is>
          <t>GV SPICY GINGER 25 DC ENV TBGS</t>
        </is>
      </c>
      <c r="F921" s="7" t="n">
        <v>24</v>
      </c>
      <c r="G921" s="7" t="inlineStr">
        <is>
          <t>CTN</t>
        </is>
      </c>
      <c r="H921" t="inlineStr">
        <is>
          <t>BLEND AF BLACK TEA  GINGER TBGS</t>
        </is>
      </c>
    </row>
    <row r="922" ht="14.25" customHeight="1" s="5">
      <c r="A922" s="7" t="n">
        <v>2131</v>
      </c>
      <c r="B922" s="7" t="inlineStr">
        <is>
          <t>GV SPICY GINGER 24/25 DC ENV TBGS WITH TSHIRT</t>
        </is>
      </c>
      <c r="C922" s="7" t="inlineStr">
        <is>
          <t>GV</t>
        </is>
      </c>
      <c r="D922" s="7" t="n">
        <v>2127</v>
      </c>
      <c r="E922" s="7" t="inlineStr">
        <is>
          <t>GV SPICY GINGER 25 DC ENV TBGS</t>
        </is>
      </c>
      <c r="F922" s="7" t="n">
        <v>24</v>
      </c>
      <c r="G922" s="7" t="inlineStr">
        <is>
          <t>CTN</t>
        </is>
      </c>
      <c r="H922" t="inlineStr">
        <is>
          <t>BLEND AF BLACK TEA  GINGER TBGS</t>
        </is>
      </c>
    </row>
    <row r="923" ht="14.25" customHeight="1" s="5">
      <c r="A923" s="7" t="n">
        <v>36526</v>
      </c>
      <c r="B923" s="7" t="inlineStr">
        <is>
          <t>GV SPICY GINGER 24/25 DC SF ENV TBGS (v2)</t>
        </is>
      </c>
      <c r="C923" s="7" t="inlineStr">
        <is>
          <t>GV</t>
        </is>
      </c>
      <c r="D923" s="7" t="n">
        <v>36621</v>
      </c>
      <c r="E923" s="7" t="inlineStr">
        <is>
          <t>GV SPICY GINGER 25 DC SF ENV TBGS (V2)</t>
        </is>
      </c>
      <c r="F923" s="7" t="n">
        <v>24</v>
      </c>
      <c r="G923" s="7" t="inlineStr">
        <is>
          <t>CTN</t>
        </is>
      </c>
      <c r="H923" t="inlineStr">
        <is>
          <t>BLEND AF BLACK TEA  GINGER TBGS</t>
        </is>
      </c>
    </row>
    <row r="924" ht="14.25" customHeight="1" s="5">
      <c r="A924" s="7" t="n">
        <v>36984</v>
      </c>
      <c r="B924" s="7" t="inlineStr">
        <is>
          <t>GV SPICY GINGER 24/25 DC SF ENV TBGS (VINDEMIA)</t>
        </is>
      </c>
      <c r="C924" s="7" t="inlineStr">
        <is>
          <t>GV</t>
        </is>
      </c>
      <c r="D924" s="7" t="n">
        <v>37012</v>
      </c>
      <c r="E924" s="7" t="inlineStr">
        <is>
          <t>GV SPICY GINGER 25 DC SF ENV TBGS (VINDEMIA)</t>
        </is>
      </c>
      <c r="F924" s="7" t="n">
        <v>24</v>
      </c>
      <c r="G924" s="7" t="inlineStr">
        <is>
          <t>CTN</t>
        </is>
      </c>
      <c r="H924" t="inlineStr">
        <is>
          <t>BLEND AF BLACK TEA  GINGER TBGS</t>
        </is>
      </c>
    </row>
    <row r="925" ht="14.25" customHeight="1" s="5">
      <c r="A925" s="7" t="n">
        <v>2133</v>
      </c>
      <c r="B925" s="7" t="inlineStr">
        <is>
          <t>GV SPICY GINGER 24/25 SC ENV TBGS</t>
        </is>
      </c>
      <c r="C925" s="7" t="inlineStr">
        <is>
          <t>GV</t>
        </is>
      </c>
      <c r="D925" s="7" t="n">
        <v>1944</v>
      </c>
      <c r="E925" s="7" t="inlineStr">
        <is>
          <t>GV GINGER 25 SC ENV TBGS</t>
        </is>
      </c>
      <c r="F925" s="7" t="n">
        <v>24</v>
      </c>
      <c r="G925" s="7" t="inlineStr">
        <is>
          <t>CTN</t>
        </is>
      </c>
      <c r="H925">
        <f>#N/A</f>
        <v/>
      </c>
    </row>
    <row r="926" ht="14.25" customHeight="1" s="5">
      <c r="A926" s="7" t="n">
        <v>2135</v>
      </c>
      <c r="B926" s="7" t="inlineStr">
        <is>
          <t>GV SPICY GINGER 24/25 SC ENV TBGS WITH TSHIRT</t>
        </is>
      </c>
      <c r="C926" s="7" t="inlineStr">
        <is>
          <t>GV</t>
        </is>
      </c>
      <c r="D926" s="7" t="n">
        <v>1944</v>
      </c>
      <c r="E926" s="7" t="inlineStr">
        <is>
          <t>GV GINGER 25 SC ENV TBGS</t>
        </is>
      </c>
      <c r="F926" s="7" t="n">
        <v>24</v>
      </c>
      <c r="G926" s="7" t="inlineStr">
        <is>
          <t>CTN</t>
        </is>
      </c>
      <c r="H926">
        <f>#N/A</f>
        <v/>
      </c>
    </row>
    <row r="927" ht="14.25" customHeight="1" s="5">
      <c r="A927" s="7" t="n">
        <v>26085</v>
      </c>
      <c r="B927" s="7" t="inlineStr">
        <is>
          <t>GV SPICY GINGER 48/25 DC ENV TBGS</t>
        </is>
      </c>
      <c r="C927" s="7" t="inlineStr">
        <is>
          <t>GV</t>
        </is>
      </c>
      <c r="D927" s="7" t="n">
        <v>2127</v>
      </c>
      <c r="E927" s="7" t="inlineStr">
        <is>
          <t>GV SPICY GINGER 25 DC ENV TBGS</t>
        </is>
      </c>
      <c r="F927" s="7" t="n">
        <v>48</v>
      </c>
      <c r="G927" s="7" t="inlineStr">
        <is>
          <t>CTN</t>
        </is>
      </c>
      <c r="H927" t="inlineStr">
        <is>
          <t>BLEND AF BLACK TEA  GINGER TBGS</t>
        </is>
      </c>
    </row>
    <row r="928" ht="14.25" customHeight="1" s="5">
      <c r="A928" s="7" t="n">
        <v>2137</v>
      </c>
      <c r="B928" s="7" t="inlineStr">
        <is>
          <t>GV SPICY GINGER 48/25 SC ENV TBGS WITH TSHIRT</t>
        </is>
      </c>
      <c r="C928" s="7" t="inlineStr">
        <is>
          <t>GV</t>
        </is>
      </c>
      <c r="D928" s="7" t="n">
        <v>1944</v>
      </c>
      <c r="E928" s="7" t="inlineStr">
        <is>
          <t>GV GINGER 25 SC ENV TBGS</t>
        </is>
      </c>
      <c r="F928" s="7" t="n">
        <v>48</v>
      </c>
      <c r="G928" s="7" t="inlineStr">
        <is>
          <t>CTN</t>
        </is>
      </c>
      <c r="H928">
        <f>#N/A</f>
        <v/>
      </c>
    </row>
    <row r="929" ht="14.25" customHeight="1" s="5">
      <c r="A929" s="7" t="n">
        <v>21924</v>
      </c>
      <c r="B929" s="7" t="inlineStr">
        <is>
          <t>GV SPICY GINGER SACHET 24 X 10 X 3 DC ENV TBGS</t>
        </is>
      </c>
      <c r="C929" s="7" t="inlineStr">
        <is>
          <t>GV</t>
        </is>
      </c>
      <c r="D929" s="7" t="n">
        <v>21927</v>
      </c>
      <c r="E929" s="7" t="inlineStr">
        <is>
          <t>GV SPICY GINGER STRIP 3TBGS X 10 SACHET</t>
        </is>
      </c>
      <c r="F929" s="7" t="n">
        <v>24</v>
      </c>
      <c r="G929" s="7" t="inlineStr">
        <is>
          <t>PCS</t>
        </is>
      </c>
      <c r="H929">
        <f>#N/A</f>
        <v/>
      </c>
    </row>
    <row r="930" ht="14.25" customHeight="1" s="5">
      <c r="A930" s="7" t="n">
        <v>2140</v>
      </c>
      <c r="B930" s="7" t="inlineStr">
        <is>
          <t>GV SPICY GINGER SACHET 24 X 10 X 5 SC ENV TBGS</t>
        </is>
      </c>
      <c r="C930" s="7" t="inlineStr">
        <is>
          <t>GV</t>
        </is>
      </c>
      <c r="D930" s="7" t="n">
        <v>2141</v>
      </c>
      <c r="E930" s="7" t="inlineStr">
        <is>
          <t>GV SPICY GINGER STRIP 5TBGS X 10 SACHET</t>
        </is>
      </c>
      <c r="F930" s="7" t="n">
        <v>24</v>
      </c>
      <c r="G930" s="7" t="inlineStr">
        <is>
          <t>PCS</t>
        </is>
      </c>
      <c r="H930">
        <f>#N/A</f>
        <v/>
      </c>
    </row>
    <row r="931" ht="14.25" customHeight="1" s="5">
      <c r="A931" s="7" t="n">
        <v>21927</v>
      </c>
      <c r="B931" s="7" t="inlineStr">
        <is>
          <t>GV SPICY GINGER STRIP 3TBGS X 10 SACHET</t>
        </is>
      </c>
      <c r="C931" s="7" t="inlineStr">
        <is>
          <t>GV</t>
        </is>
      </c>
      <c r="D931" s="7" t="n">
        <v>21930</v>
      </c>
      <c r="E931" s="7" t="inlineStr">
        <is>
          <t>GV SPICY GINGER LOOSE DC ENV TBGS</t>
        </is>
      </c>
      <c r="F931" s="7" t="n">
        <v>30</v>
      </c>
      <c r="G931" s="7" t="inlineStr">
        <is>
          <t>ENV</t>
        </is>
      </c>
      <c r="H931" t="inlineStr">
        <is>
          <t>BLEND AF BLACK TEA  GINGER TBGS</t>
        </is>
      </c>
    </row>
    <row r="932" ht="14.25" customHeight="1" s="5">
      <c r="A932" s="7" t="n">
        <v>2141</v>
      </c>
      <c r="B932" s="7" t="inlineStr">
        <is>
          <t>GV SPICY GINGER STRIP 5TBGS X 10 SACHET</t>
        </is>
      </c>
      <c r="C932" s="7" t="inlineStr">
        <is>
          <t>GV</t>
        </is>
      </c>
      <c r="D932" s="7" t="n">
        <v>2143</v>
      </c>
      <c r="E932" s="8" t="inlineStr">
        <is>
          <t xml:space="preserve">GV SPICY GINGER LOOSE ENV SC ENV TBGS
</t>
        </is>
      </c>
      <c r="F932" s="7" t="n">
        <v>50</v>
      </c>
      <c r="G932" s="7" t="inlineStr">
        <is>
          <t>ENV</t>
        </is>
      </c>
      <c r="H932">
        <f>#N/A</f>
        <v/>
      </c>
    </row>
    <row r="933" ht="14.25" customHeight="1" s="5">
      <c r="A933" s="7" t="n">
        <v>19852</v>
      </c>
      <c r="B933" s="7" t="inlineStr">
        <is>
          <t>GV STRAWBERRY 24/25 DC ENV TBGS -1 NOTEBOOK &amp; 1 WRITING PAD</t>
        </is>
      </c>
      <c r="C933" s="7" t="inlineStr">
        <is>
          <t>GV</t>
        </is>
      </c>
      <c r="D933" s="7" t="n">
        <v>1926</v>
      </c>
      <c r="E933" s="7" t="inlineStr">
        <is>
          <t>GV GARDEN STRAWBERRY 25 DC ENV TBGS</t>
        </is>
      </c>
      <c r="F933" s="7" t="n">
        <v>24</v>
      </c>
      <c r="G933" s="7" t="inlineStr">
        <is>
          <t>CTN</t>
        </is>
      </c>
      <c r="H933" t="inlineStr">
        <is>
          <t>BLEND STRAWBERRY TB</t>
        </is>
      </c>
    </row>
    <row r="934" ht="14.25" customHeight="1" s="5">
      <c r="A934" s="7" t="n">
        <v>20644</v>
      </c>
      <c r="B934" s="7" t="inlineStr">
        <is>
          <t>GV STRAWBERRY 24/25 DC ENV TBGS NOTEBOOK &amp; SHOPPING BAG</t>
        </is>
      </c>
      <c r="C934" s="7" t="inlineStr">
        <is>
          <t>GV</t>
        </is>
      </c>
      <c r="D934" s="7" t="n">
        <v>1926</v>
      </c>
      <c r="E934" s="7" t="inlineStr">
        <is>
          <t>GV GARDEN STRAWBERRY 25 DC ENV TBGS</t>
        </is>
      </c>
      <c r="F934" s="7" t="n">
        <v>24</v>
      </c>
      <c r="G934" s="7" t="inlineStr">
        <is>
          <t>CTN</t>
        </is>
      </c>
      <c r="H934" t="inlineStr">
        <is>
          <t>BLEND STRAWBERRY TB</t>
        </is>
      </c>
    </row>
    <row r="935" ht="14.25" customHeight="1" s="5">
      <c r="A935" s="7" t="n">
        <v>2144</v>
      </c>
      <c r="B935" s="7" t="inlineStr">
        <is>
          <t>GV STRAWBERRY 24/25 SC ENV TBGS - NOTEBOOK &amp; WRITING PAD</t>
        </is>
      </c>
      <c r="C935" s="7" t="inlineStr">
        <is>
          <t>GV</t>
        </is>
      </c>
      <c r="D935" s="7" t="n">
        <v>2145</v>
      </c>
      <c r="E935" s="7" t="inlineStr">
        <is>
          <t>GV STRAWBERRY 25 SC ENV TBGS</t>
        </is>
      </c>
      <c r="F935" s="7" t="n">
        <v>24</v>
      </c>
      <c r="G935" s="7" t="inlineStr">
        <is>
          <t>CTN</t>
        </is>
      </c>
      <c r="H935">
        <f>#N/A</f>
        <v/>
      </c>
    </row>
    <row r="936" ht="14.25" customHeight="1" s="5">
      <c r="A936" s="7" t="n">
        <v>2146</v>
      </c>
      <c r="B936" s="7" t="inlineStr">
        <is>
          <t>GV STRAWBERRY 24/25 SC ENV TBGS -1NOTEBOOK &amp; 1WRITING PAD</t>
        </is>
      </c>
      <c r="C936" s="7" t="inlineStr">
        <is>
          <t>GV</t>
        </is>
      </c>
      <c r="D936" s="7" t="n">
        <v>2145</v>
      </c>
      <c r="E936" s="7" t="inlineStr">
        <is>
          <t>GV STRAWBERRY 25 SC ENV TBGS</t>
        </is>
      </c>
      <c r="F936" s="7" t="n">
        <v>24</v>
      </c>
      <c r="G936" s="7" t="inlineStr">
        <is>
          <t>CTN</t>
        </is>
      </c>
      <c r="H936">
        <f>#N/A</f>
        <v/>
      </c>
    </row>
    <row r="937" ht="14.25" customHeight="1" s="5">
      <c r="A937" s="7" t="n">
        <v>19993</v>
      </c>
      <c r="B937" s="7" t="inlineStr">
        <is>
          <t>GV STRAWBERRY 24/25 SC ENV TBGS NOTEBOOK &amp; SHOPPING BAG</t>
        </is>
      </c>
      <c r="C937" s="7" t="inlineStr">
        <is>
          <t>GV</t>
        </is>
      </c>
      <c r="D937" s="7" t="n">
        <v>2145</v>
      </c>
      <c r="E937" s="7" t="inlineStr">
        <is>
          <t>GV STRAWBERRY 25 SC ENV TBGS</t>
        </is>
      </c>
      <c r="F937" s="7" t="n">
        <v>24</v>
      </c>
      <c r="G937" s="7" t="inlineStr">
        <is>
          <t>CTN</t>
        </is>
      </c>
      <c r="H937">
        <f>#N/A</f>
        <v/>
      </c>
    </row>
    <row r="938" ht="14.25" customHeight="1" s="5">
      <c r="A938" s="7" t="n">
        <v>19842</v>
      </c>
      <c r="B938" s="7" t="inlineStr">
        <is>
          <t>GV STRAWBERRY 48/25 DC ENV TBGS WITH TSHIRT</t>
        </is>
      </c>
      <c r="C938" s="7" t="inlineStr">
        <is>
          <t>GV</t>
        </is>
      </c>
      <c r="D938" s="7" t="n">
        <v>1926</v>
      </c>
      <c r="E938" s="7" t="inlineStr">
        <is>
          <t>GV GARDEN STRAWBERRY 25 DC ENV TBGS</t>
        </is>
      </c>
      <c r="F938" s="7" t="n">
        <v>48</v>
      </c>
      <c r="G938" s="7" t="inlineStr">
        <is>
          <t>CTN</t>
        </is>
      </c>
      <c r="H938" t="inlineStr">
        <is>
          <t>BLEND STRAWBERRY TB</t>
        </is>
      </c>
    </row>
    <row r="939" ht="14.25" customHeight="1" s="5">
      <c r="A939" s="7" t="n">
        <v>21925</v>
      </c>
      <c r="B939" s="7" t="inlineStr">
        <is>
          <t>GV STRAWBERRY SACHET 24 X 10 X 3 DC ENV TBGS</t>
        </is>
      </c>
      <c r="C939" s="7" t="inlineStr">
        <is>
          <t>GV</t>
        </is>
      </c>
      <c r="D939" s="7" t="n">
        <v>21928</v>
      </c>
      <c r="E939" s="7" t="inlineStr">
        <is>
          <t>GV STRAWBERRY STRIP 3TBGS X 10 SACHET</t>
        </is>
      </c>
      <c r="F939" s="7" t="n">
        <v>24</v>
      </c>
      <c r="G939" s="7" t="inlineStr">
        <is>
          <t>PCS</t>
        </is>
      </c>
      <c r="H939">
        <f>#N/A</f>
        <v/>
      </c>
    </row>
    <row r="940" ht="14.25" customHeight="1" s="5">
      <c r="A940" s="7" t="n">
        <v>22715</v>
      </c>
      <c r="B940" s="7" t="inlineStr">
        <is>
          <t>GV STRAWBERRY SACHET 60 x 10 x 2 DC ENV TBGS</t>
        </is>
      </c>
      <c r="C940" s="7" t="inlineStr">
        <is>
          <t>GV</t>
        </is>
      </c>
      <c r="D940" s="7" t="n">
        <v>22708</v>
      </c>
      <c r="E940" s="7" t="inlineStr">
        <is>
          <t>GV STRAWBERRY STRIP 2BGS X 10 SACHET</t>
        </is>
      </c>
      <c r="F940" s="7" t="n">
        <v>60</v>
      </c>
      <c r="G940" s="7" t="inlineStr">
        <is>
          <t>PCS</t>
        </is>
      </c>
      <c r="H940">
        <f>#N/A</f>
        <v/>
      </c>
    </row>
    <row r="941" ht="14.25" customHeight="1" s="5">
      <c r="A941" s="7" t="n">
        <v>22708</v>
      </c>
      <c r="B941" s="7" t="inlineStr">
        <is>
          <t>GV STRAWBERRY STRIP 2BGS X 10 SACHET</t>
        </is>
      </c>
      <c r="C941" s="7" t="inlineStr">
        <is>
          <t>GV</t>
        </is>
      </c>
      <c r="D941" s="7" t="n">
        <v>21931</v>
      </c>
      <c r="E941" s="7" t="inlineStr">
        <is>
          <t>GV STRAWBERRY LOOSE DC ENV TBGS</t>
        </is>
      </c>
      <c r="F941" s="7" t="n">
        <v>20</v>
      </c>
      <c r="G941" s="7" t="inlineStr">
        <is>
          <t>ENV</t>
        </is>
      </c>
      <c r="H941" t="inlineStr">
        <is>
          <t>BLEND STRAWBERRY TB</t>
        </is>
      </c>
    </row>
    <row r="942" ht="14.25" customHeight="1" s="5">
      <c r="A942" s="7" t="n">
        <v>21928</v>
      </c>
      <c r="B942" s="7" t="inlineStr">
        <is>
          <t>GV STRAWBERRY STRIP 3TBGS X 10 SACHET</t>
        </is>
      </c>
      <c r="C942" s="7" t="inlineStr">
        <is>
          <t>GV</t>
        </is>
      </c>
      <c r="D942" s="7" t="n">
        <v>21931</v>
      </c>
      <c r="E942" s="7" t="inlineStr">
        <is>
          <t>GV STRAWBERRY LOOSE DC ENV TBGS</t>
        </is>
      </c>
      <c r="F942" s="7" t="n">
        <v>30</v>
      </c>
      <c r="G942" s="7" t="inlineStr">
        <is>
          <t>ENV</t>
        </is>
      </c>
      <c r="H942" t="inlineStr">
        <is>
          <t>BLEND STRAWBERRY TB</t>
        </is>
      </c>
    </row>
    <row r="943" ht="14.25" customHeight="1" s="5">
      <c r="A943" s="7" t="n">
        <v>17811</v>
      </c>
      <c r="B943" s="7" t="inlineStr">
        <is>
          <t>GV STRAWBERRY ZEN 12/25 DC SF HS ENV TBGS</t>
        </is>
      </c>
      <c r="C943" s="7" t="inlineStr">
        <is>
          <t>GV</t>
        </is>
      </c>
      <c r="D943" s="7" t="n">
        <v>2151</v>
      </c>
      <c r="E943" s="7" t="inlineStr">
        <is>
          <t>GV STRAWBERRY ZEN 25 DC SF HS ENV TBGS</t>
        </is>
      </c>
      <c r="F943" s="7" t="n">
        <v>12</v>
      </c>
      <c r="G943" s="7" t="inlineStr">
        <is>
          <t>CTN</t>
        </is>
      </c>
      <c r="H943" t="inlineStr">
        <is>
          <t>BLEND BLACK TEA STRAWBERRY TB - RUS</t>
        </is>
      </c>
    </row>
    <row r="944" ht="14.25" customHeight="1" s="5">
      <c r="A944" s="7" t="n">
        <v>35360</v>
      </c>
      <c r="B944" s="7" t="inlineStr">
        <is>
          <t>GV STRAWBERRY ZEN 12/25 DC SF HS ENV TBGS (AF)</t>
        </is>
      </c>
      <c r="C944" s="7" t="inlineStr">
        <is>
          <t>GV</t>
        </is>
      </c>
      <c r="D944" s="7" t="n">
        <v>18953</v>
      </c>
      <c r="E944" s="7" t="inlineStr">
        <is>
          <t>GV STRAWBERRY ZEN 25 DC SF HS ENV TBGS (AF)</t>
        </is>
      </c>
      <c r="F944" s="7" t="n">
        <v>12</v>
      </c>
      <c r="G944" s="7" t="inlineStr">
        <is>
          <t>CTN</t>
        </is>
      </c>
      <c r="H944" t="inlineStr">
        <is>
          <t>BLEND BLACK TEA STRAWBERRY TB - RUS</t>
        </is>
      </c>
    </row>
    <row r="945" ht="14.25" customHeight="1" s="5">
      <c r="A945" s="7" t="n">
        <v>33832</v>
      </c>
      <c r="B945" s="7" t="inlineStr">
        <is>
          <t>GV STRAWBERRY ZEN 12/25 DC SF HS ENV TBGS (F-ENV)</t>
        </is>
      </c>
      <c r="C945" s="7" t="inlineStr">
        <is>
          <t>GV</t>
        </is>
      </c>
      <c r="D945" s="7" t="n">
        <v>33844</v>
      </c>
      <c r="E945" s="7" t="inlineStr">
        <is>
          <t>GV STRAWBERRY ZEN 25 DC SF HS ENV TBGS (F-ENV)</t>
        </is>
      </c>
      <c r="F945" s="7" t="n">
        <v>12</v>
      </c>
      <c r="G945" s="7" t="inlineStr">
        <is>
          <t>CTN</t>
        </is>
      </c>
      <c r="H945" t="inlineStr">
        <is>
          <t>BLEND BLACK TEA STRAWBERRY TB - RUS</t>
        </is>
      </c>
    </row>
    <row r="946" ht="14.25" customHeight="1" s="5">
      <c r="A946" s="7" t="n">
        <v>35714</v>
      </c>
      <c r="B946" s="7" t="inlineStr">
        <is>
          <t>GV STRAWBERRY ZEN 12/25 DC SF HS ENV TBGS (MOLDOVA)</t>
        </is>
      </c>
      <c r="C946" s="7" t="inlineStr">
        <is>
          <t>GV</t>
        </is>
      </c>
      <c r="D946" s="7" t="n">
        <v>35802</v>
      </c>
      <c r="E946" s="7" t="inlineStr">
        <is>
          <t>GV STRAWBERRY ZEN 25 DC SF HS ENV TBGS (MOLDOVA)</t>
        </is>
      </c>
      <c r="F946" s="7" t="n">
        <v>12</v>
      </c>
      <c r="G946" s="7" t="inlineStr">
        <is>
          <t>CTN</t>
        </is>
      </c>
      <c r="H946" t="inlineStr">
        <is>
          <t>BLEND BLACK TEA STRAWBERRY TB - RUS</t>
        </is>
      </c>
    </row>
    <row r="947" ht="14.25" customHeight="1" s="5">
      <c r="A947" s="7" t="n">
        <v>27510</v>
      </c>
      <c r="B947" s="7" t="inlineStr">
        <is>
          <t>GV STRAWBERRY ZEN 12/25 DC SF HS ENV TBGS (UKR)</t>
        </is>
      </c>
      <c r="C947" s="7" t="inlineStr">
        <is>
          <t>GV</t>
        </is>
      </c>
      <c r="D947" s="7" t="n">
        <v>27553</v>
      </c>
      <c r="E947" s="7" t="inlineStr">
        <is>
          <t>GV STRAWBERRY ZEN 25 DC SF HS ENV TBGS (UKR)</t>
        </is>
      </c>
      <c r="F947" s="7" t="n">
        <v>12</v>
      </c>
      <c r="G947" s="7" t="inlineStr">
        <is>
          <t>CTN</t>
        </is>
      </c>
      <c r="H947" t="inlineStr">
        <is>
          <t>BLEND BLACK TEA STRAWBERRY TB - RUS</t>
        </is>
      </c>
    </row>
    <row r="948" ht="14.25" customHeight="1" s="5">
      <c r="A948" s="7" t="n">
        <v>2148</v>
      </c>
      <c r="B948" s="7" t="inlineStr">
        <is>
          <t>GV STRAWBERRY ZEN 24/100 LOOSE SF HS ENV TBGS</t>
        </is>
      </c>
      <c r="C948" s="7" t="inlineStr">
        <is>
          <t>GV</t>
        </is>
      </c>
      <c r="D948" s="7" t="n">
        <v>2149</v>
      </c>
      <c r="E948" s="7" t="inlineStr">
        <is>
          <t>GV LOOSE TBGS STRAWBERRY ZEN DC SF HS ENV TBGS</t>
        </is>
      </c>
      <c r="F948" s="7" t="n">
        <v>2400</v>
      </c>
      <c r="G948" s="7" t="inlineStr">
        <is>
          <t>TBGS</t>
        </is>
      </c>
      <c r="H948">
        <f>#N/A</f>
        <v/>
      </c>
    </row>
    <row r="949" ht="14.25" customHeight="1" s="5">
      <c r="A949" s="7" t="n">
        <v>2150</v>
      </c>
      <c r="B949" s="7" t="inlineStr">
        <is>
          <t>GV STRAWBERRY ZEN 24/25 DC SF HS ENV TBGS</t>
        </is>
      </c>
      <c r="C949" s="7" t="inlineStr">
        <is>
          <t>GV</t>
        </is>
      </c>
      <c r="D949" s="7" t="n">
        <v>2151</v>
      </c>
      <c r="E949" s="7" t="inlineStr">
        <is>
          <t>GV STRAWBERRY ZEN 25 DC SF HS ENV TBGS</t>
        </is>
      </c>
      <c r="F949" s="7" t="n">
        <v>24</v>
      </c>
      <c r="G949" s="7" t="inlineStr">
        <is>
          <t>CTN</t>
        </is>
      </c>
      <c r="H949" t="inlineStr">
        <is>
          <t>BLEND BLACK TEA STRAWBERRY TB - RUS</t>
        </is>
      </c>
    </row>
    <row r="950" ht="14.25" customHeight="1" s="5">
      <c r="A950" s="7" t="n">
        <v>18559</v>
      </c>
      <c r="B950" s="7" t="inlineStr">
        <is>
          <t>GV STRAWBERRY ZEN 24/25 DC SF HS ENV TBGS (AF)</t>
        </is>
      </c>
      <c r="C950" s="7" t="inlineStr">
        <is>
          <t>GV</t>
        </is>
      </c>
      <c r="D950" s="7" t="n">
        <v>18953</v>
      </c>
      <c r="E950" s="7" t="inlineStr">
        <is>
          <t>GV STRAWBERRY ZEN 25 DC SF HS ENV TBGS (AF)</t>
        </is>
      </c>
      <c r="F950" s="7" t="n">
        <v>24</v>
      </c>
      <c r="G950" s="7" t="inlineStr">
        <is>
          <t>CTN</t>
        </is>
      </c>
      <c r="H950" t="inlineStr">
        <is>
          <t>BLEND BLACK TEA STRAWBERRY TB - RUS</t>
        </is>
      </c>
    </row>
    <row r="951" ht="14.25" customHeight="1" s="5">
      <c r="A951" s="7" t="n">
        <v>19778</v>
      </c>
      <c r="B951" s="7" t="inlineStr">
        <is>
          <t>GV STRAWBERRY ZEN 24/25 DC SF HS ENV TBGS (AR)</t>
        </is>
      </c>
      <c r="C951" s="7" t="inlineStr">
        <is>
          <t>GV</t>
        </is>
      </c>
      <c r="D951" s="7" t="n">
        <v>19782</v>
      </c>
      <c r="E951" s="7" t="inlineStr">
        <is>
          <t>GV STRAWBERRY ZEN 25 DC SF HS ENV TBGS (AR)</t>
        </is>
      </c>
      <c r="F951" s="7" t="n">
        <v>24</v>
      </c>
      <c r="G951" s="7" t="inlineStr">
        <is>
          <t>CTN</t>
        </is>
      </c>
      <c r="H951" t="inlineStr">
        <is>
          <t>BLEND BLACK TEA STRAWBERRY TB - RUS</t>
        </is>
      </c>
    </row>
    <row r="952" ht="14.25" customHeight="1" s="5">
      <c r="A952" s="7" t="n">
        <v>22297</v>
      </c>
      <c r="B952" s="7" t="inlineStr">
        <is>
          <t>GV STRIP WITH 3 TBGS X 10 SACHET</t>
        </is>
      </c>
      <c r="C952" s="7" t="inlineStr">
        <is>
          <t>GV</t>
        </is>
      </c>
      <c r="D952" s="7" t="n">
        <v>2123</v>
      </c>
      <c r="E952" s="7" t="inlineStr">
        <is>
          <t>GV LOOSE TBGS DC ENV TBGS</t>
        </is>
      </c>
      <c r="F952" s="7" t="n">
        <v>30</v>
      </c>
      <c r="G952" s="7" t="inlineStr">
        <is>
          <t>TBGS</t>
        </is>
      </c>
      <c r="H952" t="inlineStr">
        <is>
          <t>BLEND A33</t>
        </is>
      </c>
    </row>
    <row r="953" ht="14.25" customHeight="1" s="5">
      <c r="A953" s="7" t="n">
        <v>19822</v>
      </c>
      <c r="B953" s="7" t="inlineStr">
        <is>
          <t>GV STRIP WITH 4 TBGS X 10 SACHET</t>
        </is>
      </c>
      <c r="C953" s="7" t="inlineStr">
        <is>
          <t>GV</t>
        </is>
      </c>
      <c r="D953" s="7" t="n">
        <v>2123</v>
      </c>
      <c r="E953" s="7" t="inlineStr">
        <is>
          <t>GV LOOSE TBGS DC ENV TBGS</t>
        </is>
      </c>
      <c r="F953" s="7" t="n">
        <v>40</v>
      </c>
      <c r="G953" s="7" t="inlineStr">
        <is>
          <t>TBGS</t>
        </is>
      </c>
      <c r="H953" t="inlineStr">
        <is>
          <t>BLEND A33</t>
        </is>
      </c>
    </row>
    <row r="954" ht="14.25" customHeight="1" s="5">
      <c r="A954" s="7" t="n">
        <v>5571</v>
      </c>
      <c r="B954" s="7" t="inlineStr">
        <is>
          <t>GV STRIP WITH 5 TBGS X 10 SACHET</t>
        </is>
      </c>
      <c r="C954" s="7" t="inlineStr">
        <is>
          <t>GV</t>
        </is>
      </c>
      <c r="D954" s="7" t="n">
        <v>2123</v>
      </c>
      <c r="E954" s="7" t="inlineStr">
        <is>
          <t>GV LOOSE TBGS DC ENV TBGS</t>
        </is>
      </c>
      <c r="F954" s="7" t="n">
        <v>50</v>
      </c>
      <c r="G954" s="7" t="inlineStr">
        <is>
          <t>TBGS</t>
        </is>
      </c>
      <c r="H954" t="inlineStr">
        <is>
          <t>BLEND A33</t>
        </is>
      </c>
    </row>
    <row r="955" ht="14.25" customHeight="1" s="5">
      <c r="A955" s="7" t="n">
        <v>17812</v>
      </c>
      <c r="B955" s="7" t="inlineStr">
        <is>
          <t>GV SUMMER MYSTERY 12/25 DC SF HS ENV TBGS</t>
        </is>
      </c>
      <c r="C955" s="7" t="inlineStr">
        <is>
          <t>GV</t>
        </is>
      </c>
      <c r="D955" s="7" t="n">
        <v>2156</v>
      </c>
      <c r="E955" s="7" t="inlineStr">
        <is>
          <t>GV SUMMER MYSTERY 25 DC SF HS ENV TBGS</t>
        </is>
      </c>
      <c r="F955" s="7" t="n">
        <v>12</v>
      </c>
      <c r="G955" s="7" t="inlineStr">
        <is>
          <t>CTN</t>
        </is>
      </c>
      <c r="H955" t="inlineStr">
        <is>
          <t>BLEND BLACK TEA THYME TBC - RUS</t>
        </is>
      </c>
    </row>
    <row r="956" ht="14.25" customHeight="1" s="5">
      <c r="A956" s="7" t="n">
        <v>27513</v>
      </c>
      <c r="B956" s="7" t="inlineStr">
        <is>
          <t>GV SUMMER MYSTERY 12/25 DC SF HS ENV TBGS (UKR)</t>
        </is>
      </c>
      <c r="C956" s="7" t="inlineStr">
        <is>
          <t>GV</t>
        </is>
      </c>
      <c r="D956" s="7" t="n">
        <v>27550</v>
      </c>
      <c r="E956" s="7" t="inlineStr">
        <is>
          <t>GV SUMMER MYSTERY 25 DC SF HS ENV TBGS (UKR)</t>
        </is>
      </c>
      <c r="F956" s="7" t="n">
        <v>12</v>
      </c>
      <c r="G956" s="7" t="inlineStr">
        <is>
          <t>CTN</t>
        </is>
      </c>
      <c r="H956" t="inlineStr">
        <is>
          <t>BLEND BLACK TEA THYME TBC - RUS</t>
        </is>
      </c>
    </row>
    <row r="957" ht="14.25" customHeight="1" s="5">
      <c r="A957" s="7" t="n">
        <v>2155</v>
      </c>
      <c r="B957" s="7" t="inlineStr">
        <is>
          <t>GV SUMMER MYSTERY 24/25 DC SF HS ENV TBGS</t>
        </is>
      </c>
      <c r="C957" s="7" t="inlineStr">
        <is>
          <t>GV</t>
        </is>
      </c>
      <c r="D957" s="7" t="n">
        <v>2156</v>
      </c>
      <c r="E957" s="7" t="inlineStr">
        <is>
          <t>GV SUMMER MYSTERY 25 DC SF HS ENV TBGS</t>
        </is>
      </c>
      <c r="F957" s="7" t="n">
        <v>24</v>
      </c>
      <c r="G957" s="7" t="inlineStr">
        <is>
          <t>CTN</t>
        </is>
      </c>
      <c r="H957" t="inlineStr">
        <is>
          <t>BLEND BLACK TEA THYME TBC - RUS</t>
        </is>
      </c>
    </row>
    <row r="958" ht="14.25" customHeight="1" s="5">
      <c r="A958" s="7" t="n">
        <v>21048</v>
      </c>
      <c r="B958" s="7" t="inlineStr">
        <is>
          <t>GV TAMARIND 24/25 DC ENV TBGS</t>
        </is>
      </c>
      <c r="C958" s="7" t="inlineStr">
        <is>
          <t>GV</t>
        </is>
      </c>
      <c r="D958" s="7" t="n">
        <v>2161</v>
      </c>
      <c r="E958" s="7" t="inlineStr">
        <is>
          <t>GV TAMARIND 25 DC ENV TBGS</t>
        </is>
      </c>
      <c r="F958" s="7" t="n">
        <v>24</v>
      </c>
      <c r="G958" s="7" t="inlineStr">
        <is>
          <t>CTN</t>
        </is>
      </c>
      <c r="H958" t="inlineStr">
        <is>
          <t>BLEND BLACK TEA WITH TAMARIND FLAVOUR</t>
        </is>
      </c>
    </row>
    <row r="959" ht="14.25" customHeight="1" s="5">
      <c r="A959" s="7" t="n">
        <v>19848</v>
      </c>
      <c r="B959" s="7" t="inlineStr">
        <is>
          <t>GV TAMARIND 24/25 DC ENV TBGS - 1 NOTEBOOK &amp; 1 WRITING PAD</t>
        </is>
      </c>
      <c r="C959" s="7" t="inlineStr">
        <is>
          <t>GV</t>
        </is>
      </c>
      <c r="D959" s="7" t="n">
        <v>2161</v>
      </c>
      <c r="E959" s="7" t="inlineStr">
        <is>
          <t>GV TAMARIND 25 DC ENV TBGS</t>
        </is>
      </c>
      <c r="F959" s="7" t="n">
        <v>24</v>
      </c>
      <c r="G959" s="7" t="inlineStr">
        <is>
          <t>CTN</t>
        </is>
      </c>
      <c r="H959" t="inlineStr">
        <is>
          <t>BLEND BLACK TEA WITH TAMARIND FLAVOUR</t>
        </is>
      </c>
    </row>
    <row r="960" ht="14.25" customHeight="1" s="5">
      <c r="A960" s="7" t="n">
        <v>20669</v>
      </c>
      <c r="B960" s="7" t="inlineStr">
        <is>
          <t>GV TAMARIND 24/25 DC ENV TBGS NOTEBOOK &amp; SHOPPING BAG</t>
        </is>
      </c>
      <c r="C960" s="7" t="inlineStr">
        <is>
          <t>GV</t>
        </is>
      </c>
      <c r="D960" s="7" t="n">
        <v>2161</v>
      </c>
      <c r="E960" s="7" t="inlineStr">
        <is>
          <t>GV TAMARIND 25 DC ENV TBGS</t>
        </is>
      </c>
      <c r="F960" s="7" t="n">
        <v>24</v>
      </c>
      <c r="G960" s="7" t="inlineStr">
        <is>
          <t>CTN</t>
        </is>
      </c>
      <c r="H960" t="inlineStr">
        <is>
          <t>BLEND BLACK TEA WITH TAMARIND FLAVOUR</t>
        </is>
      </c>
    </row>
    <row r="961" ht="14.25" customHeight="1" s="5">
      <c r="A961" s="7" t="n">
        <v>2160</v>
      </c>
      <c r="B961" s="7" t="inlineStr">
        <is>
          <t>GV TAMARIND 24/25 DC ENV TBGS WITH TSHIRT</t>
        </is>
      </c>
      <c r="C961" s="7" t="inlineStr">
        <is>
          <t>GV</t>
        </is>
      </c>
      <c r="D961" s="7" t="n">
        <v>21048</v>
      </c>
      <c r="E961" s="7" t="inlineStr">
        <is>
          <t>GV TAMARIND 24/25 DC ENV TBGS</t>
        </is>
      </c>
      <c r="F961" s="7" t="n">
        <v>1</v>
      </c>
      <c r="G961" s="7" t="inlineStr">
        <is>
          <t>CFC</t>
        </is>
      </c>
      <c r="H961">
        <f>#N/A</f>
        <v/>
      </c>
    </row>
    <row r="962" ht="14.25" customHeight="1" s="5">
      <c r="A962" s="7" t="n">
        <v>2160</v>
      </c>
      <c r="B962" s="7" t="inlineStr">
        <is>
          <t>GV TAMARIND 24/25 DC ENV TBGS WITH TSHIRT</t>
        </is>
      </c>
      <c r="C962" s="7" t="inlineStr">
        <is>
          <t>GV</t>
        </is>
      </c>
      <c r="D962" s="7" t="n">
        <v>2161</v>
      </c>
      <c r="E962" s="7" t="inlineStr">
        <is>
          <t>GV TAMARIND 25 DC ENV TBGS</t>
        </is>
      </c>
      <c r="F962" s="7" t="n">
        <v>24</v>
      </c>
      <c r="G962" s="7" t="inlineStr">
        <is>
          <t>CTN</t>
        </is>
      </c>
      <c r="H962" t="inlineStr">
        <is>
          <t>BLEND BLACK TEA WITH TAMARIND FLAVOUR</t>
        </is>
      </c>
    </row>
    <row r="963" ht="14.25" customHeight="1" s="5">
      <c r="A963" s="7" t="n">
        <v>36527</v>
      </c>
      <c r="B963" s="7" t="inlineStr">
        <is>
          <t>GV TAMARIND 24/25 DC SF ENV TBGS (v2)</t>
        </is>
      </c>
      <c r="C963" s="7" t="inlineStr">
        <is>
          <t>GV</t>
        </is>
      </c>
      <c r="D963" s="7" t="n">
        <v>36622</v>
      </c>
      <c r="E963" s="7" t="inlineStr">
        <is>
          <t>GV TAMARIND 25 DC SF ENV TBGS (V2)</t>
        </is>
      </c>
      <c r="F963" s="7" t="n">
        <v>24</v>
      </c>
      <c r="G963" s="7" t="inlineStr">
        <is>
          <t>CTN</t>
        </is>
      </c>
      <c r="H963" t="inlineStr">
        <is>
          <t>BLEND BLACK TEA WITH TAMARIND FLAVOUR</t>
        </is>
      </c>
    </row>
    <row r="964" ht="14.25" customHeight="1" s="5">
      <c r="A964" s="7" t="n">
        <v>36985</v>
      </c>
      <c r="B964" s="7" t="inlineStr">
        <is>
          <t>GV TAMARIND 24/25 DC SF ENV TBGS (VINDEMIA)</t>
        </is>
      </c>
      <c r="C964" s="7" t="inlineStr">
        <is>
          <t>GV</t>
        </is>
      </c>
      <c r="D964" s="7" t="n">
        <v>37013</v>
      </c>
      <c r="E964" s="7" t="inlineStr">
        <is>
          <t>GV TAMARIND 25 DC SF ENV TBGS (VINDEMIA)</t>
        </is>
      </c>
      <c r="F964" s="7" t="n">
        <v>24</v>
      </c>
      <c r="G964" s="7" t="inlineStr">
        <is>
          <t>CTN</t>
        </is>
      </c>
      <c r="H964" t="inlineStr">
        <is>
          <t>BLEND BLACK TEA WITH TAMARIND FLAVOUR</t>
        </is>
      </c>
    </row>
    <row r="965" ht="14.25" customHeight="1" s="5">
      <c r="A965" s="7" t="n">
        <v>2165</v>
      </c>
      <c r="B965" s="7" t="inlineStr">
        <is>
          <t>GV TAMARIND 24/25 SC ENV TBGS - NOTEBOOK &amp; WRITING PAD</t>
        </is>
      </c>
      <c r="C965" s="7" t="inlineStr">
        <is>
          <t>GV</t>
        </is>
      </c>
      <c r="D965" s="7" t="n">
        <v>2166</v>
      </c>
      <c r="E965" s="7" t="inlineStr">
        <is>
          <t>GV TAMARIND 25 SC ENV TBGS</t>
        </is>
      </c>
      <c r="F965" s="7" t="n">
        <v>24</v>
      </c>
      <c r="G965" s="7" t="inlineStr">
        <is>
          <t>CTN</t>
        </is>
      </c>
      <c r="H965">
        <f>#N/A</f>
        <v/>
      </c>
    </row>
    <row r="966" ht="14.25" customHeight="1" s="5">
      <c r="A966" s="7" t="n">
        <v>19991</v>
      </c>
      <c r="B966" s="7" t="inlineStr">
        <is>
          <t>GV TAMARIND 24/25 SC ENV TBGS NOTEBOOK &amp; SHOPPING BAG</t>
        </is>
      </c>
      <c r="C966" s="7" t="inlineStr">
        <is>
          <t>GV</t>
        </is>
      </c>
      <c r="D966" s="7" t="n">
        <v>2166</v>
      </c>
      <c r="E966" s="7" t="inlineStr">
        <is>
          <t>GV TAMARIND 25 SC ENV TBGS</t>
        </is>
      </c>
      <c r="F966" s="7" t="n">
        <v>24</v>
      </c>
      <c r="G966" s="7" t="inlineStr">
        <is>
          <t>CTN</t>
        </is>
      </c>
      <c r="H966">
        <f>#N/A</f>
        <v/>
      </c>
    </row>
    <row r="967" ht="14.25" customHeight="1" s="5">
      <c r="A967" s="7" t="n">
        <v>2168</v>
      </c>
      <c r="B967" s="7" t="inlineStr">
        <is>
          <t>GV TAMARIND 24/25 SC ENV TBGS WITH TSHIRT</t>
        </is>
      </c>
      <c r="C967" s="7" t="inlineStr">
        <is>
          <t>GV</t>
        </is>
      </c>
      <c r="D967" s="7" t="n">
        <v>2166</v>
      </c>
      <c r="E967" s="7" t="inlineStr">
        <is>
          <t>GV TAMARIND 25 SC ENV TBGS</t>
        </is>
      </c>
      <c r="F967" s="7" t="n">
        <v>24</v>
      </c>
      <c r="G967" s="7" t="inlineStr">
        <is>
          <t>CTN</t>
        </is>
      </c>
      <c r="H967">
        <f>#N/A</f>
        <v/>
      </c>
    </row>
    <row r="968" ht="14.25" customHeight="1" s="5">
      <c r="A968" s="7" t="n">
        <v>32446</v>
      </c>
      <c r="B968" s="7" t="inlineStr">
        <is>
          <t>GV TAMARIND 48/25 DC ENV TBGS</t>
        </is>
      </c>
      <c r="C968" s="7" t="inlineStr">
        <is>
          <t>GV</t>
        </is>
      </c>
      <c r="D968" s="7" t="n">
        <v>2161</v>
      </c>
      <c r="E968" s="7" t="inlineStr">
        <is>
          <t>GV TAMARIND 25 DC ENV TBGS</t>
        </is>
      </c>
      <c r="F968" s="7" t="n">
        <v>48</v>
      </c>
      <c r="G968" s="7" t="inlineStr">
        <is>
          <t>CTN</t>
        </is>
      </c>
      <c r="H968" t="inlineStr">
        <is>
          <t>BLEND BLACK TEA WITH TAMARIND FLAVOUR</t>
        </is>
      </c>
    </row>
    <row r="969" ht="14.25" customHeight="1" s="5">
      <c r="A969" s="7" t="n">
        <v>21260</v>
      </c>
      <c r="B969" s="7" t="inlineStr">
        <is>
          <t>GV TAMARIND 48/25 SC ENV TBGS</t>
        </is>
      </c>
      <c r="C969" s="7" t="inlineStr">
        <is>
          <t>GV</t>
        </is>
      </c>
      <c r="D969" s="7" t="n">
        <v>2166</v>
      </c>
      <c r="E969" s="7" t="inlineStr">
        <is>
          <t>GV TAMARIND 25 SC ENV TBGS</t>
        </is>
      </c>
      <c r="F969" s="7" t="n">
        <v>48</v>
      </c>
      <c r="G969" s="7" t="inlineStr">
        <is>
          <t>CTN</t>
        </is>
      </c>
      <c r="H969">
        <f>#N/A</f>
        <v/>
      </c>
    </row>
    <row r="970" ht="14.25" customHeight="1" s="5">
      <c r="A970" s="7" t="n">
        <v>2170</v>
      </c>
      <c r="B970" s="7" t="inlineStr">
        <is>
          <t>GV TAMARIND 48/25 SC ENV TBGS WITH TSHIRT</t>
        </is>
      </c>
      <c r="C970" s="7" t="inlineStr">
        <is>
          <t>GV</t>
        </is>
      </c>
      <c r="D970" s="7" t="n">
        <v>2166</v>
      </c>
      <c r="E970" s="7" t="inlineStr">
        <is>
          <t>GV TAMARIND 25 SC ENV TBGS</t>
        </is>
      </c>
      <c r="F970" s="7" t="n">
        <v>48</v>
      </c>
      <c r="G970" s="7" t="inlineStr">
        <is>
          <t>CTN</t>
        </is>
      </c>
      <c r="H970">
        <f>#N/A</f>
        <v/>
      </c>
    </row>
    <row r="971" ht="14.25" customHeight="1" s="5">
      <c r="A971" s="7" t="n">
        <v>28414</v>
      </c>
      <c r="B971" s="7" t="inlineStr">
        <is>
          <t>GV TROPICAL JOY 12/25 DC SF HS ENV TBGS</t>
        </is>
      </c>
      <c r="C971" s="7" t="inlineStr">
        <is>
          <t>GV</t>
        </is>
      </c>
      <c r="D971" s="7" t="n">
        <v>28420</v>
      </c>
      <c r="E971" s="7" t="inlineStr">
        <is>
          <t>GV TROPICAL JOY 25 DC SF HS ENV TBGS</t>
        </is>
      </c>
      <c r="F971" s="7" t="n">
        <v>12</v>
      </c>
      <c r="G971" s="7" t="inlineStr">
        <is>
          <t>CTN</t>
        </is>
      </c>
      <c r="H971" t="inlineStr">
        <is>
          <t>BLEND BLACK TEA MANGO STRAWBERRY RFA TB</t>
        </is>
      </c>
    </row>
    <row r="972" ht="14.25" customHeight="1" s="5">
      <c r="A972" s="7" t="n">
        <v>35361</v>
      </c>
      <c r="B972" s="7" t="inlineStr">
        <is>
          <t>GV TROPICAL JOY 12/25 DC SF HS ENV TBGS (AF)</t>
        </is>
      </c>
      <c r="C972" s="7" t="inlineStr">
        <is>
          <t>GV</t>
        </is>
      </c>
      <c r="D972" s="7" t="n">
        <v>35321</v>
      </c>
      <c r="E972" s="7" t="inlineStr">
        <is>
          <t>GV TROPICAL JOY 25 DC SF HS ENV TBGS (AF)</t>
        </is>
      </c>
      <c r="F972" s="7" t="n">
        <v>12</v>
      </c>
      <c r="G972" s="7" t="inlineStr">
        <is>
          <t>CTN</t>
        </is>
      </c>
      <c r="H972" t="inlineStr">
        <is>
          <t>BLEND BLACK TEA MANGO STRAWBERRY RFA TB</t>
        </is>
      </c>
    </row>
    <row r="973" ht="14.25" customHeight="1" s="5">
      <c r="A973" s="7" t="n">
        <v>33831</v>
      </c>
      <c r="B973" s="7" t="inlineStr">
        <is>
          <t>GV TROPICAL JOY 12/25 DC SF HS ENV TBGS (F-ENV)</t>
        </is>
      </c>
      <c r="C973" s="7" t="inlineStr">
        <is>
          <t>GV</t>
        </is>
      </c>
      <c r="D973" s="7" t="n">
        <v>33845</v>
      </c>
      <c r="E973" s="7" t="inlineStr">
        <is>
          <t>GV TROPICAL JOY 25 DC SF HS ENV TBGS (F-ENV)</t>
        </is>
      </c>
      <c r="F973" s="7" t="n">
        <v>12</v>
      </c>
      <c r="G973" s="7" t="inlineStr">
        <is>
          <t>CTN</t>
        </is>
      </c>
      <c r="H973" t="inlineStr">
        <is>
          <t>BLEND BLACK TEA MANGO STRAWBERRY RFA TB</t>
        </is>
      </c>
    </row>
    <row r="974" ht="14.25" customHeight="1" s="5">
      <c r="A974" s="7" t="n">
        <v>35715</v>
      </c>
      <c r="B974" s="7" t="inlineStr">
        <is>
          <t>GV TROPICAL JOY 12/25 DC SF HS ENV TBGS (MOLDOVA)</t>
        </is>
      </c>
      <c r="C974" s="7" t="inlineStr">
        <is>
          <t>GV</t>
        </is>
      </c>
      <c r="D974" s="7" t="n">
        <v>35807</v>
      </c>
      <c r="E974" s="7" t="inlineStr">
        <is>
          <t>GV TROPICAL JOY 25 DC SF HS ENV TBGS (MOLDOVA)</t>
        </is>
      </c>
      <c r="F974" s="7" t="n">
        <v>12</v>
      </c>
      <c r="G974" s="7" t="inlineStr">
        <is>
          <t>CTN</t>
        </is>
      </c>
      <c r="H974" t="inlineStr">
        <is>
          <t>BLEND BLACK TEA MANGO STRAWBERRY RFA TB</t>
        </is>
      </c>
    </row>
    <row r="975" ht="14.25" customHeight="1" s="5">
      <c r="A975" s="7" t="n">
        <v>23232</v>
      </c>
      <c r="B975" s="7" t="inlineStr">
        <is>
          <t>GV WATERMELON 24/25 DC ENV TBGS</t>
        </is>
      </c>
      <c r="C975" s="7" t="inlineStr">
        <is>
          <t>GV</t>
        </is>
      </c>
      <c r="D975" s="7" t="n">
        <v>23350</v>
      </c>
      <c r="E975" s="7" t="inlineStr">
        <is>
          <t>GV WATER MELON 25 DC ENV TBGS</t>
        </is>
      </c>
      <c r="F975" s="7" t="n">
        <v>24</v>
      </c>
      <c r="G975" s="7" t="inlineStr">
        <is>
          <t>CTN</t>
        </is>
      </c>
      <c r="H975" t="inlineStr">
        <is>
          <t>BLEND WATERMELON TB</t>
        </is>
      </c>
    </row>
    <row r="976" ht="14.25" customHeight="1" s="5">
      <c r="A976" s="7" t="n">
        <v>23592</v>
      </c>
      <c r="B976" s="7" t="inlineStr">
        <is>
          <t>GV WATERMELON 24/25 DC ENV TBGS WITH T-SHIRT</t>
        </is>
      </c>
      <c r="C976" s="7" t="inlineStr">
        <is>
          <t>GV</t>
        </is>
      </c>
      <c r="D976" s="7" t="n">
        <v>23232</v>
      </c>
      <c r="E976" s="7" t="inlineStr">
        <is>
          <t>GV WATERMELON 24/25 DC ENV TBGS</t>
        </is>
      </c>
      <c r="F976" s="7" t="n">
        <v>1</v>
      </c>
      <c r="G976" s="7" t="inlineStr">
        <is>
          <t>CFC</t>
        </is>
      </c>
      <c r="H976">
        <f>#N/A</f>
        <v/>
      </c>
    </row>
    <row r="977" ht="14.25" customHeight="1" s="5">
      <c r="A977" s="7" t="n">
        <v>23592</v>
      </c>
      <c r="B977" s="7" t="inlineStr">
        <is>
          <t>GV WATERMELON 24/25 DC ENV TBGS WITH T-SHIRT</t>
        </is>
      </c>
      <c r="C977" s="7" t="inlineStr">
        <is>
          <t>GV</t>
        </is>
      </c>
      <c r="D977" s="7" t="n">
        <v>23350</v>
      </c>
      <c r="E977" s="7" t="inlineStr">
        <is>
          <t>GV WATER MELON 25 DC ENV TBGS</t>
        </is>
      </c>
      <c r="F977" s="7" t="n">
        <v>24</v>
      </c>
      <c r="G977" s="7" t="inlineStr">
        <is>
          <t>CTN</t>
        </is>
      </c>
      <c r="H977" t="inlineStr">
        <is>
          <t>BLEND WATERMELON TB</t>
        </is>
      </c>
    </row>
    <row r="978" ht="14.25" customHeight="1" s="5">
      <c r="A978" s="7" t="n">
        <v>36530</v>
      </c>
      <c r="B978" s="7" t="inlineStr">
        <is>
          <t>GV WATERMELON 24/25 DC SF ENV TBGS</t>
        </is>
      </c>
      <c r="C978" s="7" t="inlineStr">
        <is>
          <t>GV</t>
        </is>
      </c>
      <c r="D978" s="7" t="n">
        <v>36628</v>
      </c>
      <c r="E978" s="7" t="inlineStr">
        <is>
          <t>GV WATER MELON 25 DC SF ENV TBGS</t>
        </is>
      </c>
      <c r="F978" s="7" t="n">
        <v>24</v>
      </c>
      <c r="G978" s="7" t="inlineStr">
        <is>
          <t>CTN</t>
        </is>
      </c>
      <c r="H978" t="inlineStr">
        <is>
          <t>BLEND WATERMELON TB</t>
        </is>
      </c>
    </row>
    <row r="979" ht="14.25" customHeight="1" s="5">
      <c r="A979" s="7" t="n">
        <v>36990</v>
      </c>
      <c r="B979" s="7" t="inlineStr">
        <is>
          <t>GV WATERMELON 24/25 DC SF ENV TBGS (VINDEMIA)</t>
        </is>
      </c>
      <c r="C979" s="7" t="inlineStr">
        <is>
          <t>GV</t>
        </is>
      </c>
      <c r="D979" s="7" t="n">
        <v>37014</v>
      </c>
      <c r="E979" s="7" t="inlineStr">
        <is>
          <t>GV WATER MELON 25 DC SF ENV TBGS (VINDEMIA)</t>
        </is>
      </c>
      <c r="F979" s="7" t="n">
        <v>24</v>
      </c>
      <c r="G979" s="7" t="inlineStr">
        <is>
          <t>CTN</t>
        </is>
      </c>
      <c r="H979" t="inlineStr">
        <is>
          <t>BLEND WATERMELON TB</t>
        </is>
      </c>
    </row>
    <row r="980" ht="14.25" customHeight="1" s="5">
      <c r="A980" s="7" t="n">
        <v>26086</v>
      </c>
      <c r="B980" s="7" t="inlineStr">
        <is>
          <t>GV WATERMELON 48/25 DC ENV TBGS</t>
        </is>
      </c>
      <c r="C980" s="7" t="inlineStr">
        <is>
          <t>GV</t>
        </is>
      </c>
      <c r="D980" s="7" t="n">
        <v>23350</v>
      </c>
      <c r="E980" s="7" t="inlineStr">
        <is>
          <t>GV WATER MELON 25 DC ENV TBGS</t>
        </is>
      </c>
      <c r="F980" s="7" t="n">
        <v>48</v>
      </c>
      <c r="G980" s="7" t="inlineStr">
        <is>
          <t>CTN</t>
        </is>
      </c>
      <c r="H980" t="inlineStr">
        <is>
          <t>BLEND WATERMELON TB</t>
        </is>
      </c>
    </row>
    <row r="981" ht="14.25" customHeight="1" s="5">
      <c r="A981" s="7" t="n">
        <v>18556</v>
      </c>
      <c r="B981" s="7" t="inlineStr">
        <is>
          <t>GV WHOLE LEAF 12/400 GMS PKT TEA</t>
        </is>
      </c>
      <c r="C981" s="7" t="inlineStr">
        <is>
          <t>GV</t>
        </is>
      </c>
      <c r="D981" s="7" t="n">
        <v>18949</v>
      </c>
      <c r="E981" s="7" t="inlineStr">
        <is>
          <t>GV WHOLE LEAF 400 GMS PKT TEA</t>
        </is>
      </c>
      <c r="F981" s="7" t="n">
        <v>12</v>
      </c>
      <c r="G981" s="7" t="inlineStr">
        <is>
          <t>POUCH</t>
        </is>
      </c>
      <c r="H981" t="inlineStr">
        <is>
          <t>BLEND GVL-CEY</t>
        </is>
      </c>
    </row>
    <row r="982" ht="14.25" customHeight="1" s="5">
      <c r="A982" s="7" t="n">
        <v>19627</v>
      </c>
      <c r="B982" s="7" t="inlineStr">
        <is>
          <t>GV WHOLE LEAF CEYLON 24/200 GMS PKT TEA</t>
        </is>
      </c>
      <c r="C982" s="7" t="inlineStr">
        <is>
          <t>GV</t>
        </is>
      </c>
      <c r="D982" s="7" t="n">
        <v>19629</v>
      </c>
      <c r="E982" s="7" t="inlineStr">
        <is>
          <t>GV WHOLE LEAF CEYLON 200 GMS PKT TEA</t>
        </is>
      </c>
      <c r="F982" s="7" t="n">
        <v>24</v>
      </c>
      <c r="G982" s="7" t="inlineStr">
        <is>
          <t>POUCH</t>
        </is>
      </c>
      <c r="H982" t="inlineStr">
        <is>
          <t>BLEND GVL-CEY</t>
        </is>
      </c>
    </row>
    <row r="983" ht="14.25" customHeight="1" s="5">
      <c r="A983" s="7" t="n">
        <v>19622</v>
      </c>
      <c r="B983" s="7" t="inlineStr">
        <is>
          <t>GV WHOLE LEAF CEYLON 6/1 KGS PKT TEA</t>
        </is>
      </c>
      <c r="C983" s="7" t="inlineStr">
        <is>
          <t>GV</t>
        </is>
      </c>
      <c r="D983" s="7" t="n">
        <v>19624</v>
      </c>
      <c r="E983" s="7" t="inlineStr">
        <is>
          <t>GV WHOLE LEAF CEYLON 1 KGS PKT TEA</t>
        </is>
      </c>
      <c r="F983" s="7" t="n">
        <v>6</v>
      </c>
      <c r="G983" s="7" t="inlineStr">
        <is>
          <t>POUCH</t>
        </is>
      </c>
      <c r="H983" t="inlineStr">
        <is>
          <t>BLEND GVL-CEY</t>
        </is>
      </c>
    </row>
    <row r="984" ht="14.25" customHeight="1" s="5">
      <c r="A984" s="7" t="n">
        <v>19859</v>
      </c>
      <c r="B984" s="7" t="inlineStr">
        <is>
          <t>GV WHOLE LEAF GOLDEN CEYLON 12/400 GMS PKT TEA</t>
        </is>
      </c>
      <c r="C984" s="7" t="inlineStr">
        <is>
          <t>GV</t>
        </is>
      </c>
      <c r="D984" s="7" t="n">
        <v>19862</v>
      </c>
      <c r="E984" s="7" t="inlineStr">
        <is>
          <t>GV WHOLE LEAF GOLDEN CEYLON 400 GMS PKT TEA</t>
        </is>
      </c>
      <c r="F984" s="7" t="n">
        <v>12</v>
      </c>
      <c r="G984" s="7" t="inlineStr">
        <is>
          <t>CTN</t>
        </is>
      </c>
      <c r="H984" t="inlineStr">
        <is>
          <t>BLEND MJ 4782</t>
        </is>
      </c>
    </row>
    <row r="985" ht="14.25" customHeight="1" s="5">
      <c r="A985" s="7" t="n">
        <v>20363</v>
      </c>
      <c r="B985" s="7" t="inlineStr">
        <is>
          <t>GV WHOLE LEAF GOLDEN CEYLON 6/1 KGS PKT TEA</t>
        </is>
      </c>
      <c r="C985" s="7" t="inlineStr">
        <is>
          <t>GV</t>
        </is>
      </c>
      <c r="D985" s="7" t="n">
        <v>20562</v>
      </c>
      <c r="E985" s="7" t="inlineStr">
        <is>
          <t>GV WHOLE LEAF GOLDEN CEYLON 1 KGS PKT TEA</t>
        </is>
      </c>
      <c r="F985" s="7" t="n">
        <v>6</v>
      </c>
      <c r="G985" s="7" t="inlineStr">
        <is>
          <t>CTN</t>
        </is>
      </c>
      <c r="H985" t="inlineStr">
        <is>
          <t>BLEND MJ 4782</t>
        </is>
      </c>
    </row>
    <row r="986" ht="14.25" customHeight="1" s="5">
      <c r="A986" s="7" t="n">
        <v>27501</v>
      </c>
      <c r="B986" s="7" t="inlineStr">
        <is>
          <t>GV WHOLELEAF CEYLON 24/100 GMS PKT TEA</t>
        </is>
      </c>
      <c r="C986" s="7" t="inlineStr">
        <is>
          <t>GV</t>
        </is>
      </c>
      <c r="D986" s="7" t="n">
        <v>27559</v>
      </c>
      <c r="E986" s="7" t="inlineStr">
        <is>
          <t>GV WHOLELEAF CEYLON 100 GMS PKT TEA</t>
        </is>
      </c>
      <c r="F986" s="7" t="n">
        <v>24</v>
      </c>
      <c r="G986" s="7" t="inlineStr">
        <is>
          <t>CTN</t>
        </is>
      </c>
      <c r="H986" t="inlineStr">
        <is>
          <t>BLEND GVL-CEY</t>
        </is>
      </c>
    </row>
    <row r="987" ht="14.25" customHeight="1" s="5">
      <c r="A987" s="7" t="n">
        <v>27502</v>
      </c>
      <c r="B987" s="7" t="inlineStr">
        <is>
          <t>GV WHOLELEAF CEYLON 24/250 GMS PKT TEA</t>
        </is>
      </c>
      <c r="C987" s="7" t="inlineStr">
        <is>
          <t>GV</t>
        </is>
      </c>
      <c r="D987" s="7" t="n">
        <v>27558</v>
      </c>
      <c r="E987" s="7" t="inlineStr">
        <is>
          <t>GV WHOLELEAF CEYLON 250 GMS PKT TEA</t>
        </is>
      </c>
      <c r="F987" s="7" t="n">
        <v>24</v>
      </c>
      <c r="G987" s="7" t="inlineStr">
        <is>
          <t>CTN</t>
        </is>
      </c>
      <c r="H987" t="inlineStr">
        <is>
          <t>BLEND GVL-CEY</t>
        </is>
      </c>
    </row>
    <row r="988" ht="14.25" customHeight="1" s="5">
      <c r="A988" s="7" t="n">
        <v>2173</v>
      </c>
      <c r="B988" s="7" t="inlineStr">
        <is>
          <t>GV WILD CHERRY 24/25 DC ENV TBGS WITH TSHIRT</t>
        </is>
      </c>
      <c r="C988" s="7" t="inlineStr">
        <is>
          <t>GV</t>
        </is>
      </c>
      <c r="D988" s="7" t="n">
        <v>2174</v>
      </c>
      <c r="E988" s="7" t="inlineStr">
        <is>
          <t>GV WILD CHERRY 25 DC ENV TBGS</t>
        </is>
      </c>
      <c r="F988" s="7" t="n">
        <v>24</v>
      </c>
      <c r="G988" s="7" t="inlineStr">
        <is>
          <t>CTN</t>
        </is>
      </c>
      <c r="H988" t="inlineStr">
        <is>
          <t>BLEND BLACK TEA CHERRY TBC</t>
        </is>
      </c>
    </row>
    <row r="989" ht="14.25" customHeight="1" s="5">
      <c r="A989" s="7" t="n">
        <v>2178</v>
      </c>
      <c r="B989" s="7" t="inlineStr">
        <is>
          <t>GV WILD CHERRY 24/25 SC ENV TBGS WITH TSHIRT</t>
        </is>
      </c>
      <c r="C989" s="7" t="inlineStr">
        <is>
          <t>GV</t>
        </is>
      </c>
      <c r="D989" s="7" t="n">
        <v>2179</v>
      </c>
      <c r="E989" s="7" t="inlineStr">
        <is>
          <t>GV WILD CHERRY 25 SC ENV TBGS</t>
        </is>
      </c>
      <c r="F989" s="7" t="n">
        <v>24</v>
      </c>
      <c r="G989" s="7" t="inlineStr">
        <is>
          <t>CTN</t>
        </is>
      </c>
      <c r="H989">
        <f>#N/A</f>
        <v/>
      </c>
    </row>
    <row r="990" ht="14.25" customHeight="1" s="5">
      <c r="A990" s="7" t="n">
        <v>22063</v>
      </c>
      <c r="B990" s="7" t="inlineStr">
        <is>
          <t>HANNAFORD 12/100 PTAG RFA TBGS 778170</t>
        </is>
      </c>
      <c r="C990" s="7" t="inlineStr">
        <is>
          <t>HANNAFORD</t>
        </is>
      </c>
      <c r="D990" s="7" t="n">
        <v>22466</v>
      </c>
      <c r="E990" s="7" t="inlineStr">
        <is>
          <t>HANNAFORD 100 PTAG RFA TBGS 778170</t>
        </is>
      </c>
      <c r="F990" s="7" t="n">
        <v>12</v>
      </c>
      <c r="G990" s="7" t="inlineStr">
        <is>
          <t>CTN</t>
        </is>
      </c>
      <c r="H990" t="inlineStr">
        <is>
          <t>BLEND 7002RF</t>
        </is>
      </c>
    </row>
    <row r="991" ht="14.25" customHeight="1" s="5">
      <c r="A991" s="7" t="n">
        <v>22182</v>
      </c>
      <c r="B991" s="7" t="inlineStr">
        <is>
          <t>HANNAFORD 12/48 DCF PTAG TBGS 778160</t>
        </is>
      </c>
      <c r="C991" s="7" t="inlineStr">
        <is>
          <t>HANNAFORD</t>
        </is>
      </c>
      <c r="D991" s="7" t="n">
        <v>22804</v>
      </c>
      <c r="E991" s="7" t="inlineStr">
        <is>
          <t>HANNAFORD 48 DCF PTAG TBGS 778160</t>
        </is>
      </c>
      <c r="F991" s="7" t="n">
        <v>12</v>
      </c>
      <c r="G991" s="7" t="inlineStr">
        <is>
          <t>CTN</t>
        </is>
      </c>
      <c r="H991" t="inlineStr">
        <is>
          <t>BLEND 7001RF</t>
        </is>
      </c>
    </row>
    <row r="992" ht="14.25" customHeight="1" s="5">
      <c r="A992" s="7" t="n">
        <v>22183</v>
      </c>
      <c r="B992" s="7" t="inlineStr">
        <is>
          <t>HANNAFORD 12/48 PTAG RFA TBGS 778180</t>
        </is>
      </c>
      <c r="C992" s="7" t="inlineStr">
        <is>
          <t>HANNAFORD</t>
        </is>
      </c>
      <c r="D992" s="7" t="n">
        <v>22803</v>
      </c>
      <c r="E992" s="7" t="inlineStr">
        <is>
          <t>HANNAFORD 48 PTAG RFA TBGS 778180</t>
        </is>
      </c>
      <c r="F992" s="7" t="n">
        <v>12</v>
      </c>
      <c r="G992" s="7" t="inlineStr">
        <is>
          <t>CTN</t>
        </is>
      </c>
      <c r="H992" t="inlineStr">
        <is>
          <t>BLEND 7002RF</t>
        </is>
      </c>
    </row>
    <row r="993" ht="14.25" customHeight="1" s="5">
      <c r="A993" s="7" t="n">
        <v>555</v>
      </c>
      <c r="B993" s="7" t="inlineStr">
        <is>
          <t>HASANA 12/100 DC ENV TBGS</t>
        </is>
      </c>
      <c r="C993" s="7" t="inlineStr">
        <is>
          <t>NOT BRAND SPECIFIC</t>
        </is>
      </c>
      <c r="D993" s="7" t="n">
        <v>556</v>
      </c>
      <c r="E993" s="7" t="inlineStr">
        <is>
          <t>HASANA 100 DC ENV TBGS</t>
        </is>
      </c>
      <c r="F993" s="7" t="n">
        <v>12</v>
      </c>
      <c r="G993" s="7" t="inlineStr">
        <is>
          <t>CTN</t>
        </is>
      </c>
      <c r="H993" t="inlineStr">
        <is>
          <t>BLEND 786</t>
        </is>
      </c>
    </row>
    <row r="994" ht="14.25" customHeight="1" s="5">
      <c r="A994" s="7" t="n">
        <v>20908</v>
      </c>
      <c r="B994" s="7" t="inlineStr">
        <is>
          <t>HASANA MINT 24/25 SC ENV TBGS WITH T-SHIRT</t>
        </is>
      </c>
      <c r="C994" s="7" t="inlineStr">
        <is>
          <t>HASSANA</t>
        </is>
      </c>
      <c r="D994" s="7" t="n">
        <v>20909</v>
      </c>
      <c r="E994" s="7" t="inlineStr">
        <is>
          <t>HASANA MINT 25 SC ENV TBGS</t>
        </is>
      </c>
      <c r="F994" s="7" t="n">
        <v>24</v>
      </c>
      <c r="G994" s="7" t="inlineStr">
        <is>
          <t>CTN</t>
        </is>
      </c>
      <c r="H994">
        <f>#N/A</f>
        <v/>
      </c>
    </row>
    <row r="995" ht="14.25" customHeight="1" s="5">
      <c r="A995" s="7" t="n">
        <v>2181</v>
      </c>
      <c r="B995" s="7" t="inlineStr">
        <is>
          <t>HASSANA 12/100 SC ENV TBGS</t>
        </is>
      </c>
      <c r="C995" s="7" t="inlineStr">
        <is>
          <t>HASSANA</t>
        </is>
      </c>
      <c r="D995" s="7" t="n">
        <v>2182</v>
      </c>
      <c r="E995" s="7" t="inlineStr">
        <is>
          <t>HASSANA 100 SC ENV TBGS</t>
        </is>
      </c>
      <c r="F995" s="7" t="n">
        <v>12</v>
      </c>
      <c r="G995" s="7" t="inlineStr">
        <is>
          <t>CTN</t>
        </is>
      </c>
      <c r="H995">
        <f>#N/A</f>
        <v/>
      </c>
    </row>
    <row r="996" ht="14.25" customHeight="1" s="5">
      <c r="A996" s="7" t="n">
        <v>560</v>
      </c>
      <c r="B996" s="7" t="inlineStr">
        <is>
          <t>HASSANA 12/100 SC ENV TBGS WITH POSTER</t>
        </is>
      </c>
      <c r="C996" s="7" t="inlineStr">
        <is>
          <t>HASSANA</t>
        </is>
      </c>
      <c r="D996" s="7" t="n">
        <v>2182</v>
      </c>
      <c r="E996" s="7" t="inlineStr">
        <is>
          <t>HASSANA 100 SC ENV TBGS</t>
        </is>
      </c>
      <c r="F996" s="7" t="n">
        <v>12</v>
      </c>
      <c r="G996" s="7" t="inlineStr">
        <is>
          <t>CTN</t>
        </is>
      </c>
      <c r="H996">
        <f>#N/A</f>
        <v/>
      </c>
    </row>
    <row r="997" ht="14.25" customHeight="1" s="5">
      <c r="A997" s="7" t="n">
        <v>568</v>
      </c>
      <c r="B997" s="7" t="inlineStr">
        <is>
          <t>HASSANA PREMIUM GOLD TEA 12/100 DC ENV TBGS WITH SPOON</t>
        </is>
      </c>
      <c r="C997" s="7" t="inlineStr">
        <is>
          <t>HASSANA</t>
        </is>
      </c>
      <c r="D997" s="7" t="n">
        <v>569</v>
      </c>
      <c r="E997" s="7" t="inlineStr">
        <is>
          <t>HASSANA PREMIUM GOLD TEA 100 DC ENV TBGS</t>
        </is>
      </c>
      <c r="F997" s="7" t="n">
        <v>12</v>
      </c>
      <c r="G997" s="7" t="inlineStr">
        <is>
          <t>CTN</t>
        </is>
      </c>
      <c r="H997" t="inlineStr">
        <is>
          <t>BLEND 786</t>
        </is>
      </c>
    </row>
    <row r="998" ht="14.25" customHeight="1" s="5">
      <c r="A998" s="7" t="n">
        <v>31625</v>
      </c>
      <c r="B998" s="7" t="inlineStr">
        <is>
          <t>HELLO LIFE EXOTIC WHOLE LEAF TEA BLOOMER JASMINE 20/20 PYRAMID ENV TBGS</t>
        </is>
      </c>
      <c r="C998" s="7" t="inlineStr">
        <is>
          <t>Hello Life</t>
        </is>
      </c>
      <c r="D998" s="7" t="n">
        <v>31605</v>
      </c>
      <c r="E998" s="7" t="inlineStr">
        <is>
          <t>HELLO LIFE EXOTIC WHOLE LEAF TEA BLOOMER JASMINE 20 PYRAMID ENV TBGS</t>
        </is>
      </c>
      <c r="F998" s="7" t="n">
        <v>20</v>
      </c>
      <c r="G998" s="7" t="inlineStr">
        <is>
          <t>CTN</t>
        </is>
      </c>
      <c r="H998" t="inlineStr">
        <is>
          <t>BLEND JASMINE GREEN TEA CC EXOTIC</t>
        </is>
      </c>
    </row>
    <row r="999" ht="14.25" customHeight="1" s="5">
      <c r="A999" s="7" t="n">
        <v>31621</v>
      </c>
      <c r="B999" s="7" t="inlineStr">
        <is>
          <t>HELLO LIFE EXOTIC WHOLE LEAF TEA FLORA HIBISCUS 20/20 PYRAMID ENV TBGS</t>
        </is>
      </c>
      <c r="C999" s="7" t="inlineStr">
        <is>
          <t>Hello Life</t>
        </is>
      </c>
      <c r="D999" s="7" t="n">
        <v>31603</v>
      </c>
      <c r="E999" s="7" t="inlineStr">
        <is>
          <t>HELLO LIFE EXOTIC WHOLE LEAF TEA FLORA HIBISCUS 20 PYRAMID ENV TBGS</t>
        </is>
      </c>
      <c r="F999" s="7" t="n">
        <v>20</v>
      </c>
      <c r="G999" s="7" t="inlineStr">
        <is>
          <t>CTN</t>
        </is>
      </c>
      <c r="H999" t="inlineStr">
        <is>
          <t>BLEND HIBISCUS FLOWER</t>
        </is>
      </c>
    </row>
    <row r="1000" ht="14.25" customHeight="1" s="5">
      <c r="A1000" s="7" t="n">
        <v>31623</v>
      </c>
      <c r="B1000" s="7" t="inlineStr">
        <is>
          <t>HELLO LIFE EXOTIC WHOLE LEAF TEA HABIBTEA LAVENDER ROSE MINT 20/20 PYRAMID ENV TBGS</t>
        </is>
      </c>
      <c r="C1000" s="7" t="inlineStr">
        <is>
          <t>Hello Life</t>
        </is>
      </c>
      <c r="D1000" s="7" t="n">
        <v>31604</v>
      </c>
      <c r="E1000" s="7" t="inlineStr">
        <is>
          <t>HELLO LIFE EXOTIC WHOLE LEAF TEA HABIBTEA LAVENDER ROSE MINT 20 PYRAMID ENV TBGS</t>
        </is>
      </c>
      <c r="F1000" s="7" t="n">
        <v>20</v>
      </c>
      <c r="G1000" s="7" t="inlineStr">
        <is>
          <t>CTN</t>
        </is>
      </c>
      <c r="H1000" t="inlineStr">
        <is>
          <t>BLEND GREEN TEA LAVENDER ROSE MINT CC EXOTIC</t>
        </is>
      </c>
    </row>
    <row r="1001" ht="14.25" customHeight="1" s="5">
      <c r="A1001" s="7" t="n">
        <v>31620</v>
      </c>
      <c r="B1001" s="7" t="inlineStr">
        <is>
          <t>HELLO LIFE EXOTIC WHOLE LEAF TEA LATENIGHT CHAMOMILE 20/20 PYRAMID ENV TBGS</t>
        </is>
      </c>
      <c r="C1001" s="7" t="inlineStr">
        <is>
          <t>Hello Life</t>
        </is>
      </c>
      <c r="D1001" s="7" t="n">
        <v>31601</v>
      </c>
      <c r="E1001" s="7" t="inlineStr">
        <is>
          <t>HELLO LIFE EXOTIC WHOLE LEAF TEA LATENIGHT CHAMOMILE 20 PYRAMID ENV TBGS</t>
        </is>
      </c>
      <c r="F1001" s="7" t="n">
        <v>20</v>
      </c>
      <c r="G1001" s="7" t="inlineStr">
        <is>
          <t>CTN</t>
        </is>
      </c>
      <c r="H1001" t="inlineStr">
        <is>
          <t>BLEND CHAMOMILE CC EXOTIC</t>
        </is>
      </c>
    </row>
    <row r="1002" ht="14.25" customHeight="1" s="5">
      <c r="A1002" s="7" t="n">
        <v>31617</v>
      </c>
      <c r="B1002" s="7" t="inlineStr">
        <is>
          <t>HELLO LIFE FINE TEA 7 SPICES INDIAN MASALA TEA 18/100 DC HS SF TBGS</t>
        </is>
      </c>
      <c r="C1002" s="7" t="inlineStr">
        <is>
          <t>Hello Life</t>
        </is>
      </c>
      <c r="D1002" s="7" t="n">
        <v>31609</v>
      </c>
      <c r="E1002" s="7" t="inlineStr">
        <is>
          <t>HELLO LIFE FINE TEA 7 SPICES INDIAN MASALA TEA 100 DC HS SF TBGS</t>
        </is>
      </c>
      <c r="F1002" s="7" t="n">
        <v>18</v>
      </c>
      <c r="G1002" s="7" t="inlineStr">
        <is>
          <t>CTN</t>
        </is>
      </c>
      <c r="H1002" t="inlineStr">
        <is>
          <t>BLEND BLACK TEA MASALA TBC</t>
        </is>
      </c>
    </row>
    <row r="1003" ht="14.25" customHeight="1" s="5">
      <c r="A1003" s="7" t="n">
        <v>31619</v>
      </c>
      <c r="B1003" s="7" t="inlineStr">
        <is>
          <t>HELLO LIFE FINE TEA BOOSTER GINGER HONEY GREEN 18/100 DC HS SF TBGS</t>
        </is>
      </c>
      <c r="C1003" s="7" t="inlineStr">
        <is>
          <t>Hello Life</t>
        </is>
      </c>
      <c r="D1003" s="7" t="n">
        <v>31611</v>
      </c>
      <c r="E1003" s="7" t="inlineStr">
        <is>
          <t>HELLO LIFE FINE TEA BOOSTER GINGER HONEY GREEN 100 DC HS SF TBGS</t>
        </is>
      </c>
      <c r="F1003" s="7" t="n">
        <v>18</v>
      </c>
      <c r="G1003" s="7" t="inlineStr">
        <is>
          <t>CTN</t>
        </is>
      </c>
      <c r="H1003" t="inlineStr">
        <is>
          <t>BLEND BLEND GREEN TEA GINGER HONEY TB</t>
        </is>
      </c>
    </row>
    <row r="1004" ht="14.25" customHeight="1" s="5">
      <c r="A1004" s="7" t="n">
        <v>31602</v>
      </c>
      <c r="B1004" s="7" t="inlineStr">
        <is>
          <t>HELLO LIFE FINE TEA ENGLISH BREAK FAST MORNING BLEND 18/100 DC HS SF TBGS</t>
        </is>
      </c>
      <c r="C1004" s="7" t="inlineStr">
        <is>
          <t>Hello Life</t>
        </is>
      </c>
      <c r="D1004" s="7" t="n">
        <v>31607</v>
      </c>
      <c r="E1004" s="7" t="inlineStr">
        <is>
          <t>HELLO LIFE FINE TEA ENGLISH BREAK FAST MORNING BLEND 100 DC HS SF TBGS</t>
        </is>
      </c>
      <c r="F1004" s="7" t="n">
        <v>18</v>
      </c>
      <c r="G1004" s="7" t="inlineStr">
        <is>
          <t>CTN</t>
        </is>
      </c>
      <c r="H1004" t="inlineStr">
        <is>
          <t>BLEND TEAME 909</t>
        </is>
      </c>
    </row>
    <row r="1005" ht="14.25" customHeight="1" s="5">
      <c r="A1005" s="7" t="n">
        <v>31616</v>
      </c>
      <c r="B1005" s="7" t="inlineStr">
        <is>
          <t>HELLO LIFE FINE TEA HIMALAYA DARJEELING 18/100 DC HS SF TBGS</t>
        </is>
      </c>
      <c r="C1005" s="7" t="inlineStr">
        <is>
          <t>Hello Life</t>
        </is>
      </c>
      <c r="D1005" s="7" t="n">
        <v>31608</v>
      </c>
      <c r="E1005" s="7" t="inlineStr">
        <is>
          <t>HELLO LIFE FINE TEA HIMALAYA DARJEELING 100 DC HS SF TBGS</t>
        </is>
      </c>
      <c r="F1005" s="7" t="n">
        <v>18</v>
      </c>
      <c r="G1005" s="7" t="inlineStr">
        <is>
          <t>CTN</t>
        </is>
      </c>
      <c r="H1005" t="inlineStr">
        <is>
          <t>BLEND DJ (LOCAL)</t>
        </is>
      </c>
    </row>
    <row r="1006" ht="14.25" customHeight="1" s="5">
      <c r="A1006" s="7" t="n">
        <v>31618</v>
      </c>
      <c r="B1006" s="7" t="inlineStr">
        <is>
          <t>HELLO LIFE FINE TEA KADAK CHAI AFTERNOON BLEND 18/100 DC HS SF TBGS</t>
        </is>
      </c>
      <c r="C1006" s="7" t="inlineStr">
        <is>
          <t>Hello Life</t>
        </is>
      </c>
      <c r="D1006" s="7" t="n">
        <v>31610</v>
      </c>
      <c r="E1006" s="7" t="inlineStr">
        <is>
          <t>HELLO LIFE FINE TEA KADAK CHAI AFTERNOON BLEND 100 DC HS SF TBGS</t>
        </is>
      </c>
      <c r="F1006" s="7" t="n">
        <v>18</v>
      </c>
      <c r="G1006" s="7" t="inlineStr">
        <is>
          <t>CTN</t>
        </is>
      </c>
      <c r="H1006" t="inlineStr">
        <is>
          <t>BLEND BLACK TEA CARDAMOM FLV TBC</t>
        </is>
      </c>
    </row>
    <row r="1007" ht="14.25" customHeight="1" s="5">
      <c r="A1007" s="7" t="n">
        <v>31631</v>
      </c>
      <c r="B1007" s="7" t="inlineStr">
        <is>
          <t>HELLO LIFE HERBAL COLD WATER ENHANCER LYCHEE 20/20 PYRAMID ENV TBGS</t>
        </is>
      </c>
      <c r="C1007" s="7" t="inlineStr">
        <is>
          <t>Hello Life</t>
        </is>
      </c>
      <c r="D1007" s="7" t="n">
        <v>31615</v>
      </c>
      <c r="E1007" s="7" t="inlineStr">
        <is>
          <t>HELLO LIFE HERBAL COLD WATER ENHANCER LYCHEE 20 PYRAMID ENV TBGS</t>
        </is>
      </c>
      <c r="F1007" s="7" t="n">
        <v>20</v>
      </c>
      <c r="G1007" s="7" t="inlineStr">
        <is>
          <t>CTN</t>
        </is>
      </c>
      <c r="H1007" t="inlineStr">
        <is>
          <t>BLEND COLD BREW FRUITY LYCHEE TB</t>
        </is>
      </c>
    </row>
    <row r="1008" ht="14.25" customHeight="1" s="5">
      <c r="A1008" s="7" t="n">
        <v>31626</v>
      </c>
      <c r="B1008" s="7" t="inlineStr">
        <is>
          <t>HELLO LIFE HERBAL COLD WATER ENHANCER PEACH 20/20 PYRAMID ENV TBGS</t>
        </is>
      </c>
      <c r="C1008" s="7" t="inlineStr">
        <is>
          <t>Hello Life</t>
        </is>
      </c>
      <c r="D1008" s="7" t="n">
        <v>31612</v>
      </c>
      <c r="E1008" s="7" t="inlineStr">
        <is>
          <t>HELLO LIFE HERBAL COLD WATER ENHANCER PEACH 20 PYRAMID ENV TBGS</t>
        </is>
      </c>
      <c r="F1008" s="7" t="n">
        <v>20</v>
      </c>
      <c r="G1008" s="7" t="inlineStr">
        <is>
          <t>CTN</t>
        </is>
      </c>
      <c r="H1008" t="inlineStr">
        <is>
          <t>BLEND COLD BREW BLACK TEA PEACH TB</t>
        </is>
      </c>
    </row>
    <row r="1009" ht="14.25" customHeight="1" s="5">
      <c r="A1009" s="7" t="n">
        <v>31630</v>
      </c>
      <c r="B1009" s="7" t="inlineStr">
        <is>
          <t>HELLO LIFE HERBAL COLD WATER ENHANCER WILD BERRY 20/20 PYRAMID ENV TBGS</t>
        </is>
      </c>
      <c r="C1009" s="7" t="inlineStr">
        <is>
          <t>Hello Life</t>
        </is>
      </c>
      <c r="D1009" s="7" t="n">
        <v>31614</v>
      </c>
      <c r="E1009" s="7" t="inlineStr">
        <is>
          <t>HELLO LIFE HERBAL COLD WATER ENHANCER WILD BERRY 20 PYRAMID ENV TBGS</t>
        </is>
      </c>
      <c r="F1009" s="7" t="n">
        <v>20</v>
      </c>
      <c r="G1009" s="7" t="inlineStr">
        <is>
          <t>CTN</t>
        </is>
      </c>
      <c r="H1009" t="inlineStr">
        <is>
          <t>BLEND COLD BREW FRUITY WILD BERRY TB</t>
        </is>
      </c>
    </row>
    <row r="1010" ht="14.25" customHeight="1" s="5">
      <c r="A1010" s="7" t="n">
        <v>591</v>
      </c>
      <c r="B1010" s="7" t="inlineStr">
        <is>
          <t>HOFFER 24/50 DC SF ENV TBGS</t>
        </is>
      </c>
      <c r="C1010" s="7" t="inlineStr">
        <is>
          <t>NOT BRAND SPECIFIC</t>
        </is>
      </c>
      <c r="D1010" s="7" t="n">
        <v>595</v>
      </c>
      <c r="E1010" s="7" t="inlineStr">
        <is>
          <t>HOFFER ENGLISH BREAK FAST 50 DC SF TAG TBGS</t>
        </is>
      </c>
      <c r="F1010" s="7" t="n">
        <v>8</v>
      </c>
      <c r="G1010" s="7" t="inlineStr">
        <is>
          <t>CTN</t>
        </is>
      </c>
      <c r="H1010" t="inlineStr">
        <is>
          <t>BLEND 786 90% UTZ</t>
        </is>
      </c>
    </row>
    <row r="1011" ht="14.25" customHeight="1" s="5">
      <c r="A1011" s="7" t="n">
        <v>591</v>
      </c>
      <c r="B1011" s="7" t="inlineStr">
        <is>
          <t>HOFFER 24/50 DC SF ENV TBGS</t>
        </is>
      </c>
      <c r="C1011" s="7" t="inlineStr">
        <is>
          <t>NOT BRAND SPECIFIC</t>
        </is>
      </c>
      <c r="D1011" s="7" t="n">
        <v>596</v>
      </c>
      <c r="E1011" s="7" t="inlineStr">
        <is>
          <t>HOFFER INDIAN MELANGE 50 DC SF TAG TBGS</t>
        </is>
      </c>
      <c r="F1011" s="7" t="n">
        <v>8</v>
      </c>
      <c r="G1011" s="7" t="inlineStr">
        <is>
          <t>CTN</t>
        </is>
      </c>
      <c r="H1011" t="inlineStr">
        <is>
          <t>BLEND A132 - 90% UTZ</t>
        </is>
      </c>
    </row>
    <row r="1012" ht="14.25" customHeight="1" s="5">
      <c r="A1012" s="7" t="n">
        <v>591</v>
      </c>
      <c r="B1012" s="7" t="inlineStr">
        <is>
          <t>HOFFER 24/50 DC SF ENV TBGS</t>
        </is>
      </c>
      <c r="C1012" s="7" t="inlineStr">
        <is>
          <t>NOT BRAND SPECIFIC</t>
        </is>
      </c>
      <c r="D1012" s="7" t="n">
        <v>597</v>
      </c>
      <c r="E1012" s="7" t="inlineStr">
        <is>
          <t>HOFFER RUSSIAN MELANGE 50 DC SF TAG TBGS</t>
        </is>
      </c>
      <c r="F1012" s="7" t="n">
        <v>8</v>
      </c>
      <c r="G1012" s="7" t="inlineStr">
        <is>
          <t>CTN</t>
        </is>
      </c>
      <c r="H1012" t="inlineStr">
        <is>
          <t>BLEND VIC 90%UTZ</t>
        </is>
      </c>
    </row>
    <row r="1013" ht="14.25" customHeight="1" s="5">
      <c r="A1013" s="7" t="n">
        <v>23056</v>
      </c>
      <c r="B1013" s="7" t="inlineStr">
        <is>
          <t>HOFFER GREEN TEA 32/25 DC SF TAG TBGS</t>
        </is>
      </c>
      <c r="C1013" s="7" t="inlineStr">
        <is>
          <t>HOFFER</t>
        </is>
      </c>
      <c r="D1013" s="7" t="n">
        <v>23057</v>
      </c>
      <c r="E1013" s="7" t="inlineStr">
        <is>
          <t>HOFFER GREEN TEA 25 DC SF TAG TBGS</t>
        </is>
      </c>
      <c r="F1013" s="7" t="n">
        <v>32</v>
      </c>
      <c r="G1013" s="7" t="inlineStr">
        <is>
          <t>CTN</t>
        </is>
      </c>
      <c r="H1013" t="inlineStr">
        <is>
          <t>BLEND 7434 GREEN - 90% UTZ</t>
        </is>
      </c>
    </row>
    <row r="1014" ht="14.25" customHeight="1" s="5">
      <c r="A1014" s="7" t="n">
        <v>574</v>
      </c>
      <c r="B1014" s="7" t="inlineStr">
        <is>
          <t>HOFFER GREEN/BLACK TEA 32/25 DC SF ENV TBGS(HU/SLU)</t>
        </is>
      </c>
      <c r="C1014" s="7" t="inlineStr">
        <is>
          <t>HOFFER</t>
        </is>
      </c>
      <c r="D1014" s="7" t="n">
        <v>586</v>
      </c>
      <c r="E1014" s="7" t="inlineStr">
        <is>
          <t>HOFFER WHITE TEA 25 DC SF ENV TBGS</t>
        </is>
      </c>
      <c r="F1014" s="7" t="n">
        <v>4</v>
      </c>
      <c r="G1014" s="7" t="inlineStr">
        <is>
          <t>CTN</t>
        </is>
      </c>
      <c r="H1014">
        <f>#N/A</f>
        <v/>
      </c>
    </row>
    <row r="1015" ht="14.25" customHeight="1" s="5">
      <c r="A1015" s="7" t="n">
        <v>574</v>
      </c>
      <c r="B1015" s="7" t="inlineStr">
        <is>
          <t>HOFFER GREEN/BLACK TEA 32/25 DC SF ENV TBGS(HU/SLU)</t>
        </is>
      </c>
      <c r="C1015" s="7" t="inlineStr">
        <is>
          <t>HOFFER</t>
        </is>
      </c>
      <c r="D1015" s="7" t="n">
        <v>581</v>
      </c>
      <c r="E1015" s="7" t="inlineStr">
        <is>
          <t>HOFFER GREEN TEA 25 DC SF ENV TBGS</t>
        </is>
      </c>
      <c r="F1015" s="7" t="n">
        <v>13</v>
      </c>
      <c r="G1015" s="7" t="inlineStr">
        <is>
          <t>CTN</t>
        </is>
      </c>
      <c r="H1015" t="inlineStr">
        <is>
          <t>BLEND 7434 GREEN - 90% UTZ</t>
        </is>
      </c>
    </row>
    <row r="1016" ht="14.25" customHeight="1" s="5">
      <c r="A1016" s="7" t="n">
        <v>574</v>
      </c>
      <c r="B1016" s="7" t="inlineStr">
        <is>
          <t>HOFFER GREEN/BLACK TEA 32/25 DC SF ENV TBGS(HU/SLU)</t>
        </is>
      </c>
      <c r="C1016" s="7" t="inlineStr">
        <is>
          <t>HOFFER</t>
        </is>
      </c>
      <c r="D1016" s="7" t="n">
        <v>582</v>
      </c>
      <c r="E1016" s="7" t="inlineStr">
        <is>
          <t>HOFFER EARL GREY 25 DC SF ENV TBGS</t>
        </is>
      </c>
      <c r="F1016" s="7" t="n">
        <v>4</v>
      </c>
      <c r="G1016" s="7" t="inlineStr">
        <is>
          <t>CTN</t>
        </is>
      </c>
      <c r="H1016" t="inlineStr">
        <is>
          <t>BLEND EARL GREY JUMBO TBC</t>
        </is>
      </c>
    </row>
    <row r="1017" ht="14.25" customHeight="1" s="5">
      <c r="A1017" s="7" t="n">
        <v>574</v>
      </c>
      <c r="B1017" s="7" t="inlineStr">
        <is>
          <t>HOFFER GREEN/BLACK TEA 32/25 DC SF ENV TBGS(HU/SLU)</t>
        </is>
      </c>
      <c r="C1017" s="7" t="inlineStr">
        <is>
          <t>HOFFER</t>
        </is>
      </c>
      <c r="D1017" s="7" t="n">
        <v>583</v>
      </c>
      <c r="E1017" s="7" t="inlineStr">
        <is>
          <t>HOFFER DARJEELING 25 DC SF ENV TBGS</t>
        </is>
      </c>
      <c r="F1017" s="7" t="n">
        <v>2</v>
      </c>
      <c r="G1017" s="7" t="inlineStr">
        <is>
          <t>CTN</t>
        </is>
      </c>
      <c r="H1017" t="inlineStr">
        <is>
          <t>BLEND DJTB 90% UTZ</t>
        </is>
      </c>
    </row>
    <row r="1018" ht="14.25" customHeight="1" s="5">
      <c r="A1018" s="7" t="n">
        <v>574</v>
      </c>
      <c r="B1018" s="7" t="inlineStr">
        <is>
          <t>HOFFER GREEN/BLACK TEA 32/25 DC SF ENV TBGS(HU/SLU)</t>
        </is>
      </c>
      <c r="C1018" s="7" t="inlineStr">
        <is>
          <t>HOFFER</t>
        </is>
      </c>
      <c r="D1018" s="7" t="n">
        <v>584</v>
      </c>
      <c r="E1018" s="7" t="inlineStr">
        <is>
          <t>HOFFER GREEN TEA JASMINE 25 DC SF ENV TBGS</t>
        </is>
      </c>
      <c r="F1018" s="7" t="n">
        <v>5</v>
      </c>
      <c r="G1018" s="7" t="inlineStr">
        <is>
          <t>CTN</t>
        </is>
      </c>
      <c r="H1018" t="inlineStr">
        <is>
          <t>BLEND GREEN TEA JASMINE-90% UTZ</t>
        </is>
      </c>
    </row>
    <row r="1019" ht="14.25" customHeight="1" s="5">
      <c r="A1019" s="7" t="n">
        <v>574</v>
      </c>
      <c r="B1019" s="7" t="inlineStr">
        <is>
          <t>HOFFER GREEN/BLACK TEA 32/25 DC SF ENV TBGS(HU/SLU)</t>
        </is>
      </c>
      <c r="C1019" s="7" t="inlineStr">
        <is>
          <t>HOFFER</t>
        </is>
      </c>
      <c r="D1019" s="7" t="n">
        <v>585</v>
      </c>
      <c r="E1019" s="7" t="inlineStr">
        <is>
          <t>HOFFER GREEN TEA ORANGE 25 DC SF ENV TBGS</t>
        </is>
      </c>
      <c r="F1019" s="7" t="n">
        <v>4</v>
      </c>
      <c r="G1019" s="7" t="inlineStr">
        <is>
          <t>CTN</t>
        </is>
      </c>
      <c r="H1019">
        <f>#N/A</f>
        <v/>
      </c>
    </row>
    <row r="1020" ht="14.25" customHeight="1" s="5">
      <c r="A1020" s="7" t="n">
        <v>587</v>
      </c>
      <c r="B1020" s="7" t="inlineStr">
        <is>
          <t>HOFFER GREEN/BLACK TEA 32/25 DC SF ENV TBGS(HU/SLU)-V2</t>
        </is>
      </c>
      <c r="C1020" s="7" t="inlineStr">
        <is>
          <t>HOFFER</t>
        </is>
      </c>
      <c r="D1020" s="7" t="n">
        <v>581</v>
      </c>
      <c r="E1020" s="7" t="inlineStr">
        <is>
          <t>HOFFER GREEN TEA 25 DC SF ENV TBGS</t>
        </is>
      </c>
      <c r="F1020" s="7" t="n">
        <v>14</v>
      </c>
      <c r="G1020" s="7" t="inlineStr">
        <is>
          <t>CTN</t>
        </is>
      </c>
      <c r="H1020" t="inlineStr">
        <is>
          <t>BLEND 7434 GREEN - 90% UTZ</t>
        </is>
      </c>
    </row>
    <row r="1021" ht="14.25" customHeight="1" s="5">
      <c r="A1021" s="7" t="n">
        <v>587</v>
      </c>
      <c r="B1021" s="7" t="inlineStr">
        <is>
          <t>HOFFER GREEN/BLACK TEA 32/25 DC SF ENV TBGS(HU/SLU)-V2</t>
        </is>
      </c>
      <c r="C1021" s="7" t="inlineStr">
        <is>
          <t>HOFFER</t>
        </is>
      </c>
      <c r="D1021" s="7" t="n">
        <v>582</v>
      </c>
      <c r="E1021" s="7" t="inlineStr">
        <is>
          <t>HOFFER EARL GREY 25 DC SF ENV TBGS</t>
        </is>
      </c>
      <c r="F1021" s="7" t="n">
        <v>4</v>
      </c>
      <c r="G1021" s="7" t="inlineStr">
        <is>
          <t>CTN</t>
        </is>
      </c>
      <c r="H1021" t="inlineStr">
        <is>
          <t>BLEND EARL GREY JUMBO TBC</t>
        </is>
      </c>
    </row>
    <row r="1022" ht="14.25" customHeight="1" s="5">
      <c r="A1022" s="7" t="n">
        <v>587</v>
      </c>
      <c r="B1022" s="7" t="inlineStr">
        <is>
          <t>HOFFER GREEN/BLACK TEA 32/25 DC SF ENV TBGS(HU/SLU)-V2</t>
        </is>
      </c>
      <c r="C1022" s="7" t="inlineStr">
        <is>
          <t>HOFFER</t>
        </is>
      </c>
      <c r="D1022" s="7" t="n">
        <v>583</v>
      </c>
      <c r="E1022" s="7" t="inlineStr">
        <is>
          <t>HOFFER DARJEELING 25 DC SF ENV TBGS</t>
        </is>
      </c>
      <c r="F1022" s="7" t="n">
        <v>2</v>
      </c>
      <c r="G1022" s="7" t="inlineStr">
        <is>
          <t>CTN</t>
        </is>
      </c>
      <c r="H1022" t="inlineStr">
        <is>
          <t>BLEND DJTB 90% UTZ</t>
        </is>
      </c>
    </row>
    <row r="1023" ht="14.25" customHeight="1" s="5">
      <c r="A1023" s="7" t="n">
        <v>587</v>
      </c>
      <c r="B1023" s="7" t="inlineStr">
        <is>
          <t>HOFFER GREEN/BLACK TEA 32/25 DC SF ENV TBGS(HU/SLU)-V2</t>
        </is>
      </c>
      <c r="C1023" s="7" t="inlineStr">
        <is>
          <t>HOFFER</t>
        </is>
      </c>
      <c r="D1023" s="7" t="n">
        <v>584</v>
      </c>
      <c r="E1023" s="7" t="inlineStr">
        <is>
          <t>HOFFER GREEN TEA JASMINE 25 DC SF ENV TBGS</t>
        </is>
      </c>
      <c r="F1023" s="7" t="n">
        <v>6</v>
      </c>
      <c r="G1023" s="7" t="inlineStr">
        <is>
          <t>CTN</t>
        </is>
      </c>
      <c r="H1023" t="inlineStr">
        <is>
          <t>BLEND GREEN TEA JASMINE-90% UTZ</t>
        </is>
      </c>
    </row>
    <row r="1024" ht="14.25" customHeight="1" s="5">
      <c r="A1024" s="7" t="n">
        <v>587</v>
      </c>
      <c r="B1024" s="7" t="inlineStr">
        <is>
          <t>HOFFER GREEN/BLACK TEA 32/25 DC SF ENV TBGS(HU/SLU)-V2</t>
        </is>
      </c>
      <c r="C1024" s="7" t="inlineStr">
        <is>
          <t>HOFFER</t>
        </is>
      </c>
      <c r="D1024" s="7" t="n">
        <v>588</v>
      </c>
      <c r="E1024" s="7" t="inlineStr">
        <is>
          <t>HOFFER GREEN TEA LEMON 25 DC SF ENV TBGS</t>
        </is>
      </c>
      <c r="F1024" s="7" t="n">
        <v>6</v>
      </c>
      <c r="G1024" s="7" t="inlineStr">
        <is>
          <t>CTN</t>
        </is>
      </c>
      <c r="H1024" t="inlineStr">
        <is>
          <t>BLEND GREEN TEA LEMON TBC 90% UTZ</t>
        </is>
      </c>
    </row>
    <row r="1025" ht="14.25" customHeight="1" s="5">
      <c r="A1025" s="7" t="n">
        <v>589</v>
      </c>
      <c r="B1025" s="7" t="inlineStr">
        <is>
          <t>HOFFER GREEN/BLACK TEA 32/25 DC SF ENV TBGS(TRU/STO/LDF)</t>
        </is>
      </c>
      <c r="C1025" s="7" t="inlineStr">
        <is>
          <t>HOFFER</t>
        </is>
      </c>
      <c r="D1025" s="7" t="n">
        <v>586</v>
      </c>
      <c r="E1025" s="7" t="inlineStr">
        <is>
          <t>HOFFER WHITE TEA 25 DC SF ENV TBGS</t>
        </is>
      </c>
      <c r="F1025" s="7" t="n">
        <v>3</v>
      </c>
      <c r="G1025" s="7" t="inlineStr">
        <is>
          <t>CTN</t>
        </is>
      </c>
      <c r="H1025">
        <f>#N/A</f>
        <v/>
      </c>
    </row>
    <row r="1026" ht="14.25" customHeight="1" s="5">
      <c r="A1026" s="7" t="n">
        <v>589</v>
      </c>
      <c r="B1026" s="7" t="inlineStr">
        <is>
          <t>HOFFER GREEN/BLACK TEA 32/25 DC SF ENV TBGS(TRU/STO/LDF)</t>
        </is>
      </c>
      <c r="C1026" s="7" t="inlineStr">
        <is>
          <t>HOFFER</t>
        </is>
      </c>
      <c r="D1026" s="7" t="n">
        <v>581</v>
      </c>
      <c r="E1026" s="7" t="inlineStr">
        <is>
          <t>HOFFER GREEN TEA 25 DC SF ENV TBGS</t>
        </is>
      </c>
      <c r="F1026" s="7" t="n">
        <v>9</v>
      </c>
      <c r="G1026" s="7" t="inlineStr">
        <is>
          <t>CTN</t>
        </is>
      </c>
      <c r="H1026" t="inlineStr">
        <is>
          <t>BLEND 7434 GREEN - 90% UTZ</t>
        </is>
      </c>
    </row>
    <row r="1027" ht="14.25" customHeight="1" s="5">
      <c r="A1027" s="7" t="n">
        <v>589</v>
      </c>
      <c r="B1027" s="7" t="inlineStr">
        <is>
          <t>HOFFER GREEN/BLACK TEA 32/25 DC SF ENV TBGS(TRU/STO/LDF)</t>
        </is>
      </c>
      <c r="C1027" s="7" t="inlineStr">
        <is>
          <t>HOFFER</t>
        </is>
      </c>
      <c r="D1027" s="7" t="n">
        <v>582</v>
      </c>
      <c r="E1027" s="7" t="inlineStr">
        <is>
          <t>HOFFER EARL GREY 25 DC SF ENV TBGS</t>
        </is>
      </c>
      <c r="F1027" s="7" t="n">
        <v>7</v>
      </c>
      <c r="G1027" s="7" t="inlineStr">
        <is>
          <t>CTN</t>
        </is>
      </c>
      <c r="H1027" t="inlineStr">
        <is>
          <t>BLEND EARL GREY JUMBO TBC</t>
        </is>
      </c>
    </row>
    <row r="1028" ht="14.25" customHeight="1" s="5">
      <c r="A1028" s="7" t="n">
        <v>589</v>
      </c>
      <c r="B1028" s="7" t="inlineStr">
        <is>
          <t>HOFFER GREEN/BLACK TEA 32/25 DC SF ENV TBGS(TRU/STO/LDF)</t>
        </is>
      </c>
      <c r="C1028" s="7" t="inlineStr">
        <is>
          <t>HOFFER</t>
        </is>
      </c>
      <c r="D1028" s="7" t="n">
        <v>583</v>
      </c>
      <c r="E1028" s="7" t="inlineStr">
        <is>
          <t>HOFFER DARJEELING 25 DC SF ENV TBGS</t>
        </is>
      </c>
      <c r="F1028" s="7" t="n">
        <v>4</v>
      </c>
      <c r="G1028" s="7" t="inlineStr">
        <is>
          <t>CTN</t>
        </is>
      </c>
      <c r="H1028" t="inlineStr">
        <is>
          <t>BLEND DJTB 90% UTZ</t>
        </is>
      </c>
    </row>
    <row r="1029" ht="14.25" customHeight="1" s="5">
      <c r="A1029" s="7" t="n">
        <v>589</v>
      </c>
      <c r="B1029" s="7" t="inlineStr">
        <is>
          <t>HOFFER GREEN/BLACK TEA 32/25 DC SF ENV TBGS(TRU/STO/LDF)</t>
        </is>
      </c>
      <c r="C1029" s="7" t="inlineStr">
        <is>
          <t>HOFFER</t>
        </is>
      </c>
      <c r="D1029" s="7" t="n">
        <v>584</v>
      </c>
      <c r="E1029" s="7" t="inlineStr">
        <is>
          <t>HOFFER GREEN TEA JASMINE 25 DC SF ENV TBGS</t>
        </is>
      </c>
      <c r="F1029" s="7" t="n">
        <v>4</v>
      </c>
      <c r="G1029" s="7" t="inlineStr">
        <is>
          <t>CTN</t>
        </is>
      </c>
      <c r="H1029" t="inlineStr">
        <is>
          <t>BLEND GREEN TEA JASMINE-90% UTZ</t>
        </is>
      </c>
    </row>
    <row r="1030" ht="14.25" customHeight="1" s="5">
      <c r="A1030" s="7" t="n">
        <v>589</v>
      </c>
      <c r="B1030" s="7" t="inlineStr">
        <is>
          <t>HOFFER GREEN/BLACK TEA 32/25 DC SF ENV TBGS(TRU/STO/LDF)</t>
        </is>
      </c>
      <c r="C1030" s="7" t="inlineStr">
        <is>
          <t>HOFFER</t>
        </is>
      </c>
      <c r="D1030" s="7" t="n">
        <v>585</v>
      </c>
      <c r="E1030" s="7" t="inlineStr">
        <is>
          <t>HOFFER GREEN TEA ORANGE 25 DC SF ENV TBGS</t>
        </is>
      </c>
      <c r="F1030" s="7" t="n">
        <v>5</v>
      </c>
      <c r="G1030" s="7" t="inlineStr">
        <is>
          <t>CTN</t>
        </is>
      </c>
      <c r="H1030">
        <f>#N/A</f>
        <v/>
      </c>
    </row>
    <row r="1031" ht="14.25" customHeight="1" s="5">
      <c r="A1031" s="7" t="n">
        <v>590</v>
      </c>
      <c r="B1031" s="7" t="inlineStr">
        <is>
          <t>HOFFER GREEN/BLACK TEA 32/25 DC SF ENV TBGS(TRU/STO/LDF)-V2</t>
        </is>
      </c>
      <c r="C1031" s="7" t="inlineStr">
        <is>
          <t>HOFFER</t>
        </is>
      </c>
      <c r="D1031" s="7" t="n">
        <v>581</v>
      </c>
      <c r="E1031" s="7" t="inlineStr">
        <is>
          <t>HOFFER GREEN TEA 25 DC SF ENV TBGS</t>
        </is>
      </c>
      <c r="F1031" s="7" t="n">
        <v>9</v>
      </c>
      <c r="G1031" s="7" t="inlineStr">
        <is>
          <t>CTN</t>
        </is>
      </c>
      <c r="H1031" t="inlineStr">
        <is>
          <t>BLEND 7434 GREEN - 90% UTZ</t>
        </is>
      </c>
    </row>
    <row r="1032" ht="14.25" customHeight="1" s="5">
      <c r="A1032" s="7" t="n">
        <v>590</v>
      </c>
      <c r="B1032" s="7" t="inlineStr">
        <is>
          <t>HOFFER GREEN/BLACK TEA 32/25 DC SF ENV TBGS(TRU/STO/LDF)-V2</t>
        </is>
      </c>
      <c r="C1032" s="7" t="inlineStr">
        <is>
          <t>HOFFER</t>
        </is>
      </c>
      <c r="D1032" s="7" t="n">
        <v>582</v>
      </c>
      <c r="E1032" s="7" t="inlineStr">
        <is>
          <t>HOFFER EARL GREY 25 DC SF ENV TBGS</t>
        </is>
      </c>
      <c r="F1032" s="7" t="n">
        <v>8</v>
      </c>
      <c r="G1032" s="7" t="inlineStr">
        <is>
          <t>CTN</t>
        </is>
      </c>
      <c r="H1032" t="inlineStr">
        <is>
          <t>BLEND EARL GREY JUMBO TBC</t>
        </is>
      </c>
    </row>
    <row r="1033" ht="14.25" customHeight="1" s="5">
      <c r="A1033" s="7" t="n">
        <v>590</v>
      </c>
      <c r="B1033" s="7" t="inlineStr">
        <is>
          <t>HOFFER GREEN/BLACK TEA 32/25 DC SF ENV TBGS(TRU/STO/LDF)-V2</t>
        </is>
      </c>
      <c r="C1033" s="7" t="inlineStr">
        <is>
          <t>HOFFER</t>
        </is>
      </c>
      <c r="D1033" s="7" t="n">
        <v>583</v>
      </c>
      <c r="E1033" s="7" t="inlineStr">
        <is>
          <t>HOFFER DARJEELING 25 DC SF ENV TBGS</t>
        </is>
      </c>
      <c r="F1033" s="7" t="n">
        <v>4</v>
      </c>
      <c r="G1033" s="7" t="inlineStr">
        <is>
          <t>CTN</t>
        </is>
      </c>
      <c r="H1033" t="inlineStr">
        <is>
          <t>BLEND DJTB 90% UTZ</t>
        </is>
      </c>
    </row>
    <row r="1034" ht="14.25" customHeight="1" s="5">
      <c r="A1034" s="7" t="n">
        <v>590</v>
      </c>
      <c r="B1034" s="7" t="inlineStr">
        <is>
          <t>HOFFER GREEN/BLACK TEA 32/25 DC SF ENV TBGS(TRU/STO/LDF)-V2</t>
        </is>
      </c>
      <c r="C1034" s="7" t="inlineStr">
        <is>
          <t>HOFFER</t>
        </is>
      </c>
      <c r="D1034" s="7" t="n">
        <v>584</v>
      </c>
      <c r="E1034" s="7" t="inlineStr">
        <is>
          <t>HOFFER GREEN TEA JASMINE 25 DC SF ENV TBGS</t>
        </is>
      </c>
      <c r="F1034" s="7" t="n">
        <v>6</v>
      </c>
      <c r="G1034" s="7" t="inlineStr">
        <is>
          <t>CTN</t>
        </is>
      </c>
      <c r="H1034" t="inlineStr">
        <is>
          <t>BLEND GREEN TEA JASMINE-90% UTZ</t>
        </is>
      </c>
    </row>
    <row r="1035" ht="14.25" customHeight="1" s="5">
      <c r="A1035" s="7" t="n">
        <v>590</v>
      </c>
      <c r="B1035" s="7" t="inlineStr">
        <is>
          <t>HOFFER GREEN/BLACK TEA 32/25 DC SF ENV TBGS(TRU/STO/LDF)-V2</t>
        </is>
      </c>
      <c r="C1035" s="7" t="inlineStr">
        <is>
          <t>HOFFER</t>
        </is>
      </c>
      <c r="D1035" s="7" t="n">
        <v>588</v>
      </c>
      <c r="E1035" s="7" t="inlineStr">
        <is>
          <t>HOFFER GREEN TEA LEMON 25 DC SF ENV TBGS</t>
        </is>
      </c>
      <c r="F1035" s="7" t="n">
        <v>5</v>
      </c>
      <c r="G1035" s="7" t="inlineStr">
        <is>
          <t>CTN</t>
        </is>
      </c>
      <c r="H1035" t="inlineStr">
        <is>
          <t>BLEND GREEN TEA LEMON TBC 90% UTZ</t>
        </is>
      </c>
    </row>
    <row r="1036" ht="14.25" customHeight="1" s="5">
      <c r="A1036" s="7" t="n">
        <v>36182</v>
      </c>
      <c r="B1036" s="7" t="inlineStr">
        <is>
          <t>ICA CEYLON 12/100 DC SF TAG TBGS</t>
        </is>
      </c>
      <c r="C1036" s="7" t="inlineStr">
        <is>
          <t>ICA</t>
        </is>
      </c>
      <c r="D1036" s="7" t="n">
        <v>36287</v>
      </c>
      <c r="E1036" s="7" t="inlineStr">
        <is>
          <t>ICA CEYLON 100 DC SF TAG TBGS</t>
        </is>
      </c>
      <c r="F1036" s="7" t="n">
        <v>12</v>
      </c>
      <c r="G1036" s="7" t="inlineStr">
        <is>
          <t>CTN</t>
        </is>
      </c>
      <c r="H1036" t="inlineStr">
        <is>
          <t>BLEND ICA CEYLON RFA</t>
        </is>
      </c>
    </row>
    <row r="1037" ht="14.25" customHeight="1" s="5">
      <c r="A1037" s="7" t="n">
        <v>36186</v>
      </c>
      <c r="B1037" s="7" t="inlineStr">
        <is>
          <t>ICA CHAI 12/20 DC SF ENV TBGS</t>
        </is>
      </c>
      <c r="C1037" s="7" t="inlineStr">
        <is>
          <t>ICA</t>
        </is>
      </c>
      <c r="D1037" s="7" t="n">
        <v>36209</v>
      </c>
      <c r="E1037" s="7" t="inlineStr">
        <is>
          <t>ICA CHAI 20 DC SF ENV TBGS</t>
        </is>
      </c>
      <c r="F1037" s="7" t="n">
        <v>12</v>
      </c>
      <c r="G1037" s="7" t="inlineStr">
        <is>
          <t>CTN</t>
        </is>
      </c>
      <c r="H1037" t="inlineStr">
        <is>
          <t>BLEND BLACK TEA CHAI TB ICA</t>
        </is>
      </c>
    </row>
    <row r="1038" ht="14.25" customHeight="1" s="5">
      <c r="A1038" s="7" t="n">
        <v>36192</v>
      </c>
      <c r="B1038" s="7" t="inlineStr">
        <is>
          <t>ICA FOREST FRUIT 12/20 DC SF ENV TBGS</t>
        </is>
      </c>
      <c r="C1038" s="7" t="inlineStr">
        <is>
          <t>ICA</t>
        </is>
      </c>
      <c r="D1038" s="7" t="n">
        <v>36212</v>
      </c>
      <c r="E1038" s="7" t="inlineStr">
        <is>
          <t>ICA FOREST FRUIT 20 DC SF ENV TBGS</t>
        </is>
      </c>
      <c r="F1038" s="7" t="n">
        <v>12</v>
      </c>
      <c r="G1038" s="7" t="inlineStr">
        <is>
          <t>CTN</t>
        </is>
      </c>
      <c r="H1038" t="inlineStr">
        <is>
          <t>BLEND BLACK TEA FOREST FRUIT TB ICA</t>
        </is>
      </c>
    </row>
    <row r="1039" ht="14.25" customHeight="1" s="5">
      <c r="A1039" s="7" t="n">
        <v>36195</v>
      </c>
      <c r="B1039" s="7" t="inlineStr">
        <is>
          <t>ICA GREEN TEA LEMON 12/20 DC SF ENV TBGS</t>
        </is>
      </c>
      <c r="C1039" s="7" t="inlineStr">
        <is>
          <t>ICA</t>
        </is>
      </c>
      <c r="D1039" s="7" t="n">
        <v>36213</v>
      </c>
      <c r="E1039" s="7" t="inlineStr">
        <is>
          <t>ICA GREEN TEA LEMON 20 DC SF ENV TBGS</t>
        </is>
      </c>
      <c r="F1039" s="7" t="n">
        <v>12</v>
      </c>
      <c r="G1039" s="7" t="inlineStr">
        <is>
          <t>CTN</t>
        </is>
      </c>
      <c r="H1039" t="inlineStr">
        <is>
          <t>BLEND GREEN TEA LEMON TB ICA</t>
        </is>
      </c>
    </row>
    <row r="1040" ht="14.25" customHeight="1" s="5">
      <c r="A1040" s="7" t="n">
        <v>36196</v>
      </c>
      <c r="B1040" s="7" t="inlineStr">
        <is>
          <t>ICA GREEN TEA ORANGE GINGER 12/20 DC SF ENV TBGS</t>
        </is>
      </c>
      <c r="C1040" s="7" t="inlineStr">
        <is>
          <t>ICA</t>
        </is>
      </c>
      <c r="D1040" s="7" t="n">
        <v>36214</v>
      </c>
      <c r="E1040" s="7" t="inlineStr">
        <is>
          <t>ICA GREEN TEA ORANGE GINGER 20 DC SF ENV TBGS</t>
        </is>
      </c>
      <c r="F1040" s="7" t="n">
        <v>12</v>
      </c>
      <c r="G1040" s="7" t="inlineStr">
        <is>
          <t>CTN</t>
        </is>
      </c>
      <c r="H1040" t="inlineStr">
        <is>
          <t>BLEND GREEN TEA ORANGE GINGER TB ICA</t>
        </is>
      </c>
    </row>
    <row r="1041" ht="14.25" customHeight="1" s="5">
      <c r="A1041" s="7" t="n">
        <v>36191</v>
      </c>
      <c r="B1041" s="7" t="inlineStr">
        <is>
          <t>ICA ORTTE 12/20 DC SF ENV TBGS</t>
        </is>
      </c>
      <c r="C1041" s="7" t="inlineStr">
        <is>
          <t>ICA</t>
        </is>
      </c>
      <c r="D1041" s="7" t="n">
        <v>36211</v>
      </c>
      <c r="E1041" s="7" t="inlineStr">
        <is>
          <t>ICA ORTTE 20 DC SF ENV TBGS</t>
        </is>
      </c>
      <c r="F1041" s="7" t="n">
        <v>12</v>
      </c>
      <c r="G1041" s="7" t="inlineStr">
        <is>
          <t>CTN</t>
        </is>
      </c>
      <c r="H1041" t="inlineStr">
        <is>
          <t>BLEND MIXED HERB CHAI ORTTE TB ICA</t>
        </is>
      </c>
    </row>
    <row r="1042" ht="14.25" customHeight="1" s="5">
      <c r="A1042" s="7" t="n">
        <v>36190</v>
      </c>
      <c r="B1042" s="7" t="inlineStr">
        <is>
          <t>ICA SODERBLOM 12/20 DC SF ENV TBGS</t>
        </is>
      </c>
      <c r="C1042" s="7" t="inlineStr">
        <is>
          <t>ICA</t>
        </is>
      </c>
      <c r="D1042" s="7" t="n">
        <v>36210</v>
      </c>
      <c r="E1042" s="7" t="inlineStr">
        <is>
          <t>ICA SODERBLOM 20 DC SF ENV TBGS</t>
        </is>
      </c>
      <c r="F1042" s="7" t="n">
        <v>12</v>
      </c>
      <c r="G1042" s="7" t="inlineStr">
        <is>
          <t>CTN</t>
        </is>
      </c>
      <c r="H1042" t="inlineStr">
        <is>
          <t>BLEND BLACK TEA SODERBLOM TB ICA</t>
        </is>
      </c>
    </row>
    <row r="1043" ht="14.25" customHeight="1" s="5">
      <c r="A1043" s="7" t="n">
        <v>31868</v>
      </c>
      <c r="B1043" s="7" t="inlineStr">
        <is>
          <t>IKEA APPLE CINNAMON 24/25 DC SF HS ENV TBGS</t>
        </is>
      </c>
      <c r="C1043" s="7" t="inlineStr">
        <is>
          <t>IKEA</t>
        </is>
      </c>
      <c r="D1043" s="7" t="n">
        <v>31913</v>
      </c>
      <c r="E1043" s="7" t="inlineStr">
        <is>
          <t>IKEA APPLE CINNAMON 25 DC SF HS ENV  TBGS</t>
        </is>
      </c>
      <c r="F1043" s="7" t="n">
        <v>24</v>
      </c>
      <c r="G1043" s="7" t="inlineStr">
        <is>
          <t>CTN</t>
        </is>
      </c>
      <c r="H1043" t="inlineStr">
        <is>
          <t>BLEND FRUITY CINNAMON APPLE TB IKEA</t>
        </is>
      </c>
    </row>
    <row r="1044" ht="14.25" customHeight="1" s="5">
      <c r="A1044" s="7" t="n">
        <v>20106</v>
      </c>
      <c r="B1044" s="7" t="inlineStr">
        <is>
          <t>IKEA ASSAM TEA 24/25 DC SF HS ENV TBGS</t>
        </is>
      </c>
      <c r="C1044" s="7" t="inlineStr">
        <is>
          <t>IKEA</t>
        </is>
      </c>
      <c r="D1044" s="7" t="n">
        <v>20110</v>
      </c>
      <c r="E1044" s="7" t="inlineStr">
        <is>
          <t>IKEA ASSAM TEA 25 DC SF HS ENV TBGS</t>
        </is>
      </c>
      <c r="F1044" s="7" t="n">
        <v>24</v>
      </c>
      <c r="G1044" s="7" t="inlineStr">
        <is>
          <t>CTN</t>
        </is>
      </c>
      <c r="H1044" t="inlineStr">
        <is>
          <t>BLEND A135/7722 - RFA</t>
        </is>
      </c>
    </row>
    <row r="1045" ht="14.25" customHeight="1" s="5">
      <c r="A1045" s="7" t="n">
        <v>20104</v>
      </c>
      <c r="B1045" s="7" t="inlineStr">
        <is>
          <t>IKEA GREEN TEA 24/25 DC SF HS ENV TBGS</t>
        </is>
      </c>
      <c r="C1045" s="7" t="inlineStr">
        <is>
          <t>IKEA</t>
        </is>
      </c>
      <c r="D1045" s="7" t="n">
        <v>20108</v>
      </c>
      <c r="E1045" s="7" t="inlineStr">
        <is>
          <t>IKEA GREEN TEA 25 DC SF HS ENV TBGS</t>
        </is>
      </c>
      <c r="F1045" s="7" t="n">
        <v>24</v>
      </c>
      <c r="G1045" s="7" t="inlineStr">
        <is>
          <t>CTN</t>
        </is>
      </c>
      <c r="H1045" t="inlineStr">
        <is>
          <t>BLEND 7434 GREEN - 90% UTZ</t>
        </is>
      </c>
    </row>
    <row r="1046" ht="14.25" customHeight="1" s="5">
      <c r="A1046" s="7" t="n">
        <v>22988</v>
      </c>
      <c r="B1046" s="7" t="inlineStr">
        <is>
          <t>IKEA GREEN TEA TULSI  24/25 DC SF HS ENV TBGS</t>
        </is>
      </c>
      <c r="C1046" s="7" t="inlineStr">
        <is>
          <t>IKEA</t>
        </is>
      </c>
      <c r="D1046" s="7" t="n">
        <v>22991</v>
      </c>
      <c r="E1046" s="7" t="inlineStr">
        <is>
          <t>IKEA GREEN TEA TULSI 25 DC SF HS ENV TBGS</t>
        </is>
      </c>
      <c r="F1046" s="7" t="n">
        <v>24</v>
      </c>
      <c r="G1046" s="7" t="inlineStr">
        <is>
          <t>CTN</t>
        </is>
      </c>
      <c r="H1046" t="inlineStr">
        <is>
          <t>BLEND TULSI GREEN TB UTZ</t>
        </is>
      </c>
    </row>
    <row r="1047" ht="14.25" customHeight="1" s="5">
      <c r="A1047" s="7" t="n">
        <v>20105</v>
      </c>
      <c r="B1047" s="7" t="inlineStr">
        <is>
          <t>IKEA HONEY LEMON GREEN TEA 24/25 DC SF HS ENV TBGS</t>
        </is>
      </c>
      <c r="C1047" s="7" t="inlineStr">
        <is>
          <t>IKEA</t>
        </is>
      </c>
      <c r="D1047" s="7" t="n">
        <v>20109</v>
      </c>
      <c r="E1047" s="7" t="inlineStr">
        <is>
          <t>IKEA HONEY LEMON GREEN TEA 25 DC SF HS ENV TBGS</t>
        </is>
      </c>
      <c r="F1047" s="7" t="n">
        <v>24</v>
      </c>
      <c r="G1047" s="7" t="inlineStr">
        <is>
          <t>CTN</t>
        </is>
      </c>
      <c r="H1047" t="inlineStr">
        <is>
          <t>BLEND GREEN TEA HONEY LEMON TB 90% UTZ</t>
        </is>
      </c>
    </row>
    <row r="1048" ht="14.25" customHeight="1" s="5">
      <c r="A1048" s="7" t="n">
        <v>22987</v>
      </c>
      <c r="B1048" s="7" t="inlineStr">
        <is>
          <t>IKEA KASHMIRI KAHWA 24/25 DC SF HS ENV TBGS</t>
        </is>
      </c>
      <c r="C1048" s="7" t="inlineStr">
        <is>
          <t>IKEA</t>
        </is>
      </c>
      <c r="D1048" s="7" t="n">
        <v>22990</v>
      </c>
      <c r="E1048" s="7" t="inlineStr">
        <is>
          <t>IKEA KASHMIRI KAHWA 25 DC SF HS ENV TBGS</t>
        </is>
      </c>
      <c r="F1048" s="7" t="n">
        <v>24</v>
      </c>
      <c r="G1048" s="7" t="inlineStr">
        <is>
          <t>CTN</t>
        </is>
      </c>
      <c r="H1048" t="inlineStr">
        <is>
          <t>BLEND KASHMIRI KAHWA TB UTZ</t>
        </is>
      </c>
    </row>
    <row r="1049" ht="14.25" customHeight="1" s="5">
      <c r="A1049" s="7" t="n">
        <v>31869</v>
      </c>
      <c r="B1049" s="7" t="inlineStr">
        <is>
          <t>IKEA LEMON 24/25 DC SF HS ENV TBGS</t>
        </is>
      </c>
      <c r="C1049" s="7" t="inlineStr">
        <is>
          <t>IKEA</t>
        </is>
      </c>
      <c r="D1049" s="7" t="n">
        <v>31912</v>
      </c>
      <c r="E1049" s="7" t="inlineStr">
        <is>
          <t>IKEA LEMON 25 DC SF HS ENV  TBGS</t>
        </is>
      </c>
      <c r="F1049" s="7" t="n">
        <v>24</v>
      </c>
      <c r="G1049" s="7" t="inlineStr">
        <is>
          <t>CTN</t>
        </is>
      </c>
      <c r="H1049" t="inlineStr">
        <is>
          <t>BLEND BLACK TEA LEMON TB IKEA</t>
        </is>
      </c>
    </row>
    <row r="1050" ht="14.25" customHeight="1" s="5">
      <c r="A1050" s="7" t="n">
        <v>20107</v>
      </c>
      <c r="B1050" s="7" t="inlineStr">
        <is>
          <t>IKEA MASALA TEA 24/25 DC SF HS ENV TBGS</t>
        </is>
      </c>
      <c r="C1050" s="7" t="inlineStr">
        <is>
          <t>IKEA</t>
        </is>
      </c>
      <c r="D1050" s="7" t="n">
        <v>20111</v>
      </c>
      <c r="E1050" s="7" t="inlineStr">
        <is>
          <t>IKEA MASALA TEA 25 DC SF HS ENV TBGS</t>
        </is>
      </c>
      <c r="F1050" s="7" t="n">
        <v>24</v>
      </c>
      <c r="G1050" s="7" t="inlineStr">
        <is>
          <t>CTN</t>
        </is>
      </c>
      <c r="H1050" t="inlineStr">
        <is>
          <t>BLEND BLACK TEA MASALA TB 70% UTZ</t>
        </is>
      </c>
    </row>
    <row r="1051" ht="14.25" customHeight="1" s="5">
      <c r="A1051" s="7" t="n">
        <v>31878</v>
      </c>
      <c r="B1051" s="7" t="inlineStr">
        <is>
          <t>IKEA ORANGE GINGER 24/25 DC SF HS ENV TBGS</t>
        </is>
      </c>
      <c r="C1051" s="7" t="inlineStr">
        <is>
          <t>IKEA</t>
        </is>
      </c>
      <c r="D1051" s="7" t="n">
        <v>31914</v>
      </c>
      <c r="E1051" s="7" t="inlineStr">
        <is>
          <t>IKEA ORANGE GINGER 25 DC SF HS ENV  TBGS</t>
        </is>
      </c>
      <c r="F1051" s="7" t="n">
        <v>24</v>
      </c>
      <c r="G1051" s="7" t="inlineStr">
        <is>
          <t>CTN</t>
        </is>
      </c>
      <c r="H1051" t="inlineStr">
        <is>
          <t>BLEND FRUITY ORANGE TB IKEA</t>
        </is>
      </c>
    </row>
    <row r="1052" ht="14.25" customHeight="1" s="5">
      <c r="A1052" s="7" t="n">
        <v>22989</v>
      </c>
      <c r="B1052" s="7" t="inlineStr">
        <is>
          <t>IKEA PEPPERMINT 24/25 DC SF HS ENV TBGS</t>
        </is>
      </c>
      <c r="C1052" s="7" t="inlineStr">
        <is>
          <t>IKEA</t>
        </is>
      </c>
      <c r="D1052" s="7" t="n">
        <v>22992</v>
      </c>
      <c r="E1052" s="7" t="inlineStr">
        <is>
          <t>IKEA PEPPERMINT 25 DC SF HS ENV TBGS</t>
        </is>
      </c>
      <c r="F1052" s="7" t="n">
        <v>24</v>
      </c>
      <c r="G1052" s="7" t="inlineStr">
        <is>
          <t>CTN</t>
        </is>
      </c>
      <c r="H1052" t="inlineStr">
        <is>
          <t>BLEND PEPPERMINT LICORICE TB UTZ</t>
        </is>
      </c>
    </row>
    <row r="1053" ht="14.25" customHeight="1" s="5">
      <c r="A1053" s="7" t="n">
        <v>28685</v>
      </c>
      <c r="B1053" s="7" t="inlineStr">
        <is>
          <t>IKRUT PREMIUM LEAF MJ-MISRILAL [8 X 40 X 20 GM LAMINATE POUCH] CFC</t>
        </is>
      </c>
      <c r="C1053" s="7" t="inlineStr">
        <is>
          <t>P R TRADING</t>
        </is>
      </c>
      <c r="D1053" s="7" t="n">
        <v>28688</v>
      </c>
      <c r="E1053" s="7" t="inlineStr">
        <is>
          <t>IKRUT PREMIUM LEAF MJ-MISRILAL 20 GM POUCH</t>
        </is>
      </c>
      <c r="F1053" s="7" t="n">
        <v>320</v>
      </c>
      <c r="G1053" s="7" t="inlineStr">
        <is>
          <t>POUCH</t>
        </is>
      </c>
      <c r="H1053" t="inlineStr">
        <is>
          <t>BLEND MJ-MSL(MISRILAL)</t>
        </is>
      </c>
    </row>
    <row r="1054" ht="14.25" customHeight="1" s="5">
      <c r="A1054" s="7" t="n">
        <v>28171</v>
      </c>
      <c r="B1054" s="7" t="inlineStr">
        <is>
          <t>IKRUT PREMIUM LEAF MJ-MSL(MISRILAL) [12 X 4 X 500 GM LAMINATE POUCH] PP BAG</t>
        </is>
      </c>
      <c r="C1054" s="7" t="inlineStr">
        <is>
          <t>P R TRADING</t>
        </is>
      </c>
      <c r="D1054" s="7" t="n">
        <v>28162</v>
      </c>
      <c r="E1054" s="7" t="inlineStr">
        <is>
          <t>IKRUT PREMIUM LEAF MJ-MSL(MISRILAL) 500 GM POUCH</t>
        </is>
      </c>
      <c r="F1054" s="7" t="n">
        <v>48</v>
      </c>
      <c r="G1054" s="7" t="inlineStr">
        <is>
          <t>POUCH</t>
        </is>
      </c>
      <c r="H1054" t="inlineStr">
        <is>
          <t>BLEND MJ-MSL(MISRILAL)</t>
        </is>
      </c>
    </row>
    <row r="1055" ht="14.25" customHeight="1" s="5">
      <c r="A1055" s="7" t="n">
        <v>28168</v>
      </c>
      <c r="B1055" s="7" t="inlineStr">
        <is>
          <t>IKRUT PREMIUM LEAF MJ-MSL(MISRILAL) [12 X 8 X 250 GM LAMINATE POUCH] PP BAG</t>
        </is>
      </c>
      <c r="C1055" s="7" t="inlineStr">
        <is>
          <t>P R TRADING</t>
        </is>
      </c>
      <c r="D1055" s="7" t="n">
        <v>28161</v>
      </c>
      <c r="E1055" s="7" t="inlineStr">
        <is>
          <t>IKRUT PREMIUM LEAF MJ-MSL(MISRILAL) 250 GM POUCH</t>
        </is>
      </c>
      <c r="F1055" s="7" t="n">
        <v>96</v>
      </c>
      <c r="G1055" s="7" t="inlineStr">
        <is>
          <t>POUCH</t>
        </is>
      </c>
      <c r="H1055" t="inlineStr">
        <is>
          <t>BLEND MJ-MSL(MISRILAL)</t>
        </is>
      </c>
    </row>
    <row r="1056" ht="14.25" customHeight="1" s="5">
      <c r="A1056" s="7" t="n">
        <v>28173</v>
      </c>
      <c r="B1056" s="7" t="inlineStr">
        <is>
          <t>IKRUT ROYAL LEAF SFA [12 X 4 X 500 GM LAMINATE POUCH] PP BAG</t>
        </is>
      </c>
      <c r="C1056" s="7" t="inlineStr">
        <is>
          <t>P R TRADING</t>
        </is>
      </c>
      <c r="D1056" s="7" t="n">
        <v>28165</v>
      </c>
      <c r="E1056" s="7" t="inlineStr">
        <is>
          <t>IKRUT ROYAL LEAF SFA 500 GM POUCH</t>
        </is>
      </c>
      <c r="F1056" s="7" t="n">
        <v>48</v>
      </c>
      <c r="G1056" s="7" t="inlineStr">
        <is>
          <t>POUCH</t>
        </is>
      </c>
      <c r="H1056" t="inlineStr">
        <is>
          <t>BLEND SFA</t>
        </is>
      </c>
    </row>
    <row r="1057" ht="14.25" customHeight="1" s="5">
      <c r="A1057" s="7" t="n">
        <v>28172</v>
      </c>
      <c r="B1057" s="7" t="inlineStr">
        <is>
          <t>IKRUT ROYAL LEAF SFA [12 X 8 X 250 GM LAMINATE POUCH] PP BAG</t>
        </is>
      </c>
      <c r="C1057" s="7" t="inlineStr">
        <is>
          <t>P R TRADING</t>
        </is>
      </c>
      <c r="D1057" s="7" t="n">
        <v>28163</v>
      </c>
      <c r="E1057" s="7" t="inlineStr">
        <is>
          <t>IKRUT ROYAL LEAF SFA 250 GM POUCH</t>
        </is>
      </c>
      <c r="F1057" s="7" t="n">
        <v>96</v>
      </c>
      <c r="G1057" s="7" t="inlineStr">
        <is>
          <t>POUCH</t>
        </is>
      </c>
      <c r="H1057" t="inlineStr">
        <is>
          <t>BLEND SFA</t>
        </is>
      </c>
    </row>
    <row r="1058" ht="14.25" customHeight="1" s="5">
      <c r="A1058" s="7" t="n">
        <v>28686</v>
      </c>
      <c r="B1058" s="7" t="inlineStr">
        <is>
          <t>IKRU ROYAL LEAF SFA [8 X 40 X 20 GM LAMINATE POUCH] CFC</t>
        </is>
      </c>
      <c r="C1058" s="7" t="inlineStr">
        <is>
          <t>P R TRADING</t>
        </is>
      </c>
      <c r="D1058" s="7" t="n">
        <v>28689</v>
      </c>
      <c r="E1058" s="7" t="inlineStr">
        <is>
          <t>IKRUT ROYAL LEAF SFA 20 GM POUCH</t>
        </is>
      </c>
      <c r="F1058" s="7" t="n">
        <v>320</v>
      </c>
      <c r="G1058" s="7" t="inlineStr">
        <is>
          <t>POUCH</t>
        </is>
      </c>
      <c r="H1058" t="inlineStr">
        <is>
          <t>BLEND SFA</t>
        </is>
      </c>
    </row>
    <row r="1059" ht="14.25" customHeight="1" s="5">
      <c r="A1059" s="7" t="n">
        <v>598</v>
      </c>
      <c r="B1059" s="7" t="inlineStr">
        <is>
          <t>IMANE 12/100 DC ENV TBGS</t>
        </is>
      </c>
      <c r="C1059" s="7" t="inlineStr">
        <is>
          <t>IMANE</t>
        </is>
      </c>
      <c r="D1059" s="7" t="n">
        <v>599</v>
      </c>
      <c r="E1059" s="7" t="inlineStr">
        <is>
          <t>IMANE 100 DC ENV TBGS</t>
        </is>
      </c>
      <c r="F1059" s="7" t="n">
        <v>12</v>
      </c>
      <c r="G1059" s="7" t="inlineStr">
        <is>
          <t>CTN</t>
        </is>
      </c>
      <c r="H1059" t="inlineStr">
        <is>
          <t>BLEND 999</t>
        </is>
      </c>
    </row>
    <row r="1060" ht="14.25" customHeight="1" s="5">
      <c r="A1060" s="7" t="n">
        <v>603</v>
      </c>
      <c r="B1060" s="7" t="inlineStr">
        <is>
          <t>INDUS 12/100 DC ENV TBGS</t>
        </is>
      </c>
      <c r="C1060" s="7" t="inlineStr">
        <is>
          <t>INDUS</t>
        </is>
      </c>
      <c r="D1060" s="7" t="n">
        <v>604</v>
      </c>
      <c r="E1060" s="7" t="inlineStr">
        <is>
          <t>INDUS 100 DC ENV TBGS</t>
        </is>
      </c>
      <c r="F1060" s="7" t="n">
        <v>12</v>
      </c>
      <c r="G1060" s="7" t="inlineStr">
        <is>
          <t>CTN</t>
        </is>
      </c>
      <c r="H1060" t="inlineStr">
        <is>
          <t>BLEND 999</t>
        </is>
      </c>
    </row>
    <row r="1061" ht="14.25" customHeight="1" s="5">
      <c r="A1061" s="7" t="n">
        <v>608</v>
      </c>
      <c r="B1061" s="7" t="inlineStr">
        <is>
          <t>INDUS 12/100 DC ENV TBGS WITH TSHIRT</t>
        </is>
      </c>
      <c r="C1061" s="7" t="inlineStr">
        <is>
          <t>INDUS</t>
        </is>
      </c>
      <c r="D1061" s="7" t="n">
        <v>19100</v>
      </c>
      <c r="E1061" s="7" t="inlineStr">
        <is>
          <t>INDUS 100 DC ENV TBGS(BLEND 786)</t>
        </is>
      </c>
      <c r="F1061" s="7" t="n">
        <v>12</v>
      </c>
      <c r="G1061" s="7" t="inlineStr">
        <is>
          <t>CTN</t>
        </is>
      </c>
      <c r="H1061" t="inlineStr">
        <is>
          <t>BLEND 786</t>
        </is>
      </c>
    </row>
    <row r="1062" ht="14.25" customHeight="1" s="5">
      <c r="A1062" s="7" t="n">
        <v>19190</v>
      </c>
      <c r="B1062" s="7" t="inlineStr">
        <is>
          <t>INDUS 12/100 DC ENV TBGS(BLEND 786)</t>
        </is>
      </c>
      <c r="C1062" s="7" t="inlineStr">
        <is>
          <t>INDUS</t>
        </is>
      </c>
      <c r="D1062" s="7" t="n">
        <v>19100</v>
      </c>
      <c r="E1062" s="7" t="inlineStr">
        <is>
          <t>INDUS 100 DC ENV TBGS(BLEND 786)</t>
        </is>
      </c>
      <c r="F1062" s="7" t="n">
        <v>12</v>
      </c>
      <c r="G1062" s="7" t="inlineStr">
        <is>
          <t>CTN</t>
        </is>
      </c>
      <c r="H1062" t="inlineStr">
        <is>
          <t>BLEND 786</t>
        </is>
      </c>
    </row>
    <row r="1063" ht="14.25" customHeight="1" s="5">
      <c r="A1063" s="7" t="n">
        <v>611</v>
      </c>
      <c r="B1063" s="7" t="inlineStr">
        <is>
          <t>INDUS 12/105 DC ENV TBGS</t>
        </is>
      </c>
      <c r="C1063" s="7" t="inlineStr">
        <is>
          <t>INDUS</t>
        </is>
      </c>
      <c r="D1063" s="7" t="n">
        <v>20016</v>
      </c>
      <c r="E1063" s="7" t="inlineStr">
        <is>
          <t>INDUS 105 DC ENV TBGS (BLEND 786)</t>
        </is>
      </c>
      <c r="F1063" s="7" t="n">
        <v>12</v>
      </c>
      <c r="G1063" s="7" t="inlineStr">
        <is>
          <t>CTN</t>
        </is>
      </c>
      <c r="H1063" t="inlineStr">
        <is>
          <t>BLEND 786</t>
        </is>
      </c>
    </row>
    <row r="1064" ht="14.25" customHeight="1" s="5">
      <c r="A1064" s="7" t="n">
        <v>20315</v>
      </c>
      <c r="B1064" s="7" t="inlineStr">
        <is>
          <t>INDUS 12/106 DC ENV TBGS</t>
        </is>
      </c>
      <c r="C1064" s="7" t="inlineStr">
        <is>
          <t>INDUS</t>
        </is>
      </c>
      <c r="D1064" s="7" t="n">
        <v>20321</v>
      </c>
      <c r="E1064" s="7" t="inlineStr">
        <is>
          <t>INDUS 106 DC ENV TBGS</t>
        </is>
      </c>
      <c r="F1064" s="7" t="n">
        <v>12</v>
      </c>
      <c r="G1064" s="7" t="inlineStr">
        <is>
          <t>CTN</t>
        </is>
      </c>
      <c r="H1064" t="inlineStr">
        <is>
          <t>BLEND 786</t>
        </is>
      </c>
    </row>
    <row r="1065" ht="14.25" customHeight="1" s="5">
      <c r="A1065" s="7" t="n">
        <v>20809</v>
      </c>
      <c r="B1065" s="7" t="inlineStr">
        <is>
          <t>INDUS 24/50 DC ENV TBGS</t>
        </is>
      </c>
      <c r="C1065" s="7" t="inlineStr">
        <is>
          <t>INDUS</t>
        </is>
      </c>
      <c r="D1065" s="7" t="n">
        <v>20810</v>
      </c>
      <c r="E1065" s="7" t="inlineStr">
        <is>
          <t>INDUS 50 DC ENV TBGS</t>
        </is>
      </c>
      <c r="F1065" s="7" t="n">
        <v>24</v>
      </c>
      <c r="G1065" s="7" t="inlineStr">
        <is>
          <t>CTN</t>
        </is>
      </c>
      <c r="H1065" t="inlineStr">
        <is>
          <t>BLEND 786</t>
        </is>
      </c>
    </row>
    <row r="1066" ht="14.25" customHeight="1" s="5">
      <c r="A1066" s="7" t="n">
        <v>615</v>
      </c>
      <c r="B1066" s="7" t="inlineStr">
        <is>
          <t>INDUS 48/25 DC ENV TBGS</t>
        </is>
      </c>
      <c r="C1066" s="7" t="inlineStr">
        <is>
          <t>INDUS</t>
        </is>
      </c>
      <c r="D1066" s="7" t="n">
        <v>20018</v>
      </c>
      <c r="E1066" s="7" t="inlineStr">
        <is>
          <t>INDUS 25 DC ENV TBGS (BLEND 786)</t>
        </is>
      </c>
      <c r="F1066" s="7" t="n">
        <v>48</v>
      </c>
      <c r="G1066" s="7" t="inlineStr">
        <is>
          <t>CTN</t>
        </is>
      </c>
      <c r="H1066" t="inlineStr">
        <is>
          <t>BLEND 786</t>
        </is>
      </c>
    </row>
    <row r="1067" ht="14.25" customHeight="1" s="5">
      <c r="A1067" s="7" t="n">
        <v>21780</v>
      </c>
      <c r="B1067" s="7" t="inlineStr">
        <is>
          <t>INDUS 48/25 DC TAG TBGS</t>
        </is>
      </c>
      <c r="C1067" s="7" t="inlineStr">
        <is>
          <t>INDUS</t>
        </is>
      </c>
      <c r="D1067" s="7" t="n">
        <v>21781</v>
      </c>
      <c r="E1067" s="7" t="inlineStr">
        <is>
          <t>INDUS 25 DC TAG TBGS</t>
        </is>
      </c>
      <c r="F1067" s="7" t="n">
        <v>48</v>
      </c>
      <c r="G1067" s="7" t="inlineStr">
        <is>
          <t>CTN</t>
        </is>
      </c>
      <c r="H1067" t="inlineStr">
        <is>
          <t>BLEND 786</t>
        </is>
      </c>
    </row>
    <row r="1068" ht="14.25" customHeight="1" s="5">
      <c r="A1068" s="7" t="n">
        <v>32680</v>
      </c>
      <c r="B1068" s="7" t="inlineStr">
        <is>
          <t>INDUS BLACKCURRENT 18/25 DC TAG TBGS</t>
        </is>
      </c>
      <c r="C1068" s="7" t="inlineStr">
        <is>
          <t>INDUS</t>
        </is>
      </c>
      <c r="D1068" s="7" t="n">
        <v>32732</v>
      </c>
      <c r="E1068" s="7" t="inlineStr">
        <is>
          <t>INDUS BLACKCURRENT 25 DC TAG TBGS</t>
        </is>
      </c>
      <c r="F1068" s="7" t="n">
        <v>18</v>
      </c>
      <c r="G1068" s="7" t="inlineStr">
        <is>
          <t>CTN</t>
        </is>
      </c>
      <c r="H1068" t="inlineStr">
        <is>
          <t>BLEND BLACK TEA BLACKCURRANT TB 100% RFA</t>
        </is>
      </c>
    </row>
    <row r="1069" ht="14.25" customHeight="1" s="5">
      <c r="A1069" s="7" t="n">
        <v>33645</v>
      </c>
      <c r="B1069" s="7" t="inlineStr">
        <is>
          <t>INDUS CLASSIC 18/25 DC SF TAG TBGS</t>
        </is>
      </c>
      <c r="C1069" s="7" t="inlineStr">
        <is>
          <t>INDUS</t>
        </is>
      </c>
      <c r="D1069" s="7" t="n">
        <v>27555</v>
      </c>
      <c r="E1069" s="7" t="inlineStr">
        <is>
          <t>INDUS CLASSIC 25 DC TAG TBGS</t>
        </is>
      </c>
      <c r="F1069" s="7" t="n">
        <v>18</v>
      </c>
      <c r="G1069" s="7" t="inlineStr">
        <is>
          <t>CTN</t>
        </is>
      </c>
      <c r="H1069" t="inlineStr">
        <is>
          <t>BLEND R-132-S</t>
        </is>
      </c>
    </row>
    <row r="1070" ht="14.25" customHeight="1" s="5">
      <c r="A1070" s="7" t="n">
        <v>27505</v>
      </c>
      <c r="B1070" s="7" t="inlineStr">
        <is>
          <t>INDUS CLASSIC 24/25 DC TAG TBGS</t>
        </is>
      </c>
      <c r="C1070" s="7" t="inlineStr">
        <is>
          <t>INDUS</t>
        </is>
      </c>
      <c r="D1070" s="7" t="n">
        <v>27555</v>
      </c>
      <c r="E1070" s="7" t="inlineStr">
        <is>
          <t>INDUS CLASSIC 25 DC TAG TBGS</t>
        </is>
      </c>
      <c r="F1070" s="7" t="n">
        <v>24</v>
      </c>
      <c r="G1070" s="7" t="inlineStr">
        <is>
          <t>CTN</t>
        </is>
      </c>
      <c r="H1070" t="inlineStr">
        <is>
          <t>BLEND R-132-S</t>
        </is>
      </c>
    </row>
    <row r="1071" ht="14.25" customHeight="1" s="5">
      <c r="A1071" s="7" t="n">
        <v>2183</v>
      </c>
      <c r="B1071" s="7" t="inlineStr">
        <is>
          <t>INDUS CLASSIC POUCH 24/100 DC HS TBGS</t>
        </is>
      </c>
      <c r="C1071" s="7" t="inlineStr">
        <is>
          <t>INDUS</t>
        </is>
      </c>
      <c r="D1071" s="7" t="n">
        <v>2184</v>
      </c>
      <c r="E1071" s="7" t="inlineStr">
        <is>
          <t>INDUS LOOSE TBGS CLASSIC IMA HS ENV TBGS</t>
        </is>
      </c>
      <c r="F1071" s="7" t="n">
        <v>2400</v>
      </c>
      <c r="G1071" s="7" t="inlineStr">
        <is>
          <t>TBGS</t>
        </is>
      </c>
      <c r="H1071">
        <f>#N/A</f>
        <v/>
      </c>
    </row>
    <row r="1072" ht="14.25" customHeight="1" s="5">
      <c r="A1072" s="7" t="n">
        <v>35873</v>
      </c>
      <c r="B1072" s="7" t="inlineStr">
        <is>
          <t>INDUS CLOVE 48/25 DC ENV TBGS</t>
        </is>
      </c>
      <c r="C1072" s="7" t="inlineStr">
        <is>
          <t>INDUS</t>
        </is>
      </c>
      <c r="D1072" s="7" t="n">
        <v>35875</v>
      </c>
      <c r="E1072" s="7" t="inlineStr">
        <is>
          <t>INDUS CLOVE 25 DC ENV TBGS</t>
        </is>
      </c>
      <c r="F1072" s="7" t="n">
        <v>48</v>
      </c>
      <c r="G1072" s="7" t="inlineStr">
        <is>
          <t>CTN</t>
        </is>
      </c>
      <c r="H1072" t="inlineStr">
        <is>
          <t>BLEND BLACK TEA CLOVE TBC</t>
        </is>
      </c>
    </row>
    <row r="1073" ht="14.25" customHeight="1" s="5">
      <c r="A1073" s="7" t="n">
        <v>35874</v>
      </c>
      <c r="B1073" s="7" t="inlineStr">
        <is>
          <t>INDUS COCKTAIL 48/25 DC ENV TBGS</t>
        </is>
      </c>
      <c r="C1073" s="7" t="inlineStr">
        <is>
          <t>INDUS</t>
        </is>
      </c>
      <c r="D1073" s="7" t="n">
        <v>35877</v>
      </c>
      <c r="E1073" s="7" t="inlineStr">
        <is>
          <t>INDUS COCKTAIL 25 DC ENV TBGS</t>
        </is>
      </c>
      <c r="F1073" s="7" t="n">
        <v>48</v>
      </c>
      <c r="G1073" s="7" t="inlineStr">
        <is>
          <t>CTN</t>
        </is>
      </c>
      <c r="H1073" t="inlineStr">
        <is>
          <t>BLEND BLACK TEA COCKTAIL TBC</t>
        </is>
      </c>
    </row>
    <row r="1074" ht="14.25" customHeight="1" s="5">
      <c r="A1074" s="7" t="n">
        <v>33106</v>
      </c>
      <c r="B1074" s="7" t="inlineStr">
        <is>
          <t>INDUS CRANBERRY APPLE HERBAL 48/25 DC ENV TBGS</t>
        </is>
      </c>
      <c r="C1074" s="7" t="inlineStr">
        <is>
          <t>INDUS</t>
        </is>
      </c>
      <c r="D1074" s="7" t="n">
        <v>33125</v>
      </c>
      <c r="E1074" s="7" t="inlineStr">
        <is>
          <t>INDUS CRANBERRY APPLE HERBAL 25 DC ENV TBGS</t>
        </is>
      </c>
      <c r="F1074" s="7" t="n">
        <v>48</v>
      </c>
      <c r="G1074" s="7" t="inlineStr">
        <is>
          <t>CTN</t>
        </is>
      </c>
      <c r="H1074" t="inlineStr">
        <is>
          <t>BLEND CRANBERRY APPLE</t>
        </is>
      </c>
    </row>
    <row r="1075" ht="14.25" customHeight="1" s="5">
      <c r="A1075" s="7" t="n">
        <v>33115</v>
      </c>
      <c r="B1075" s="7" t="inlineStr">
        <is>
          <t>INDUS CRANBERRY MINT HERBAL 48/25 DC ENV TBGS</t>
        </is>
      </c>
      <c r="C1075" s="7" t="inlineStr">
        <is>
          <t>INDUS</t>
        </is>
      </c>
      <c r="D1075" s="7" t="n">
        <v>33126</v>
      </c>
      <c r="E1075" s="7" t="inlineStr">
        <is>
          <t>INDUS CRANBERRY MINT HERBAL 25 DC ENV TBGS</t>
        </is>
      </c>
      <c r="F1075" s="7" t="n">
        <v>48</v>
      </c>
      <c r="G1075" s="7" t="inlineStr">
        <is>
          <t>CTN</t>
        </is>
      </c>
      <c r="H1075" t="inlineStr">
        <is>
          <t>BLEND FRUITY CRANBERRY MINT TB</t>
        </is>
      </c>
    </row>
    <row r="1076" ht="14.25" customHeight="1" s="5">
      <c r="A1076" s="7" t="n">
        <v>26212</v>
      </c>
      <c r="B1076" s="7" t="inlineStr">
        <is>
          <t>INDUS GINGER 24/25 DC ENV TBGS</t>
        </is>
      </c>
      <c r="C1076" s="7" t="inlineStr">
        <is>
          <t>INDUS</t>
        </is>
      </c>
      <c r="D1076" s="7" t="n">
        <v>26213</v>
      </c>
      <c r="E1076" s="7" t="inlineStr">
        <is>
          <t>INDUS GINGER 25 DC ENV TBGS</t>
        </is>
      </c>
      <c r="F1076" s="7" t="n">
        <v>24</v>
      </c>
      <c r="G1076" s="7" t="inlineStr">
        <is>
          <t>CTN</t>
        </is>
      </c>
      <c r="H1076" t="inlineStr">
        <is>
          <t>BLEND AF BLACK TEA  GINGER TBGS</t>
        </is>
      </c>
    </row>
    <row r="1077" ht="14.25" customHeight="1" s="5">
      <c r="A1077" s="7" t="n">
        <v>27504</v>
      </c>
      <c r="B1077" s="7" t="inlineStr">
        <is>
          <t>INDUS HIGHGROWN 12/100 DC TAG TBGS</t>
        </is>
      </c>
      <c r="C1077" s="7" t="inlineStr">
        <is>
          <t>INDUS</t>
        </is>
      </c>
      <c r="D1077" s="7" t="n">
        <v>27556</v>
      </c>
      <c r="E1077" s="7" t="inlineStr">
        <is>
          <t>INDUS HIGHGROWN 100 DC TAG TBGS</t>
        </is>
      </c>
      <c r="F1077" s="7" t="n">
        <v>12</v>
      </c>
      <c r="G1077" s="7" t="inlineStr">
        <is>
          <t>CTN</t>
        </is>
      </c>
      <c r="H1077" t="inlineStr">
        <is>
          <t>BLEND 786</t>
        </is>
      </c>
    </row>
    <row r="1078" ht="14.25" customHeight="1" s="5">
      <c r="A1078" s="7" t="n">
        <v>35723</v>
      </c>
      <c r="B1078" s="7" t="inlineStr">
        <is>
          <t>INDUS HIGHGROWN 18/100 DC TAG TBGS (MOLDOVA)</t>
        </is>
      </c>
      <c r="C1078" s="7" t="inlineStr">
        <is>
          <t>INDUS</t>
        </is>
      </c>
      <c r="D1078" s="7" t="n">
        <v>35840</v>
      </c>
      <c r="E1078" s="7" t="inlineStr">
        <is>
          <t>INDUS HIGHGROWN 100 DC TAG TBGS (MOLDOVA)</t>
        </is>
      </c>
      <c r="F1078" s="7" t="n">
        <v>18</v>
      </c>
      <c r="G1078" s="7" t="inlineStr">
        <is>
          <t>CTN</t>
        </is>
      </c>
      <c r="H1078" t="inlineStr">
        <is>
          <t>BLEND 786</t>
        </is>
      </c>
    </row>
    <row r="1079" ht="14.25" customHeight="1" s="5">
      <c r="A1079" s="7" t="n">
        <v>33960</v>
      </c>
      <c r="B1079" s="7" t="inlineStr">
        <is>
          <t>INDUS HIGHGROWN 18/25 DC TAG TBGS</t>
        </is>
      </c>
      <c r="C1079" s="7" t="inlineStr">
        <is>
          <t>INDUS</t>
        </is>
      </c>
      <c r="D1079" s="7" t="n">
        <v>34048</v>
      </c>
      <c r="E1079" s="7" t="inlineStr">
        <is>
          <t>INDUS HIGHGROWN 25 DC TAG TBG (RUSSIA)</t>
        </is>
      </c>
      <c r="F1079" s="7" t="n">
        <v>18</v>
      </c>
      <c r="G1079" s="7" t="inlineStr">
        <is>
          <t>CTN</t>
        </is>
      </c>
      <c r="H1079" t="inlineStr">
        <is>
          <t>BLEND R135</t>
        </is>
      </c>
    </row>
    <row r="1080" ht="14.25" customHeight="1" s="5">
      <c r="A1080" s="7" t="n">
        <v>35722</v>
      </c>
      <c r="B1080" s="7" t="inlineStr">
        <is>
          <t>INDUS HIGHGROWN 18/25 DC TAG TBGS (MOLDOVA)</t>
        </is>
      </c>
      <c r="C1080" s="7" t="inlineStr">
        <is>
          <t>INDUS</t>
        </is>
      </c>
      <c r="D1080" s="7" t="n">
        <v>35837</v>
      </c>
      <c r="E1080" s="7" t="inlineStr">
        <is>
          <t>INDUS HIGHGROWN 25 DC TAG TBG (MOLDOVA)</t>
        </is>
      </c>
      <c r="F1080" s="7" t="n">
        <v>18</v>
      </c>
      <c r="G1080" s="7" t="inlineStr">
        <is>
          <t>CTN</t>
        </is>
      </c>
      <c r="H1080" t="inlineStr">
        <is>
          <t>BLEND 786</t>
        </is>
      </c>
    </row>
    <row r="1081" ht="14.25" customHeight="1" s="5">
      <c r="A1081" s="7" t="n">
        <v>27503</v>
      </c>
      <c r="B1081" s="7" t="inlineStr">
        <is>
          <t>INDUS HIGHGROWN 24/25 DC TAG TBGS</t>
        </is>
      </c>
      <c r="C1081" s="7" t="inlineStr">
        <is>
          <t>INDUS</t>
        </is>
      </c>
      <c r="D1081" s="7" t="n">
        <v>27557</v>
      </c>
      <c r="E1081" s="7" t="inlineStr">
        <is>
          <t>INDUS HIGHGROWN 25 DC TAG TBGS</t>
        </is>
      </c>
      <c r="F1081" s="7" t="n">
        <v>24</v>
      </c>
      <c r="G1081" s="7" t="inlineStr">
        <is>
          <t>CTN</t>
        </is>
      </c>
      <c r="H1081" t="inlineStr">
        <is>
          <t>BLEND 786</t>
        </is>
      </c>
    </row>
    <row r="1082" ht="14.25" customHeight="1" s="5">
      <c r="A1082" s="7" t="n">
        <v>2187</v>
      </c>
      <c r="B1082" s="7" t="inlineStr">
        <is>
          <t>INDUS HIGHGROWN POUCH 24/100 DC HS TBGS</t>
        </is>
      </c>
      <c r="C1082" s="7" t="inlineStr">
        <is>
          <t>INDUS</t>
        </is>
      </c>
      <c r="D1082" s="7" t="n">
        <v>2188</v>
      </c>
      <c r="E1082" s="7" t="inlineStr">
        <is>
          <t>INDUS LOOSE TBGS HIGHGROWN IMA HS ENV TBGS</t>
        </is>
      </c>
      <c r="F1082" s="7" t="n">
        <v>2400</v>
      </c>
      <c r="G1082" s="7" t="inlineStr">
        <is>
          <t>TBGS</t>
        </is>
      </c>
      <c r="H1082">
        <f>#N/A</f>
        <v/>
      </c>
    </row>
    <row r="1083" ht="14.25" customHeight="1" s="5">
      <c r="A1083" s="7" t="n">
        <v>34032</v>
      </c>
      <c r="B1083" s="7" t="inlineStr">
        <is>
          <t>INDUS KREPKIY 18/100 DC TAG TBGS</t>
        </is>
      </c>
      <c r="C1083" s="7" t="inlineStr">
        <is>
          <t>INDUS</t>
        </is>
      </c>
      <c r="D1083" s="7" t="n">
        <v>34071</v>
      </c>
      <c r="E1083" s="7" t="inlineStr">
        <is>
          <t>INDUS KREPKIY 100 DC TAG TBGS</t>
        </is>
      </c>
      <c r="F1083" s="7" t="n">
        <v>18</v>
      </c>
      <c r="G1083" s="7" t="inlineStr">
        <is>
          <t>CTN</t>
        </is>
      </c>
      <c r="H1083" t="inlineStr">
        <is>
          <t>BLEND R135</t>
        </is>
      </c>
    </row>
    <row r="1084" ht="14.25" customHeight="1" s="5">
      <c r="A1084" s="7" t="n">
        <v>34032</v>
      </c>
      <c r="B1084" s="7" t="inlineStr">
        <is>
          <t>INDUS KREPKIY 18/100 DC TAG TBGS</t>
        </is>
      </c>
      <c r="C1084" s="7" t="inlineStr">
        <is>
          <t>INDUS</t>
        </is>
      </c>
      <c r="D1084" s="7" t="n">
        <v>34071</v>
      </c>
      <c r="E1084" s="7" t="inlineStr">
        <is>
          <t>INDUS KREPKIY 100 DC TAG TBGS</t>
        </is>
      </c>
      <c r="F1084" s="7" t="n">
        <v>18</v>
      </c>
      <c r="G1084" s="7" t="inlineStr">
        <is>
          <t>CTN</t>
        </is>
      </c>
      <c r="H1084" t="inlineStr">
        <is>
          <t>BLEND R135</t>
        </is>
      </c>
    </row>
    <row r="1085" ht="14.25" customHeight="1" s="5">
      <c r="A1085" s="7" t="n">
        <v>33721</v>
      </c>
      <c r="B1085" s="7" t="inlineStr">
        <is>
          <t>INDUS KREPKIY 18/25 DC TAG TBGS</t>
        </is>
      </c>
      <c r="C1085" s="7" t="inlineStr">
        <is>
          <t>INDUS</t>
        </is>
      </c>
      <c r="D1085" s="7" t="n">
        <v>33769</v>
      </c>
      <c r="E1085" s="7" t="inlineStr">
        <is>
          <t>INDUS KREPKIY 25 DC TAG TBGS</t>
        </is>
      </c>
      <c r="F1085" s="7" t="n">
        <v>18</v>
      </c>
      <c r="G1085" s="7" t="inlineStr">
        <is>
          <t>CTN</t>
        </is>
      </c>
      <c r="H1085" t="inlineStr">
        <is>
          <t>BLEND R135</t>
        </is>
      </c>
    </row>
    <row r="1086" ht="14.25" customHeight="1" s="5">
      <c r="A1086" s="7" t="n">
        <v>32678</v>
      </c>
      <c r="B1086" s="7" t="inlineStr">
        <is>
          <t>INDUS LEMON 18/25 DC TAG TBGS</t>
        </is>
      </c>
      <c r="C1086" s="7" t="inlineStr">
        <is>
          <t>INDUS</t>
        </is>
      </c>
      <c r="D1086" s="7" t="n">
        <v>32730</v>
      </c>
      <c r="E1086" s="7" t="inlineStr">
        <is>
          <t>INDUS LEMON 25 DC TAG TBGS</t>
        </is>
      </c>
      <c r="F1086" s="7" t="n">
        <v>18</v>
      </c>
      <c r="G1086" s="7" t="inlineStr">
        <is>
          <t>CTN</t>
        </is>
      </c>
      <c r="H1086" t="inlineStr">
        <is>
          <t>BLEND BLACK TEA LEMON TB - RUS</t>
        </is>
      </c>
    </row>
    <row r="1087" ht="14.25" customHeight="1" s="5">
      <c r="A1087" s="7" t="n">
        <v>26216</v>
      </c>
      <c r="B1087" s="7" t="inlineStr">
        <is>
          <t>INDUS LEMON 24/25 DC ENV TBGS</t>
        </is>
      </c>
      <c r="C1087" s="7" t="inlineStr">
        <is>
          <t>INDUS</t>
        </is>
      </c>
      <c r="D1087" s="7" t="n">
        <v>26220</v>
      </c>
      <c r="E1087" s="7" t="inlineStr">
        <is>
          <t>INDUS LEMON 25 DC ENV TBGS</t>
        </is>
      </c>
      <c r="F1087" s="7" t="n">
        <v>24</v>
      </c>
      <c r="G1087" s="7" t="inlineStr">
        <is>
          <t>CTN</t>
        </is>
      </c>
      <c r="H1087" t="inlineStr">
        <is>
          <t>BLEND BLACK TEA LEMON TB</t>
        </is>
      </c>
    </row>
    <row r="1088" ht="14.25" customHeight="1" s="5">
      <c r="A1088" s="7" t="n">
        <v>32679</v>
      </c>
      <c r="B1088" s="7" t="inlineStr">
        <is>
          <t>INDUS MANGO &amp; STRAWBERRY 18/25 DC TAG TBGS</t>
        </is>
      </c>
      <c r="C1088" s="7" t="inlineStr">
        <is>
          <t>INDUS</t>
        </is>
      </c>
      <c r="D1088" s="7" t="n">
        <v>32731</v>
      </c>
      <c r="E1088" s="7" t="inlineStr">
        <is>
          <t>INDUS MANGO &amp; STRAWBERRY 25 DC TAG TBGS</t>
        </is>
      </c>
      <c r="F1088" s="7" t="n">
        <v>18</v>
      </c>
      <c r="G1088" s="7" t="inlineStr">
        <is>
          <t>CTN</t>
        </is>
      </c>
      <c r="H1088" t="inlineStr">
        <is>
          <t>BLEND BLACK TEA MANGO STRAWBERRY RFA TB</t>
        </is>
      </c>
    </row>
    <row r="1089" ht="14.25" customHeight="1" s="5">
      <c r="A1089" s="7" t="n">
        <v>26225</v>
      </c>
      <c r="B1089" s="7" t="inlineStr">
        <is>
          <t>INDUS MANGO 24/25 DC ENV TBGS</t>
        </is>
      </c>
      <c r="C1089" s="7" t="inlineStr">
        <is>
          <t>INDUS</t>
        </is>
      </c>
      <c r="D1089" s="7" t="n">
        <v>26226</v>
      </c>
      <c r="E1089" s="7" t="inlineStr">
        <is>
          <t>INDUS MANGO 25 DC ENV TBGS</t>
        </is>
      </c>
      <c r="F1089" s="7" t="n">
        <v>24</v>
      </c>
      <c r="G1089" s="7" t="inlineStr">
        <is>
          <t>CTN</t>
        </is>
      </c>
      <c r="H1089" t="inlineStr">
        <is>
          <t>BLEND AF BLACK TEA WITH MANGO TBGS</t>
        </is>
      </c>
    </row>
    <row r="1090" ht="14.25" customHeight="1" s="5">
      <c r="A1090" s="7" t="n">
        <v>2191</v>
      </c>
      <c r="B1090" s="7" t="inlineStr">
        <is>
          <t>INDUS MANGO 24/25 SC ENV TBGS WITH T-SHIRT</t>
        </is>
      </c>
      <c r="C1090" s="7" t="inlineStr">
        <is>
          <t>INDUS</t>
        </is>
      </c>
      <c r="D1090" s="7" t="n">
        <v>631</v>
      </c>
      <c r="E1090" s="7" t="inlineStr">
        <is>
          <t>INDUS MANGO 25 SC ENV TBGS</t>
        </is>
      </c>
      <c r="F1090" s="7" t="n">
        <v>24</v>
      </c>
      <c r="G1090" s="7" t="inlineStr">
        <is>
          <t>CTN</t>
        </is>
      </c>
      <c r="H1090">
        <f>#N/A</f>
        <v/>
      </c>
    </row>
    <row r="1091" ht="14.25" customHeight="1" s="5">
      <c r="A1091" s="7" t="n">
        <v>31083</v>
      </c>
      <c r="B1091" s="7" t="inlineStr">
        <is>
          <t>INDUS MINT 24/25 DC ENV TBGS</t>
        </is>
      </c>
      <c r="C1091" s="7" t="inlineStr">
        <is>
          <t>INDUS</t>
        </is>
      </c>
      <c r="D1091" s="7" t="n">
        <v>31091</v>
      </c>
      <c r="E1091" s="7" t="inlineStr">
        <is>
          <t>INDUS MINT 25 DC ENV TBGS</t>
        </is>
      </c>
      <c r="F1091" s="7" t="n">
        <v>24</v>
      </c>
      <c r="G1091" s="7" t="inlineStr">
        <is>
          <t>CTN</t>
        </is>
      </c>
      <c r="H1091" t="inlineStr">
        <is>
          <t>BLEND AF BLACK TEA MINT TBGS</t>
        </is>
      </c>
    </row>
    <row r="1092" ht="14.25" customHeight="1" s="5">
      <c r="A1092" s="7" t="n">
        <v>33075</v>
      </c>
      <c r="B1092" s="7" t="inlineStr">
        <is>
          <t>INDUS MINT 48/25 DC ENV TBGS</t>
        </is>
      </c>
      <c r="C1092" s="7" t="inlineStr">
        <is>
          <t>INDUS</t>
        </is>
      </c>
      <c r="D1092" s="7" t="n">
        <v>31091</v>
      </c>
      <c r="E1092" s="7" t="inlineStr">
        <is>
          <t>INDUS MINT 25 DC ENV TBGS</t>
        </is>
      </c>
      <c r="F1092" s="7" t="n">
        <v>48</v>
      </c>
      <c r="G1092" s="7" t="inlineStr">
        <is>
          <t>CTN</t>
        </is>
      </c>
      <c r="H1092" t="inlineStr">
        <is>
          <t>BLEND AF BLACK TEA MINT TBGS</t>
        </is>
      </c>
    </row>
    <row r="1093" ht="14.25" customHeight="1" s="5">
      <c r="A1093" s="7" t="n">
        <v>33097</v>
      </c>
      <c r="B1093" s="7" t="inlineStr">
        <is>
          <t>INDUS NASYSHENNYI 18/100 DC TAG TBGS</t>
        </is>
      </c>
      <c r="C1093" s="7" t="inlineStr">
        <is>
          <t>INDUS</t>
        </is>
      </c>
      <c r="D1093" s="7" t="n">
        <v>33109</v>
      </c>
      <c r="E1093" s="7" t="inlineStr">
        <is>
          <t>INDUS NASYSHENNYI 100 DC TAG TBGS</t>
        </is>
      </c>
      <c r="F1093" s="7" t="n">
        <v>18</v>
      </c>
      <c r="G1093" s="7" t="inlineStr">
        <is>
          <t>CTN</t>
        </is>
      </c>
      <c r="H1093" t="inlineStr">
        <is>
          <t>BLEND 786R</t>
        </is>
      </c>
    </row>
    <row r="1094" ht="14.25" customHeight="1" s="5">
      <c r="A1094" s="7" t="n">
        <v>26229</v>
      </c>
      <c r="B1094" s="7" t="inlineStr">
        <is>
          <t>INDUS ORANGE 24/25 DC ENV TBGS</t>
        </is>
      </c>
      <c r="C1094" s="7" t="inlineStr">
        <is>
          <t>INDUS</t>
        </is>
      </c>
      <c r="D1094" s="7" t="n">
        <v>26230</v>
      </c>
      <c r="E1094" s="7" t="inlineStr">
        <is>
          <t>INDUS ORANGE 25 DC ENV TBGS</t>
        </is>
      </c>
      <c r="F1094" s="7" t="n">
        <v>24</v>
      </c>
      <c r="G1094" s="7" t="inlineStr">
        <is>
          <t>CTN</t>
        </is>
      </c>
      <c r="H1094" t="inlineStr">
        <is>
          <t>BLEND AX-BLACK ORANGE TB</t>
        </is>
      </c>
    </row>
    <row r="1095" ht="14.25" customHeight="1" s="5">
      <c r="A1095" s="7" t="n">
        <v>2195</v>
      </c>
      <c r="B1095" s="7" t="inlineStr">
        <is>
          <t>INDUS ORANGE 24/25 SC ENV TBGS WITH T-SHIRT</t>
        </is>
      </c>
      <c r="C1095" s="7" t="inlineStr">
        <is>
          <t>INDUS</t>
        </is>
      </c>
      <c r="D1095" s="7" t="n">
        <v>641</v>
      </c>
      <c r="E1095" s="7" t="inlineStr">
        <is>
          <t>INDUS ORANGE 25 SC ENV TBGS</t>
        </is>
      </c>
      <c r="F1095" s="7" t="n">
        <v>24</v>
      </c>
      <c r="G1095" s="7" t="inlineStr">
        <is>
          <t>CTN</t>
        </is>
      </c>
      <c r="H1095">
        <f>#N/A</f>
        <v/>
      </c>
    </row>
    <row r="1096" ht="14.25" customHeight="1" s="5">
      <c r="A1096" s="7" t="n">
        <v>20319</v>
      </c>
      <c r="B1096" s="7" t="inlineStr">
        <is>
          <t>INDUS PINEAPPLE 24/25 SC ENV TBGS WITH SHOPPING BAG</t>
        </is>
      </c>
      <c r="C1096" s="7" t="inlineStr">
        <is>
          <t>INDUS</t>
        </is>
      </c>
      <c r="D1096" s="7" t="n">
        <v>646</v>
      </c>
      <c r="E1096" s="7" t="inlineStr">
        <is>
          <t>INDUS PINEAPPLE 25 SC ENV TBGS</t>
        </is>
      </c>
      <c r="F1096" s="7" t="n">
        <v>24</v>
      </c>
      <c r="G1096" s="7" t="inlineStr">
        <is>
          <t>CTN</t>
        </is>
      </c>
      <c r="H1096">
        <f>#N/A</f>
        <v/>
      </c>
    </row>
    <row r="1097" ht="14.25" customHeight="1" s="5">
      <c r="A1097" s="7" t="n">
        <v>2197</v>
      </c>
      <c r="B1097" s="7" t="inlineStr">
        <is>
          <t>INDUS PINEAPPLE 24/25 SC ENV TBGS WITH TSHIRT</t>
        </is>
      </c>
      <c r="C1097" s="7" t="inlineStr">
        <is>
          <t>INDUS</t>
        </is>
      </c>
      <c r="D1097" s="7" t="n">
        <v>646</v>
      </c>
      <c r="E1097" s="7" t="inlineStr">
        <is>
          <t>INDUS PINEAPPLE 25 SC ENV TBGS</t>
        </is>
      </c>
      <c r="F1097" s="7" t="n">
        <v>24</v>
      </c>
      <c r="G1097" s="7" t="inlineStr">
        <is>
          <t>CTN</t>
        </is>
      </c>
      <c r="H1097">
        <f>#N/A</f>
        <v/>
      </c>
    </row>
    <row r="1098" ht="14.25" customHeight="1" s="5">
      <c r="A1098" s="7" t="n">
        <v>2199</v>
      </c>
      <c r="B1098" s="7" t="inlineStr">
        <is>
          <t>INDUS SACHET 24 X 10 X 5 DC ENV TBGS</t>
        </is>
      </c>
      <c r="C1098" s="7" t="inlineStr">
        <is>
          <t>INDUS</t>
        </is>
      </c>
      <c r="D1098" s="7" t="n">
        <v>2200</v>
      </c>
      <c r="E1098" s="7" t="inlineStr">
        <is>
          <t>PCTN INDUS SACHET 24 X 10 X 5 DC ENV TBGS</t>
        </is>
      </c>
      <c r="F1098" s="7" t="n">
        <v>24</v>
      </c>
      <c r="G1098" s="7" t="inlineStr">
        <is>
          <t>CTN</t>
        </is>
      </c>
      <c r="H1098">
        <f>#N/A</f>
        <v/>
      </c>
    </row>
    <row r="1099" ht="14.25" customHeight="1" s="5">
      <c r="A1099" s="7" t="n">
        <v>2199</v>
      </c>
      <c r="B1099" s="7" t="inlineStr">
        <is>
          <t>INDUS SACHET 24 X 10 X 5 DC ENV TBGS</t>
        </is>
      </c>
      <c r="C1099" s="7" t="inlineStr">
        <is>
          <t>INDUS</t>
        </is>
      </c>
      <c r="D1099" s="7" t="n">
        <v>2203</v>
      </c>
      <c r="E1099" s="7" t="inlineStr">
        <is>
          <t>INDUS LOOSE TBGS DC ENV TBGS</t>
        </is>
      </c>
      <c r="F1099" s="7" t="n">
        <v>1200</v>
      </c>
      <c r="G1099" s="7" t="inlineStr">
        <is>
          <t>TBGS</t>
        </is>
      </c>
      <c r="H1099">
        <f>#N/A</f>
        <v/>
      </c>
    </row>
    <row r="1100" ht="14.25" customHeight="1" s="5">
      <c r="A1100" s="7" t="n">
        <v>31082</v>
      </c>
      <c r="B1100" s="7" t="inlineStr">
        <is>
          <t>INDUS STRAWBERRY 24/25 DC ENV TBGS</t>
        </is>
      </c>
      <c r="C1100" s="7" t="inlineStr">
        <is>
          <t>INDUS</t>
        </is>
      </c>
      <c r="D1100" s="7" t="n">
        <v>31090</v>
      </c>
      <c r="E1100" s="7" t="inlineStr">
        <is>
          <t>INDUS STRAWBERRY 25 DC ENV TBGS</t>
        </is>
      </c>
      <c r="F1100" s="7" t="n">
        <v>24</v>
      </c>
      <c r="G1100" s="7" t="inlineStr">
        <is>
          <t>CTN</t>
        </is>
      </c>
      <c r="H1100" t="inlineStr">
        <is>
          <t>BLEND STRAWBERRY TB</t>
        </is>
      </c>
    </row>
    <row r="1101" ht="14.25" customHeight="1" s="5">
      <c r="A1101" s="7" t="n">
        <v>33093</v>
      </c>
      <c r="B1101" s="7" t="inlineStr">
        <is>
          <t>INDUS STRAWBERRY 48/25 DC ENV TBGS</t>
        </is>
      </c>
      <c r="C1101" s="7" t="inlineStr">
        <is>
          <t>INDUS</t>
        </is>
      </c>
      <c r="D1101" s="7" t="n">
        <v>31090</v>
      </c>
      <c r="E1101" s="7" t="inlineStr">
        <is>
          <t>INDUS STRAWBERRY 25 DC ENV TBGS</t>
        </is>
      </c>
      <c r="F1101" s="7" t="n">
        <v>48</v>
      </c>
      <c r="G1101" s="7" t="inlineStr">
        <is>
          <t>CTN</t>
        </is>
      </c>
      <c r="H1101" t="inlineStr">
        <is>
          <t>BLEND STRAWBERRY TB</t>
        </is>
      </c>
    </row>
    <row r="1102" ht="14.25" customHeight="1" s="5">
      <c r="A1102" s="7" t="n">
        <v>26233</v>
      </c>
      <c r="B1102" s="7" t="inlineStr">
        <is>
          <t>INDUS TAMARIND 24/25 DC ENV TBGS</t>
        </is>
      </c>
      <c r="C1102" s="7" t="inlineStr">
        <is>
          <t>INDUS</t>
        </is>
      </c>
      <c r="D1102" s="7" t="n">
        <v>26234</v>
      </c>
      <c r="E1102" s="7" t="inlineStr">
        <is>
          <t>INDUS TAMARIND 25 DC ENV TBGS</t>
        </is>
      </c>
      <c r="F1102" s="7" t="n">
        <v>24</v>
      </c>
      <c r="G1102" s="7" t="inlineStr">
        <is>
          <t>CTN</t>
        </is>
      </c>
      <c r="H1102" t="inlineStr">
        <is>
          <t>BLEND BLACK TEA WITH TAMARIND FLAVOUR</t>
        </is>
      </c>
    </row>
    <row r="1103" ht="14.25" customHeight="1" s="5">
      <c r="A1103" s="7" t="n">
        <v>2206</v>
      </c>
      <c r="B1103" s="7" t="inlineStr">
        <is>
          <t>INDUS TAMARIND 24/25 SC ENV TBGS WITH TSHIRT</t>
        </is>
      </c>
      <c r="C1103" s="7" t="inlineStr">
        <is>
          <t>INDUS</t>
        </is>
      </c>
      <c r="D1103" s="7" t="n">
        <v>656</v>
      </c>
      <c r="E1103" s="7" t="inlineStr">
        <is>
          <t>INDUS TAMARIND 25 SC ENV TBGS</t>
        </is>
      </c>
      <c r="F1103" s="7" t="n">
        <v>24</v>
      </c>
      <c r="G1103" s="7" t="inlineStr">
        <is>
          <t>CTN</t>
        </is>
      </c>
      <c r="H1103">
        <f>#N/A</f>
        <v/>
      </c>
    </row>
    <row r="1104" ht="14.25" customHeight="1" s="5">
      <c r="A1104" s="7" t="n">
        <v>33756</v>
      </c>
      <c r="B1104" s="7" t="inlineStr">
        <is>
          <t>INDUS VYSOKOGORNYI 18/25 DC TAG TBGS</t>
        </is>
      </c>
      <c r="C1104" s="7" t="inlineStr">
        <is>
          <t>INDUS</t>
        </is>
      </c>
      <c r="D1104" s="7" t="n">
        <v>33767</v>
      </c>
      <c r="E1104" s="7" t="inlineStr">
        <is>
          <t>INDUS VYSOKOGORNYI 25 DC TAG TBGS</t>
        </is>
      </c>
      <c r="F1104" s="7" t="n">
        <v>18</v>
      </c>
      <c r="G1104" s="7" t="inlineStr">
        <is>
          <t>CTN</t>
        </is>
      </c>
      <c r="H1104" t="inlineStr">
        <is>
          <t>BLEND R135</t>
        </is>
      </c>
    </row>
    <row r="1105" ht="14.25" customHeight="1" s="5">
      <c r="A1105" s="7" t="n">
        <v>33095</v>
      </c>
      <c r="B1105" s="7" t="inlineStr">
        <is>
          <t>INDUS WATERMELON 48/25 DC ENV TBGS</t>
        </is>
      </c>
      <c r="C1105" s="7" t="inlineStr">
        <is>
          <t>INDUS</t>
        </is>
      </c>
      <c r="D1105" s="7" t="n">
        <v>33124</v>
      </c>
      <c r="E1105" s="7" t="inlineStr">
        <is>
          <t>INDUS WATERMELON 25 DC ENV TBGS</t>
        </is>
      </c>
      <c r="F1105" s="7" t="n">
        <v>48</v>
      </c>
      <c r="G1105" s="7" t="inlineStr">
        <is>
          <t>CTN</t>
        </is>
      </c>
      <c r="H1105" t="inlineStr">
        <is>
          <t>BLEND WATERMELON TB</t>
        </is>
      </c>
    </row>
    <row r="1106" ht="14.25" customHeight="1" s="5">
      <c r="A1106" s="7" t="n">
        <v>32677</v>
      </c>
      <c r="B1106" s="7" t="inlineStr">
        <is>
          <t>INDUS WILD BERRIES 18/25 DC TAG TBGS</t>
        </is>
      </c>
      <c r="C1106" s="7" t="inlineStr">
        <is>
          <t>INDUS</t>
        </is>
      </c>
      <c r="D1106" s="7" t="n">
        <v>32729</v>
      </c>
      <c r="E1106" s="7" t="inlineStr">
        <is>
          <t>INDUS WILD BERRIES 25 DC TAG TBGS</t>
        </is>
      </c>
      <c r="F1106" s="7" t="n">
        <v>18</v>
      </c>
      <c r="G1106" s="7" t="inlineStr">
        <is>
          <t>CTN</t>
        </is>
      </c>
      <c r="H1106" t="inlineStr">
        <is>
          <t>BLEND BLACK TEA FOREST FRUIT TB</t>
        </is>
      </c>
    </row>
    <row r="1107" ht="14.25" customHeight="1" s="5">
      <c r="A1107" s="7" t="n">
        <v>19064</v>
      </c>
      <c r="B1107" s="7" t="inlineStr">
        <is>
          <t>JAAGO 1000 GM Dust RJ1 (1 X 24 Kg)</t>
        </is>
      </c>
      <c r="C1107" s="7" t="inlineStr">
        <is>
          <t>JAAGO</t>
        </is>
      </c>
      <c r="D1107" s="7" t="n">
        <v>19111</v>
      </c>
      <c r="E1107" s="7" t="inlineStr">
        <is>
          <t>JAAGO 1000 GM Dust RJ1</t>
        </is>
      </c>
      <c r="F1107" s="7" t="n">
        <v>24</v>
      </c>
      <c r="G1107" s="7" t="inlineStr">
        <is>
          <t>POUCH</t>
        </is>
      </c>
      <c r="H1107" t="inlineStr">
        <is>
          <t>BLEND RJ1</t>
        </is>
      </c>
    </row>
    <row r="1108" ht="14.25" customHeight="1" s="5">
      <c r="A1108" s="7" t="n">
        <v>19065</v>
      </c>
      <c r="B1108" s="7" t="inlineStr">
        <is>
          <t>JAAGO 250 GM Dust CP Battery RJ1 (2 X 12 KG)</t>
        </is>
      </c>
      <c r="C1108" s="7" t="inlineStr">
        <is>
          <t>JAAGO</t>
        </is>
      </c>
      <c r="D1108" s="7" t="n">
        <v>19123</v>
      </c>
      <c r="E1108" s="7" t="inlineStr">
        <is>
          <t>JAAGO 250 GM Dust CP Battery RJ1</t>
        </is>
      </c>
      <c r="F1108" s="7" t="n">
        <v>100</v>
      </c>
      <c r="G1108" s="7" t="inlineStr">
        <is>
          <t>POUCH</t>
        </is>
      </c>
      <c r="H1108" t="inlineStr">
        <is>
          <t>BLEND RJ1</t>
        </is>
      </c>
    </row>
    <row r="1109" ht="14.25" customHeight="1" s="5">
      <c r="A1109" s="7" t="n">
        <v>19038</v>
      </c>
      <c r="B1109" s="7" t="inlineStr">
        <is>
          <t>JAAGO 250 GM Dust RJ1 (2 X 12 KG)</t>
        </is>
      </c>
      <c r="C1109" s="7" t="inlineStr">
        <is>
          <t>JAAGO</t>
        </is>
      </c>
      <c r="D1109" s="7" t="n">
        <v>19108</v>
      </c>
      <c r="E1109" s="7" t="inlineStr">
        <is>
          <t>JAAGO 250 GM Dust RJ1</t>
        </is>
      </c>
      <c r="F1109" s="7" t="n">
        <v>96</v>
      </c>
      <c r="G1109" s="7" t="inlineStr">
        <is>
          <t>POUCH</t>
        </is>
      </c>
      <c r="H1109" t="inlineStr">
        <is>
          <t>BLEND RJ1</t>
        </is>
      </c>
    </row>
    <row r="1110" ht="14.25" customHeight="1" s="5">
      <c r="A1110" s="7" t="n">
        <v>19188</v>
      </c>
      <c r="B1110" s="7" t="inlineStr">
        <is>
          <t>JAAGO 250 GM Dust RJ2 (2 X 12 KG)</t>
        </is>
      </c>
      <c r="C1110" s="7" t="inlineStr">
        <is>
          <t>JAAGO</t>
        </is>
      </c>
      <c r="D1110" s="7" t="n">
        <v>19186</v>
      </c>
      <c r="E1110" s="7" t="inlineStr">
        <is>
          <t>JAAGO 250 GM Dust RJ2</t>
        </is>
      </c>
      <c r="F1110" s="7" t="n">
        <v>96</v>
      </c>
      <c r="G1110" s="7" t="inlineStr">
        <is>
          <t>POUCH</t>
        </is>
      </c>
      <c r="H1110" t="inlineStr">
        <is>
          <t>BLEND RJ-2-JG</t>
        </is>
      </c>
    </row>
    <row r="1111" ht="14.25" customHeight="1" s="5">
      <c r="A1111" s="7" t="n">
        <v>19066</v>
      </c>
      <c r="B1111" s="7" t="inlineStr">
        <is>
          <t>JAAGO 250 GM Leaf CP Battery RJ1 (2 X 6 KG)</t>
        </is>
      </c>
      <c r="C1111" s="7" t="inlineStr">
        <is>
          <t>JAAGO</t>
        </is>
      </c>
      <c r="D1111" s="7" t="n">
        <v>19119</v>
      </c>
      <c r="E1111" s="7" t="inlineStr">
        <is>
          <t>JAAGO 250 GM Leaf CP Battery RJ1</t>
        </is>
      </c>
      <c r="F1111" s="7" t="n">
        <v>100</v>
      </c>
      <c r="G1111" s="7" t="inlineStr">
        <is>
          <t>POUCH</t>
        </is>
      </c>
      <c r="H1111" t="inlineStr">
        <is>
          <t>BLEND RJ1</t>
        </is>
      </c>
    </row>
    <row r="1112" ht="14.25" customHeight="1" s="5">
      <c r="A1112" s="7" t="n">
        <v>37109</v>
      </c>
      <c r="B1112" s="7" t="inlineStr">
        <is>
          <t>JAAGO DUST RJ-2-JG  [8 X 40 X 20 GM LAMINATE POUCH] CFC</t>
        </is>
      </c>
      <c r="C1112" s="7" t="inlineStr">
        <is>
          <t>JAAGO</t>
        </is>
      </c>
      <c r="D1112" s="7" t="n">
        <v>37108</v>
      </c>
      <c r="E1112" s="7" t="inlineStr">
        <is>
          <t>JAAGO DUST RJ-2-JG 20 GM POUCH</t>
        </is>
      </c>
      <c r="F1112" s="7" t="n">
        <v>320</v>
      </c>
      <c r="G1112" s="7" t="inlineStr">
        <is>
          <t>POUCH</t>
        </is>
      </c>
      <c r="H1112" t="inlineStr">
        <is>
          <t>BLEND RJ-2-JG</t>
        </is>
      </c>
    </row>
    <row r="1113" ht="14.25" customHeight="1" s="5">
      <c r="A1113" s="7" t="n">
        <v>21206</v>
      </c>
      <c r="B1113" s="7" t="inlineStr">
        <is>
          <t>JAAGO DUST RJ2 [(12 X 8 + 1 X 4) X 250 GM LAMINATE POUCH] PP BAG CP BT</t>
        </is>
      </c>
      <c r="C1113" s="7" t="inlineStr">
        <is>
          <t>JAAGO</t>
        </is>
      </c>
      <c r="D1113" s="7" t="n">
        <v>21208</v>
      </c>
      <c r="E1113" s="7" t="inlineStr">
        <is>
          <t>JAAGO 250 GM Dust RJ2 CP BT</t>
        </is>
      </c>
      <c r="F1113" s="7" t="n">
        <v>100</v>
      </c>
      <c r="G1113" s="7" t="inlineStr">
        <is>
          <t>POUCH</t>
        </is>
      </c>
      <c r="H1113" t="inlineStr">
        <is>
          <t>BLEND RJ-2-JG</t>
        </is>
      </c>
    </row>
    <row r="1114" ht="14.25" customHeight="1" s="5">
      <c r="A1114" s="7" t="n">
        <v>31378</v>
      </c>
      <c r="B1114" s="7" t="inlineStr">
        <is>
          <t>JAAGO DUST RJ2 [12 X 8 X 250 GM LAMINATE POUCH] PP BAG CP OFFER</t>
        </is>
      </c>
      <c r="C1114" s="7" t="inlineStr">
        <is>
          <t>JAAGO</t>
        </is>
      </c>
      <c r="D1114" s="7" t="n">
        <v>19186</v>
      </c>
      <c r="E1114" s="7" t="inlineStr">
        <is>
          <t>JAAGO 250 GM Dust RJ2</t>
        </is>
      </c>
      <c r="F1114" s="7" t="n">
        <v>96</v>
      </c>
      <c r="G1114" s="7" t="inlineStr">
        <is>
          <t>POUCH</t>
        </is>
      </c>
      <c r="H1114" t="inlineStr">
        <is>
          <t>BLEND RJ-2-JG</t>
        </is>
      </c>
    </row>
    <row r="1115" ht="14.25" customHeight="1" s="5">
      <c r="A1115" s="7" t="n">
        <v>20003</v>
      </c>
      <c r="B1115" s="7" t="inlineStr">
        <is>
          <t>JAAGO DUST RJ2 [18 X1KG LAMINATE POUCH] CFC</t>
        </is>
      </c>
      <c r="C1115" s="7" t="inlineStr">
        <is>
          <t>JAAGO</t>
        </is>
      </c>
      <c r="D1115" s="7" t="n">
        <v>20059</v>
      </c>
      <c r="E1115" s="7" t="inlineStr">
        <is>
          <t>JAAGO DUST RJ2 1 KG POUCH</t>
        </is>
      </c>
      <c r="F1115" s="7" t="n">
        <v>18</v>
      </c>
      <c r="G1115" s="7" t="inlineStr">
        <is>
          <t>POUCH</t>
        </is>
      </c>
      <c r="H1115" t="inlineStr">
        <is>
          <t>BLEND RJ-2-JG</t>
        </is>
      </c>
    </row>
    <row r="1116" ht="14.25" customHeight="1" s="5">
      <c r="A1116" s="7" t="n">
        <v>22079</v>
      </c>
      <c r="B1116" s="7" t="inlineStr">
        <is>
          <t>JAAGO DUST RJ2 [24 X 1 KG LAMINATE POUCH] CFC - INST</t>
        </is>
      </c>
      <c r="C1116" s="7" t="inlineStr">
        <is>
          <t>JAAGO</t>
        </is>
      </c>
      <c r="D1116" s="7" t="n">
        <v>20059</v>
      </c>
      <c r="E1116" s="7" t="inlineStr">
        <is>
          <t>JAAGO DUST RJ2 1 KG POUCH</t>
        </is>
      </c>
      <c r="F1116" s="7" t="n">
        <v>24</v>
      </c>
      <c r="G1116" s="7" t="inlineStr">
        <is>
          <t>POUCH</t>
        </is>
      </c>
      <c r="H1116" t="inlineStr">
        <is>
          <t>BLEND RJ-2-JG</t>
        </is>
      </c>
    </row>
    <row r="1117" ht="14.25" customHeight="1" s="5">
      <c r="A1117" s="7" t="n">
        <v>31377</v>
      </c>
      <c r="B1117" s="7" t="inlineStr">
        <is>
          <t>JAAGO DUST RJ2 [24 X 1 KG LAMINATE POUCH] CFC CP OFFER</t>
        </is>
      </c>
      <c r="C1117" s="7" t="inlineStr">
        <is>
          <t>JAAGO</t>
        </is>
      </c>
      <c r="D1117" s="7" t="n">
        <v>20059</v>
      </c>
      <c r="E1117" s="7" t="inlineStr">
        <is>
          <t>JAAGO DUST RJ2 1 KG POUCH</t>
        </is>
      </c>
      <c r="F1117" s="7" t="n">
        <v>24</v>
      </c>
      <c r="G1117" s="7" t="inlineStr">
        <is>
          <t>POUCH</t>
        </is>
      </c>
      <c r="H1117" t="inlineStr">
        <is>
          <t>BLEND RJ-2-JG</t>
        </is>
      </c>
    </row>
    <row r="1118" ht="14.25" customHeight="1" s="5">
      <c r="A1118" s="7" t="n">
        <v>32924</v>
      </c>
      <c r="B1118" s="7" t="inlineStr">
        <is>
          <t>JAAGO DUST TEA TVN INST PACK STD-TV (NEW) [12 X 1 KG LAMINATE POUCH] CFC</t>
        </is>
      </c>
      <c r="C1118" s="7" t="inlineStr">
        <is>
          <t>JAAGO</t>
        </is>
      </c>
      <c r="D1118" s="7" t="n">
        <v>32922</v>
      </c>
      <c r="E1118" s="7" t="inlineStr">
        <is>
          <t>JAAGO DUST TEA TVN INST PACK STD-TV (NEW) 1 KG POUCH</t>
        </is>
      </c>
      <c r="F1118" s="7" t="n">
        <v>12</v>
      </c>
      <c r="G1118" s="7" t="inlineStr">
        <is>
          <t>POUCH</t>
        </is>
      </c>
      <c r="H1118" t="inlineStr">
        <is>
          <t>BLEND STD-TV (NEW)</t>
        </is>
      </c>
    </row>
    <row r="1119" ht="14.25" customHeight="1" s="5">
      <c r="A1119" s="7" t="n">
        <v>33917</v>
      </c>
      <c r="B1119" s="7" t="inlineStr">
        <is>
          <t>JAAGO DUST TEA TVN INST PACK STD-TVNEW [12 X 1 KG LAMINATE POUCH] CFC</t>
        </is>
      </c>
      <c r="C1119" s="7" t="inlineStr">
        <is>
          <t>JAAGO</t>
        </is>
      </c>
      <c r="D1119" s="7" t="n">
        <v>32922</v>
      </c>
      <c r="E1119" s="7" t="inlineStr">
        <is>
          <t>JAAGO DUST TEA TVN INST PACK STD-TV (NEW) 1 KG POUCH</t>
        </is>
      </c>
      <c r="F1119" s="7" t="n">
        <v>12</v>
      </c>
      <c r="G1119" s="7" t="inlineStr">
        <is>
          <t>POUCH</t>
        </is>
      </c>
      <c r="H1119" t="inlineStr">
        <is>
          <t>BLEND STD-TV (NEW)</t>
        </is>
      </c>
    </row>
    <row r="1120" ht="14.25" customHeight="1" s="5">
      <c r="A1120" s="7" t="n">
        <v>33176</v>
      </c>
      <c r="B1120" s="7" t="inlineStr">
        <is>
          <t>JAAGO DUST TV (NEW) [12 X 10 X 200 GM LAMINATE POUCH] PP BAG</t>
        </is>
      </c>
      <c r="C1120" s="7" t="inlineStr">
        <is>
          <t>JAAGO</t>
        </is>
      </c>
      <c r="D1120" s="7" t="n">
        <v>33174</v>
      </c>
      <c r="E1120" s="7" t="inlineStr">
        <is>
          <t>JAAGO DUST TV (NEW) 200 GM POUCH</t>
        </is>
      </c>
      <c r="F1120" s="7" t="n">
        <v>120</v>
      </c>
      <c r="G1120" s="7" t="inlineStr">
        <is>
          <t>POUCH</t>
        </is>
      </c>
      <c r="H1120" t="inlineStr">
        <is>
          <t>BLEND STD-TV (NEW)</t>
        </is>
      </c>
    </row>
    <row r="1121" ht="14.25" customHeight="1" s="5">
      <c r="A1121" s="7" t="n">
        <v>33175</v>
      </c>
      <c r="B1121" s="7" t="inlineStr">
        <is>
          <t>JAAGO DUST TV (NEW) [12 X 8 X 250 GM LAMINATE POUCH] PP BAG</t>
        </is>
      </c>
      <c r="C1121" s="7" t="inlineStr">
        <is>
          <t>JAAGO</t>
        </is>
      </c>
      <c r="D1121" s="7" t="n">
        <v>33173</v>
      </c>
      <c r="E1121" s="7" t="inlineStr">
        <is>
          <t>JAAGO DUST TV (NEW) 250 GM POUCH</t>
        </is>
      </c>
      <c r="F1121" s="7" t="n">
        <v>96</v>
      </c>
      <c r="G1121" s="7" t="inlineStr">
        <is>
          <t>POUCH</t>
        </is>
      </c>
      <c r="H1121" t="inlineStr">
        <is>
          <t>BLEND STD-TV (NEW)</t>
        </is>
      </c>
    </row>
    <row r="1122" ht="14.25" customHeight="1" s="5">
      <c r="A1122" s="7" t="n">
        <v>21205</v>
      </c>
      <c r="B1122" s="7" t="inlineStr">
        <is>
          <t>JAAGO LEAF RG(S+) [(12 X 8 + 1 X 4) X 250 GM LAMINATE POUCH] PP BAG CP BT</t>
        </is>
      </c>
      <c r="C1122" s="7" t="inlineStr">
        <is>
          <t>JAAGO</t>
        </is>
      </c>
      <c r="D1122" s="7" t="n">
        <v>21207</v>
      </c>
      <c r="E1122" s="7" t="inlineStr">
        <is>
          <t>JAAGO 250 GM Leaf RG(S+) CP BT</t>
        </is>
      </c>
      <c r="F1122" s="7" t="n">
        <v>100</v>
      </c>
      <c r="G1122" s="7" t="inlineStr">
        <is>
          <t>POUCH</t>
        </is>
      </c>
      <c r="H1122" t="inlineStr">
        <is>
          <t>BLEND RG(S+)</t>
        </is>
      </c>
    </row>
    <row r="1123" ht="14.25" customHeight="1" s="5">
      <c r="A1123" s="7" t="n">
        <v>20985</v>
      </c>
      <c r="B1123" s="7" t="inlineStr">
        <is>
          <t>JAAGO LEAF RG(S+) [12 X 8 X 250 GM LAMINATE POUCH] PP BAG</t>
        </is>
      </c>
      <c r="C1123" s="7" t="inlineStr">
        <is>
          <t>JAAGO</t>
        </is>
      </c>
      <c r="D1123" s="7" t="n">
        <v>20983</v>
      </c>
      <c r="E1123" s="7" t="inlineStr">
        <is>
          <t>JAAGO 250 GM Leaf RG(S+)</t>
        </is>
      </c>
      <c r="F1123" s="7" t="n">
        <v>96</v>
      </c>
      <c r="G1123" s="7" t="inlineStr">
        <is>
          <t>POUCH</t>
        </is>
      </c>
      <c r="H1123" t="inlineStr">
        <is>
          <t>BLEND RG TRD SLP</t>
        </is>
      </c>
    </row>
    <row r="1124" ht="14.25" customHeight="1" s="5">
      <c r="A1124" s="7" t="n">
        <v>36079</v>
      </c>
      <c r="B1124" s="7" t="inlineStr">
        <is>
          <t>JAAGO LEAF RG(S+) [12 X 8 X 250 GM LAMINATE POUCH] PP BAG (V2)</t>
        </is>
      </c>
      <c r="C1124" s="7" t="inlineStr">
        <is>
          <t>JAAGO</t>
        </is>
      </c>
      <c r="D1124" s="7" t="n">
        <v>36159</v>
      </c>
      <c r="E1124" s="7" t="inlineStr">
        <is>
          <t>JAAGO 250 GM Leaf RG(S+) (V2)</t>
        </is>
      </c>
      <c r="F1124" s="7" t="n">
        <v>96</v>
      </c>
      <c r="G1124" s="7" t="inlineStr">
        <is>
          <t>POUCH</t>
        </is>
      </c>
      <c r="H1124" t="inlineStr">
        <is>
          <t>BLEND RG TRD CBE</t>
        </is>
      </c>
    </row>
    <row r="1125" ht="14.25" customHeight="1" s="5">
      <c r="A1125" s="7" t="n">
        <v>20986</v>
      </c>
      <c r="B1125" s="7" t="inlineStr">
        <is>
          <t>JAAGO LEAF RG(S+) [18 X 1 KG LAMINATE POUCH] CFC</t>
        </is>
      </c>
      <c r="C1125" s="7" t="inlineStr">
        <is>
          <t>JAAGO</t>
        </is>
      </c>
      <c r="D1125" s="7" t="n">
        <v>20984</v>
      </c>
      <c r="E1125" s="7" t="inlineStr">
        <is>
          <t>JAAGO LEAF RG(S+) 1 KG POUCH</t>
        </is>
      </c>
      <c r="F1125" s="7" t="n">
        <v>18</v>
      </c>
      <c r="G1125" s="7" t="inlineStr">
        <is>
          <t>POUCH</t>
        </is>
      </c>
      <c r="H1125" t="inlineStr">
        <is>
          <t>BLEND RG-(S)</t>
        </is>
      </c>
    </row>
    <row r="1126" ht="14.25" customHeight="1" s="5">
      <c r="A1126" s="7" t="n">
        <v>22080</v>
      </c>
      <c r="B1126" s="7" t="inlineStr">
        <is>
          <t>JAAGO LEAF RG(S+) [24 X 1 KG LAMINATE POUCH] CFC - INST</t>
        </is>
      </c>
      <c r="C1126" s="7" t="inlineStr">
        <is>
          <t>JAAGO</t>
        </is>
      </c>
      <c r="D1126" s="7" t="n">
        <v>20984</v>
      </c>
      <c r="E1126" s="7" t="inlineStr">
        <is>
          <t>JAAGO LEAF RG(S+) 1 KG POUCH</t>
        </is>
      </c>
      <c r="F1126" s="7" t="n">
        <v>24</v>
      </c>
      <c r="G1126" s="7" t="inlineStr">
        <is>
          <t>POUCH</t>
        </is>
      </c>
      <c r="H1126" t="inlineStr">
        <is>
          <t>BLEND RG-(S)</t>
        </is>
      </c>
    </row>
    <row r="1127" ht="14.25" customHeight="1" s="5">
      <c r="A1127" s="7" t="n">
        <v>26058</v>
      </c>
      <c r="B1127" s="7" t="inlineStr">
        <is>
          <t>JAAGO LEAF RL [24 X 10 X 100 GM LAMINATED POUCH] PP  BAG</t>
        </is>
      </c>
      <c r="C1127" s="7" t="inlineStr">
        <is>
          <t>JAAGO</t>
        </is>
      </c>
      <c r="D1127" s="7" t="n">
        <v>22451</v>
      </c>
      <c r="E1127" s="7" t="inlineStr">
        <is>
          <t>JAAGO 100 GM LEAF RL</t>
        </is>
      </c>
      <c r="F1127" s="7" t="n">
        <v>240</v>
      </c>
      <c r="G1127" s="7" t="inlineStr">
        <is>
          <t>POUCH</t>
        </is>
      </c>
      <c r="H1127" t="inlineStr">
        <is>
          <t>BLEND RL</t>
        </is>
      </c>
    </row>
    <row r="1128" ht="14.25" customHeight="1" s="5">
      <c r="A1128" s="7" t="n">
        <v>21690</v>
      </c>
      <c r="B1128" s="7" t="inlineStr">
        <is>
          <t>JAAGO LEAF RL [24 X 10 X 100 GM LAMINATED POUCH] PP BAG</t>
        </is>
      </c>
      <c r="C1128" s="7" t="inlineStr">
        <is>
          <t>JAAGO</t>
        </is>
      </c>
      <c r="D1128" s="7" t="n">
        <v>22451</v>
      </c>
      <c r="E1128" s="7" t="inlineStr">
        <is>
          <t>JAAGO 100 GM LEAF RL</t>
        </is>
      </c>
      <c r="F1128" s="7" t="n">
        <v>240</v>
      </c>
      <c r="G1128" s="7" t="inlineStr">
        <is>
          <t>POUCH</t>
        </is>
      </c>
      <c r="H1128" t="inlineStr">
        <is>
          <t>BLEND RL</t>
        </is>
      </c>
    </row>
    <row r="1129" ht="14.25" customHeight="1" s="5">
      <c r="A1129" s="7" t="n">
        <v>31813</v>
      </c>
      <c r="B1129" s="7" t="inlineStr">
        <is>
          <t>JAAGO MASALA LEAF [24 X 1 KG LAMINATE POUCH] CFC</t>
        </is>
      </c>
      <c r="C1129" s="7" t="inlineStr">
        <is>
          <t>JAAGO</t>
        </is>
      </c>
      <c r="D1129" s="7" t="n">
        <v>31809</v>
      </c>
      <c r="E1129" s="7" t="inlineStr">
        <is>
          <t>JAAGO MASALA LEAF 1 KG POUCH</t>
        </is>
      </c>
      <c r="F1129" s="7" t="n">
        <v>24</v>
      </c>
      <c r="G1129" s="7" t="inlineStr">
        <is>
          <t>POUCH</t>
        </is>
      </c>
      <c r="H1129" t="inlineStr">
        <is>
          <t>BLEND JAAGO MASALA</t>
        </is>
      </c>
    </row>
    <row r="1130" ht="14.25" customHeight="1" s="5">
      <c r="A1130" s="7" t="n">
        <v>23700</v>
      </c>
      <c r="B1130" s="7" t="inlineStr">
        <is>
          <t>JAAGO SPECIAL LEAF RG-JAGO L [24 X 1 KG LAMINATE POUCH] CFC</t>
        </is>
      </c>
      <c r="C1130" s="7" t="inlineStr">
        <is>
          <t>JAAGO</t>
        </is>
      </c>
      <c r="D1130" s="7" t="n">
        <v>23698</v>
      </c>
      <c r="E1130" s="7" t="inlineStr">
        <is>
          <t>JAAGO LEAF RG-JAGO L 1 KG POUCH</t>
        </is>
      </c>
      <c r="F1130" s="7" t="n">
        <v>24</v>
      </c>
      <c r="G1130" s="7" t="inlineStr">
        <is>
          <t>POUCH</t>
        </is>
      </c>
      <c r="H1130" t="inlineStr">
        <is>
          <t>BLEND RG-Jago L</t>
        </is>
      </c>
    </row>
    <row r="1131" ht="14.25" customHeight="1" s="5">
      <c r="A1131" s="7" t="n">
        <v>28109</v>
      </c>
      <c r="B1131" s="7" t="inlineStr">
        <is>
          <t>JAAGO SPECIAL LEAF RG-JL [24 X 1 KG LAMINATE POUCH] CFC</t>
        </is>
      </c>
      <c r="C1131" s="7" t="inlineStr">
        <is>
          <t>JAAGO</t>
        </is>
      </c>
      <c r="D1131" s="7" t="n">
        <v>23698</v>
      </c>
      <c r="E1131" s="7" t="inlineStr">
        <is>
          <t>JAAGO LEAF RG-JAGO L 1 KG POUCH</t>
        </is>
      </c>
      <c r="F1131" s="7" t="n">
        <v>24</v>
      </c>
      <c r="G1131" s="7" t="inlineStr">
        <is>
          <t>POUCH</t>
        </is>
      </c>
      <c r="H1131" t="inlineStr">
        <is>
          <t>BLEND RG-Jago L</t>
        </is>
      </c>
    </row>
    <row r="1132" ht="14.25" customHeight="1" s="5">
      <c r="A1132" s="7" t="n">
        <v>28514</v>
      </c>
      <c r="B1132" s="7" t="inlineStr">
        <is>
          <t>JAAGO SPECIAL LEAF RG-JL [24 X 1 KG LAMINATE POUCH] CFC (G)</t>
        </is>
      </c>
      <c r="C1132" s="7" t="inlineStr">
        <is>
          <t>JAAGO</t>
        </is>
      </c>
      <c r="D1132" s="7" t="n">
        <v>23698</v>
      </c>
      <c r="E1132" s="7" t="inlineStr">
        <is>
          <t>JAAGO LEAF RG-JAGO L 1 KG POUCH</t>
        </is>
      </c>
      <c r="F1132" s="7" t="n">
        <v>24</v>
      </c>
      <c r="G1132" s="7" t="inlineStr">
        <is>
          <t>POUCH</t>
        </is>
      </c>
      <c r="H1132" t="inlineStr">
        <is>
          <t>BLEND RG-Jago L</t>
        </is>
      </c>
    </row>
    <row r="1133" ht="14.25" customHeight="1" s="5">
      <c r="A1133" s="7" t="n">
        <v>31825</v>
      </c>
      <c r="B1133" s="7" t="inlineStr">
        <is>
          <t>JAAGO SPECIAL RG-JAGO L LEAF [24 X 1 KG LAMINATE POUCH] CFC</t>
        </is>
      </c>
      <c r="C1133" s="7" t="inlineStr">
        <is>
          <t>JAAGO</t>
        </is>
      </c>
      <c r="D1133" s="7" t="n">
        <v>23698</v>
      </c>
      <c r="E1133" s="7" t="inlineStr">
        <is>
          <t>JAAGO LEAF RG-JAGO L 1 KG POUCH</t>
        </is>
      </c>
      <c r="F1133" s="7" t="n">
        <v>24</v>
      </c>
      <c r="G1133" s="7" t="inlineStr">
        <is>
          <t>POUCH</t>
        </is>
      </c>
      <c r="H1133" t="inlineStr">
        <is>
          <t>BLEND RG-Jago L</t>
        </is>
      </c>
    </row>
    <row r="1134" ht="14.25" customHeight="1" s="5">
      <c r="A1134" s="7" t="n">
        <v>33466</v>
      </c>
      <c r="B1134" s="7" t="inlineStr">
        <is>
          <t>JAAGO TVN DUST [12 X 2 X 1 KG LAMINATE POUCH] PP BAG</t>
        </is>
      </c>
      <c r="C1134" s="7" t="inlineStr">
        <is>
          <t>TRUEVALUE</t>
        </is>
      </c>
      <c r="D1134" s="7" t="n">
        <v>33463</v>
      </c>
      <c r="E1134" s="7" t="inlineStr">
        <is>
          <t>JAAGO TVN DUST 1 KG POUCH</t>
        </is>
      </c>
      <c r="F1134" s="7" t="n">
        <v>24</v>
      </c>
      <c r="G1134" s="7" t="inlineStr">
        <is>
          <t>POUCH</t>
        </is>
      </c>
      <c r="H1134" t="inlineStr">
        <is>
          <t>BLEND STD-TV (NEW)</t>
        </is>
      </c>
    </row>
    <row r="1135" ht="14.25" customHeight="1" s="5">
      <c r="A1135" s="7" t="n">
        <v>17795</v>
      </c>
      <c r="B1135" s="7" t="inlineStr">
        <is>
          <t>JADU TEA 12/100 DC ENV TBGS</t>
        </is>
      </c>
      <c r="C1135" s="7" t="inlineStr">
        <is>
          <t>JADU</t>
        </is>
      </c>
      <c r="D1135" s="7" t="n">
        <v>17908</v>
      </c>
      <c r="E1135" s="7" t="inlineStr">
        <is>
          <t>JADU TEA 100 DC ENV TBGS</t>
        </is>
      </c>
      <c r="F1135" s="7" t="n">
        <v>12</v>
      </c>
      <c r="G1135" s="7" t="inlineStr">
        <is>
          <t>CTN</t>
        </is>
      </c>
      <c r="H1135" t="inlineStr">
        <is>
          <t>BLEND A33</t>
        </is>
      </c>
    </row>
    <row r="1136" ht="14.25" customHeight="1" s="5">
      <c r="A1136" s="7" t="n">
        <v>2208</v>
      </c>
      <c r="B1136" s="7" t="inlineStr">
        <is>
          <t>JAY GOLD BOND 12/106 DC ENV TBGS WITH TSHIRT</t>
        </is>
      </c>
      <c r="C1136" s="7" t="inlineStr">
        <is>
          <t>GOLD BOND</t>
        </is>
      </c>
      <c r="D1136" s="7" t="n">
        <v>2209</v>
      </c>
      <c r="E1136" s="7" t="inlineStr">
        <is>
          <t>JAY GOLD BOND 106 DC ENV TBGS</t>
        </is>
      </c>
      <c r="F1136" s="7" t="n">
        <v>12</v>
      </c>
      <c r="G1136" s="7" t="inlineStr">
        <is>
          <t>CTN</t>
        </is>
      </c>
      <c r="H1136" t="inlineStr">
        <is>
          <t>BLEND A33</t>
        </is>
      </c>
    </row>
    <row r="1137" ht="14.25" customHeight="1" s="5">
      <c r="A1137" s="7" t="n">
        <v>23259</v>
      </c>
      <c r="B1137" s="7" t="inlineStr">
        <is>
          <t>JAY GOLD BOND COCKTAIL 24/25 DC ENV TBGS</t>
        </is>
      </c>
      <c r="C1137" s="7" t="inlineStr">
        <is>
          <t>JAY GOLD BOND</t>
        </is>
      </c>
      <c r="D1137" s="7" t="n">
        <v>23260</v>
      </c>
      <c r="E1137" s="7" t="inlineStr">
        <is>
          <t>JAY GOLD BOND COCKTAIL 25 DC ENV TBGS</t>
        </is>
      </c>
      <c r="F1137" s="7" t="n">
        <v>24</v>
      </c>
      <c r="G1137" s="7" t="inlineStr">
        <is>
          <t>CTN</t>
        </is>
      </c>
      <c r="H1137" t="inlineStr">
        <is>
          <t>BLEND BLACK TEA COCKTAIL TBC</t>
        </is>
      </c>
    </row>
    <row r="1138" ht="14.25" customHeight="1" s="5">
      <c r="A1138" s="7" t="n">
        <v>660</v>
      </c>
      <c r="B1138" s="7" t="inlineStr">
        <is>
          <t>JAY GOLD BOND COCKTAIL 24/25 SC ENV TBGS</t>
        </is>
      </c>
      <c r="C1138" s="7" t="inlineStr">
        <is>
          <t>GOLD BOND</t>
        </is>
      </c>
      <c r="D1138" s="7" t="n">
        <v>661</v>
      </c>
      <c r="E1138" s="7" t="inlineStr">
        <is>
          <t>JAY GOLD BOND COCKTAIL 25 SC ENV TBGS</t>
        </is>
      </c>
      <c r="F1138" s="7" t="n">
        <v>24</v>
      </c>
      <c r="G1138" s="7" t="inlineStr">
        <is>
          <t>CTN</t>
        </is>
      </c>
      <c r="H1138">
        <f>#N/A</f>
        <v/>
      </c>
    </row>
    <row r="1139" ht="14.25" customHeight="1" s="5">
      <c r="A1139" s="7" t="n">
        <v>666</v>
      </c>
      <c r="B1139" s="7" t="inlineStr">
        <is>
          <t>JAY GOLD BOND COCKTAIL 24/25 SC ENV TBGS WITH TSHIRT</t>
        </is>
      </c>
      <c r="C1139" s="7" t="inlineStr">
        <is>
          <t>GOLD BOND</t>
        </is>
      </c>
      <c r="D1139" s="7" t="n">
        <v>661</v>
      </c>
      <c r="E1139" s="7" t="inlineStr">
        <is>
          <t>JAY GOLD BOND COCKTAIL 25 SC ENV TBGS</t>
        </is>
      </c>
      <c r="F1139" s="7" t="n">
        <v>24</v>
      </c>
      <c r="G1139" s="7" t="inlineStr">
        <is>
          <t>CTN</t>
        </is>
      </c>
      <c r="H1139">
        <f>#N/A</f>
        <v/>
      </c>
    </row>
    <row r="1140" ht="14.25" customHeight="1" s="5">
      <c r="A1140" s="7" t="n">
        <v>2214</v>
      </c>
      <c r="B1140" s="7" t="inlineStr">
        <is>
          <t>JAY GOLD BOND CRANBERRTY APPLE 24/25 SC ENV TBGS</t>
        </is>
      </c>
      <c r="C1140" s="7" t="inlineStr">
        <is>
          <t>GOLD BOND</t>
        </is>
      </c>
      <c r="D1140" s="7" t="n">
        <v>2215</v>
      </c>
      <c r="E1140" s="7" t="inlineStr">
        <is>
          <t>JAY GOLD BOND CRANBERRTY APPLE 25 SC ENV TBGS</t>
        </is>
      </c>
      <c r="F1140" s="7" t="n">
        <v>24</v>
      </c>
      <c r="G1140" s="7" t="inlineStr">
        <is>
          <t>CTN</t>
        </is>
      </c>
      <c r="H1140">
        <f>#N/A</f>
        <v/>
      </c>
    </row>
    <row r="1141" ht="14.25" customHeight="1" s="5">
      <c r="A1141" s="7" t="n">
        <v>2219</v>
      </c>
      <c r="B1141" s="7" t="inlineStr">
        <is>
          <t>JAY GOLD BOND GINGER 24/25 DC ENV TBGS</t>
        </is>
      </c>
      <c r="C1141" s="7" t="inlineStr">
        <is>
          <t>GOLD BOND</t>
        </is>
      </c>
      <c r="D1141" s="7" t="n">
        <v>2220</v>
      </c>
      <c r="E1141" s="7" t="inlineStr">
        <is>
          <t>JAY GOLD BOND GINGER 25 DC ENV TBGS</t>
        </is>
      </c>
      <c r="F1141" s="7" t="n">
        <v>24</v>
      </c>
      <c r="G1141" s="7" t="inlineStr">
        <is>
          <t>CTN</t>
        </is>
      </c>
      <c r="H1141" t="inlineStr">
        <is>
          <t>BLEND AF BLACK TEA  GINGER TBGS</t>
        </is>
      </c>
    </row>
    <row r="1142" ht="14.25" customHeight="1" s="5">
      <c r="A1142" s="7" t="n">
        <v>2227</v>
      </c>
      <c r="B1142" s="7" t="inlineStr">
        <is>
          <t>JAY GOLD BOND GINGER 24/25 SC ENV TBGS WITH TSHIRT</t>
        </is>
      </c>
      <c r="C1142" s="7" t="inlineStr">
        <is>
          <t>GOLD BOND</t>
        </is>
      </c>
      <c r="D1142" s="7" t="n">
        <v>2225</v>
      </c>
      <c r="E1142" s="7" t="inlineStr">
        <is>
          <t>JAY GOLD BOND GINGER 25 SC ENV TBGS</t>
        </is>
      </c>
      <c r="F1142" s="7" t="n">
        <v>24</v>
      </c>
      <c r="G1142" s="7" t="inlineStr">
        <is>
          <t>CTN</t>
        </is>
      </c>
      <c r="H1142">
        <f>#N/A</f>
        <v/>
      </c>
    </row>
    <row r="1143" ht="14.25" customHeight="1" s="5">
      <c r="A1143" s="7" t="n">
        <v>669</v>
      </c>
      <c r="B1143" s="7" t="inlineStr">
        <is>
          <t>JAY GOLD BOND GREEN TEA WITH LEMON GRASS 24/25 SC ENV TBGS</t>
        </is>
      </c>
      <c r="C1143" s="7" t="inlineStr">
        <is>
          <t>GOLD BOND</t>
        </is>
      </c>
      <c r="D1143" s="7" t="n">
        <v>670</v>
      </c>
      <c r="E1143" s="7" t="inlineStr">
        <is>
          <t>JAY GOLD BOND GREEN TEA WITH LEMON GRASS 25 SC ENV TBGS</t>
        </is>
      </c>
      <c r="F1143" s="7" t="n">
        <v>24</v>
      </c>
      <c r="G1143" s="7" t="inlineStr">
        <is>
          <t>CTN</t>
        </is>
      </c>
      <c r="H1143">
        <f>#N/A</f>
        <v/>
      </c>
    </row>
    <row r="1144" ht="14.25" customHeight="1" s="5">
      <c r="A1144" s="7" t="n">
        <v>674</v>
      </c>
      <c r="B1144" s="7" t="inlineStr">
        <is>
          <t>JAY GOLD BOND HERBAL CRANBERRY APPLE 24/25 SC ENV TBGS</t>
        </is>
      </c>
      <c r="C1144" s="7" t="inlineStr">
        <is>
          <t>GOLD BOND</t>
        </is>
      </c>
      <c r="D1144" s="7" t="n">
        <v>675</v>
      </c>
      <c r="E1144" s="7" t="inlineStr">
        <is>
          <t>JAY GOLD BOND HERBAL CRANBERRY APPLE 25 SC ENV TBGS</t>
        </is>
      </c>
      <c r="F1144" s="7" t="n">
        <v>24</v>
      </c>
      <c r="G1144" s="7" t="inlineStr">
        <is>
          <t>CTN</t>
        </is>
      </c>
      <c r="H1144">
        <f>#N/A</f>
        <v/>
      </c>
    </row>
    <row r="1145" ht="14.25" customHeight="1" s="5">
      <c r="A1145" s="7" t="n">
        <v>2229</v>
      </c>
      <c r="B1145" s="7" t="inlineStr">
        <is>
          <t>JAY GOLD BOND LEMON 24/25 DC ENV TBGS</t>
        </is>
      </c>
      <c r="C1145" s="7" t="inlineStr">
        <is>
          <t>GOLD BOND</t>
        </is>
      </c>
      <c r="D1145" s="7" t="n">
        <v>2230</v>
      </c>
      <c r="E1145" s="7" t="inlineStr">
        <is>
          <t>JAY GOLD BOND LEMON 25 DC ENV TBGS</t>
        </is>
      </c>
      <c r="F1145" s="7" t="n">
        <v>24</v>
      </c>
      <c r="G1145" s="7" t="inlineStr">
        <is>
          <t>CTN</t>
        </is>
      </c>
      <c r="H1145" t="inlineStr">
        <is>
          <t>BLEND BLACK TEA LEMON TB</t>
        </is>
      </c>
    </row>
    <row r="1146" ht="14.25" customHeight="1" s="5">
      <c r="A1146" s="7" t="n">
        <v>2237</v>
      </c>
      <c r="B1146" s="7" t="inlineStr">
        <is>
          <t>JAY GOLD BOND LEMON 24/25 SC ENV TBGS WITH TSHIRT</t>
        </is>
      </c>
      <c r="C1146" s="7" t="inlineStr">
        <is>
          <t>GOLD BOND</t>
        </is>
      </c>
      <c r="D1146" s="7" t="n">
        <v>2235</v>
      </c>
      <c r="E1146" s="7" t="inlineStr">
        <is>
          <t>JAY GOLD BOND LEMON 25 SC ENV TBGS</t>
        </is>
      </c>
      <c r="F1146" s="7" t="n">
        <v>24</v>
      </c>
      <c r="G1146" s="7" t="inlineStr">
        <is>
          <t>CTN</t>
        </is>
      </c>
      <c r="H1146">
        <f>#N/A</f>
        <v/>
      </c>
    </row>
    <row r="1147" ht="14.25" customHeight="1" s="5">
      <c r="A1147" s="7" t="n">
        <v>2239</v>
      </c>
      <c r="B1147" s="7" t="inlineStr">
        <is>
          <t>JAY GOLD BOND MANGO 24/25 DC ENV TBGS</t>
        </is>
      </c>
      <c r="C1147" s="7" t="inlineStr">
        <is>
          <t>GOLD BOND</t>
        </is>
      </c>
      <c r="D1147" s="7" t="n">
        <v>2240</v>
      </c>
      <c r="E1147" s="7" t="inlineStr">
        <is>
          <t>JAY GOLD BOND MANGO 25 DC ENV TBGS</t>
        </is>
      </c>
      <c r="F1147" s="7" t="n">
        <v>24</v>
      </c>
      <c r="G1147" s="7" t="inlineStr">
        <is>
          <t>CTN</t>
        </is>
      </c>
      <c r="H1147" t="inlineStr">
        <is>
          <t>BLEND AF BLACK TEA WITH MANGO TBGS</t>
        </is>
      </c>
    </row>
    <row r="1148" ht="14.25" customHeight="1" s="5">
      <c r="A1148" s="7" t="n">
        <v>2247</v>
      </c>
      <c r="B1148" s="7" t="inlineStr">
        <is>
          <t>JAY GOLD BOND MANGO 24/25 SC ENV TBGS WITH TSHIRT</t>
        </is>
      </c>
      <c r="C1148" s="7" t="inlineStr">
        <is>
          <t>GOLD BOND</t>
        </is>
      </c>
      <c r="D1148" s="7" t="n">
        <v>2245</v>
      </c>
      <c r="E1148" s="7" t="inlineStr">
        <is>
          <t>JAY GOLD BOND MANGO 25 SC ENV TBGS</t>
        </is>
      </c>
      <c r="F1148" s="7" t="n">
        <v>24</v>
      </c>
      <c r="G1148" s="7" t="inlineStr">
        <is>
          <t>CTN</t>
        </is>
      </c>
      <c r="H1148">
        <f>#N/A</f>
        <v/>
      </c>
    </row>
    <row r="1149" ht="14.25" customHeight="1" s="5">
      <c r="A1149" s="7" t="n">
        <v>23271</v>
      </c>
      <c r="B1149" s="7" t="inlineStr">
        <is>
          <t>JAY GOLD BOND MINT 24/25 DC ENV TBGS</t>
        </is>
      </c>
      <c r="C1149" s="7" t="inlineStr">
        <is>
          <t>JAY GOLD BOND</t>
        </is>
      </c>
      <c r="D1149" s="7" t="n">
        <v>23272</v>
      </c>
      <c r="E1149" s="7" t="inlineStr">
        <is>
          <t>JAY GOLD BOND MINT 25 DC ENV TBGS</t>
        </is>
      </c>
      <c r="F1149" s="7" t="n">
        <v>24</v>
      </c>
      <c r="G1149" s="7" t="inlineStr">
        <is>
          <t>CTN</t>
        </is>
      </c>
      <c r="H1149" t="inlineStr">
        <is>
          <t>BLEND AF BLACK TEA MINT TBGS</t>
        </is>
      </c>
    </row>
    <row r="1150" ht="14.25" customHeight="1" s="5">
      <c r="A1150" s="7" t="n">
        <v>2254</v>
      </c>
      <c r="B1150" s="7" t="inlineStr">
        <is>
          <t>JAY GOLD BOND MINT 24/25 SC ENV TBGS WITH TSHIRT</t>
        </is>
      </c>
      <c r="C1150" s="7" t="inlineStr">
        <is>
          <t>GOLD BOND</t>
        </is>
      </c>
      <c r="D1150" s="7" t="n">
        <v>2250</v>
      </c>
      <c r="E1150" s="7" t="inlineStr">
        <is>
          <t>JAY GOLD BOND MINT 25 SC ENV TBGS</t>
        </is>
      </c>
      <c r="F1150" s="7" t="n">
        <v>24</v>
      </c>
      <c r="G1150" s="7" t="inlineStr">
        <is>
          <t>CTN</t>
        </is>
      </c>
      <c r="H1150">
        <f>#N/A</f>
        <v/>
      </c>
    </row>
    <row r="1151" ht="14.25" customHeight="1" s="5">
      <c r="A1151" s="7" t="n">
        <v>2256</v>
      </c>
      <c r="B1151" s="7" t="inlineStr">
        <is>
          <t>JAY GOLD BOND ORANGE 24/25 DC ENV TBGS</t>
        </is>
      </c>
      <c r="C1151" s="7" t="inlineStr">
        <is>
          <t>GOLD BOND</t>
        </is>
      </c>
      <c r="D1151" s="7" t="n">
        <v>2257</v>
      </c>
      <c r="E1151" s="7" t="inlineStr">
        <is>
          <t>JAY GOLD BOND ORANGE 25 DC ENV TBGS</t>
        </is>
      </c>
      <c r="F1151" s="7" t="n">
        <v>24</v>
      </c>
      <c r="G1151" s="7" t="inlineStr">
        <is>
          <t>CTN</t>
        </is>
      </c>
      <c r="H1151" t="inlineStr">
        <is>
          <t>BLEND AX-BLACK ORANGE TB</t>
        </is>
      </c>
    </row>
    <row r="1152" ht="14.25" customHeight="1" s="5">
      <c r="A1152" s="7" t="n">
        <v>2264</v>
      </c>
      <c r="B1152" s="7" t="inlineStr">
        <is>
          <t>JAY GOLD BOND ORANGE 24/25 SC ENV TBGS WITH TSHIRT</t>
        </is>
      </c>
      <c r="C1152" s="7" t="inlineStr">
        <is>
          <t>GOLD BOND</t>
        </is>
      </c>
      <c r="D1152" s="7" t="n">
        <v>2262</v>
      </c>
      <c r="E1152" s="7" t="inlineStr">
        <is>
          <t>JAY GOLD BOND ORANGE 25 SC ENV TBGS</t>
        </is>
      </c>
      <c r="F1152" s="7" t="n">
        <v>24</v>
      </c>
      <c r="G1152" s="7" t="inlineStr">
        <is>
          <t>CTN</t>
        </is>
      </c>
      <c r="H1152">
        <f>#N/A</f>
        <v/>
      </c>
    </row>
    <row r="1153" ht="14.25" customHeight="1" s="5">
      <c r="A1153" s="7" t="n">
        <v>2266</v>
      </c>
      <c r="B1153" s="7" t="inlineStr">
        <is>
          <t>JAY GOLD BOND PINEAPPLE 24/25 DC ENV TBGS</t>
        </is>
      </c>
      <c r="C1153" s="7" t="inlineStr">
        <is>
          <t>GOLD BOND</t>
        </is>
      </c>
      <c r="D1153" s="7" t="n">
        <v>2267</v>
      </c>
      <c r="E1153" s="7" t="inlineStr">
        <is>
          <t>JAY GOLD BOND PINEAPPLE 25 DC ENV TBGS</t>
        </is>
      </c>
      <c r="F1153" s="7" t="n">
        <v>24</v>
      </c>
      <c r="G1153" s="7" t="inlineStr">
        <is>
          <t>CTN</t>
        </is>
      </c>
      <c r="H1153" t="inlineStr">
        <is>
          <t>BLEND BLACK TEA PINEAPPLE TB</t>
        </is>
      </c>
    </row>
    <row r="1154" ht="14.25" customHeight="1" s="5">
      <c r="A1154" s="7" t="n">
        <v>680</v>
      </c>
      <c r="B1154" s="7" t="inlineStr">
        <is>
          <t>JAY GOLD BOND PINEAPPLE 24/25 SC ENV TBGS WITH TSHIRT</t>
        </is>
      </c>
      <c r="C1154" s="7" t="inlineStr">
        <is>
          <t>GOLD BOND</t>
        </is>
      </c>
      <c r="D1154" s="7" t="n">
        <v>2270</v>
      </c>
      <c r="E1154" s="7" t="inlineStr">
        <is>
          <t>JAY GOLD BOND PINEAPPLE 25 SC ENV TBGS</t>
        </is>
      </c>
      <c r="F1154" s="7" t="n">
        <v>24</v>
      </c>
      <c r="G1154" s="7" t="inlineStr">
        <is>
          <t>CTN</t>
        </is>
      </c>
      <c r="H1154">
        <f>#N/A</f>
        <v/>
      </c>
    </row>
    <row r="1155" ht="14.25" customHeight="1" s="5">
      <c r="A1155" s="7" t="n">
        <v>2271</v>
      </c>
      <c r="B1155" s="7" t="inlineStr">
        <is>
          <t>JAY GOLD BOND STRAWBERRY 24/25 DC ENV TBGS</t>
        </is>
      </c>
      <c r="C1155" s="7" t="inlineStr">
        <is>
          <t>GOLD BOND</t>
        </is>
      </c>
      <c r="D1155" s="7" t="n">
        <v>2272</v>
      </c>
      <c r="E1155" s="7" t="inlineStr">
        <is>
          <t>JAY GOLD BOND STRAWBERRY 25 DC ENV TBGS</t>
        </is>
      </c>
      <c r="F1155" s="7" t="n">
        <v>24</v>
      </c>
      <c r="G1155" s="7" t="inlineStr">
        <is>
          <t>CTN</t>
        </is>
      </c>
      <c r="H1155" t="inlineStr">
        <is>
          <t>BLEND STRAWBERRY TB</t>
        </is>
      </c>
    </row>
    <row r="1156" ht="14.25" customHeight="1" s="5">
      <c r="A1156" s="7" t="n">
        <v>2279</v>
      </c>
      <c r="B1156" s="7" t="inlineStr">
        <is>
          <t>JAY GOLD BOND STRAWBERRY 24/25 SC ENV TBGS WITH TSHIRT</t>
        </is>
      </c>
      <c r="C1156" s="7" t="inlineStr">
        <is>
          <t>GOLD BOND</t>
        </is>
      </c>
      <c r="D1156" s="7" t="n">
        <v>2277</v>
      </c>
      <c r="E1156" s="7" t="inlineStr">
        <is>
          <t>JAY GOLD BOND STRAWBERRY 25 SC ENV TBGS</t>
        </is>
      </c>
      <c r="F1156" s="7" t="n">
        <v>24</v>
      </c>
      <c r="G1156" s="7" t="inlineStr">
        <is>
          <t>CTN</t>
        </is>
      </c>
      <c r="H1156">
        <f>#N/A</f>
        <v/>
      </c>
    </row>
    <row r="1157" ht="14.25" customHeight="1" s="5">
      <c r="A1157" s="7" t="n">
        <v>2283</v>
      </c>
      <c r="B1157" s="7" t="inlineStr">
        <is>
          <t>JAY GOLD BOND TAMARIND 24/25 DC ENV TBGS</t>
        </is>
      </c>
      <c r="C1157" s="7" t="inlineStr">
        <is>
          <t>GOLD BOND</t>
        </is>
      </c>
      <c r="D1157" s="7" t="n">
        <v>2284</v>
      </c>
      <c r="E1157" s="7" t="inlineStr">
        <is>
          <t>JAY GOLD BOND TAMARIND 25 DC ENV TBGS</t>
        </is>
      </c>
      <c r="F1157" s="7" t="n">
        <v>24</v>
      </c>
      <c r="G1157" s="7" t="inlineStr">
        <is>
          <t>CTN</t>
        </is>
      </c>
      <c r="H1157" t="inlineStr">
        <is>
          <t>BLEND BLACK TEA WITH TAMARIND FLAVOUR</t>
        </is>
      </c>
    </row>
    <row r="1158" ht="14.25" customHeight="1" s="5">
      <c r="A1158" s="7" t="n">
        <v>3085</v>
      </c>
      <c r="B1158" s="7" t="inlineStr">
        <is>
          <t>JAY GOVINDAS HERBAL DRINK ROOIBOS 24/25 SC HS ENV TBGS</t>
        </is>
      </c>
      <c r="C1158" s="7" t="inlineStr">
        <is>
          <t>JAY GOVINDAS</t>
        </is>
      </c>
      <c r="D1158" s="7" t="n">
        <v>3086</v>
      </c>
      <c r="E1158" s="7" t="inlineStr">
        <is>
          <t>JAY GOVINDAS HERBAL DRINK ROOIBOS 25 SC HS ENV TBGS</t>
        </is>
      </c>
      <c r="F1158" s="7" t="n">
        <v>24</v>
      </c>
      <c r="G1158" s="7" t="inlineStr">
        <is>
          <t>CTN</t>
        </is>
      </c>
      <c r="H1158">
        <f>#N/A</f>
        <v/>
      </c>
    </row>
    <row r="1159" ht="14.25" customHeight="1" s="5">
      <c r="A1159" s="7" t="n">
        <v>20466</v>
      </c>
      <c r="B1159" s="7" t="inlineStr">
        <is>
          <t>JAY GV 12/100 DC ENV TBGS</t>
        </is>
      </c>
      <c r="C1159" s="7" t="inlineStr">
        <is>
          <t>GV</t>
        </is>
      </c>
      <c r="D1159" s="7" t="n">
        <v>2295</v>
      </c>
      <c r="E1159" s="7" t="inlineStr">
        <is>
          <t>JAY GV 100 DC ENV TBGS</t>
        </is>
      </c>
      <c r="F1159" s="7" t="n">
        <v>12</v>
      </c>
      <c r="G1159" s="7" t="inlineStr">
        <is>
          <t>CTN</t>
        </is>
      </c>
      <c r="H1159" t="inlineStr">
        <is>
          <t>BLEND A33</t>
        </is>
      </c>
    </row>
    <row r="1160" ht="14.25" customHeight="1" s="5">
      <c r="A1160" s="7" t="n">
        <v>2294</v>
      </c>
      <c r="B1160" s="7" t="inlineStr">
        <is>
          <t>JAY GV 12/100 DC ENV TBGS - NOTEBOOK &amp; WRITING PAD</t>
        </is>
      </c>
      <c r="C1160" s="7" t="inlineStr">
        <is>
          <t>GV</t>
        </is>
      </c>
      <c r="D1160" s="7" t="n">
        <v>2295</v>
      </c>
      <c r="E1160" s="7" t="inlineStr">
        <is>
          <t>JAY GV 100 DC ENV TBGS</t>
        </is>
      </c>
      <c r="F1160" s="7" t="n">
        <v>12</v>
      </c>
      <c r="G1160" s="7" t="inlineStr">
        <is>
          <t>CTN</t>
        </is>
      </c>
      <c r="H1160" t="inlineStr">
        <is>
          <t>BLEND A33</t>
        </is>
      </c>
    </row>
    <row r="1161" ht="14.25" customHeight="1" s="5">
      <c r="A1161" s="7" t="n">
        <v>2294</v>
      </c>
      <c r="B1161" s="7" t="inlineStr">
        <is>
          <t>JAY GV 12/100 DC ENV TBGS - NOTEBOOK &amp; WRITING PAD</t>
        </is>
      </c>
      <c r="C1161" s="7" t="inlineStr">
        <is>
          <t>GV</t>
        </is>
      </c>
      <c r="D1161" s="7" t="n">
        <v>2295</v>
      </c>
      <c r="E1161" s="7" t="inlineStr">
        <is>
          <t>JAY GV 100 DC ENV TBGS</t>
        </is>
      </c>
      <c r="F1161" s="7" t="n">
        <v>12</v>
      </c>
      <c r="G1161" s="7" t="inlineStr">
        <is>
          <t>CTN</t>
        </is>
      </c>
      <c r="H1161" t="inlineStr">
        <is>
          <t>BLEND A33</t>
        </is>
      </c>
    </row>
    <row r="1162" ht="14.25" customHeight="1" s="5">
      <c r="A1162" s="7" t="n">
        <v>20512</v>
      </c>
      <c r="B1162" s="7" t="inlineStr">
        <is>
          <t>JAY GV 12/100 DC ENV TBGS WITH SHOPPING BAG</t>
        </is>
      </c>
      <c r="C1162" s="7" t="inlineStr">
        <is>
          <t>JAY GOLDEN VICTORIA</t>
        </is>
      </c>
      <c r="D1162" s="7" t="n">
        <v>2295</v>
      </c>
      <c r="E1162" s="7" t="inlineStr">
        <is>
          <t>JAY GV 100 DC ENV TBGS</t>
        </is>
      </c>
      <c r="F1162" s="7" t="n">
        <v>12</v>
      </c>
      <c r="G1162" s="7" t="inlineStr">
        <is>
          <t>CTN</t>
        </is>
      </c>
      <c r="H1162" t="inlineStr">
        <is>
          <t>BLEND A33</t>
        </is>
      </c>
    </row>
    <row r="1163" ht="14.25" customHeight="1" s="5">
      <c r="A1163" s="7" t="n">
        <v>2296</v>
      </c>
      <c r="B1163" s="7" t="inlineStr">
        <is>
          <t>JAY GV 12/100 DC ENV TBGS WITH T-SHIRT</t>
        </is>
      </c>
      <c r="C1163" s="7" t="inlineStr">
        <is>
          <t>GV</t>
        </is>
      </c>
      <c r="D1163" s="7" t="n">
        <v>2295</v>
      </c>
      <c r="E1163" s="7" t="inlineStr">
        <is>
          <t>JAY GV 100 DC ENV TBGS</t>
        </is>
      </c>
      <c r="F1163" s="7" t="n">
        <v>12</v>
      </c>
      <c r="G1163" s="7" t="inlineStr">
        <is>
          <t>CTN</t>
        </is>
      </c>
      <c r="H1163" t="inlineStr">
        <is>
          <t>BLEND A33</t>
        </is>
      </c>
    </row>
    <row r="1164" ht="14.25" customHeight="1" s="5">
      <c r="A1164" s="7" t="n">
        <v>2301</v>
      </c>
      <c r="B1164" s="7" t="inlineStr">
        <is>
          <t>JAY GV 12/100 DC ENV TBGS WITH TSHIRT (MALI)</t>
        </is>
      </c>
      <c r="C1164" s="7" t="inlineStr">
        <is>
          <t>GV</t>
        </is>
      </c>
      <c r="D1164" s="7" t="n">
        <v>2295</v>
      </c>
      <c r="E1164" s="7" t="inlineStr">
        <is>
          <t>JAY GV 100 DC ENV TBGS</t>
        </is>
      </c>
      <c r="F1164" s="7" t="n">
        <v>12</v>
      </c>
      <c r="G1164" s="7" t="inlineStr">
        <is>
          <t>CTN</t>
        </is>
      </c>
      <c r="H1164" t="inlineStr">
        <is>
          <t>BLEND A33</t>
        </is>
      </c>
    </row>
    <row r="1165" ht="14.25" customHeight="1" s="5">
      <c r="A1165" s="7" t="n">
        <v>2301</v>
      </c>
      <c r="B1165" s="7" t="inlineStr">
        <is>
          <t>JAY GV 12/100 DC ENV TBGS WITH TSHIRT (MALI)</t>
        </is>
      </c>
      <c r="C1165" s="7" t="inlineStr">
        <is>
          <t>GV</t>
        </is>
      </c>
      <c r="D1165" s="7" t="n">
        <v>2295</v>
      </c>
      <c r="E1165" s="7" t="inlineStr">
        <is>
          <t>JAY GV 100 DC ENV TBGS</t>
        </is>
      </c>
      <c r="F1165" s="7" t="n">
        <v>12</v>
      </c>
      <c r="G1165" s="7" t="inlineStr">
        <is>
          <t>CTN</t>
        </is>
      </c>
      <c r="H1165" t="inlineStr">
        <is>
          <t>BLEND A33</t>
        </is>
      </c>
    </row>
    <row r="1166" ht="14.25" customHeight="1" s="5">
      <c r="A1166" s="7" t="n">
        <v>22641</v>
      </c>
      <c r="B1166" s="7" t="inlineStr">
        <is>
          <t>JAY GV 24/25 DC ENV TBGS</t>
        </is>
      </c>
      <c r="C1166" s="7" t="inlineStr">
        <is>
          <t>GV</t>
        </is>
      </c>
      <c r="D1166" s="7" t="n">
        <v>2309</v>
      </c>
      <c r="E1166" s="7" t="inlineStr">
        <is>
          <t>JAY GV 25 DC ENV TBGS</t>
        </is>
      </c>
      <c r="F1166" s="7" t="n">
        <v>24</v>
      </c>
      <c r="G1166" s="7" t="inlineStr">
        <is>
          <t>CTN</t>
        </is>
      </c>
      <c r="H1166" t="inlineStr">
        <is>
          <t>BLEND A33</t>
        </is>
      </c>
    </row>
    <row r="1167" ht="14.25" customHeight="1" s="5">
      <c r="A1167" s="7" t="n">
        <v>34872</v>
      </c>
      <c r="B1167" s="7" t="inlineStr">
        <is>
          <t>JAY GV 24/25 DC ENV TBGS (v2)</t>
        </is>
      </c>
      <c r="C1167" s="7" t="inlineStr">
        <is>
          <t>GV</t>
        </is>
      </c>
      <c r="D1167" s="7" t="n">
        <v>2309</v>
      </c>
      <c r="E1167" s="7" t="inlineStr">
        <is>
          <t>JAY GV 25 DC ENV TBGS</t>
        </is>
      </c>
      <c r="F1167" s="7" t="n">
        <v>24</v>
      </c>
      <c r="G1167" s="7" t="inlineStr">
        <is>
          <t>CTN</t>
        </is>
      </c>
      <c r="H1167" t="inlineStr">
        <is>
          <t>BLEND A33</t>
        </is>
      </c>
    </row>
    <row r="1168" ht="14.25" customHeight="1" s="5">
      <c r="A1168" s="7" t="n">
        <v>2308</v>
      </c>
      <c r="B1168" s="7" t="inlineStr">
        <is>
          <t>JAY GV 24/25 DC ENV TBGS - NOTEBOOK &amp; WRITING PAD</t>
        </is>
      </c>
      <c r="C1168" s="7" t="inlineStr">
        <is>
          <t>GV</t>
        </is>
      </c>
      <c r="D1168" s="7" t="n">
        <v>2309</v>
      </c>
      <c r="E1168" s="7" t="inlineStr">
        <is>
          <t>JAY GV 25 DC ENV TBGS</t>
        </is>
      </c>
      <c r="F1168" s="7" t="n">
        <v>24</v>
      </c>
      <c r="G1168" s="7" t="inlineStr">
        <is>
          <t>CTN</t>
        </is>
      </c>
      <c r="H1168" t="inlineStr">
        <is>
          <t>BLEND A33</t>
        </is>
      </c>
    </row>
    <row r="1169" ht="14.25" customHeight="1" s="5">
      <c r="A1169" s="7" t="n">
        <v>19985</v>
      </c>
      <c r="B1169" s="7" t="inlineStr">
        <is>
          <t>JAY GV 24/25 DC ENV TBGS NOTEBOOK &amp; SHOPPING BAG</t>
        </is>
      </c>
      <c r="C1169" s="7" t="inlineStr">
        <is>
          <t>GV</t>
        </is>
      </c>
      <c r="D1169" s="7" t="n">
        <v>2309</v>
      </c>
      <c r="E1169" s="7" t="inlineStr">
        <is>
          <t>JAY GV 25 DC ENV TBGS</t>
        </is>
      </c>
      <c r="F1169" s="7" t="n">
        <v>24</v>
      </c>
      <c r="G1169" s="7" t="inlineStr">
        <is>
          <t>CTN</t>
        </is>
      </c>
      <c r="H1169" t="inlineStr">
        <is>
          <t>BLEND A33</t>
        </is>
      </c>
    </row>
    <row r="1170" ht="14.25" customHeight="1" s="5">
      <c r="A1170" s="7" t="n">
        <v>31018</v>
      </c>
      <c r="B1170" s="7" t="inlineStr">
        <is>
          <t>JAY GV 24/25 DC TAG TBGS</t>
        </is>
      </c>
      <c r="C1170" s="7" t="inlineStr">
        <is>
          <t>GV</t>
        </is>
      </c>
      <c r="D1170" s="7" t="n">
        <v>2340</v>
      </c>
      <c r="E1170" s="7" t="inlineStr">
        <is>
          <t>JAY GV 25 DC TAG TBGS</t>
        </is>
      </c>
      <c r="F1170" s="7" t="n">
        <v>24</v>
      </c>
      <c r="G1170" s="7" t="inlineStr">
        <is>
          <t>CTN</t>
        </is>
      </c>
      <c r="H1170" t="inlineStr">
        <is>
          <t>BLEND C 33</t>
        </is>
      </c>
    </row>
    <row r="1171" ht="14.25" customHeight="1" s="5">
      <c r="A1171" s="7" t="n">
        <v>20295</v>
      </c>
      <c r="B1171" s="7" t="inlineStr">
        <is>
          <t>JAY GV 24/50 DC ENV TBGS</t>
        </is>
      </c>
      <c r="C1171" s="7" t="inlineStr">
        <is>
          <t>GV</t>
        </is>
      </c>
      <c r="D1171" s="7" t="n">
        <v>2315</v>
      </c>
      <c r="E1171" s="7" t="inlineStr">
        <is>
          <t>JAY GV 50 DC ENV TBGS</t>
        </is>
      </c>
      <c r="F1171" s="7" t="n">
        <v>24</v>
      </c>
      <c r="G1171" s="7" t="inlineStr">
        <is>
          <t>CTN</t>
        </is>
      </c>
      <c r="H1171" t="inlineStr">
        <is>
          <t>BLEND A33</t>
        </is>
      </c>
    </row>
    <row r="1172" ht="14.25" customHeight="1" s="5">
      <c r="A1172" s="7" t="n">
        <v>2314</v>
      </c>
      <c r="B1172" s="7" t="inlineStr">
        <is>
          <t>JAY GV 24/50 DC ENV TBGS - NOTEBOOK &amp; WRITING PAD</t>
        </is>
      </c>
      <c r="C1172" s="7" t="inlineStr">
        <is>
          <t>GV</t>
        </is>
      </c>
      <c r="D1172" s="7" t="n">
        <v>2315</v>
      </c>
      <c r="E1172" s="7" t="inlineStr">
        <is>
          <t>JAY GV 50 DC ENV TBGS</t>
        </is>
      </c>
      <c r="F1172" s="7" t="n">
        <v>24</v>
      </c>
      <c r="G1172" s="7" t="inlineStr">
        <is>
          <t>CTN</t>
        </is>
      </c>
      <c r="H1172" t="inlineStr">
        <is>
          <t>BLEND A33</t>
        </is>
      </c>
    </row>
    <row r="1173" ht="14.25" customHeight="1" s="5">
      <c r="A1173" s="7" t="n">
        <v>2314</v>
      </c>
      <c r="B1173" s="7" t="inlineStr">
        <is>
          <t>JAY GV 24/50 DC ENV TBGS - NOTEBOOK &amp; WRITING PAD</t>
        </is>
      </c>
      <c r="C1173" s="7" t="inlineStr">
        <is>
          <t>GV</t>
        </is>
      </c>
      <c r="D1173" s="7" t="n">
        <v>2315</v>
      </c>
      <c r="E1173" s="7" t="inlineStr">
        <is>
          <t>JAY GV 50 DC ENV TBGS</t>
        </is>
      </c>
      <c r="F1173" s="7" t="n">
        <v>24</v>
      </c>
      <c r="G1173" s="7" t="inlineStr">
        <is>
          <t>CTN</t>
        </is>
      </c>
      <c r="H1173" t="inlineStr">
        <is>
          <t>BLEND A33</t>
        </is>
      </c>
    </row>
    <row r="1174" ht="14.25" customHeight="1" s="5">
      <c r="A1174" s="7" t="n">
        <v>19984</v>
      </c>
      <c r="B1174" s="7" t="inlineStr">
        <is>
          <t>JAY GV 24/50 DC ENV TBGS NOTEBOOK &amp; SHOPPING BAG</t>
        </is>
      </c>
      <c r="C1174" s="7" t="inlineStr">
        <is>
          <t>GV</t>
        </is>
      </c>
      <c r="D1174" s="7" t="n">
        <v>2315</v>
      </c>
      <c r="E1174" s="7" t="inlineStr">
        <is>
          <t>JAY GV 50 DC ENV TBGS</t>
        </is>
      </c>
      <c r="F1174" s="7" t="n">
        <v>24</v>
      </c>
      <c r="G1174" s="7" t="inlineStr">
        <is>
          <t>CTN</t>
        </is>
      </c>
      <c r="H1174" t="inlineStr">
        <is>
          <t>BLEND A33</t>
        </is>
      </c>
    </row>
    <row r="1175" ht="14.25" customHeight="1" s="5">
      <c r="A1175" s="7" t="n">
        <v>19678</v>
      </c>
      <c r="B1175" s="7" t="inlineStr">
        <is>
          <t>JAY GV 24/50 DC ENV TBGS WITH SHOPPING BAG</t>
        </is>
      </c>
      <c r="C1175" s="7" t="inlineStr">
        <is>
          <t>GV</t>
        </is>
      </c>
      <c r="D1175" s="7" t="n">
        <v>2315</v>
      </c>
      <c r="E1175" s="7" t="inlineStr">
        <is>
          <t>JAY GV 50 DC ENV TBGS</t>
        </is>
      </c>
      <c r="F1175" s="7" t="n">
        <v>24</v>
      </c>
      <c r="G1175" s="7" t="inlineStr">
        <is>
          <t>CTN</t>
        </is>
      </c>
      <c r="H1175" t="inlineStr">
        <is>
          <t>BLEND A33</t>
        </is>
      </c>
    </row>
    <row r="1176" ht="14.25" customHeight="1" s="5">
      <c r="A1176" s="7" t="n">
        <v>19678</v>
      </c>
      <c r="B1176" s="7" t="inlineStr">
        <is>
          <t>JAY GV 24/50 DC ENV TBGS WITH SHOPPING BAG</t>
        </is>
      </c>
      <c r="C1176" s="7" t="inlineStr">
        <is>
          <t>GV</t>
        </is>
      </c>
      <c r="D1176" s="7" t="n">
        <v>20295</v>
      </c>
      <c r="E1176" s="7" t="inlineStr">
        <is>
          <t>JAY GV 24/50 DC ENV TBGS</t>
        </is>
      </c>
      <c r="F1176" s="7" t="n">
        <v>1</v>
      </c>
      <c r="G1176" s="7" t="inlineStr">
        <is>
          <t>CFC</t>
        </is>
      </c>
      <c r="H1176">
        <f>#N/A</f>
        <v/>
      </c>
    </row>
    <row r="1177" ht="14.25" customHeight="1" s="5">
      <c r="A1177" s="7" t="n">
        <v>2316</v>
      </c>
      <c r="B1177" s="7" t="inlineStr">
        <is>
          <t>JAY GV 24/50 DC ENV TBGS WITH T-SHIRT</t>
        </is>
      </c>
      <c r="C1177" s="7" t="inlineStr">
        <is>
          <t>GV</t>
        </is>
      </c>
      <c r="D1177" s="7" t="n">
        <v>2315</v>
      </c>
      <c r="E1177" s="7" t="inlineStr">
        <is>
          <t>JAY GV 50 DC ENV TBGS</t>
        </is>
      </c>
      <c r="F1177" s="7" t="n">
        <v>24</v>
      </c>
      <c r="G1177" s="7" t="inlineStr">
        <is>
          <t>CTN</t>
        </is>
      </c>
      <c r="H1177" t="inlineStr">
        <is>
          <t>BLEND A33</t>
        </is>
      </c>
    </row>
    <row r="1178" ht="14.25" customHeight="1" s="5">
      <c r="A1178" s="7" t="n">
        <v>2321</v>
      </c>
      <c r="B1178" s="7" t="inlineStr">
        <is>
          <t>JAY GV 24/53 DC ENV TBGS WITH TSHIRT</t>
        </is>
      </c>
      <c r="C1178" s="7" t="inlineStr">
        <is>
          <t>GV</t>
        </is>
      </c>
      <c r="D1178" s="7" t="n">
        <v>2322</v>
      </c>
      <c r="E1178" s="7" t="inlineStr">
        <is>
          <t>JAY GV 53 DC ENV TBGS</t>
        </is>
      </c>
      <c r="F1178" s="7" t="n">
        <v>24</v>
      </c>
      <c r="G1178" s="7" t="inlineStr">
        <is>
          <t>CTN</t>
        </is>
      </c>
      <c r="H1178" t="inlineStr">
        <is>
          <t>BLEND A33</t>
        </is>
      </c>
    </row>
    <row r="1179" ht="14.25" customHeight="1" s="5">
      <c r="A1179" s="7" t="n">
        <v>2321</v>
      </c>
      <c r="B1179" s="7" t="inlineStr">
        <is>
          <t>JAY GV 24/53 DC ENV TBGS WITH TSHIRT</t>
        </is>
      </c>
      <c r="C1179" s="7" t="inlineStr">
        <is>
          <t>GV</t>
        </is>
      </c>
      <c r="D1179" s="7" t="n">
        <v>2322</v>
      </c>
      <c r="E1179" s="7" t="inlineStr">
        <is>
          <t>JAY GV 53 DC ENV TBGS</t>
        </is>
      </c>
      <c r="F1179" s="7" t="n">
        <v>24</v>
      </c>
      <c r="G1179" s="7" t="inlineStr">
        <is>
          <t>CTN</t>
        </is>
      </c>
      <c r="H1179" t="inlineStr">
        <is>
          <t>BLEND A33</t>
        </is>
      </c>
    </row>
    <row r="1180" ht="14.25" customHeight="1" s="5">
      <c r="A1180" s="7" t="n">
        <v>34979</v>
      </c>
      <c r="B1180" s="7" t="inlineStr">
        <is>
          <t>JAY GV 40/25 DC TAG TBGS</t>
        </is>
      </c>
      <c r="C1180" s="7" t="inlineStr">
        <is>
          <t>GV</t>
        </is>
      </c>
      <c r="D1180" s="7" t="n">
        <v>2340</v>
      </c>
      <c r="E1180" s="7" t="inlineStr">
        <is>
          <t>JAY GV 25 DC TAG TBGS</t>
        </is>
      </c>
      <c r="F1180" s="7" t="n">
        <v>40</v>
      </c>
      <c r="G1180" s="7" t="inlineStr">
        <is>
          <t>CTN</t>
        </is>
      </c>
      <c r="H1180" t="inlineStr">
        <is>
          <t>BLEND C 33</t>
        </is>
      </c>
    </row>
    <row r="1181" ht="14.25" customHeight="1" s="5">
      <c r="A1181" s="7" t="n">
        <v>20467</v>
      </c>
      <c r="B1181" s="7" t="inlineStr">
        <is>
          <t>JAY GV 48/25 DC TAG TBGS</t>
        </is>
      </c>
      <c r="C1181" s="7" t="inlineStr">
        <is>
          <t>GV</t>
        </is>
      </c>
      <c r="D1181" s="7" t="n">
        <v>2340</v>
      </c>
      <c r="E1181" s="7" t="inlineStr">
        <is>
          <t>JAY GV 25 DC TAG TBGS</t>
        </is>
      </c>
      <c r="F1181" s="7" t="n">
        <v>48</v>
      </c>
      <c r="G1181" s="7" t="inlineStr">
        <is>
          <t>CTN</t>
        </is>
      </c>
      <c r="H1181" t="inlineStr">
        <is>
          <t>BLEND C 33</t>
        </is>
      </c>
    </row>
    <row r="1182" ht="14.25" customHeight="1" s="5">
      <c r="A1182" s="7" t="n">
        <v>2339</v>
      </c>
      <c r="B1182" s="7" t="inlineStr">
        <is>
          <t>JAY GV 48/25 DC TAG TBGS WITH POSTER</t>
        </is>
      </c>
      <c r="C1182" s="7" t="inlineStr">
        <is>
          <t>GV</t>
        </is>
      </c>
      <c r="D1182" s="7" t="n">
        <v>20677</v>
      </c>
      <c r="E1182" s="7" t="inlineStr">
        <is>
          <t>JAY GV 25 DC SF TAG TBGS</t>
        </is>
      </c>
      <c r="F1182" s="7" t="n">
        <v>48</v>
      </c>
      <c r="G1182" s="7" t="inlineStr">
        <is>
          <t>CTN</t>
        </is>
      </c>
      <c r="H1182" t="inlineStr">
        <is>
          <t>BLEND A33</t>
        </is>
      </c>
    </row>
    <row r="1183" ht="14.25" customHeight="1" s="5">
      <c r="A1183" s="7" t="n">
        <v>31221</v>
      </c>
      <c r="B1183" s="7" t="inlineStr">
        <is>
          <t>JAY GV 80/25 DC TAG TBGS</t>
        </is>
      </c>
      <c r="C1183" s="7" t="inlineStr">
        <is>
          <t>GV</t>
        </is>
      </c>
      <c r="D1183" s="7" t="n">
        <v>2340</v>
      </c>
      <c r="E1183" s="7" t="inlineStr">
        <is>
          <t>JAY GV 25 DC TAG TBGS</t>
        </is>
      </c>
      <c r="F1183" s="7" t="n">
        <v>80</v>
      </c>
      <c r="G1183" s="7" t="inlineStr">
        <is>
          <t>CTN</t>
        </is>
      </c>
      <c r="H1183" t="inlineStr">
        <is>
          <t>BLEND C 33</t>
        </is>
      </c>
    </row>
    <row r="1184" ht="14.25" customHeight="1" s="5">
      <c r="A1184" s="7" t="n">
        <v>35858</v>
      </c>
      <c r="B1184" s="7" t="inlineStr">
        <is>
          <t>JOBWORK SERVICE CHARGES - TETLEY SLIM CARE GREEN TEA LEMON AND HONEY 36/25 ENV TBGS</t>
        </is>
      </c>
      <c r="C1184" s="7" t="inlineStr">
        <is>
          <t>TETLEY</t>
        </is>
      </c>
      <c r="D1184" s="7" t="n">
        <v>36343</v>
      </c>
      <c r="E1184" s="7" t="inlineStr">
        <is>
          <t>JOBWORK SERVICE CHARGES - TETLEY SLIM CARE GREEN TEA LEMON AND HONEY 25 ENV TBGS</t>
        </is>
      </c>
      <c r="F1184" s="7" t="n">
        <v>36</v>
      </c>
      <c r="G1184" s="7" t="inlineStr">
        <is>
          <t>CTN</t>
        </is>
      </c>
      <c r="H1184" t="inlineStr">
        <is>
          <t>BLENDED TEA TETLEY GREEN TEA LEMON AND HONEY ENV TBGS</t>
        </is>
      </c>
    </row>
    <row r="1185" ht="14.25" customHeight="1" s="5">
      <c r="A1185" s="7" t="n">
        <v>36067</v>
      </c>
      <c r="B1185" s="7" t="inlineStr">
        <is>
          <t>JOBWORK SERVICE CHARGES - TETLEY SLIM CARE GREEN TEA LEMON AND HONEY 36/25 ENV TBGS-NEW</t>
        </is>
      </c>
      <c r="C1185" s="7" t="inlineStr">
        <is>
          <t>TETLEY</t>
        </is>
      </c>
      <c r="D1185" s="7" t="n">
        <v>34179</v>
      </c>
      <c r="E1185" s="7" t="inlineStr">
        <is>
          <t>JOBWORK SERVICE CHARGES - TETLEY GREEN TEA LEMON AND HONEY 36/25 ENV TBGS</t>
        </is>
      </c>
      <c r="F1185" s="7" t="n">
        <v>1</v>
      </c>
      <c r="G1185" s="7" t="inlineStr">
        <is>
          <t>CASE</t>
        </is>
      </c>
      <c r="H1185" t="inlineStr">
        <is>
          <t>BLENDED TEA TETLEY GREEN TEA LEMON AND HONEY ENV TBGS</t>
        </is>
      </c>
    </row>
    <row r="1186" ht="14.25" customHeight="1" s="5">
      <c r="A1186" s="7" t="n">
        <v>36067</v>
      </c>
      <c r="B1186" s="7" t="inlineStr">
        <is>
          <t>JOBWORK SERVICE CHARGES - TETLEY SLIM CARE GREEN TEA LEMON AND HONEY 36/25 ENV TBGS-NEW</t>
        </is>
      </c>
      <c r="C1186" s="7" t="inlineStr">
        <is>
          <t>TETLEY</t>
        </is>
      </c>
      <c r="D1186" s="7" t="n">
        <v>36714</v>
      </c>
      <c r="E1186" s="7" t="inlineStr">
        <is>
          <t>JOBWORK SERVICE CHARGES - TETLEY GREEN TEA LEMON AND HONEY 25 ENV TBGS-NEW</t>
        </is>
      </c>
      <c r="F1186" s="7" t="n">
        <v>36</v>
      </c>
      <c r="G1186" s="7" t="inlineStr">
        <is>
          <t>CTN</t>
        </is>
      </c>
      <c r="H1186" t="inlineStr">
        <is>
          <t>BLENDED TEA TETLEY GREEN TEA LEMON AND HONEY ENV TBGS</t>
        </is>
      </c>
    </row>
    <row r="1187" ht="14.25" customHeight="1" s="5">
      <c r="A1187" s="7" t="n">
        <v>36067</v>
      </c>
      <c r="B1187" s="7" t="inlineStr">
        <is>
          <t>JOBWORK SERVICE CHARGES - TETLEY SLIM CARE GREEN TEA LEMON AND HONEY 36/25 ENV TBGS-NEW</t>
        </is>
      </c>
      <c r="C1187" s="7" t="inlineStr">
        <is>
          <t>TETLEY</t>
        </is>
      </c>
      <c r="D1187" s="7" t="n">
        <v>36714</v>
      </c>
      <c r="E1187" s="7" t="inlineStr">
        <is>
          <t>JOBWORK SERVICE CHARGES - TETLEY GREEN TEA LEMON AND HONEY 25 ENV TBGS-NEW</t>
        </is>
      </c>
      <c r="F1187" s="7" t="n">
        <v>36</v>
      </c>
      <c r="G1187" s="7" t="inlineStr">
        <is>
          <t>CTN</t>
        </is>
      </c>
      <c r="H1187" t="inlineStr">
        <is>
          <t>BLENDED TEA TETLEY GREEN TEA LEMON AND HONEY ENV TBGS</t>
        </is>
      </c>
    </row>
    <row r="1188" ht="14.25" customHeight="1" s="5">
      <c r="A1188" s="7" t="n">
        <v>36068</v>
      </c>
      <c r="B1188" s="7" t="inlineStr">
        <is>
          <t>JOBWORK SERVICE CHARGES - TETLEY SLIM CARE GREEN TEA GINGER MINT AND LEMON 36/25 ENV TBGS-NEW</t>
        </is>
      </c>
      <c r="C1188" s="7" t="inlineStr">
        <is>
          <t>TETLEY</t>
        </is>
      </c>
      <c r="D1188" s="7" t="n">
        <v>34180</v>
      </c>
      <c r="E1188" s="7" t="inlineStr">
        <is>
          <t>JOBWORK SERVICE CHARGES - TETLEY GREEN TEA GINGER MINT AND LEMON 36/25 ENV TBGS</t>
        </is>
      </c>
      <c r="F1188" s="7" t="n">
        <v>1</v>
      </c>
      <c r="G1188" s="7" t="inlineStr">
        <is>
          <t>CASE</t>
        </is>
      </c>
      <c r="H1188" t="inlineStr">
        <is>
          <t>BLENDED TEA TETLEY GREEN TEA GINGER MINT AND LEMON ENV TBGS</t>
        </is>
      </c>
    </row>
    <row r="1189" ht="14.25" customHeight="1" s="5">
      <c r="A1189" s="7" t="n">
        <v>36068</v>
      </c>
      <c r="B1189" s="7" t="inlineStr">
        <is>
          <t>JOBWORK SERVICE CHARGES - TETLEY SLIM CARE GREEN TEA GINGER MINT AND LEMON 36/25 ENV TBGS-NEW</t>
        </is>
      </c>
      <c r="C1189" s="7" t="inlineStr">
        <is>
          <t>TETLEY</t>
        </is>
      </c>
      <c r="D1189" s="7" t="n">
        <v>36715</v>
      </c>
      <c r="E1189" s="7" t="inlineStr">
        <is>
          <t>JOBWORK SERVICE CHARGES - TETLEY GREEN TEA GINGER MINT AND LEMON 25 ENV TBGS-NEW</t>
        </is>
      </c>
      <c r="F1189" s="7" t="n">
        <v>36</v>
      </c>
      <c r="G1189" s="7" t="inlineStr">
        <is>
          <t>CTN</t>
        </is>
      </c>
      <c r="H1189" t="inlineStr">
        <is>
          <t>BLENDED TEA TETLEY GREEN TEA GINGER MINT AND LEMON ENV TBGS</t>
        </is>
      </c>
    </row>
    <row r="1190" ht="14.25" customHeight="1" s="5">
      <c r="A1190" s="7" t="n">
        <v>36068</v>
      </c>
      <c r="B1190" s="7" t="inlineStr">
        <is>
          <t>JOBWORK SERVICE CHARGES - TETLEY SLIM CARE GREEN TEA GINGER MINT AND LEMON 36/25 ENV TBGS-NEW</t>
        </is>
      </c>
      <c r="C1190" s="7" t="inlineStr">
        <is>
          <t>TETLEY</t>
        </is>
      </c>
      <c r="D1190" s="7" t="n">
        <v>36715</v>
      </c>
      <c r="E1190" s="7" t="inlineStr">
        <is>
          <t>JOBWORK SERVICE CHARGES - TETLEY GREEN TEA GINGER MINT AND LEMON 25 ENV TBGS-NEW</t>
        </is>
      </c>
      <c r="F1190" s="7" t="n">
        <v>36</v>
      </c>
      <c r="G1190" s="7" t="inlineStr">
        <is>
          <t>CTN</t>
        </is>
      </c>
      <c r="H1190" t="inlineStr">
        <is>
          <t>BLENDED TEA TETLEY GREEN TEA GINGER MINT AND LEMON ENV TBGS</t>
        </is>
      </c>
    </row>
    <row r="1191" ht="14.25" customHeight="1" s="5">
      <c r="A1191" s="7" t="n">
        <v>5510</v>
      </c>
      <c r="B1191" s="7" t="inlineStr">
        <is>
          <t>JUMBO CEYLON 12/20 DC SF ENV TBGS</t>
        </is>
      </c>
      <c r="C1191" s="7" t="inlineStr">
        <is>
          <t>JUMBO</t>
        </is>
      </c>
      <c r="D1191" s="7" t="n">
        <v>5588</v>
      </c>
      <c r="E1191" s="7" t="inlineStr">
        <is>
          <t>JUMBO CEYLON 20 DC SF ENV TBGS</t>
        </is>
      </c>
      <c r="F1191" s="7" t="n">
        <v>12</v>
      </c>
      <c r="G1191" s="7" t="inlineStr">
        <is>
          <t>CTN</t>
        </is>
      </c>
      <c r="H1191" t="inlineStr">
        <is>
          <t>BLEND 7093 90% UTZ</t>
        </is>
      </c>
    </row>
    <row r="1192" ht="14.25" customHeight="1" s="5">
      <c r="A1192" s="7" t="n">
        <v>5511</v>
      </c>
      <c r="B1192" s="7" t="inlineStr">
        <is>
          <t>JUMBO EARL GREY 12/20 DC SF ENV TBGS</t>
        </is>
      </c>
      <c r="C1192" s="7" t="inlineStr">
        <is>
          <t>JUMBO</t>
        </is>
      </c>
      <c r="D1192" s="7" t="n">
        <v>5589</v>
      </c>
      <c r="E1192" s="7" t="inlineStr">
        <is>
          <t>JUMBO EARL GREY 20 DC SF ENV TBGS</t>
        </is>
      </c>
      <c r="F1192" s="7" t="n">
        <v>12</v>
      </c>
      <c r="G1192" s="7" t="inlineStr">
        <is>
          <t>CTN</t>
        </is>
      </c>
      <c r="H1192" t="inlineStr">
        <is>
          <t>BLEND EARL GREY JUMBO TBC</t>
        </is>
      </c>
    </row>
    <row r="1193" ht="14.25" customHeight="1" s="5">
      <c r="A1193" s="7" t="n">
        <v>5512</v>
      </c>
      <c r="B1193" s="7" t="inlineStr">
        <is>
          <t>JUMBO EARL GREY 12/20 DC SF TAG TBGS</t>
        </is>
      </c>
      <c r="C1193" s="7" t="inlineStr">
        <is>
          <t>JUMBO</t>
        </is>
      </c>
      <c r="D1193" s="7" t="n">
        <v>5590</v>
      </c>
      <c r="E1193" s="7" t="inlineStr">
        <is>
          <t>JUMBO EARL GREY 20 DC SF TAG TBGS</t>
        </is>
      </c>
      <c r="F1193" s="7" t="n">
        <v>12</v>
      </c>
      <c r="G1193" s="7" t="inlineStr">
        <is>
          <t>CTN</t>
        </is>
      </c>
      <c r="H1193" t="inlineStr">
        <is>
          <t>BLEND EARL GREY JUMBO TBC</t>
        </is>
      </c>
    </row>
    <row r="1194" ht="14.25" customHeight="1" s="5">
      <c r="A1194" s="7" t="n">
        <v>5513</v>
      </c>
      <c r="B1194" s="7" t="inlineStr">
        <is>
          <t>JUMBO ENGELESE MELANGE 12/20 DC SF ENV TBGS</t>
        </is>
      </c>
      <c r="C1194" s="7" t="inlineStr">
        <is>
          <t>JUMBO</t>
        </is>
      </c>
      <c r="D1194" s="7" t="n">
        <v>5592</v>
      </c>
      <c r="E1194" s="7" t="inlineStr">
        <is>
          <t>JUMBO ENGELESE MELANGE 20 DC SF ENV TBGS</t>
        </is>
      </c>
      <c r="F1194" s="7" t="n">
        <v>12</v>
      </c>
      <c r="G1194" s="7" t="inlineStr">
        <is>
          <t>CTN</t>
        </is>
      </c>
      <c r="H1194" t="inlineStr">
        <is>
          <t>BLEND A135/7722 - RFA</t>
        </is>
      </c>
    </row>
    <row r="1195" ht="14.25" customHeight="1" s="5">
      <c r="A1195" s="7" t="n">
        <v>5514</v>
      </c>
      <c r="B1195" s="7" t="inlineStr">
        <is>
          <t>JUMBO ENGELESE MELANGE 12/20 DC SF TAG TBGS</t>
        </is>
      </c>
      <c r="C1195" s="7" t="inlineStr">
        <is>
          <t>JUMBO</t>
        </is>
      </c>
      <c r="D1195" s="7" t="n">
        <v>5594</v>
      </c>
      <c r="E1195" s="7" t="inlineStr">
        <is>
          <t>JUMBO ENGELESE MELANGE 20 DC SF TAG TBGS</t>
        </is>
      </c>
      <c r="F1195" s="7" t="n">
        <v>12</v>
      </c>
      <c r="G1195" s="7" t="inlineStr">
        <is>
          <t>CTN</t>
        </is>
      </c>
      <c r="H1195" t="inlineStr">
        <is>
          <t>BLEND A135/7722 - RFA</t>
        </is>
      </c>
    </row>
    <row r="1196" ht="14.25" customHeight="1" s="5">
      <c r="A1196" s="7" t="n">
        <v>5515</v>
      </c>
      <c r="B1196" s="7" t="inlineStr">
        <is>
          <t>JUMBO ENGELESE MELANGE 12/40 DC SF ENV TBGS</t>
        </is>
      </c>
      <c r="C1196" s="7" t="inlineStr">
        <is>
          <t>JUMBO</t>
        </is>
      </c>
      <c r="D1196" s="7" t="n">
        <v>5595</v>
      </c>
      <c r="E1196" s="7" t="inlineStr">
        <is>
          <t>JUMBO ENGELESE MELANGE 40 DC SF ENV TBGS</t>
        </is>
      </c>
      <c r="F1196" s="7" t="n">
        <v>12</v>
      </c>
      <c r="G1196" s="7" t="inlineStr">
        <is>
          <t>CTN</t>
        </is>
      </c>
      <c r="H1196" t="inlineStr">
        <is>
          <t>BLEND A135/7722 - RFA</t>
        </is>
      </c>
    </row>
    <row r="1197" ht="14.25" customHeight="1" s="5">
      <c r="A1197" s="7" t="n">
        <v>5516</v>
      </c>
      <c r="B1197" s="7" t="inlineStr">
        <is>
          <t>JUMBO ENGELESE MELANGE 12/40 DC SF TAG TBGS</t>
        </is>
      </c>
      <c r="C1197" s="7" t="inlineStr">
        <is>
          <t>JUMBO</t>
        </is>
      </c>
      <c r="D1197" s="7" t="n">
        <v>5597</v>
      </c>
      <c r="E1197" s="7" t="inlineStr">
        <is>
          <t>JUMBO ENGELESE MELANGE 40 DC SF TAG TBGS</t>
        </is>
      </c>
      <c r="F1197" s="7" t="n">
        <v>12</v>
      </c>
      <c r="G1197" s="7" t="inlineStr">
        <is>
          <t>CTN</t>
        </is>
      </c>
      <c r="H1197" t="inlineStr">
        <is>
          <t>BLEND A135/7722 - RFA</t>
        </is>
      </c>
    </row>
    <row r="1198" ht="14.25" customHeight="1" s="5">
      <c r="A1198" s="7" t="n">
        <v>5517</v>
      </c>
      <c r="B1198" s="7" t="inlineStr">
        <is>
          <t>JUMBO FANCY LABEL ENGELESE MELANGE 12/20 DC SF TAG TBGS</t>
        </is>
      </c>
      <c r="C1198" s="7" t="inlineStr">
        <is>
          <t>JUMBO</t>
        </is>
      </c>
      <c r="D1198" s="7" t="n">
        <v>5599</v>
      </c>
      <c r="E1198" s="7" t="inlineStr">
        <is>
          <t>JUMBO FANCY LABEL ENGELESE MELANGE 20 DC SF TAG TBGS</t>
        </is>
      </c>
      <c r="F1198" s="7" t="n">
        <v>12</v>
      </c>
      <c r="G1198" s="7" t="inlineStr">
        <is>
          <t>CTN</t>
        </is>
      </c>
      <c r="H1198" t="inlineStr">
        <is>
          <t>BLEND 7093-S-RFA</t>
        </is>
      </c>
    </row>
    <row r="1199" ht="14.25" customHeight="1" s="5">
      <c r="A1199" s="7" t="n">
        <v>5518</v>
      </c>
      <c r="B1199" s="7" t="inlineStr">
        <is>
          <t>JUMBO FANCY LABEL GREEN LEMON 12/20 DC SF ENV TBGS</t>
        </is>
      </c>
      <c r="C1199" s="7" t="inlineStr">
        <is>
          <t>JUMBO</t>
        </is>
      </c>
      <c r="D1199" s="7" t="n">
        <v>5601</v>
      </c>
      <c r="E1199" s="7" t="inlineStr">
        <is>
          <t>JUMBO FANCY LABEL GREEN LEMON 20 DC SF ENV TBGS</t>
        </is>
      </c>
      <c r="F1199" s="7" t="n">
        <v>12</v>
      </c>
      <c r="G1199" s="7" t="inlineStr">
        <is>
          <t>CTN</t>
        </is>
      </c>
      <c r="H1199" t="inlineStr">
        <is>
          <t>BLEND GREEN TEA LEMON BASIC JUMBO TBC</t>
        </is>
      </c>
    </row>
    <row r="1200" ht="14.25" customHeight="1" s="5">
      <c r="A1200" s="7" t="n">
        <v>5519</v>
      </c>
      <c r="B1200" s="7" t="inlineStr">
        <is>
          <t>JUMBO FOREST FRUITS 12/20 DC SF ENV TBGS</t>
        </is>
      </c>
      <c r="C1200" s="7" t="inlineStr">
        <is>
          <t>JUMBO</t>
        </is>
      </c>
      <c r="D1200" s="7" t="n">
        <v>5603</v>
      </c>
      <c r="E1200" s="7" t="inlineStr">
        <is>
          <t>JUMBO FOREST FRUITS 20 DC SF ENV TBGS</t>
        </is>
      </c>
      <c r="F1200" s="7" t="n">
        <v>12</v>
      </c>
      <c r="G1200" s="7" t="inlineStr">
        <is>
          <t>CTN</t>
        </is>
      </c>
      <c r="H1200" t="inlineStr">
        <is>
          <t>BLEND FOREST FRUIT JUMBO TBC</t>
        </is>
      </c>
    </row>
    <row r="1201" ht="14.25" customHeight="1" s="5">
      <c r="A1201" s="7" t="n">
        <v>5520</v>
      </c>
      <c r="B1201" s="7" t="inlineStr">
        <is>
          <t>JUMBO GREEN LEMON 12/20 DC SF ENV TBGS</t>
        </is>
      </c>
      <c r="C1201" s="7" t="inlineStr">
        <is>
          <t>JUMBO</t>
        </is>
      </c>
      <c r="D1201" s="7" t="n">
        <v>5604</v>
      </c>
      <c r="E1201" s="7" t="inlineStr">
        <is>
          <t>JUMBO GREEN LEMON 20 DC SF ENV TBGS</t>
        </is>
      </c>
      <c r="F1201" s="7" t="n">
        <v>12</v>
      </c>
      <c r="G1201" s="7" t="inlineStr">
        <is>
          <t>CTN</t>
        </is>
      </c>
      <c r="H1201" t="inlineStr">
        <is>
          <t>BLEND GREEN TEA LEMON JUMBO TBC</t>
        </is>
      </c>
    </row>
    <row r="1202" ht="14.25" customHeight="1" s="5">
      <c r="A1202" s="7" t="n">
        <v>5521</v>
      </c>
      <c r="B1202" s="7" t="inlineStr">
        <is>
          <t>JUMBO GREEN LEMON 12/40 DC SF ENV TBGS</t>
        </is>
      </c>
      <c r="C1202" s="7" t="inlineStr">
        <is>
          <t>JUMBO</t>
        </is>
      </c>
      <c r="D1202" s="7" t="n">
        <v>5605</v>
      </c>
      <c r="E1202" s="7" t="inlineStr">
        <is>
          <t>JUMBO GREEN LEMON 40 DC SF ENV TBGS</t>
        </is>
      </c>
      <c r="F1202" s="7" t="n">
        <v>12</v>
      </c>
      <c r="G1202" s="7" t="inlineStr">
        <is>
          <t>CTN</t>
        </is>
      </c>
      <c r="H1202" t="inlineStr">
        <is>
          <t>BLEND GREEN TEA LEMON JUMBO TBC</t>
        </is>
      </c>
    </row>
    <row r="1203" ht="14.25" customHeight="1" s="5">
      <c r="A1203" s="7" t="n">
        <v>5522</v>
      </c>
      <c r="B1203" s="7" t="inlineStr">
        <is>
          <t>JUMBO GREEN TEA COCOS 12/20 DC SF ENV TBGS</t>
        </is>
      </c>
      <c r="C1203" s="7" t="inlineStr">
        <is>
          <t>JUMBO</t>
        </is>
      </c>
      <c r="D1203" s="7" t="n">
        <v>5606</v>
      </c>
      <c r="E1203" s="7" t="inlineStr">
        <is>
          <t>JUMBO GREEN TEA COCOS 20 DC SF ENV TBGS</t>
        </is>
      </c>
      <c r="F1203" s="7" t="n">
        <v>12</v>
      </c>
      <c r="G1203" s="7" t="inlineStr">
        <is>
          <t>CTN</t>
        </is>
      </c>
      <c r="H1203" t="inlineStr">
        <is>
          <t>BLEND GREEN TEA COCONUT JUMBO TBC</t>
        </is>
      </c>
    </row>
    <row r="1204" ht="14.25" customHeight="1" s="5">
      <c r="A1204" s="7" t="n">
        <v>5523</v>
      </c>
      <c r="B1204" s="7" t="inlineStr">
        <is>
          <t>JUMBO GREEN TEA CRANBERRY 12/20 DC SF ENV TBGS</t>
        </is>
      </c>
      <c r="C1204" s="7" t="inlineStr">
        <is>
          <t>JUMBO</t>
        </is>
      </c>
      <c r="D1204" s="7" t="n">
        <v>5607</v>
      </c>
      <c r="E1204" s="7" t="inlineStr">
        <is>
          <t>JUMBO GREEN TEA CRANBERRY 20 DC SF ENV TBGS</t>
        </is>
      </c>
      <c r="F1204" s="7" t="n">
        <v>12</v>
      </c>
      <c r="G1204" s="7" t="inlineStr">
        <is>
          <t>CTN</t>
        </is>
      </c>
      <c r="H1204" t="inlineStr">
        <is>
          <t>BLEND GREEN TEA CRANBERRY JUMBO TBC</t>
        </is>
      </c>
    </row>
    <row r="1205" ht="14.25" customHeight="1" s="5">
      <c r="A1205" s="7" t="n">
        <v>5524</v>
      </c>
      <c r="B1205" s="7" t="inlineStr">
        <is>
          <t>JUMBO GREEN TEA GINGER 12/20 DC SF ENV TBGS</t>
        </is>
      </c>
      <c r="C1205" s="7" t="inlineStr">
        <is>
          <t>JUMBO</t>
        </is>
      </c>
      <c r="D1205" s="7" t="n">
        <v>5608</v>
      </c>
      <c r="E1205" s="7" t="inlineStr">
        <is>
          <t>JUMBO GREEN TEA GINGER 20 DC SF ENV TBGS</t>
        </is>
      </c>
      <c r="F1205" s="7" t="n">
        <v>12</v>
      </c>
      <c r="G1205" s="7" t="inlineStr">
        <is>
          <t>CTN</t>
        </is>
      </c>
      <c r="H1205" t="inlineStr">
        <is>
          <t>BLEND GREEN TEA GINGER JUMBO TBC</t>
        </is>
      </c>
    </row>
    <row r="1206" ht="14.25" customHeight="1" s="5">
      <c r="A1206" s="7" t="n">
        <v>5525</v>
      </c>
      <c r="B1206" s="7" t="inlineStr">
        <is>
          <t>JUMBO GREEN TEA MINT 12/20 DC SF ENV TBGS</t>
        </is>
      </c>
      <c r="C1206" s="7" t="inlineStr">
        <is>
          <t>JUMBO</t>
        </is>
      </c>
      <c r="D1206" s="7" t="n">
        <v>5609</v>
      </c>
      <c r="E1206" s="7" t="inlineStr">
        <is>
          <t>JUMBO GREEN TEA MINT 20 DC SF ENV TBGS</t>
        </is>
      </c>
      <c r="F1206" s="7" t="n">
        <v>12</v>
      </c>
      <c r="G1206" s="7" t="inlineStr">
        <is>
          <t>CTN</t>
        </is>
      </c>
      <c r="H1206" t="inlineStr">
        <is>
          <t>BLEND GREEN TEA MINT JUMBO TBC</t>
        </is>
      </c>
    </row>
    <row r="1207" ht="14.25" customHeight="1" s="5">
      <c r="A1207" s="7" t="n">
        <v>5526</v>
      </c>
      <c r="B1207" s="7" t="inlineStr">
        <is>
          <t>JUMBO GREEN TEA PURE ORIGINAL 12/20 DC SF ENV TBGS</t>
        </is>
      </c>
      <c r="C1207" s="7" t="inlineStr">
        <is>
          <t>JUMBO</t>
        </is>
      </c>
      <c r="D1207" s="7" t="n">
        <v>5610</v>
      </c>
      <c r="E1207" s="7" t="inlineStr">
        <is>
          <t>JUMBO GREEN TEA PURE ORIGINAL 20 DC SF ENV TBGS</t>
        </is>
      </c>
      <c r="F1207" s="7" t="n">
        <v>12</v>
      </c>
      <c r="G1207" s="7" t="inlineStr">
        <is>
          <t>CTN</t>
        </is>
      </c>
      <c r="H1207" t="inlineStr">
        <is>
          <t>BLEND 7434 GREEN - 90% UTZ</t>
        </is>
      </c>
    </row>
    <row r="1208" ht="14.25" customHeight="1" s="5">
      <c r="A1208" s="7" t="n">
        <v>5527</v>
      </c>
      <c r="B1208" s="7" t="inlineStr">
        <is>
          <t>JUMBO GREEN TEA VARIATION 12/20 DC SF ENV TBGS</t>
        </is>
      </c>
      <c r="C1208" s="7" t="inlineStr">
        <is>
          <t>JUMBO</t>
        </is>
      </c>
      <c r="D1208" s="7" t="n">
        <v>5611</v>
      </c>
      <c r="E1208" s="7" t="inlineStr">
        <is>
          <t>JUMBO GREEN TEA VARIATION 20 DC SF ENV TBGS</t>
        </is>
      </c>
      <c r="F1208" s="7" t="n">
        <v>12</v>
      </c>
      <c r="G1208" s="7" t="inlineStr">
        <is>
          <t>CTN</t>
        </is>
      </c>
      <c r="H1208">
        <f>#N/A</f>
        <v/>
      </c>
    </row>
    <row r="1209" ht="14.25" customHeight="1" s="5">
      <c r="A1209" s="7" t="n">
        <v>5528</v>
      </c>
      <c r="B1209" s="7" t="inlineStr">
        <is>
          <t>JUMBO LEMON 12/20 DC SF ENV TBGS</t>
        </is>
      </c>
      <c r="C1209" s="7" t="inlineStr">
        <is>
          <t>JUMBO</t>
        </is>
      </c>
      <c r="D1209" s="7" t="n">
        <v>5612</v>
      </c>
      <c r="E1209" s="7" t="inlineStr">
        <is>
          <t>JUMBO LEMON 20 DC SF ENV TBGS</t>
        </is>
      </c>
      <c r="F1209" s="7" t="n">
        <v>12</v>
      </c>
      <c r="G1209" s="7" t="inlineStr">
        <is>
          <t>CTN</t>
        </is>
      </c>
      <c r="H1209" t="inlineStr">
        <is>
          <t>BLEND LEMON JUMBO TBC</t>
        </is>
      </c>
    </row>
    <row r="1210" ht="14.25" customHeight="1" s="5">
      <c r="A1210" s="7" t="n">
        <v>5529</v>
      </c>
      <c r="B1210" s="7" t="inlineStr">
        <is>
          <t>JUMBO ORANGE 12/20 DC SF ENV TBGS</t>
        </is>
      </c>
      <c r="C1210" s="7" t="inlineStr">
        <is>
          <t>JUMBO</t>
        </is>
      </c>
      <c r="D1210" s="7" t="n">
        <v>5613</v>
      </c>
      <c r="E1210" s="7" t="inlineStr">
        <is>
          <t>JUMBO ORANGE 20 DC SF ENV TBGS</t>
        </is>
      </c>
      <c r="F1210" s="7" t="n">
        <v>12</v>
      </c>
      <c r="G1210" s="7" t="inlineStr">
        <is>
          <t>CTN</t>
        </is>
      </c>
      <c r="H1210" t="inlineStr">
        <is>
          <t>BLEND ORANGE JUMBO TBC</t>
        </is>
      </c>
    </row>
    <row r="1211" ht="14.25" customHeight="1" s="5">
      <c r="A1211" s="7" t="n">
        <v>5530</v>
      </c>
      <c r="B1211" s="7" t="inlineStr">
        <is>
          <t>JUMBO ORANGE VARIATION 12/20 DC SF ENV TBGS</t>
        </is>
      </c>
      <c r="C1211" s="7" t="inlineStr">
        <is>
          <t>JUMBO</t>
        </is>
      </c>
      <c r="D1211" s="7" t="n">
        <v>5614</v>
      </c>
      <c r="E1211" s="7" t="inlineStr">
        <is>
          <t>JUMBO ORANGE VARIATION 20 DC SF ENV TBGS</t>
        </is>
      </c>
      <c r="F1211" s="7" t="n">
        <v>12</v>
      </c>
      <c r="G1211" s="7" t="inlineStr">
        <is>
          <t>CTN</t>
        </is>
      </c>
      <c r="H1211">
        <f>#N/A</f>
        <v/>
      </c>
    </row>
    <row r="1212" ht="14.25" customHeight="1" s="5">
      <c r="A1212" s="7" t="n">
        <v>5614</v>
      </c>
      <c r="B1212" s="7" t="inlineStr">
        <is>
          <t>JUMBO ORANGE VARIATION 20 DC SF ENV TBGS</t>
        </is>
      </c>
      <c r="C1212" s="7" t="inlineStr">
        <is>
          <t>JUMBO</t>
        </is>
      </c>
      <c r="D1212" s="7" t="n">
        <v>5550</v>
      </c>
      <c r="E1212" s="7" t="inlineStr">
        <is>
          <t>JUMBO LOOSE ENV TROPICAL FRUIT DC SF ENV TBGS</t>
        </is>
      </c>
      <c r="F1212" s="7" t="n">
        <v>5</v>
      </c>
      <c r="G1212" s="7" t="inlineStr">
        <is>
          <t>ENV</t>
        </is>
      </c>
      <c r="H1212" t="inlineStr">
        <is>
          <t>BLEND TROPICAL FRUIT JUMBO TBC</t>
        </is>
      </c>
    </row>
    <row r="1213" ht="14.25" customHeight="1" s="5">
      <c r="A1213" s="7" t="n">
        <v>5614</v>
      </c>
      <c r="B1213" s="7" t="inlineStr">
        <is>
          <t>JUMBO ORANGE VARIATION 20 DC SF ENV TBGS</t>
        </is>
      </c>
      <c r="C1213" s="7" t="inlineStr">
        <is>
          <t>JUMBO</t>
        </is>
      </c>
      <c r="D1213" s="7" t="n">
        <v>5542</v>
      </c>
      <c r="E1213" s="7" t="inlineStr">
        <is>
          <t>JUMBO LOOSE ENV CHERRY DC SF ENV TBGS</t>
        </is>
      </c>
      <c r="F1213" s="7" t="n">
        <v>5</v>
      </c>
      <c r="G1213" s="7" t="inlineStr">
        <is>
          <t>ENV</t>
        </is>
      </c>
      <c r="H1213" t="inlineStr">
        <is>
          <t>BLEND CHERRY JUMBO TBC</t>
        </is>
      </c>
    </row>
    <row r="1214" ht="14.25" customHeight="1" s="5">
      <c r="A1214" s="7" t="n">
        <v>5614</v>
      </c>
      <c r="B1214" s="7" t="inlineStr">
        <is>
          <t>JUMBO ORANGE VARIATION 20 DC SF ENV TBGS</t>
        </is>
      </c>
      <c r="C1214" s="7" t="inlineStr">
        <is>
          <t>JUMBO</t>
        </is>
      </c>
      <c r="D1214" s="7" t="n">
        <v>5548</v>
      </c>
      <c r="E1214" s="7" t="inlineStr">
        <is>
          <t>JUMBO LOOSE ENV MANGO DC SF ENV TBGS</t>
        </is>
      </c>
      <c r="F1214" s="7" t="n">
        <v>5</v>
      </c>
      <c r="G1214" s="7" t="inlineStr">
        <is>
          <t>ENV</t>
        </is>
      </c>
      <c r="H1214" t="inlineStr">
        <is>
          <t>BLEND MANGO JUMBO TBC</t>
        </is>
      </c>
    </row>
    <row r="1215" ht="14.25" customHeight="1" s="5">
      <c r="A1215" s="7" t="n">
        <v>5614</v>
      </c>
      <c r="B1215" s="7" t="inlineStr">
        <is>
          <t>JUMBO ORANGE VARIATION 20 DC SF ENV TBGS</t>
        </is>
      </c>
      <c r="C1215" s="7" t="inlineStr">
        <is>
          <t>JUMBO</t>
        </is>
      </c>
      <c r="D1215" s="7" t="n">
        <v>5549</v>
      </c>
      <c r="E1215" s="7" t="inlineStr">
        <is>
          <t>JUMBO LOOSE ENV MELON DC SF ENV TBGS</t>
        </is>
      </c>
      <c r="F1215" s="7" t="n">
        <v>5</v>
      </c>
      <c r="G1215" s="7" t="inlineStr">
        <is>
          <t>ENV</t>
        </is>
      </c>
      <c r="H1215" t="inlineStr">
        <is>
          <t>BLEND MELON JUMBO TBC</t>
        </is>
      </c>
    </row>
    <row r="1216" ht="14.25" customHeight="1" s="5">
      <c r="A1216" s="7" t="n">
        <v>5531</v>
      </c>
      <c r="B1216" s="7" t="inlineStr">
        <is>
          <t>JUMBO RED VARIATION 12/20 DC SF ENV TBGS</t>
        </is>
      </c>
      <c r="C1216" s="7" t="inlineStr">
        <is>
          <t>JUMBO</t>
        </is>
      </c>
      <c r="D1216" s="7" t="n">
        <v>5615</v>
      </c>
      <c r="E1216" s="7" t="inlineStr">
        <is>
          <t>JUMBO RED VARIATION 20 DC SF ENV TBGS</t>
        </is>
      </c>
      <c r="F1216" s="7" t="n">
        <v>12</v>
      </c>
      <c r="G1216" s="7" t="inlineStr">
        <is>
          <t>CTN</t>
        </is>
      </c>
      <c r="H1216">
        <f>#N/A</f>
        <v/>
      </c>
    </row>
    <row r="1217" ht="14.25" customHeight="1" s="5">
      <c r="A1217" s="7" t="n">
        <v>5615</v>
      </c>
      <c r="B1217" s="7" t="inlineStr">
        <is>
          <t>JUMBO RED VARIATION 20 DC SF ENV TBGS</t>
        </is>
      </c>
      <c r="C1217" s="7" t="inlineStr">
        <is>
          <t>JUMBO</t>
        </is>
      </c>
      <c r="D1217" s="7" t="n">
        <v>5552</v>
      </c>
      <c r="E1217" s="7" t="inlineStr">
        <is>
          <t>JUMBO LOOSE ENV FOREST FRUIT DC SF ENV TBGS</t>
        </is>
      </c>
      <c r="F1217" s="7" t="n">
        <v>5</v>
      </c>
      <c r="G1217" s="7" t="inlineStr">
        <is>
          <t>ENV</t>
        </is>
      </c>
      <c r="H1217" t="inlineStr">
        <is>
          <t>BLEND FOREST FRUIT JUMBO TBC</t>
        </is>
      </c>
    </row>
    <row r="1218" ht="14.25" customHeight="1" s="5">
      <c r="A1218" s="7" t="n">
        <v>5615</v>
      </c>
      <c r="B1218" s="7" t="inlineStr">
        <is>
          <t>JUMBO RED VARIATION 20 DC SF ENV TBGS</t>
        </is>
      </c>
      <c r="C1218" s="7" t="inlineStr">
        <is>
          <t>JUMBO</t>
        </is>
      </c>
      <c r="D1218" s="7" t="n">
        <v>5543</v>
      </c>
      <c r="E1218" s="7" t="inlineStr">
        <is>
          <t>JUMBO LOOSE ENV STRAWBERRY DC SF ENV TBGS</t>
        </is>
      </c>
      <c r="F1218" s="7" t="n">
        <v>5</v>
      </c>
      <c r="G1218" s="7" t="inlineStr">
        <is>
          <t>ENV</t>
        </is>
      </c>
      <c r="H1218" t="inlineStr">
        <is>
          <t>BLEND STRAWBERRY JUMBO TBC</t>
        </is>
      </c>
    </row>
    <row r="1219" ht="14.25" customHeight="1" s="5">
      <c r="A1219" s="7" t="n">
        <v>5615</v>
      </c>
      <c r="B1219" s="7" t="inlineStr">
        <is>
          <t>JUMBO RED VARIATION 20 DC SF ENV TBGS</t>
        </is>
      </c>
      <c r="C1219" s="7" t="inlineStr">
        <is>
          <t>JUMBO</t>
        </is>
      </c>
      <c r="D1219" s="7" t="n">
        <v>5542</v>
      </c>
      <c r="E1219" s="7" t="inlineStr">
        <is>
          <t>JUMBO LOOSE ENV CHERRY DC SF ENV TBGS</t>
        </is>
      </c>
      <c r="F1219" s="7" t="n">
        <v>5</v>
      </c>
      <c r="G1219" s="7" t="inlineStr">
        <is>
          <t>ENV</t>
        </is>
      </c>
      <c r="H1219" t="inlineStr">
        <is>
          <t>BLEND CHERRY JUMBO TBC</t>
        </is>
      </c>
    </row>
    <row r="1220" ht="14.25" customHeight="1" s="5">
      <c r="A1220" s="7" t="n">
        <v>5615</v>
      </c>
      <c r="B1220" s="7" t="inlineStr">
        <is>
          <t>JUMBO RED VARIATION 20 DC SF ENV TBGS</t>
        </is>
      </c>
      <c r="C1220" s="7" t="inlineStr">
        <is>
          <t>JUMBO</t>
        </is>
      </c>
      <c r="D1220" s="7" t="n">
        <v>5551</v>
      </c>
      <c r="E1220" s="7" t="inlineStr">
        <is>
          <t>JUMBO LOOSE ENV BLACK CURRENT DC SF ENV TBGS</t>
        </is>
      </c>
      <c r="F1220" s="7" t="n">
        <v>5</v>
      </c>
      <c r="G1220" s="7" t="inlineStr">
        <is>
          <t>ENV</t>
        </is>
      </c>
      <c r="H1220" t="inlineStr">
        <is>
          <t>BLEND BLACKCURRANT JUMBO TBC</t>
        </is>
      </c>
    </row>
    <row r="1221" ht="14.25" customHeight="1" s="5">
      <c r="A1221" s="7" t="n">
        <v>5532</v>
      </c>
      <c r="B1221" s="7" t="inlineStr">
        <is>
          <t>JUMBO ROOIBOS HONEY 12/20 DC SF ENV TBGS</t>
        </is>
      </c>
      <c r="C1221" s="7" t="inlineStr">
        <is>
          <t>JUMBO</t>
        </is>
      </c>
      <c r="D1221" s="7" t="n">
        <v>5616</v>
      </c>
      <c r="E1221" s="7" t="inlineStr">
        <is>
          <t>JUMBO ROOIBOS HONEY 20 DC SF ENV TBGS</t>
        </is>
      </c>
      <c r="F1221" s="7" t="n">
        <v>12</v>
      </c>
      <c r="G1221" s="7" t="inlineStr">
        <is>
          <t>CTN</t>
        </is>
      </c>
      <c r="H1221" t="inlineStr">
        <is>
          <t>BLEND ROOIBOS HONEY JUMBO TBC</t>
        </is>
      </c>
    </row>
    <row r="1222" ht="14.25" customHeight="1" s="5">
      <c r="A1222" s="7" t="n">
        <v>5533</v>
      </c>
      <c r="B1222" s="7" t="inlineStr">
        <is>
          <t>JUMBO ROOIBOS MANGO PEACH 12/20 DC SF ENV TBGS</t>
        </is>
      </c>
      <c r="C1222" s="7" t="inlineStr">
        <is>
          <t>JUMBO</t>
        </is>
      </c>
      <c r="D1222" s="7" t="n">
        <v>5602</v>
      </c>
      <c r="E1222" s="7" t="inlineStr">
        <is>
          <t>JUMBO ROOIBOS MANGO PEACH 20 DC SF ENV TBGS</t>
        </is>
      </c>
      <c r="F1222" s="7" t="n">
        <v>12</v>
      </c>
      <c r="G1222" s="7" t="inlineStr">
        <is>
          <t>CTN</t>
        </is>
      </c>
      <c r="H1222" t="inlineStr">
        <is>
          <t>BLEND ROOIBOS MANGO PEACH JUMBO TBC</t>
        </is>
      </c>
    </row>
    <row r="1223" ht="14.25" customHeight="1" s="5">
      <c r="A1223" s="7" t="n">
        <v>5534</v>
      </c>
      <c r="B1223" s="7" t="inlineStr">
        <is>
          <t>JUMBO ROOIBOS ORIGINAL 12/20 DC SF ENV TBGS</t>
        </is>
      </c>
      <c r="C1223" s="7" t="inlineStr">
        <is>
          <t>JUMBO</t>
        </is>
      </c>
      <c r="D1223" s="7" t="n">
        <v>5598</v>
      </c>
      <c r="E1223" s="7" t="inlineStr">
        <is>
          <t>JUMBO ROOIBOS ORIGINAL 20 DC SF ENV TBGS</t>
        </is>
      </c>
      <c r="F1223" s="7" t="n">
        <v>12</v>
      </c>
      <c r="G1223" s="7" t="inlineStr">
        <is>
          <t>CTN</t>
        </is>
      </c>
      <c r="H1223" t="inlineStr">
        <is>
          <t>BLEND ROOIBOS SPICE JUMBO TBC</t>
        </is>
      </c>
    </row>
    <row r="1224" ht="14.25" customHeight="1" s="5">
      <c r="A1224" s="7" t="n">
        <v>5600</v>
      </c>
      <c r="B1224" s="7" t="inlineStr">
        <is>
          <t>JUMBO ROOIBOS ORIGINAL 12/40 DC SF ENV TBGS</t>
        </is>
      </c>
      <c r="C1224" s="7" t="inlineStr">
        <is>
          <t>JUMBO</t>
        </is>
      </c>
      <c r="D1224" s="7" t="n">
        <v>5596</v>
      </c>
      <c r="E1224" s="7" t="inlineStr">
        <is>
          <t>JUMBO ROOIBOS ORIGINAL 40 DC SF ENV TBGS</t>
        </is>
      </c>
      <c r="F1224" s="7" t="n">
        <v>12</v>
      </c>
      <c r="G1224" s="7" t="inlineStr">
        <is>
          <t>CTN</t>
        </is>
      </c>
      <c r="H1224" t="inlineStr">
        <is>
          <t>BLEND ROOIBOS SPICE JUMBO TBC</t>
        </is>
      </c>
    </row>
    <row r="1225" ht="14.25" customHeight="1" s="5">
      <c r="A1225" s="7" t="n">
        <v>5535</v>
      </c>
      <c r="B1225" s="7" t="inlineStr">
        <is>
          <t>JUMBO STRAWBERRY 12/20 DC SF ENV TBGS</t>
        </is>
      </c>
      <c r="C1225" s="7" t="inlineStr">
        <is>
          <t>JUMBO</t>
        </is>
      </c>
      <c r="D1225" s="7" t="n">
        <v>5593</v>
      </c>
      <c r="E1225" s="7" t="inlineStr">
        <is>
          <t>JUMBO STRAWBERRY 20 DC SF ENV TBGS</t>
        </is>
      </c>
      <c r="F1225" s="7" t="n">
        <v>12</v>
      </c>
      <c r="G1225" s="7" t="inlineStr">
        <is>
          <t>CTN</t>
        </is>
      </c>
      <c r="H1225" t="inlineStr">
        <is>
          <t>BLEND STRAWBERRY JUMBO TBC</t>
        </is>
      </c>
    </row>
    <row r="1226" ht="14.25" customHeight="1" s="5">
      <c r="A1226" s="7" t="n">
        <v>5536</v>
      </c>
      <c r="B1226" s="7" t="inlineStr">
        <is>
          <t>JUMBO YELLOW VARIATION 12/20 DC SF ENV TBGS</t>
        </is>
      </c>
      <c r="C1226" s="7" t="inlineStr">
        <is>
          <t>JUMBO</t>
        </is>
      </c>
      <c r="D1226" s="7" t="n">
        <v>5591</v>
      </c>
      <c r="E1226" s="7" t="inlineStr">
        <is>
          <t>JUMBO YELLOW VARIATION 20 DC SF ENV TBGS</t>
        </is>
      </c>
      <c r="F1226" s="7" t="n">
        <v>12</v>
      </c>
      <c r="G1226" s="7" t="inlineStr">
        <is>
          <t>CTN</t>
        </is>
      </c>
      <c r="H1226">
        <f>#N/A</f>
        <v/>
      </c>
    </row>
    <row r="1227" ht="14.25" customHeight="1" s="5">
      <c r="A1227" s="7" t="n">
        <v>5591</v>
      </c>
      <c r="B1227" s="7" t="inlineStr">
        <is>
          <t>JUMBO YELLOW VARIATION 20 DC SF ENV TBGS</t>
        </is>
      </c>
      <c r="C1227" s="7" t="inlineStr">
        <is>
          <t>JUMBO</t>
        </is>
      </c>
      <c r="D1227" s="7" t="n">
        <v>5553</v>
      </c>
      <c r="E1227" s="7" t="inlineStr">
        <is>
          <t>JUMBO LOOSE ENV LEMON DC SF ENV TBGS</t>
        </is>
      </c>
      <c r="F1227" s="7" t="n">
        <v>5</v>
      </c>
      <c r="G1227" s="7" t="inlineStr">
        <is>
          <t>ENV</t>
        </is>
      </c>
      <c r="H1227" t="inlineStr">
        <is>
          <t>BLEND LEMON JUMBO TBC</t>
        </is>
      </c>
    </row>
    <row r="1228" ht="14.25" customHeight="1" s="5">
      <c r="A1228" s="7" t="n">
        <v>5591</v>
      </c>
      <c r="B1228" s="7" t="inlineStr">
        <is>
          <t>JUMBO YELLOW VARIATION 20 DC SF ENV TBGS</t>
        </is>
      </c>
      <c r="C1228" s="7" t="inlineStr">
        <is>
          <t>JUMBO</t>
        </is>
      </c>
      <c r="D1228" s="7" t="n">
        <v>5552</v>
      </c>
      <c r="E1228" s="7" t="inlineStr">
        <is>
          <t>JUMBO LOOSE ENV FOREST FRUIT DC SF ENV TBGS</t>
        </is>
      </c>
      <c r="F1228" s="7" t="n">
        <v>5</v>
      </c>
      <c r="G1228" s="7" t="inlineStr">
        <is>
          <t>ENV</t>
        </is>
      </c>
      <c r="H1228" t="inlineStr">
        <is>
          <t>BLEND FOREST FRUIT JUMBO TBC</t>
        </is>
      </c>
    </row>
    <row r="1229" ht="14.25" customHeight="1" s="5">
      <c r="A1229" s="7" t="n">
        <v>5591</v>
      </c>
      <c r="B1229" s="7" t="inlineStr">
        <is>
          <t>JUMBO YELLOW VARIATION 20 DC SF ENV TBGS</t>
        </is>
      </c>
      <c r="C1229" s="7" t="inlineStr">
        <is>
          <t>JUMBO</t>
        </is>
      </c>
      <c r="D1229" s="7" t="n">
        <v>5554</v>
      </c>
      <c r="E1229" s="7" t="inlineStr">
        <is>
          <t>JUMBO LOOSE ENV ORANGE DC SF ENV TBGS</t>
        </is>
      </c>
      <c r="F1229" s="7" t="n">
        <v>5</v>
      </c>
      <c r="G1229" s="7" t="inlineStr">
        <is>
          <t>ENV</t>
        </is>
      </c>
      <c r="H1229" t="inlineStr">
        <is>
          <t>BLEND ORANGE JUMBO TBC</t>
        </is>
      </c>
    </row>
    <row r="1230" ht="14.25" customHeight="1" s="5">
      <c r="A1230" s="7" t="n">
        <v>5591</v>
      </c>
      <c r="B1230" s="7" t="inlineStr">
        <is>
          <t>JUMBO YELLOW VARIATION 20 DC SF ENV TBGS</t>
        </is>
      </c>
      <c r="C1230" s="7" t="inlineStr">
        <is>
          <t>JUMBO</t>
        </is>
      </c>
      <c r="D1230" s="7" t="n">
        <v>5555</v>
      </c>
      <c r="E1230" s="7" t="inlineStr">
        <is>
          <t>JUMBO LOOSE ENV PEACH DC SF ENV TBGS</t>
        </is>
      </c>
      <c r="F1230" s="7" t="n">
        <v>5</v>
      </c>
      <c r="G1230" s="7" t="inlineStr">
        <is>
          <t>ENV</t>
        </is>
      </c>
      <c r="H1230" t="inlineStr">
        <is>
          <t>BLEND PEACH JUMBO TBC</t>
        </is>
      </c>
    </row>
    <row r="1231" ht="14.25" customHeight="1" s="5">
      <c r="A1231" s="7" t="n">
        <v>23786</v>
      </c>
      <c r="B1231" s="7" t="inlineStr">
        <is>
          <t>KEEFE 10/100 SC ENV TBGS</t>
        </is>
      </c>
      <c r="C1231" s="7" t="inlineStr">
        <is>
          <t>KEEFE</t>
        </is>
      </c>
      <c r="D1231" s="7" t="n">
        <v>26080</v>
      </c>
      <c r="E1231" s="7" t="inlineStr">
        <is>
          <t>KEEFE 100 SC ENV TBGS</t>
        </is>
      </c>
      <c r="F1231" s="7" t="n">
        <v>10</v>
      </c>
      <c r="G1231" s="7" t="inlineStr">
        <is>
          <t>CTN</t>
        </is>
      </c>
      <c r="H1231" t="inlineStr">
        <is>
          <t>BLEND 7022</t>
        </is>
      </c>
    </row>
    <row r="1232" ht="14.25" customHeight="1" s="5">
      <c r="A1232" s="7" t="n">
        <v>23604</v>
      </c>
      <c r="B1232" s="7" t="inlineStr">
        <is>
          <t>KEEFE 24/48 SC ENV TBGS</t>
        </is>
      </c>
      <c r="C1232" s="7" t="inlineStr">
        <is>
          <t>KEEFE</t>
        </is>
      </c>
      <c r="D1232" s="7" t="n">
        <v>23662</v>
      </c>
      <c r="E1232" s="7" t="inlineStr">
        <is>
          <t>KEEFE 48 SC ENV TBGS</t>
        </is>
      </c>
      <c r="F1232" s="7" t="n">
        <v>24</v>
      </c>
      <c r="G1232" s="7" t="inlineStr">
        <is>
          <t>CTN</t>
        </is>
      </c>
      <c r="H1232" t="inlineStr">
        <is>
          <t>BLEND 7022</t>
        </is>
      </c>
    </row>
    <row r="1233" ht="14.25" customHeight="1" s="5">
      <c r="A1233" s="7" t="n">
        <v>2343</v>
      </c>
      <c r="B1233" s="7" t="inlineStr">
        <is>
          <t>KHAIMA 12/100 DC ENV TBGS</t>
        </is>
      </c>
      <c r="C1233" s="7" t="inlineStr">
        <is>
          <t>KHAIMA</t>
        </is>
      </c>
      <c r="D1233" s="7" t="n">
        <v>2344</v>
      </c>
      <c r="E1233" s="7" t="inlineStr">
        <is>
          <t>KHAIMA 100 DC ENV TBGS</t>
        </is>
      </c>
      <c r="F1233" s="7" t="n">
        <v>12</v>
      </c>
      <c r="G1233" s="7" t="inlineStr">
        <is>
          <t>CTN</t>
        </is>
      </c>
      <c r="H1233" t="inlineStr">
        <is>
          <t>BLEND A-132</t>
        </is>
      </c>
    </row>
    <row r="1234" ht="14.25" customHeight="1" s="5">
      <c r="A1234" s="7" t="n">
        <v>27292</v>
      </c>
      <c r="B1234" s="7" t="inlineStr">
        <is>
          <t>KHAIMA 12/106 DC ENV TBGS</t>
        </is>
      </c>
      <c r="C1234" s="7" t="inlineStr">
        <is>
          <t>KHAIMA</t>
        </is>
      </c>
      <c r="D1234" s="7" t="n">
        <v>2353</v>
      </c>
      <c r="E1234" s="7" t="inlineStr">
        <is>
          <t>KHAIMA 106 DC ENV TBGS</t>
        </is>
      </c>
      <c r="F1234" s="7" t="n">
        <v>12</v>
      </c>
      <c r="G1234" s="7" t="inlineStr">
        <is>
          <t>CTN</t>
        </is>
      </c>
      <c r="H1234" t="inlineStr">
        <is>
          <t>BLEND A-132</t>
        </is>
      </c>
    </row>
    <row r="1235" ht="14.25" customHeight="1" s="5">
      <c r="A1235" s="7" t="n">
        <v>2352</v>
      </c>
      <c r="B1235" s="7" t="inlineStr">
        <is>
          <t>KHAIMA 12/106 DC ENV TBGS WITH SPOON</t>
        </is>
      </c>
      <c r="C1235" s="7" t="inlineStr">
        <is>
          <t>KHAIMA</t>
        </is>
      </c>
      <c r="D1235" s="7" t="n">
        <v>2353</v>
      </c>
      <c r="E1235" s="7" t="inlineStr">
        <is>
          <t>KHAIMA 106 DC ENV TBGS</t>
        </is>
      </c>
      <c r="F1235" s="7" t="n">
        <v>12</v>
      </c>
      <c r="G1235" s="7" t="inlineStr">
        <is>
          <t>CTN</t>
        </is>
      </c>
      <c r="H1235" t="inlineStr">
        <is>
          <t>BLEND A-132</t>
        </is>
      </c>
    </row>
    <row r="1236" ht="14.25" customHeight="1" s="5">
      <c r="A1236" s="7" t="n">
        <v>2356</v>
      </c>
      <c r="B1236" s="7" t="inlineStr">
        <is>
          <t>KHAIMA 40/25 DC ENV TBGS</t>
        </is>
      </c>
      <c r="C1236" s="7" t="inlineStr">
        <is>
          <t>KHAIMA</t>
        </is>
      </c>
      <c r="D1236" s="7" t="n">
        <v>2357</v>
      </c>
      <c r="E1236" s="7" t="inlineStr">
        <is>
          <t>KHAIMA 25 DC ENV TBGS</t>
        </is>
      </c>
      <c r="F1236" s="7" t="n">
        <v>40</v>
      </c>
      <c r="G1236" s="7" t="inlineStr">
        <is>
          <t>CTN</t>
        </is>
      </c>
      <c r="H1236" t="inlineStr">
        <is>
          <t>BLEND A-132</t>
        </is>
      </c>
    </row>
    <row r="1237" ht="14.25" customHeight="1" s="5">
      <c r="A1237" s="7" t="n">
        <v>2360</v>
      </c>
      <c r="B1237" s="7" t="inlineStr">
        <is>
          <t>KHAIMA 40/27 DC ENV TBGS</t>
        </is>
      </c>
      <c r="C1237" s="7" t="inlineStr">
        <is>
          <t>KHAIMA</t>
        </is>
      </c>
      <c r="D1237" s="7" t="n">
        <v>2361</v>
      </c>
      <c r="E1237" s="7" t="inlineStr">
        <is>
          <t>KHAIMA 27 DC ENV TBGS</t>
        </is>
      </c>
      <c r="F1237" s="7" t="n">
        <v>40</v>
      </c>
      <c r="G1237" s="7" t="inlineStr">
        <is>
          <t>CTN</t>
        </is>
      </c>
      <c r="H1237">
        <f>#N/A</f>
        <v/>
      </c>
    </row>
    <row r="1238" ht="14.25" customHeight="1" s="5">
      <c r="A1238" s="7" t="n">
        <v>34941</v>
      </c>
      <c r="B1238" s="7" t="inlineStr">
        <is>
          <t>KHAIMA CINNAMON 45/25 DC ENV TBGS</t>
        </is>
      </c>
      <c r="C1238" s="7" t="inlineStr">
        <is>
          <t>KHAIMA</t>
        </is>
      </c>
      <c r="D1238" s="7" t="n">
        <v>34580</v>
      </c>
      <c r="E1238" s="7" t="inlineStr">
        <is>
          <t>KHAIMA CINNAMON 25 DC ENV TBGS</t>
        </is>
      </c>
      <c r="F1238" s="7" t="n">
        <v>45</v>
      </c>
      <c r="G1238" s="7" t="inlineStr">
        <is>
          <t>CTN</t>
        </is>
      </c>
      <c r="H1238" t="inlineStr">
        <is>
          <t>BLEND BLACK TEA CINNAMON SPICE TBC - AF</t>
        </is>
      </c>
    </row>
    <row r="1239" ht="14.25" customHeight="1" s="5">
      <c r="A1239" s="7" t="n">
        <v>34186</v>
      </c>
      <c r="B1239" s="7" t="inlineStr">
        <is>
          <t>KHAIMA CLOVE 24/25 DC ENV TBGS</t>
        </is>
      </c>
      <c r="C1239" s="7" t="inlineStr">
        <is>
          <t>KHAIMA</t>
        </is>
      </c>
      <c r="D1239" s="7" t="n">
        <v>34232</v>
      </c>
      <c r="E1239" s="7" t="inlineStr">
        <is>
          <t>KHAIMA CLOVE 25 DC ENV TBGS</t>
        </is>
      </c>
      <c r="F1239" s="7" t="n">
        <v>24</v>
      </c>
      <c r="G1239" s="7" t="inlineStr">
        <is>
          <t>CTN</t>
        </is>
      </c>
      <c r="H1239" t="inlineStr">
        <is>
          <t>BLEND BLACK TEA CLOVE TBC</t>
        </is>
      </c>
    </row>
    <row r="1240" ht="14.25" customHeight="1" s="5">
      <c r="A1240" s="7" t="n">
        <v>34940</v>
      </c>
      <c r="B1240" s="7" t="inlineStr">
        <is>
          <t>KHAIMA CLOVE 45/25 DC ENV TBGS</t>
        </is>
      </c>
      <c r="C1240" s="7" t="inlineStr">
        <is>
          <t>KHAIMA</t>
        </is>
      </c>
      <c r="D1240" s="7" t="n">
        <v>34232</v>
      </c>
      <c r="E1240" s="7" t="inlineStr">
        <is>
          <t>KHAIMA CLOVE 25 DC ENV TBGS</t>
        </is>
      </c>
      <c r="F1240" s="7" t="n">
        <v>45</v>
      </c>
      <c r="G1240" s="7" t="inlineStr">
        <is>
          <t>CTN</t>
        </is>
      </c>
      <c r="H1240" t="inlineStr">
        <is>
          <t>BLEND BLACK TEA CLOVE TBC</t>
        </is>
      </c>
    </row>
    <row r="1241" ht="14.25" customHeight="1" s="5">
      <c r="A1241" s="7" t="n">
        <v>27022</v>
      </c>
      <c r="B1241" s="7" t="inlineStr">
        <is>
          <t>KHAIMA CRANBERRY APPLE 24/25 DC ENV TBGS</t>
        </is>
      </c>
      <c r="C1241" s="7" t="inlineStr">
        <is>
          <t>KHAIMA</t>
        </is>
      </c>
      <c r="D1241" s="7" t="n">
        <v>24553</v>
      </c>
      <c r="E1241" s="7" t="inlineStr">
        <is>
          <t>KHAIMA CRANBERRY APPLE 25 DC ENV TBGS</t>
        </is>
      </c>
      <c r="F1241" s="7" t="n">
        <v>24</v>
      </c>
      <c r="G1241" s="7" t="inlineStr">
        <is>
          <t>CTN</t>
        </is>
      </c>
      <c r="H1241" t="inlineStr">
        <is>
          <t>BLEND CRANBERRY APPLE</t>
        </is>
      </c>
    </row>
    <row r="1242" ht="14.25" customHeight="1" s="5">
      <c r="A1242" s="7" t="n">
        <v>23621</v>
      </c>
      <c r="B1242" s="7" t="inlineStr">
        <is>
          <t>KHAIMA CRANBERRY APPLE 45/25 DC ENV TBGS</t>
        </is>
      </c>
      <c r="C1242" s="7" t="inlineStr">
        <is>
          <t>KHAIMA</t>
        </is>
      </c>
      <c r="D1242" s="7" t="n">
        <v>24553</v>
      </c>
      <c r="E1242" s="7" t="inlineStr">
        <is>
          <t>KHAIMA CRANBERRY APPLE 25 DC ENV TBGS</t>
        </is>
      </c>
      <c r="F1242" s="7" t="n">
        <v>45</v>
      </c>
      <c r="G1242" s="7" t="inlineStr">
        <is>
          <t>CTN</t>
        </is>
      </c>
      <c r="H1242" t="inlineStr">
        <is>
          <t>BLEND CRANBERRY APPLE</t>
        </is>
      </c>
    </row>
    <row r="1243" ht="14.25" customHeight="1" s="5">
      <c r="A1243" s="7" t="n">
        <v>35307</v>
      </c>
      <c r="B1243" s="7" t="inlineStr">
        <is>
          <t>KHAIMA CRANBERRY CLOVE 24/25 DC ENV TBGS</t>
        </is>
      </c>
      <c r="C1243" s="7" t="inlineStr">
        <is>
          <t>KHAIMA</t>
        </is>
      </c>
      <c r="D1243" s="7" t="n">
        <v>35311</v>
      </c>
      <c r="E1243" s="7" t="inlineStr">
        <is>
          <t>KHAIMA CRANBERRY CLOVE 25 DC ENV TBGS</t>
        </is>
      </c>
      <c r="F1243" s="7" t="n">
        <v>24</v>
      </c>
      <c r="G1243" s="7" t="inlineStr">
        <is>
          <t>CTN</t>
        </is>
      </c>
      <c r="H1243" t="inlineStr">
        <is>
          <t>BLEND FRUITY CRANBERRY CLOVE TB AF</t>
        </is>
      </c>
    </row>
    <row r="1244" ht="14.25" customHeight="1" s="5">
      <c r="A1244" s="7" t="n">
        <v>23063</v>
      </c>
      <c r="B1244" s="7" t="inlineStr">
        <is>
          <t>KHAIMA GINGER 24/25 DC ENV TBGS</t>
        </is>
      </c>
      <c r="C1244" s="7" t="inlineStr">
        <is>
          <t>KHAIMA</t>
        </is>
      </c>
      <c r="D1244" s="7" t="n">
        <v>23085</v>
      </c>
      <c r="E1244" s="7" t="inlineStr">
        <is>
          <t>KHAIMA GINGER 25 DC ENV TBGS</t>
        </is>
      </c>
      <c r="F1244" s="7" t="n">
        <v>24</v>
      </c>
      <c r="G1244" s="7" t="inlineStr">
        <is>
          <t>CTN</t>
        </is>
      </c>
      <c r="H1244" t="inlineStr">
        <is>
          <t>BLEND AF BLACK TEA  GINGER TBGS</t>
        </is>
      </c>
    </row>
    <row r="1245" ht="14.25" customHeight="1" s="5">
      <c r="A1245" s="7" t="n">
        <v>21621</v>
      </c>
      <c r="B1245" s="7" t="inlineStr">
        <is>
          <t>KHAIMA GINGER 24/25 SC ENV TBGS</t>
        </is>
      </c>
      <c r="C1245" s="7" t="inlineStr">
        <is>
          <t>KHAIMA</t>
        </is>
      </c>
      <c r="D1245" s="7" t="n">
        <v>2371</v>
      </c>
      <c r="E1245" s="7" t="inlineStr">
        <is>
          <t>KHAIMA GINGER 25 SC ENV TBGS</t>
        </is>
      </c>
      <c r="F1245" s="7" t="n">
        <v>24</v>
      </c>
      <c r="G1245" s="7" t="inlineStr">
        <is>
          <t>CTN</t>
        </is>
      </c>
      <c r="H1245">
        <f>#N/A</f>
        <v/>
      </c>
    </row>
    <row r="1246" ht="14.25" customHeight="1" s="5">
      <c r="A1246" s="7" t="n">
        <v>26069</v>
      </c>
      <c r="B1246" s="7" t="inlineStr">
        <is>
          <t>KHAIMA GINGER 45/25 DC ENV TBGS</t>
        </is>
      </c>
      <c r="C1246" s="7" t="inlineStr">
        <is>
          <t>KHAIMA</t>
        </is>
      </c>
      <c r="D1246" s="7" t="n">
        <v>23085</v>
      </c>
      <c r="E1246" s="7" t="inlineStr">
        <is>
          <t>KHAIMA GINGER 25 DC ENV TBGS</t>
        </is>
      </c>
      <c r="F1246" s="7" t="n">
        <v>45</v>
      </c>
      <c r="G1246" s="7" t="inlineStr">
        <is>
          <t>CTN</t>
        </is>
      </c>
      <c r="H1246" t="inlineStr">
        <is>
          <t>BLEND AF BLACK TEA  GINGER TBGS</t>
        </is>
      </c>
    </row>
    <row r="1247" ht="14.25" customHeight="1" s="5">
      <c r="A1247" s="7" t="n">
        <v>23062</v>
      </c>
      <c r="B1247" s="7" t="inlineStr">
        <is>
          <t>KHAIMA LEMON 24/25 DC ENV TBGS</t>
        </is>
      </c>
      <c r="C1247" s="7" t="inlineStr">
        <is>
          <t>KHAIMA</t>
        </is>
      </c>
      <c r="D1247" s="7" t="n">
        <v>23086</v>
      </c>
      <c r="E1247" s="7" t="inlineStr">
        <is>
          <t>KHAIMA LEMON 25 DC ENV TBGS</t>
        </is>
      </c>
      <c r="F1247" s="7" t="n">
        <v>24</v>
      </c>
      <c r="G1247" s="7" t="inlineStr">
        <is>
          <t>CTN</t>
        </is>
      </c>
      <c r="H1247" t="inlineStr">
        <is>
          <t>BLEND BLACK TEA LEMON TB</t>
        </is>
      </c>
    </row>
    <row r="1248" ht="14.25" customHeight="1" s="5">
      <c r="A1248" s="7" t="n">
        <v>21622</v>
      </c>
      <c r="B1248" s="7" t="inlineStr">
        <is>
          <t>KHAIMA LEMON 24/25 SC ENV TBGS</t>
        </is>
      </c>
      <c r="C1248" s="7" t="inlineStr">
        <is>
          <t>KHAIMA</t>
        </is>
      </c>
      <c r="D1248" s="7" t="n">
        <v>2376</v>
      </c>
      <c r="E1248" s="7" t="inlineStr">
        <is>
          <t>KHAIMA LEMON 25 SC ENV TBGS</t>
        </is>
      </c>
      <c r="F1248" s="7" t="n">
        <v>24</v>
      </c>
      <c r="G1248" s="7" t="inlineStr">
        <is>
          <t>CTN</t>
        </is>
      </c>
      <c r="H1248">
        <f>#N/A</f>
        <v/>
      </c>
    </row>
    <row r="1249" ht="14.25" customHeight="1" s="5">
      <c r="A1249" s="7" t="n">
        <v>26073</v>
      </c>
      <c r="B1249" s="7" t="inlineStr">
        <is>
          <t>KHAIMA LEMON 45/25 DC ENV TBGS</t>
        </is>
      </c>
      <c r="C1249" s="7" t="inlineStr">
        <is>
          <t>KHAIMA</t>
        </is>
      </c>
      <c r="D1249" s="7" t="n">
        <v>23086</v>
      </c>
      <c r="E1249" s="7" t="inlineStr">
        <is>
          <t>KHAIMA LEMON 25 DC ENV TBGS</t>
        </is>
      </c>
      <c r="F1249" s="7" t="n">
        <v>45</v>
      </c>
      <c r="G1249" s="7" t="inlineStr">
        <is>
          <t>CTN</t>
        </is>
      </c>
      <c r="H1249" t="inlineStr">
        <is>
          <t>BLEND BLACK TEA LEMON TB</t>
        </is>
      </c>
    </row>
    <row r="1250" ht="14.25" customHeight="1" s="5">
      <c r="A1250" s="7" t="n">
        <v>2375</v>
      </c>
      <c r="B1250" s="7" t="inlineStr">
        <is>
          <t>KHAIMA LEMON 45/25 SC ENV TBGS</t>
        </is>
      </c>
      <c r="C1250" s="7" t="inlineStr">
        <is>
          <t>KHAIMA</t>
        </is>
      </c>
      <c r="D1250" s="7" t="n">
        <v>2376</v>
      </c>
      <c r="E1250" s="7" t="inlineStr">
        <is>
          <t>KHAIMA LEMON 25 SC ENV TBGS</t>
        </is>
      </c>
      <c r="F1250" s="7" t="n">
        <v>45</v>
      </c>
      <c r="G1250" s="7" t="inlineStr">
        <is>
          <t>CTN</t>
        </is>
      </c>
      <c r="H1250">
        <f>#N/A</f>
        <v/>
      </c>
    </row>
    <row r="1251" ht="14.25" customHeight="1" s="5">
      <c r="A1251" s="7" t="n">
        <v>27017</v>
      </c>
      <c r="B1251" s="7" t="inlineStr">
        <is>
          <t>KHAIMA MANGO  24/25 DC ENV TBGS</t>
        </is>
      </c>
      <c r="C1251" s="7" t="inlineStr">
        <is>
          <t>KHAIMA</t>
        </is>
      </c>
      <c r="D1251" s="7" t="n">
        <v>26527</v>
      </c>
      <c r="E1251" s="7" t="inlineStr">
        <is>
          <t>KHAIMA MANGO 25 DC ENV TBGS</t>
        </is>
      </c>
      <c r="F1251" s="7" t="n">
        <v>24</v>
      </c>
      <c r="G1251" s="7" t="inlineStr">
        <is>
          <t>CTN</t>
        </is>
      </c>
      <c r="H1251" t="inlineStr">
        <is>
          <t>BLEND AF BLACK TEA WITH MANGO TBGS</t>
        </is>
      </c>
    </row>
    <row r="1252" ht="14.25" customHeight="1" s="5">
      <c r="A1252" s="7" t="n">
        <v>26076</v>
      </c>
      <c r="B1252" s="7" t="inlineStr">
        <is>
          <t>KHAIMA MANGO 45/25 DC ENV TBGS</t>
        </is>
      </c>
      <c r="C1252" s="7" t="inlineStr">
        <is>
          <t>KHAIMA</t>
        </is>
      </c>
      <c r="D1252" s="7" t="n">
        <v>26527</v>
      </c>
      <c r="E1252" s="7" t="inlineStr">
        <is>
          <t>KHAIMA MANGO 25 DC ENV TBGS</t>
        </is>
      </c>
      <c r="F1252" s="7" t="n">
        <v>45</v>
      </c>
      <c r="G1252" s="7" t="inlineStr">
        <is>
          <t>CTN</t>
        </is>
      </c>
      <c r="H1252" t="inlineStr">
        <is>
          <t>BLEND AF BLACK TEA WITH MANGO TBGS</t>
        </is>
      </c>
    </row>
    <row r="1253" ht="14.25" customHeight="1" s="5">
      <c r="A1253" s="7" t="n">
        <v>2381</v>
      </c>
      <c r="B1253" s="7" t="inlineStr">
        <is>
          <t>KHAIMA MANGO 45/25 SC ENV TBGS</t>
        </is>
      </c>
      <c r="C1253" s="7" t="inlineStr">
        <is>
          <t>KHAIMA</t>
        </is>
      </c>
      <c r="D1253" s="7" t="n">
        <v>2382</v>
      </c>
      <c r="E1253" s="7" t="inlineStr">
        <is>
          <t>KHAIMA MANGO 25 SC ENV TBGS</t>
        </is>
      </c>
      <c r="F1253" s="7" t="n">
        <v>45</v>
      </c>
      <c r="G1253" s="7" t="inlineStr">
        <is>
          <t>CTN</t>
        </is>
      </c>
      <c r="H1253">
        <f>#N/A</f>
        <v/>
      </c>
    </row>
    <row r="1254" ht="14.25" customHeight="1" s="5">
      <c r="A1254" s="7" t="n">
        <v>23061</v>
      </c>
      <c r="B1254" s="7" t="inlineStr">
        <is>
          <t>KHAIMA MINT 24/25 DC ENV TBGS</t>
        </is>
      </c>
      <c r="C1254" s="7" t="inlineStr">
        <is>
          <t>KHAIMA</t>
        </is>
      </c>
      <c r="D1254" s="7" t="n">
        <v>23065</v>
      </c>
      <c r="E1254" s="7" t="inlineStr">
        <is>
          <t>KHAIMA MINT 25 DC ENV TBGS</t>
        </is>
      </c>
      <c r="F1254" s="7" t="n">
        <v>24</v>
      </c>
      <c r="G1254" s="7" t="inlineStr">
        <is>
          <t>CTN</t>
        </is>
      </c>
      <c r="H1254" t="inlineStr">
        <is>
          <t>BLEND AF BLACK TEA MINT TBGS</t>
        </is>
      </c>
    </row>
    <row r="1255" ht="14.25" customHeight="1" s="5">
      <c r="A1255" s="7" t="n">
        <v>21623</v>
      </c>
      <c r="B1255" s="7" t="inlineStr">
        <is>
          <t>KHAIMA MINT 24/25 SC ENV TBGS</t>
        </is>
      </c>
      <c r="C1255" s="7" t="inlineStr">
        <is>
          <t>KHAIMA</t>
        </is>
      </c>
      <c r="D1255" s="7" t="n">
        <v>2387</v>
      </c>
      <c r="E1255" s="7" t="inlineStr">
        <is>
          <t>KHAIMA MINT 25 SC ENV TBGS</t>
        </is>
      </c>
      <c r="F1255" s="7" t="n">
        <v>24</v>
      </c>
      <c r="G1255" s="7" t="inlineStr">
        <is>
          <t>CTN</t>
        </is>
      </c>
      <c r="H1255">
        <f>#N/A</f>
        <v/>
      </c>
    </row>
    <row r="1256" ht="14.25" customHeight="1" s="5">
      <c r="A1256" s="7" t="n">
        <v>26071</v>
      </c>
      <c r="B1256" s="7" t="inlineStr">
        <is>
          <t>KHAIMA MINT 45/25 DC ENV TBGS</t>
        </is>
      </c>
      <c r="C1256" s="7" t="inlineStr">
        <is>
          <t>KHAIMA</t>
        </is>
      </c>
      <c r="D1256" s="7" t="n">
        <v>23065</v>
      </c>
      <c r="E1256" s="7" t="inlineStr">
        <is>
          <t>KHAIMA MINT 25 DC ENV TBGS</t>
        </is>
      </c>
      <c r="F1256" s="7" t="n">
        <v>45</v>
      </c>
      <c r="G1256" s="7" t="inlineStr">
        <is>
          <t>CTN</t>
        </is>
      </c>
      <c r="H1256" t="inlineStr">
        <is>
          <t>BLEND AF BLACK TEA MINT TBGS</t>
        </is>
      </c>
    </row>
    <row r="1257" ht="14.25" customHeight="1" s="5">
      <c r="A1257" s="7" t="n">
        <v>2386</v>
      </c>
      <c r="B1257" s="7" t="inlineStr">
        <is>
          <t>KHAIMA MINT 45/25 SC ENV TBGS</t>
        </is>
      </c>
      <c r="C1257" s="7" t="inlineStr">
        <is>
          <t>KHAIMA</t>
        </is>
      </c>
      <c r="D1257" s="7" t="n">
        <v>2387</v>
      </c>
      <c r="E1257" s="7" t="inlineStr">
        <is>
          <t>KHAIMA MINT 25 SC ENV TBGS</t>
        </is>
      </c>
      <c r="F1257" s="7" t="n">
        <v>45</v>
      </c>
      <c r="G1257" s="7" t="inlineStr">
        <is>
          <t>CTN</t>
        </is>
      </c>
      <c r="H1257">
        <f>#N/A</f>
        <v/>
      </c>
    </row>
    <row r="1258" ht="14.25" customHeight="1" s="5">
      <c r="A1258" s="7" t="n">
        <v>27015</v>
      </c>
      <c r="B1258" s="7" t="inlineStr">
        <is>
          <t>KHAIMA ORANGE 24/25 DC ENV TBGS</t>
        </is>
      </c>
      <c r="C1258" s="7" t="inlineStr">
        <is>
          <t>KHAIMA</t>
        </is>
      </c>
      <c r="D1258" s="7" t="n">
        <v>26528</v>
      </c>
      <c r="E1258" s="7" t="inlineStr">
        <is>
          <t>KHAIMA ORANGE 25 DC ENV TBGS</t>
        </is>
      </c>
      <c r="F1258" s="7" t="n">
        <v>24</v>
      </c>
      <c r="G1258" s="7" t="inlineStr">
        <is>
          <t>CTN</t>
        </is>
      </c>
      <c r="H1258" t="inlineStr">
        <is>
          <t>BLEND AX-BLACK ORANGE TB</t>
        </is>
      </c>
    </row>
    <row r="1259" ht="14.25" customHeight="1" s="5">
      <c r="A1259" s="7" t="n">
        <v>26072</v>
      </c>
      <c r="B1259" s="7" t="inlineStr">
        <is>
          <t>KHAIMA ORANGE 45/25 DC ENV TBGS</t>
        </is>
      </c>
      <c r="C1259" s="7" t="inlineStr">
        <is>
          <t>KHAIMA</t>
        </is>
      </c>
      <c r="D1259" s="7" t="n">
        <v>26528</v>
      </c>
      <c r="E1259" s="7" t="inlineStr">
        <is>
          <t>KHAIMA ORANGE 25 DC ENV TBGS</t>
        </is>
      </c>
      <c r="F1259" s="7" t="n">
        <v>45</v>
      </c>
      <c r="G1259" s="7" t="inlineStr">
        <is>
          <t>CTN</t>
        </is>
      </c>
      <c r="H1259" t="inlineStr">
        <is>
          <t>BLEND AX-BLACK ORANGE TB</t>
        </is>
      </c>
    </row>
    <row r="1260" ht="14.25" customHeight="1" s="5">
      <c r="A1260" s="7" t="n">
        <v>2391</v>
      </c>
      <c r="B1260" s="7" t="inlineStr">
        <is>
          <t>KHAIMA ORANGE 45/25 SC ENV TBGS</t>
        </is>
      </c>
      <c r="C1260" s="7" t="inlineStr">
        <is>
          <t>KHAIMA</t>
        </is>
      </c>
      <c r="D1260" s="7" t="n">
        <v>2392</v>
      </c>
      <c r="E1260" s="7" t="inlineStr">
        <is>
          <t>KHAIMA ORANGE 25 SC ENV TBGS</t>
        </is>
      </c>
      <c r="F1260" s="7" t="n">
        <v>45</v>
      </c>
      <c r="G1260" s="7" t="inlineStr">
        <is>
          <t>CTN</t>
        </is>
      </c>
      <c r="H1260">
        <f>#N/A</f>
        <v/>
      </c>
    </row>
    <row r="1261" ht="14.25" customHeight="1" s="5">
      <c r="A1261" s="7" t="n">
        <v>36680</v>
      </c>
      <c r="B1261" s="7" t="inlineStr">
        <is>
          <t>KHAIMA PEACH 24/25 DC ENV TBGS</t>
        </is>
      </c>
      <c r="C1261" s="7" t="inlineStr">
        <is>
          <t>KHAIMA</t>
        </is>
      </c>
      <c r="D1261" s="7" t="n">
        <v>26529</v>
      </c>
      <c r="E1261" s="7" t="inlineStr">
        <is>
          <t>KHAIMA PEACH 25 DC ENV TBGS</t>
        </is>
      </c>
      <c r="F1261" s="7" t="n">
        <v>24</v>
      </c>
      <c r="G1261" s="7" t="inlineStr">
        <is>
          <t>CTN</t>
        </is>
      </c>
      <c r="H1261" t="inlineStr">
        <is>
          <t>BLEND BLACK TEA PEACH TB</t>
        </is>
      </c>
    </row>
    <row r="1262" ht="14.25" customHeight="1" s="5">
      <c r="A1262" s="7" t="n">
        <v>26075</v>
      </c>
      <c r="B1262" s="7" t="inlineStr">
        <is>
          <t>KHAIMA PEACH 45/25 DC ENV TBGS</t>
        </is>
      </c>
      <c r="C1262" s="7" t="inlineStr">
        <is>
          <t>KHAIMA</t>
        </is>
      </c>
      <c r="D1262" s="7" t="n">
        <v>26529</v>
      </c>
      <c r="E1262" s="7" t="inlineStr">
        <is>
          <t>KHAIMA PEACH 25 DC ENV TBGS</t>
        </is>
      </c>
      <c r="F1262" s="7" t="n">
        <v>45</v>
      </c>
      <c r="G1262" s="7" t="inlineStr">
        <is>
          <t>CTN</t>
        </is>
      </c>
      <c r="H1262" t="inlineStr">
        <is>
          <t>BLEND BLACK TEA PEACH TB</t>
        </is>
      </c>
    </row>
    <row r="1263" ht="14.25" customHeight="1" s="5">
      <c r="A1263" s="7" t="n">
        <v>2396</v>
      </c>
      <c r="B1263" s="7" t="inlineStr">
        <is>
          <t>KHAIMA PEACH 45/25 SC ENV TBGS</t>
        </is>
      </c>
      <c r="C1263" s="7" t="inlineStr">
        <is>
          <t>KHAIMA</t>
        </is>
      </c>
      <c r="D1263" s="7" t="n">
        <v>2397</v>
      </c>
      <c r="E1263" s="7" t="inlineStr">
        <is>
          <t>KHAIMA PEACH 25 SC ENV TBGS</t>
        </is>
      </c>
      <c r="F1263" s="7" t="n">
        <v>45</v>
      </c>
      <c r="G1263" s="7" t="inlineStr">
        <is>
          <t>CTN</t>
        </is>
      </c>
      <c r="H1263">
        <f>#N/A</f>
        <v/>
      </c>
    </row>
    <row r="1264" ht="14.25" customHeight="1" s="5">
      <c r="A1264" s="7" t="n">
        <v>27016</v>
      </c>
      <c r="B1264" s="7" t="inlineStr">
        <is>
          <t>KHAIMA PINEAPPLE  24/25 DC ENV TBGS</t>
        </is>
      </c>
      <c r="C1264" s="7" t="inlineStr">
        <is>
          <t>KHAIMA</t>
        </is>
      </c>
      <c r="D1264" s="7" t="n">
        <v>26530</v>
      </c>
      <c r="E1264" s="7" t="inlineStr">
        <is>
          <t>KHAIMA PINEAPPLE 25 DC ENV TBGS</t>
        </is>
      </c>
      <c r="F1264" s="7" t="n">
        <v>24</v>
      </c>
      <c r="G1264" s="7" t="inlineStr">
        <is>
          <t>CTN</t>
        </is>
      </c>
      <c r="H1264" t="inlineStr">
        <is>
          <t>BLEND BLACK TEA PINEAPPLE TB</t>
        </is>
      </c>
    </row>
    <row r="1265" ht="14.25" customHeight="1" s="5">
      <c r="A1265" s="7" t="n">
        <v>26074</v>
      </c>
      <c r="B1265" s="7" t="inlineStr">
        <is>
          <t>KHAIMA PINEAPPLE 45/25 DC ENV TBGS</t>
        </is>
      </c>
      <c r="C1265" s="7" t="inlineStr">
        <is>
          <t>KHAIMA</t>
        </is>
      </c>
      <c r="D1265" s="7" t="n">
        <v>26530</v>
      </c>
      <c r="E1265" s="7" t="inlineStr">
        <is>
          <t>KHAIMA PINEAPPLE 25 DC ENV TBGS</t>
        </is>
      </c>
      <c r="F1265" s="7" t="n">
        <v>45</v>
      </c>
      <c r="G1265" s="7" t="inlineStr">
        <is>
          <t>CTN</t>
        </is>
      </c>
      <c r="H1265" t="inlineStr">
        <is>
          <t>BLEND BLACK TEA PINEAPPLE TB</t>
        </is>
      </c>
    </row>
    <row r="1266" ht="14.25" customHeight="1" s="5">
      <c r="A1266" s="7" t="n">
        <v>2401</v>
      </c>
      <c r="B1266" s="7" t="inlineStr">
        <is>
          <t>KHAIMA PINEAPPLE 45/25 SC ENV TBGS</t>
        </is>
      </c>
      <c r="C1266" s="7" t="inlineStr">
        <is>
          <t>KHAIMA</t>
        </is>
      </c>
      <c r="D1266" s="7" t="n">
        <v>2402</v>
      </c>
      <c r="E1266" s="7" t="inlineStr">
        <is>
          <t>KHAIMA PINEAPPLE 25 SC ENV TBGS</t>
        </is>
      </c>
      <c r="F1266" s="7" t="n">
        <v>45</v>
      </c>
      <c r="G1266" s="7" t="inlineStr">
        <is>
          <t>CTN</t>
        </is>
      </c>
      <c r="H1266">
        <f>#N/A</f>
        <v/>
      </c>
    </row>
    <row r="1267" ht="14.25" customHeight="1" s="5">
      <c r="A1267" s="7" t="n">
        <v>23064</v>
      </c>
      <c r="B1267" s="7" t="inlineStr">
        <is>
          <t>KHAIMA STRAWBERRY 24/25 DC ENV TBGS</t>
        </is>
      </c>
      <c r="C1267" s="7" t="inlineStr">
        <is>
          <t>KHAIMA</t>
        </is>
      </c>
      <c r="D1267" s="7" t="n">
        <v>23084</v>
      </c>
      <c r="E1267" s="7" t="inlineStr">
        <is>
          <t>KHAIMA STRAWBERRY 25 DC ENV TBGS</t>
        </is>
      </c>
      <c r="F1267" s="7" t="n">
        <v>24</v>
      </c>
      <c r="G1267" s="7" t="inlineStr">
        <is>
          <t>CTN</t>
        </is>
      </c>
      <c r="H1267" t="inlineStr">
        <is>
          <t>BLEND STRAWBERRY TB</t>
        </is>
      </c>
    </row>
    <row r="1268" ht="14.25" customHeight="1" s="5">
      <c r="A1268" s="7" t="n">
        <v>26070</v>
      </c>
      <c r="B1268" s="7" t="inlineStr">
        <is>
          <t>KHAIMA STRAWBERRY 45/25 DC ENV TBGS</t>
        </is>
      </c>
      <c r="C1268" s="7" t="inlineStr">
        <is>
          <t>KHAIMA</t>
        </is>
      </c>
      <c r="D1268" s="7" t="n">
        <v>23084</v>
      </c>
      <c r="E1268" s="7" t="inlineStr">
        <is>
          <t>KHAIMA STRAWBERRY 25 DC ENV TBGS</t>
        </is>
      </c>
      <c r="F1268" s="7" t="n">
        <v>45</v>
      </c>
      <c r="G1268" s="7" t="inlineStr">
        <is>
          <t>CTN</t>
        </is>
      </c>
      <c r="H1268" t="inlineStr">
        <is>
          <t>BLEND STRAWBERRY TB</t>
        </is>
      </c>
    </row>
    <row r="1269" ht="14.25" customHeight="1" s="5">
      <c r="A1269" s="7" t="n">
        <v>2406</v>
      </c>
      <c r="B1269" s="7" t="inlineStr">
        <is>
          <t>KHAIMA STRAWBERRY 45/25 SC ENV TBGS</t>
        </is>
      </c>
      <c r="C1269" s="7" t="inlineStr">
        <is>
          <t>KHAIMA</t>
        </is>
      </c>
      <c r="D1269" s="7" t="n">
        <v>2407</v>
      </c>
      <c r="E1269" s="7" t="inlineStr">
        <is>
          <t>KHAIMA STRAWBERRY 25 SC ENV TBGS</t>
        </is>
      </c>
      <c r="F1269" s="7" t="n">
        <v>45</v>
      </c>
      <c r="G1269" s="7" t="inlineStr">
        <is>
          <t>CTN</t>
        </is>
      </c>
      <c r="H1269">
        <f>#N/A</f>
        <v/>
      </c>
    </row>
    <row r="1270" ht="14.25" customHeight="1" s="5">
      <c r="A1270" s="7" t="n">
        <v>37589</v>
      </c>
      <c r="B1270" s="7" t="inlineStr">
        <is>
          <t>KHAIMA VANILLA 24/25 DC ENV TBGS</t>
        </is>
      </c>
      <c r="C1270" s="7" t="inlineStr">
        <is>
          <t>KHAIMA</t>
        </is>
      </c>
      <c r="D1270" s="7" t="n">
        <v>37600</v>
      </c>
      <c r="E1270" s="7" t="inlineStr">
        <is>
          <t>KHAIMA VANILLA 25 DC ENV TBGS</t>
        </is>
      </c>
      <c r="F1270" s="7" t="n">
        <v>24</v>
      </c>
      <c r="G1270" s="7" t="inlineStr">
        <is>
          <t>CTN</t>
        </is>
      </c>
      <c r="H1270" t="inlineStr">
        <is>
          <t>BLEND AF BLACK TEA VANILA TB</t>
        </is>
      </c>
    </row>
    <row r="1271" ht="14.25" customHeight="1" s="5">
      <c r="A1271" s="7" t="n">
        <v>34552</v>
      </c>
      <c r="B1271" s="7" t="inlineStr">
        <is>
          <t>KHAIMA CINNAMON 24/25 DC ENV TBGS</t>
        </is>
      </c>
      <c r="C1271" s="7" t="inlineStr">
        <is>
          <t>KHAIMA</t>
        </is>
      </c>
      <c r="D1271" s="7" t="n">
        <v>34580</v>
      </c>
      <c r="E1271" s="7" t="inlineStr">
        <is>
          <t>KHAIMA CINNAMON 25 DC ENV TBGS</t>
        </is>
      </c>
      <c r="F1271" s="7" t="n">
        <v>24</v>
      </c>
      <c r="G1271" s="7" t="inlineStr">
        <is>
          <t>CTN</t>
        </is>
      </c>
      <c r="H1271" t="inlineStr">
        <is>
          <t>BLEND BLACK TEA CINNAMON SPICE TBC - AF</t>
        </is>
      </c>
    </row>
    <row r="1272" ht="14.25" customHeight="1" s="5">
      <c r="A1272" s="7" t="n">
        <v>2411</v>
      </c>
      <c r="B1272" s="7" t="inlineStr">
        <is>
          <t>KHAIMA12/106 DC ENV TBGS</t>
        </is>
      </c>
      <c r="C1272" s="7" t="inlineStr">
        <is>
          <t>KHAIMA</t>
        </is>
      </c>
      <c r="D1272" s="7" t="n">
        <v>2412</v>
      </c>
      <c r="E1272" s="7" t="inlineStr">
        <is>
          <t>KHAIMA106 DC ENV TBGS</t>
        </is>
      </c>
      <c r="F1272" s="7" t="n">
        <v>12</v>
      </c>
      <c r="G1272" s="7" t="inlineStr">
        <is>
          <t>CTN</t>
        </is>
      </c>
      <c r="H1272">
        <f>#N/A</f>
        <v/>
      </c>
    </row>
    <row r="1273" ht="14.25" customHeight="1" s="5">
      <c r="A1273" s="7" t="n">
        <v>37070</v>
      </c>
      <c r="B1273" s="7" t="inlineStr">
        <is>
          <t>KOUMA COCKTAIL 24/25 DC ENV TBGS</t>
        </is>
      </c>
      <c r="C1273" s="7" t="inlineStr">
        <is>
          <t>KOUMA</t>
        </is>
      </c>
      <c r="D1273" s="7" t="n">
        <v>37105</v>
      </c>
      <c r="E1273" s="7" t="inlineStr">
        <is>
          <t>KOUMA COCKTAIL 25 DC ENV TBGS</t>
        </is>
      </c>
      <c r="F1273" s="7" t="n">
        <v>24</v>
      </c>
      <c r="G1273" s="7" t="inlineStr">
        <is>
          <t>CTN</t>
        </is>
      </c>
      <c r="H1273" t="inlineStr">
        <is>
          <t>BLEND BLACK TEA COCKTAIL TBC</t>
        </is>
      </c>
    </row>
    <row r="1274" ht="14.25" customHeight="1" s="5">
      <c r="A1274" s="7" t="n">
        <v>37065</v>
      </c>
      <c r="B1274" s="7" t="inlineStr">
        <is>
          <t>KOUMA GINGER 24/25 DC ENV TBGS</t>
        </is>
      </c>
      <c r="C1274" s="7" t="inlineStr">
        <is>
          <t>KOUMA</t>
        </is>
      </c>
      <c r="D1274" s="7" t="n">
        <v>37101</v>
      </c>
      <c r="E1274" s="7" t="inlineStr">
        <is>
          <t>KOUMA GINGER 25 DC ENV TBGS</t>
        </is>
      </c>
      <c r="F1274" s="7" t="n">
        <v>24</v>
      </c>
      <c r="G1274" s="7" t="inlineStr">
        <is>
          <t>CTN</t>
        </is>
      </c>
      <c r="H1274" t="inlineStr">
        <is>
          <t>BLEND AF BLACK TEA  GINGER TBGS</t>
        </is>
      </c>
    </row>
    <row r="1275" ht="14.25" customHeight="1" s="5">
      <c r="A1275" s="7" t="n">
        <v>37068</v>
      </c>
      <c r="B1275" s="7" t="inlineStr">
        <is>
          <t>KOUMA LEMON 24/25 DC ENV TBGS</t>
        </is>
      </c>
      <c r="C1275" s="7" t="inlineStr">
        <is>
          <t>KOUMA</t>
        </is>
      </c>
      <c r="D1275" s="7" t="n">
        <v>37103</v>
      </c>
      <c r="E1275" s="7" t="inlineStr">
        <is>
          <t>KOUMA LEMON 25 DC ENV TBGS</t>
        </is>
      </c>
      <c r="F1275" s="7" t="n">
        <v>24</v>
      </c>
      <c r="G1275" s="7" t="inlineStr">
        <is>
          <t>CTN</t>
        </is>
      </c>
      <c r="H1275" t="inlineStr">
        <is>
          <t>BLEND BLACK TEA LEMON TB</t>
        </is>
      </c>
    </row>
    <row r="1276" ht="14.25" customHeight="1" s="5">
      <c r="A1276" s="7" t="n">
        <v>37069</v>
      </c>
      <c r="B1276" s="7" t="inlineStr">
        <is>
          <t>KOUMA MINT 24/25 DC ENV TBGS</t>
        </is>
      </c>
      <c r="C1276" s="7" t="inlineStr">
        <is>
          <t>KOUMA</t>
        </is>
      </c>
      <c r="D1276" s="7" t="n">
        <v>37104</v>
      </c>
      <c r="E1276" s="7" t="inlineStr">
        <is>
          <t>KOUMA MINT 25 DC ENV TBGS</t>
        </is>
      </c>
      <c r="F1276" s="7" t="n">
        <v>24</v>
      </c>
      <c r="G1276" s="7" t="inlineStr">
        <is>
          <t>CTN</t>
        </is>
      </c>
      <c r="H1276" t="inlineStr">
        <is>
          <t>BLEND AF BLACK TEA MINT TBGS</t>
        </is>
      </c>
    </row>
    <row r="1277" ht="14.25" customHeight="1" s="5">
      <c r="A1277" s="7" t="n">
        <v>37072</v>
      </c>
      <c r="B1277" s="7" t="inlineStr">
        <is>
          <t>KOUMA ORANGE 24/25 DC ENV TBGS</t>
        </is>
      </c>
      <c r="C1277" s="7" t="inlineStr">
        <is>
          <t>KOUMA</t>
        </is>
      </c>
      <c r="D1277" s="7" t="n">
        <v>37107</v>
      </c>
      <c r="E1277" s="7" t="inlineStr">
        <is>
          <t>KOUMA ORANGE 25 DC ENV TBGS</t>
        </is>
      </c>
      <c r="F1277" s="7" t="n">
        <v>24</v>
      </c>
      <c r="G1277" s="7" t="inlineStr">
        <is>
          <t>CTN</t>
        </is>
      </c>
      <c r="H1277" t="inlineStr">
        <is>
          <t>BLEND AX-BLACK ORANGE TB</t>
        </is>
      </c>
    </row>
    <row r="1278" ht="14.25" customHeight="1" s="5">
      <c r="A1278" s="7" t="n">
        <v>37071</v>
      </c>
      <c r="B1278" s="7" t="inlineStr">
        <is>
          <t>KOUMA STRAWBERRY 24/25 DC ENV TBGS</t>
        </is>
      </c>
      <c r="C1278" s="7" t="inlineStr">
        <is>
          <t>KOUMA</t>
        </is>
      </c>
      <c r="D1278" s="7" t="n">
        <v>37106</v>
      </c>
      <c r="E1278" s="7" t="inlineStr">
        <is>
          <t>KOUMA STRAWBERRY 25 DC ENV TBGS</t>
        </is>
      </c>
      <c r="F1278" s="7" t="n">
        <v>24</v>
      </c>
      <c r="G1278" s="7" t="inlineStr">
        <is>
          <t>CTN</t>
        </is>
      </c>
      <c r="H1278" t="inlineStr">
        <is>
          <t>BLEND STRAWBERRY TB</t>
        </is>
      </c>
    </row>
    <row r="1279" ht="14.25" customHeight="1" s="5">
      <c r="A1279" s="7" t="n">
        <v>37066</v>
      </c>
      <c r="B1279" s="7" t="inlineStr">
        <is>
          <t>KOUMA TAMARIND 24/25 DC ENV TBGS</t>
        </is>
      </c>
      <c r="C1279" s="7" t="inlineStr">
        <is>
          <t>KOUMA</t>
        </is>
      </c>
      <c r="D1279" s="7" t="n">
        <v>37102</v>
      </c>
      <c r="E1279" s="7" t="inlineStr">
        <is>
          <t>KOUMA TAMARIND 25 DC ENV TBGS</t>
        </is>
      </c>
      <c r="F1279" s="7" t="n">
        <v>24</v>
      </c>
      <c r="G1279" s="7" t="inlineStr">
        <is>
          <t>CTN</t>
        </is>
      </c>
      <c r="H1279" t="inlineStr">
        <is>
          <t>BLEND BLACK TEA WITH TAMARIND FLAVOUR</t>
        </is>
      </c>
    </row>
    <row r="1280" ht="14.25" customHeight="1" s="5">
      <c r="A1280" s="7" t="n">
        <v>685</v>
      </c>
      <c r="B1280" s="7" t="inlineStr">
        <is>
          <t>KRISH 12/100 SC ENV TBGS WITH T-SHIRT &amp; POSTER</t>
        </is>
      </c>
      <c r="C1280" s="7" t="inlineStr">
        <is>
          <t>KRISH</t>
        </is>
      </c>
      <c r="D1280" s="7" t="n">
        <v>686</v>
      </c>
      <c r="E1280" s="7" t="inlineStr">
        <is>
          <t>KRISH 100 SC ENV TBGS</t>
        </is>
      </c>
      <c r="F1280" s="7" t="n">
        <v>12</v>
      </c>
      <c r="G1280" s="7" t="inlineStr">
        <is>
          <t>CTN</t>
        </is>
      </c>
      <c r="H1280">
        <f>#N/A</f>
        <v/>
      </c>
    </row>
    <row r="1281" ht="14.25" customHeight="1" s="5">
      <c r="A1281" s="7" t="n">
        <v>19161</v>
      </c>
      <c r="B1281" s="7" t="inlineStr">
        <is>
          <t>LALPAN 1 KG HOTEL VALUE PACK BOGO BAND - (500 GM X 2 X 12)  KG CFC  APD</t>
        </is>
      </c>
      <c r="C1281" s="7" t="inlineStr">
        <is>
          <t>LALPAN</t>
        </is>
      </c>
      <c r="D1281" s="7" t="n">
        <v>103</v>
      </c>
      <c r="E1281" s="7" t="inlineStr">
        <is>
          <t>LALPAN 12/1KG(500 GMS X 2) HOTEL VALUE PACK</t>
        </is>
      </c>
      <c r="F1281" s="7" t="n">
        <v>1</v>
      </c>
      <c r="G1281" s="7" t="inlineStr">
        <is>
          <t>BAG</t>
        </is>
      </c>
      <c r="H1281">
        <f>#N/A</f>
        <v/>
      </c>
    </row>
    <row r="1282" ht="14.25" customHeight="1" s="5">
      <c r="A1282" s="7" t="n">
        <v>103</v>
      </c>
      <c r="B1282" s="7" t="inlineStr">
        <is>
          <t>LALPAN 12/1KG(500 GMS X 2) HOTEL VALUE PACK</t>
        </is>
      </c>
      <c r="C1282" s="7" t="inlineStr">
        <is>
          <t>LALPAN</t>
        </is>
      </c>
      <c r="D1282" s="7" t="n">
        <v>19326</v>
      </c>
      <c r="E1282" s="7" t="inlineStr">
        <is>
          <t>LALPAN 500 GMS HOTEL VALUE PACK</t>
        </is>
      </c>
      <c r="F1282" s="7" t="n">
        <v>24</v>
      </c>
      <c r="G1282" s="7" t="inlineStr">
        <is>
          <t>POUCH</t>
        </is>
      </c>
      <c r="H1282" t="inlineStr">
        <is>
          <t>BLEND STD-LPG (NEW)</t>
        </is>
      </c>
    </row>
    <row r="1283" ht="14.25" customHeight="1" s="5">
      <c r="A1283" s="7" t="n">
        <v>36021</v>
      </c>
      <c r="B1283" s="7" t="inlineStr">
        <is>
          <t>LALPAN ELAICHI LEAF BLACK TEA LALPAN ELAICHI PKT [12 X 8 X 250 GM LAMINATE POUCH] PP BAG</t>
        </is>
      </c>
      <c r="C1283" s="7" t="inlineStr">
        <is>
          <t>LALPAN</t>
        </is>
      </c>
      <c r="D1283" s="7" t="n">
        <v>34516</v>
      </c>
      <c r="E1283" s="7" t="inlineStr">
        <is>
          <t>LALPAN ELAICHI LEAF BLACK TEA SARASWATI ELAICHI PKT 250 GM POUCH</t>
        </is>
      </c>
      <c r="F1283" s="7" t="n">
        <v>96</v>
      </c>
      <c r="G1283" s="7" t="inlineStr">
        <is>
          <t>POUCH</t>
        </is>
      </c>
      <c r="H1283" t="inlineStr">
        <is>
          <t>BLEND BLACK TEA SARASWATI ELAICHI PKT</t>
        </is>
      </c>
    </row>
    <row r="1284" ht="14.25" customHeight="1" s="5">
      <c r="A1284" s="7" t="n">
        <v>36022</v>
      </c>
      <c r="B1284" s="7" t="inlineStr">
        <is>
          <t>LALPAN ELAICHI LEAF BLACK TEA LALPAN ELAICHI PKT [12 X 8 X 250 GM LAMINATE POUCH] PP BAG CP OFFER</t>
        </is>
      </c>
      <c r="C1284" s="7" t="inlineStr">
        <is>
          <t>LALPAN</t>
        </is>
      </c>
      <c r="D1284" s="7" t="n">
        <v>34516</v>
      </c>
      <c r="E1284" s="7" t="inlineStr">
        <is>
          <t>LALPAN ELAICHI LEAF BLACK TEA SARASWATI ELAICHI PKT 250 GM POUCH</t>
        </is>
      </c>
      <c r="F1284" s="7" t="n">
        <v>96</v>
      </c>
      <c r="G1284" s="7" t="inlineStr">
        <is>
          <t>POUCH</t>
        </is>
      </c>
      <c r="H1284" t="inlineStr">
        <is>
          <t>BLEND BLACK TEA SARASWATI ELAICHI PKT</t>
        </is>
      </c>
    </row>
    <row r="1285" ht="14.25" customHeight="1" s="5">
      <c r="A1285" s="7" t="n">
        <v>34522</v>
      </c>
      <c r="B1285" s="7" t="inlineStr">
        <is>
          <t>LALPAN ELAICHI LEAF BLACK TEA SARASWATI ELAICHI PKT [48 X 250 GM LAMINATE POUCH] CFC</t>
        </is>
      </c>
      <c r="C1285" s="7" t="inlineStr">
        <is>
          <t>LALPAN</t>
        </is>
      </c>
      <c r="D1285" s="7" t="n">
        <v>34516</v>
      </c>
      <c r="E1285" s="7" t="inlineStr">
        <is>
          <t>LALPAN ELAICHI LEAF BLACK TEA SARASWATI ELAICHI PKT 250 GM POUCH</t>
        </is>
      </c>
      <c r="F1285" s="7" t="n">
        <v>48</v>
      </c>
      <c r="G1285" s="7" t="inlineStr">
        <is>
          <t>POUCH</t>
        </is>
      </c>
      <c r="H1285" t="inlineStr">
        <is>
          <t>BLEND BLACK TEA SARASWATI ELAICHI PKT</t>
        </is>
      </c>
    </row>
    <row r="1286" ht="14.25" customHeight="1" s="5">
      <c r="A1286" s="7" t="n">
        <v>34667</v>
      </c>
      <c r="B1286" s="7" t="inlineStr">
        <is>
          <t>LALPAN ELAICHI LEAF SARASWATI ELAICHI PKT [2 X 48 X 250 GM LAMINATE POUCH] DUFFLE BAG OFFER</t>
        </is>
      </c>
      <c r="C1286" s="7" t="inlineStr">
        <is>
          <t>LALPAN</t>
        </is>
      </c>
      <c r="D1286" s="7" t="n">
        <v>34516</v>
      </c>
      <c r="E1286" s="7" t="inlineStr">
        <is>
          <t>LALPAN ELAICHI LEAF BLACK TEA SARASWATI ELAICHI PKT 250 GM POUCH</t>
        </is>
      </c>
      <c r="F1286" s="7" t="n">
        <v>96</v>
      </c>
      <c r="G1286" s="7" t="inlineStr">
        <is>
          <t>POUCH</t>
        </is>
      </c>
      <c r="H1286" t="inlineStr">
        <is>
          <t>BLEND BLACK TEA SARASWATI ELAICHI PKT</t>
        </is>
      </c>
    </row>
    <row r="1287" ht="14.25" customHeight="1" s="5">
      <c r="A1287" s="7" t="n">
        <v>34616</v>
      </c>
      <c r="B1287" s="7" t="inlineStr">
        <is>
          <t>LALPAN ELAICHI LEAF SARASWATI ELAICHI PKT [48 X 250 GM LAMINATE POUCH] DUFFLE BAG OFFER</t>
        </is>
      </c>
      <c r="C1287" s="7" t="inlineStr">
        <is>
          <t>LALPAN</t>
        </is>
      </c>
      <c r="D1287" s="7" t="n">
        <v>34516</v>
      </c>
      <c r="E1287" s="7" t="inlineStr">
        <is>
          <t>LALPAN ELAICHI LEAF BLACK TEA SARASWATI ELAICHI PKT 250 GM POUCH</t>
        </is>
      </c>
      <c r="F1287" s="7" t="n">
        <v>48</v>
      </c>
      <c r="G1287" s="7" t="inlineStr">
        <is>
          <t>POUCH</t>
        </is>
      </c>
      <c r="H1287" t="inlineStr">
        <is>
          <t>BLEND BLACK TEA SARASWATI ELAICHI PKT</t>
        </is>
      </c>
    </row>
    <row r="1288" ht="14.25" customHeight="1" s="5">
      <c r="A1288" s="7" t="n">
        <v>34576</v>
      </c>
      <c r="B1288" s="7" t="inlineStr">
        <is>
          <t>LALPAN ELAICHI LEAF SARASWATI ELAICHI PKT [8 X 40 X 16 GM LAMINATE POUCH] CFC</t>
        </is>
      </c>
      <c r="C1288" s="7" t="inlineStr">
        <is>
          <t>LALPAN</t>
        </is>
      </c>
      <c r="D1288" s="7" t="n">
        <v>34575</v>
      </c>
      <c r="E1288" s="7" t="inlineStr">
        <is>
          <t>LALPAN ELAICHI LEAF SARASWATI ELAICHI PKT 16 GM POUCH</t>
        </is>
      </c>
      <c r="F1288" s="7" t="n">
        <v>320</v>
      </c>
      <c r="G1288" s="7" t="inlineStr">
        <is>
          <t>POUCH</t>
        </is>
      </c>
      <c r="H1288" t="inlineStr">
        <is>
          <t>BLEND BLACK TEA SARASWATI ELAICHI PKT</t>
        </is>
      </c>
    </row>
    <row r="1289" ht="14.25" customHeight="1" s="5">
      <c r="A1289" s="7" t="n">
        <v>22373</v>
      </c>
      <c r="B1289" s="7" t="inlineStr">
        <is>
          <t>LALPAN GOLD DUST [304 X 20 GM CTN] CFC</t>
        </is>
      </c>
      <c r="C1289" s="7" t="inlineStr">
        <is>
          <t>LALPAN</t>
        </is>
      </c>
      <c r="D1289" s="7" t="n">
        <v>22210</v>
      </c>
      <c r="E1289" s="7" t="inlineStr">
        <is>
          <t>LALPAN GOLD 20 GM CTN</t>
        </is>
      </c>
      <c r="F1289" s="7" t="n">
        <v>304</v>
      </c>
      <c r="G1289" s="7" t="inlineStr">
        <is>
          <t>CTN</t>
        </is>
      </c>
      <c r="H1289" t="inlineStr">
        <is>
          <t>BLEND STD-LPG (NEW)</t>
        </is>
      </c>
    </row>
    <row r="1290" ht="14.25" customHeight="1" s="5">
      <c r="A1290" s="7" t="n">
        <v>119</v>
      </c>
      <c r="B1290" s="7" t="inlineStr">
        <is>
          <t>LALPAN GOLD DUST 48/250 GM CARTON</t>
        </is>
      </c>
      <c r="C1290" s="7" t="inlineStr">
        <is>
          <t>LALPAN</t>
        </is>
      </c>
      <c r="D1290" s="7" t="n">
        <v>19332</v>
      </c>
      <c r="E1290" s="7" t="inlineStr">
        <is>
          <t>LALPAN GOLD DUST 250 GM CARTON</t>
        </is>
      </c>
      <c r="F1290" s="7" t="n">
        <v>48</v>
      </c>
      <c r="G1290" s="7" t="inlineStr">
        <is>
          <t>CTN</t>
        </is>
      </c>
      <c r="H1290" t="inlineStr">
        <is>
          <t>BLEND STD-LPG (NEW)</t>
        </is>
      </c>
    </row>
    <row r="1291" ht="14.25" customHeight="1" s="5">
      <c r="A1291" s="7" t="n">
        <v>22894</v>
      </c>
      <c r="B1291" s="7" t="inlineStr">
        <is>
          <t>LALPAN GOLD STD--LALPAN GOLD DUST [120 X 100 GM CTN] CFC</t>
        </is>
      </c>
      <c r="C1291" s="7" t="inlineStr">
        <is>
          <t>LALPAN</t>
        </is>
      </c>
      <c r="D1291" s="7" t="n">
        <v>22762</v>
      </c>
      <c r="E1291" s="7" t="inlineStr">
        <is>
          <t>LALPAN GOLD DUST 100 GM CARTON</t>
        </is>
      </c>
      <c r="F1291" s="7" t="n">
        <v>120</v>
      </c>
      <c r="G1291" s="7" t="inlineStr">
        <is>
          <t>CTN</t>
        </is>
      </c>
      <c r="H1291" t="inlineStr">
        <is>
          <t>BLEND STD-LPG (NEW)</t>
        </is>
      </c>
    </row>
    <row r="1292" ht="14.25" customHeight="1" s="5">
      <c r="A1292" s="7" t="n">
        <v>22763</v>
      </c>
      <c r="B1292" s="7" t="inlineStr">
        <is>
          <t>LALPAN GOLD STD-LALPAN GOLD DUST [120 X 100 GM CTN] CFC</t>
        </is>
      </c>
      <c r="C1292" s="7" t="inlineStr">
        <is>
          <t>LALPAN</t>
        </is>
      </c>
      <c r="D1292" s="7" t="n">
        <v>22762</v>
      </c>
      <c r="E1292" s="7" t="inlineStr">
        <is>
          <t>LALPAN GOLD DUST 100 GM CARTON</t>
        </is>
      </c>
      <c r="F1292" s="7" t="n">
        <v>120</v>
      </c>
      <c r="G1292" s="7" t="inlineStr">
        <is>
          <t>CTN</t>
        </is>
      </c>
      <c r="H1292" t="inlineStr">
        <is>
          <t>BLEND STD-LPG (NEW)</t>
        </is>
      </c>
    </row>
    <row r="1293" ht="14.25" customHeight="1" s="5">
      <c r="A1293" s="7" t="n">
        <v>23526</v>
      </c>
      <c r="B1293" s="7" t="inlineStr">
        <is>
          <t>LALPAN GOLD STD-LALPAN GOLD DUST [8 X 40 X 20 GM LAMINATE POUCH] CFC</t>
        </is>
      </c>
      <c r="C1293" s="7" t="inlineStr">
        <is>
          <t>LALPAN</t>
        </is>
      </c>
      <c r="D1293" s="7" t="n">
        <v>22765</v>
      </c>
      <c r="E1293" s="7" t="inlineStr">
        <is>
          <t>LALPAN GOLD DUST 20 GM POUCH</t>
        </is>
      </c>
      <c r="F1293" s="7" t="n">
        <v>320</v>
      </c>
      <c r="G1293" s="7" t="inlineStr">
        <is>
          <t>POUCH</t>
        </is>
      </c>
      <c r="H1293" t="inlineStr">
        <is>
          <t>BLEND STD-LPG (NEW)</t>
        </is>
      </c>
    </row>
    <row r="1294" ht="14.25" customHeight="1" s="5">
      <c r="A1294" s="7" t="n">
        <v>26861</v>
      </c>
      <c r="B1294" s="7" t="inlineStr">
        <is>
          <t>LALPAN GOLD STD-LPG (NEW) [1 X 48 X 250 GM CTN] CFC CP OFFER</t>
        </is>
      </c>
      <c r="C1294" s="7" t="inlineStr">
        <is>
          <t>LALPAN</t>
        </is>
      </c>
      <c r="D1294" s="7" t="n">
        <v>19332</v>
      </c>
      <c r="E1294" s="7" t="inlineStr">
        <is>
          <t>LALPAN GOLD DUST 250 GM CARTON</t>
        </is>
      </c>
      <c r="F1294" s="7" t="n">
        <v>48</v>
      </c>
      <c r="G1294" s="7" t="inlineStr">
        <is>
          <t>CTN</t>
        </is>
      </c>
      <c r="H1294" t="inlineStr">
        <is>
          <t>BLEND STD-LPG (NEW)</t>
        </is>
      </c>
    </row>
    <row r="1295" ht="14.25" customHeight="1" s="5">
      <c r="A1295" s="7" t="n">
        <v>131</v>
      </c>
      <c r="B1295" s="7" t="inlineStr">
        <is>
          <t>LALPAN LEAF 12/1 KG (500 GMS X 2)</t>
        </is>
      </c>
      <c r="C1295" s="7" t="inlineStr">
        <is>
          <t>LALPAN</t>
        </is>
      </c>
      <c r="D1295" s="7" t="n">
        <v>19328</v>
      </c>
      <c r="E1295" s="7" t="inlineStr">
        <is>
          <t>LALPAN LEAF 500 GMS</t>
        </is>
      </c>
      <c r="F1295" s="7" t="n">
        <v>24</v>
      </c>
      <c r="G1295" s="7" t="inlineStr">
        <is>
          <t>POUCH</t>
        </is>
      </c>
      <c r="H1295" t="inlineStr">
        <is>
          <t>BLEND TQ</t>
        </is>
      </c>
    </row>
    <row r="1296" ht="14.25" customHeight="1" s="5">
      <c r="A1296" s="7" t="n">
        <v>138</v>
      </c>
      <c r="B1296" s="7" t="inlineStr">
        <is>
          <t>LALPAN LEAF 250 GMS X 20(5KG) X 5 BOPP/PP BAG</t>
        </is>
      </c>
      <c r="C1296" s="7" t="inlineStr">
        <is>
          <t>LALPAN</t>
        </is>
      </c>
      <c r="D1296" s="7" t="n">
        <v>19322</v>
      </c>
      <c r="E1296" s="7" t="inlineStr">
        <is>
          <t>LALPAN LEAF 250 GMS BOPP</t>
        </is>
      </c>
      <c r="F1296" s="7" t="n">
        <v>100</v>
      </c>
      <c r="G1296" s="7" t="inlineStr">
        <is>
          <t>POUCH</t>
        </is>
      </c>
      <c r="H1296" t="inlineStr">
        <is>
          <t>BLEND TQ</t>
        </is>
      </c>
    </row>
    <row r="1297" ht="14.25" customHeight="1" s="5">
      <c r="A1297" s="7" t="n">
        <v>18344</v>
      </c>
      <c r="B1297" s="7" t="inlineStr">
        <is>
          <t>LALPAN LEAF 250 GMS X 20(5KG) X 5 BOPP/PP BAG WITH BATTERY OFFER</t>
        </is>
      </c>
      <c r="C1297" s="7" t="inlineStr">
        <is>
          <t>LALPAN</t>
        </is>
      </c>
      <c r="D1297" s="7" t="n">
        <v>19323</v>
      </c>
      <c r="E1297" s="7" t="inlineStr">
        <is>
          <t>LALPAN LEAF 250 GMS BOPP WITH BATTERY OFFER</t>
        </is>
      </c>
      <c r="F1297" s="7" t="n">
        <v>100</v>
      </c>
      <c r="G1297" s="7" t="inlineStr">
        <is>
          <t>POUCH</t>
        </is>
      </c>
      <c r="H1297" t="inlineStr">
        <is>
          <t>BLEND TQ</t>
        </is>
      </c>
    </row>
    <row r="1298" ht="14.25" customHeight="1" s="5">
      <c r="A1298" s="7" t="n">
        <v>135</v>
      </c>
      <c r="B1298" s="7" t="inlineStr">
        <is>
          <t>LALPAN LEAF 250 GMS X 48(12KG CFC)</t>
        </is>
      </c>
      <c r="C1298" s="7" t="inlineStr">
        <is>
          <t>LALPAN</t>
        </is>
      </c>
      <c r="D1298" s="7" t="n">
        <v>19322</v>
      </c>
      <c r="E1298" s="7" t="inlineStr">
        <is>
          <t>LALPAN LEAF 250 GMS BOPP</t>
        </is>
      </c>
      <c r="F1298" s="7" t="n">
        <v>48</v>
      </c>
      <c r="G1298" s="7" t="inlineStr">
        <is>
          <t>POUCH</t>
        </is>
      </c>
      <c r="H1298" t="inlineStr">
        <is>
          <t>BLEND TQ</t>
        </is>
      </c>
    </row>
    <row r="1299" ht="14.25" customHeight="1" s="5">
      <c r="A1299" s="7" t="n">
        <v>32779</v>
      </c>
      <c r="B1299" s="7" t="inlineStr">
        <is>
          <t>LALPAN LEAF STD-RE(TULSI) [5 X 20 X 250 GM LAMINATE POUCH] PP BAG</t>
        </is>
      </c>
      <c r="C1299" s="7" t="inlineStr">
        <is>
          <t>LALPAN</t>
        </is>
      </c>
      <c r="D1299" s="7" t="n">
        <v>32778</v>
      </c>
      <c r="E1299" s="7" t="inlineStr">
        <is>
          <t>LALPAN LEAF STD-RE(TULSI) 250 GM POUCH</t>
        </is>
      </c>
      <c r="F1299" s="7" t="n">
        <v>100</v>
      </c>
      <c r="G1299" s="7" t="inlineStr">
        <is>
          <t>POUCH</t>
        </is>
      </c>
      <c r="H1299" t="inlineStr">
        <is>
          <t>BLEND STD-RE(TULSI)</t>
        </is>
      </c>
    </row>
    <row r="1300" ht="14.25" customHeight="1" s="5">
      <c r="A1300" s="7" t="n">
        <v>32554</v>
      </c>
      <c r="B1300" s="7" t="inlineStr">
        <is>
          <t>LALPAN LEAF STD-RE(TULSI) [5 X 25 X 200 GM LAMINATE POUCH] PP BAG</t>
        </is>
      </c>
      <c r="C1300" s="7" t="inlineStr">
        <is>
          <t>LALPAN</t>
        </is>
      </c>
      <c r="D1300" s="7" t="n">
        <v>32552</v>
      </c>
      <c r="E1300" s="7" t="inlineStr">
        <is>
          <t>LALPAN LEAF STD-RE(TULSI) 200 GM POUCH</t>
        </is>
      </c>
      <c r="F1300" s="7" t="n">
        <v>125</v>
      </c>
      <c r="G1300" s="7" t="inlineStr">
        <is>
          <t>POUCH</t>
        </is>
      </c>
      <c r="H1300" t="inlineStr">
        <is>
          <t>BLEND STD-RE(TULSI)</t>
        </is>
      </c>
    </row>
    <row r="1301" ht="14.25" customHeight="1" s="5">
      <c r="A1301" s="7" t="n">
        <v>32839</v>
      </c>
      <c r="B1301" s="7" t="inlineStr">
        <is>
          <t>LALPAN LEAF STD-RE(TULSI) [8 X 40 X 20 GM LAMINATE POUCH] CFC</t>
        </is>
      </c>
      <c r="C1301" s="7" t="inlineStr">
        <is>
          <t>LALPAN</t>
        </is>
      </c>
      <c r="D1301" s="7" t="n">
        <v>32838</v>
      </c>
      <c r="E1301" s="7" t="inlineStr">
        <is>
          <t>LALPAN LEAF STD-RE(TULSI) 20 GM POUCH</t>
        </is>
      </c>
      <c r="F1301" s="7" t="n">
        <v>320</v>
      </c>
      <c r="G1301" s="7" t="inlineStr">
        <is>
          <t>POUCH</t>
        </is>
      </c>
      <c r="H1301" t="inlineStr">
        <is>
          <t>BLEND STD-RE(TULSI)</t>
        </is>
      </c>
    </row>
    <row r="1302" ht="14.25" customHeight="1" s="5">
      <c r="A1302" s="7" t="n">
        <v>36591</v>
      </c>
      <c r="B1302" s="7" t="inlineStr">
        <is>
          <t>LALPAN LEAF TQ [(5 X 20 X 250 GM) + (5 X 1 X 250 GM) LAMINATE POUCH] PP BAG ELAICHI TRADE OFFER</t>
        </is>
      </c>
      <c r="C1302" s="7" t="inlineStr">
        <is>
          <t>LALPAN</t>
        </is>
      </c>
      <c r="D1302" s="7" t="n">
        <v>19322</v>
      </c>
      <c r="E1302" s="7" t="inlineStr">
        <is>
          <t>LALPAN LEAF 250 GMS BOPP</t>
        </is>
      </c>
      <c r="F1302" s="7" t="n">
        <v>100</v>
      </c>
      <c r="G1302" s="7" t="inlineStr">
        <is>
          <t>POUCH</t>
        </is>
      </c>
      <c r="H1302" t="inlineStr">
        <is>
          <t>BLEND TQ</t>
        </is>
      </c>
    </row>
    <row r="1303" ht="14.25" customHeight="1" s="5">
      <c r="A1303" s="7" t="n">
        <v>36591</v>
      </c>
      <c r="B1303" s="7" t="inlineStr">
        <is>
          <t>LALPAN LEAF TQ [(5 X 20 X 250 GM) + (5 X 1 X 250 GM) LAMINATE POUCH] PP BAG ELAICHI TRADE OFFER</t>
        </is>
      </c>
      <c r="C1303" s="7" t="inlineStr">
        <is>
          <t>LALPAN</t>
        </is>
      </c>
      <c r="D1303" s="7" t="n">
        <v>34516</v>
      </c>
      <c r="E1303" s="7" t="inlineStr">
        <is>
          <t>LALPAN ELAICHI LEAF BLACK TEA SARASWATI ELAICHI PKT 250 GM POUCH</t>
        </is>
      </c>
      <c r="F1303" s="7" t="n">
        <v>5</v>
      </c>
      <c r="G1303" s="7" t="inlineStr">
        <is>
          <t>POUCH</t>
        </is>
      </c>
      <c r="H1303" t="inlineStr">
        <is>
          <t>BLEND BLACK TEA SARASWATI ELAICHI PKT</t>
        </is>
      </c>
    </row>
    <row r="1304" ht="14.25" customHeight="1" s="5">
      <c r="A1304" s="7" t="n">
        <v>22694</v>
      </c>
      <c r="B1304" s="7" t="inlineStr">
        <is>
          <t>LALPAN LEAF TQ [(5 X 20 X 250 GM)+(5 X 2 X 100 GM) LAMINATE POUCH] PP BAG TRADE OFFER</t>
        </is>
      </c>
      <c r="C1304" s="7" t="inlineStr">
        <is>
          <t>LALPAN</t>
        </is>
      </c>
      <c r="D1304" s="7" t="n">
        <v>19322</v>
      </c>
      <c r="E1304" s="7" t="inlineStr">
        <is>
          <t>LALPAN LEAF 250 GMS BOPP</t>
        </is>
      </c>
      <c r="F1304" s="7" t="n">
        <v>100</v>
      </c>
      <c r="G1304" s="7" t="inlineStr">
        <is>
          <t>POUCH</t>
        </is>
      </c>
      <c r="H1304" t="inlineStr">
        <is>
          <t>BLEND TQ</t>
        </is>
      </c>
    </row>
    <row r="1305" ht="14.25" customHeight="1" s="5">
      <c r="A1305" s="7" t="n">
        <v>22694</v>
      </c>
      <c r="B1305" s="7" t="inlineStr">
        <is>
          <t>LALPAN LEAF TQ [(5 X 20 X 250 GM)+(5 X 2 X 100 GM) LAMINATE POUCH] PP BAG TRADE OFFER</t>
        </is>
      </c>
      <c r="C1305" s="7" t="inlineStr">
        <is>
          <t>LALPAN</t>
        </is>
      </c>
      <c r="D1305" s="7" t="n">
        <v>19346</v>
      </c>
      <c r="E1305" s="7" t="inlineStr">
        <is>
          <t>LALPAN PF 100 GMS POUCH</t>
        </is>
      </c>
      <c r="F1305" s="7" t="n">
        <v>10</v>
      </c>
      <c r="G1305" s="7" t="inlineStr">
        <is>
          <t>POUCH</t>
        </is>
      </c>
      <c r="H1305" t="inlineStr">
        <is>
          <t>BLEND S (NEW)</t>
        </is>
      </c>
    </row>
    <row r="1306" ht="14.25" customHeight="1" s="5">
      <c r="A1306" s="7" t="n">
        <v>31374</v>
      </c>
      <c r="B1306" s="7" t="inlineStr">
        <is>
          <t>LALPAN LEAF TQ [1 X 112 X 100 GM CTN] CFC</t>
        </is>
      </c>
      <c r="C1306" s="7" t="inlineStr">
        <is>
          <t>LALPAN</t>
        </is>
      </c>
      <c r="D1306" s="7" t="n">
        <v>31373</v>
      </c>
      <c r="E1306" s="7" t="inlineStr">
        <is>
          <t>LALPAN LEAF TQ 100 GM CTN</t>
        </is>
      </c>
      <c r="F1306" s="7" t="n">
        <v>112</v>
      </c>
      <c r="G1306" s="7" t="inlineStr">
        <is>
          <t>CTN</t>
        </is>
      </c>
      <c r="H1306" t="inlineStr">
        <is>
          <t>BLEND TQ</t>
        </is>
      </c>
    </row>
    <row r="1307" ht="14.25" customHeight="1" s="5">
      <c r="A1307" s="7" t="n">
        <v>28635</v>
      </c>
      <c r="B1307" s="7" t="inlineStr">
        <is>
          <t>LALPAN LEAF TQ [5 X 20 X 250 GM LAMINATE POUCH] PP BAG CP OFFER</t>
        </is>
      </c>
      <c r="C1307" s="7" t="inlineStr">
        <is>
          <t>LALPAN</t>
        </is>
      </c>
      <c r="D1307" s="7" t="n">
        <v>19322</v>
      </c>
      <c r="E1307" s="7" t="inlineStr">
        <is>
          <t>LALPAN LEAF 250 GMS BOPP</t>
        </is>
      </c>
      <c r="F1307" s="7" t="n">
        <v>100</v>
      </c>
      <c r="G1307" s="7" t="inlineStr">
        <is>
          <t>POUCH</t>
        </is>
      </c>
      <c r="H1307" t="inlineStr">
        <is>
          <t>BLEND TQ</t>
        </is>
      </c>
    </row>
    <row r="1308" ht="14.25" customHeight="1" s="5">
      <c r="A1308" s="7" t="n">
        <v>34466</v>
      </c>
      <c r="B1308" s="7" t="inlineStr">
        <is>
          <t>LALPAN LEAF WB WEST [4 X 24 X 250 GM CTN] CFC</t>
        </is>
      </c>
      <c r="C1308" s="7" t="inlineStr">
        <is>
          <t>LALPAN</t>
        </is>
      </c>
      <c r="D1308" s="7" t="n">
        <v>34448</v>
      </c>
      <c r="E1308" s="7" t="inlineStr">
        <is>
          <t>LALPAN LEAF WB WEST 250 GM CTN</t>
        </is>
      </c>
      <c r="F1308" s="7" t="n">
        <v>96</v>
      </c>
      <c r="G1308" s="7" t="inlineStr">
        <is>
          <t>CTN</t>
        </is>
      </c>
      <c r="H1308" t="inlineStr">
        <is>
          <t>BLEND WB WEST</t>
        </is>
      </c>
    </row>
    <row r="1309" ht="14.25" customHeight="1" s="5">
      <c r="A1309" s="7" t="n">
        <v>5573</v>
      </c>
      <c r="B1309" s="7" t="inlineStr">
        <is>
          <t>LALPAN PF 100 GMS X 200(20 KG) PP NON WOVEN BAG</t>
        </is>
      </c>
      <c r="C1309" s="7" t="inlineStr">
        <is>
          <t>LALPAN</t>
        </is>
      </c>
      <c r="D1309" s="7" t="n">
        <v>19346</v>
      </c>
      <c r="E1309" s="7" t="inlineStr">
        <is>
          <t>LALPAN PF 100 GMS POUCH</t>
        </is>
      </c>
      <c r="F1309" s="7" t="n">
        <v>200</v>
      </c>
      <c r="G1309" s="7" t="inlineStr">
        <is>
          <t>POUCH</t>
        </is>
      </c>
      <c r="H1309" t="inlineStr">
        <is>
          <t>BLEND S (NEW)</t>
        </is>
      </c>
    </row>
    <row r="1310" ht="14.25" customHeight="1" s="5">
      <c r="A1310" s="7" t="n">
        <v>18356</v>
      </c>
      <c r="B1310" s="7" t="inlineStr">
        <is>
          <t>LALPAN PF 100 GMS X 200(20 KG) PP NON WOVEN BAG -WITH BATTERY OFFER</t>
        </is>
      </c>
      <c r="C1310" s="7" t="inlineStr">
        <is>
          <t>LALPAN</t>
        </is>
      </c>
      <c r="D1310" s="7" t="n">
        <v>19347</v>
      </c>
      <c r="E1310" s="7" t="inlineStr">
        <is>
          <t>LALPAN PF 100 GMS POUCH -WITH BATTERY OFFER</t>
        </is>
      </c>
      <c r="F1310" s="7" t="n">
        <v>200</v>
      </c>
      <c r="G1310" s="7" t="inlineStr">
        <is>
          <t>POUCH</t>
        </is>
      </c>
      <c r="H1310" t="inlineStr">
        <is>
          <t>BLEND S</t>
        </is>
      </c>
    </row>
    <row r="1311" ht="14.25" customHeight="1" s="5">
      <c r="A1311" s="7" t="n">
        <v>141</v>
      </c>
      <c r="B1311" s="7" t="inlineStr">
        <is>
          <t>LALPAN PF 12/1KG (500 GMS X 2)</t>
        </is>
      </c>
      <c r="C1311" s="7" t="inlineStr">
        <is>
          <t>LALPAN</t>
        </is>
      </c>
      <c r="D1311" s="7" t="n">
        <v>19327</v>
      </c>
      <c r="E1311" s="7" t="inlineStr">
        <is>
          <t>LALPAN PF 500 GMS</t>
        </is>
      </c>
      <c r="F1311" s="7" t="n">
        <v>24</v>
      </c>
      <c r="G1311" s="7" t="inlineStr">
        <is>
          <t>POUCH</t>
        </is>
      </c>
      <c r="H1311" t="inlineStr">
        <is>
          <t>BLEND S</t>
        </is>
      </c>
    </row>
    <row r="1312" ht="14.25" customHeight="1" s="5">
      <c r="A1312" s="7" t="n">
        <v>150</v>
      </c>
      <c r="B1312" s="7" t="inlineStr">
        <is>
          <t>LALPAN PF 25 GMS X 800(20 KG) PP NON WOVEN BAG</t>
        </is>
      </c>
      <c r="C1312" s="7" t="inlineStr">
        <is>
          <t>LALPAN</t>
        </is>
      </c>
      <c r="D1312" s="7" t="n">
        <v>19349</v>
      </c>
      <c r="E1312" s="7" t="inlineStr">
        <is>
          <t>LALPAN PF 25 GMS POUCH</t>
        </is>
      </c>
      <c r="F1312" s="7" t="n">
        <v>800</v>
      </c>
      <c r="G1312" s="7" t="inlineStr">
        <is>
          <t>POUCH</t>
        </is>
      </c>
      <c r="H1312" t="inlineStr">
        <is>
          <t>BLEND S</t>
        </is>
      </c>
    </row>
    <row r="1313" ht="14.25" customHeight="1" s="5">
      <c r="A1313" s="7" t="n">
        <v>157</v>
      </c>
      <c r="B1313" s="7" t="inlineStr">
        <is>
          <t>LALPAN PF 250 GMS X 20(5KG) X 5 BOPP/PP BAG</t>
        </is>
      </c>
      <c r="C1313" s="7" t="inlineStr">
        <is>
          <t>LALPAN</t>
        </is>
      </c>
      <c r="D1313" s="7" t="n">
        <v>19324</v>
      </c>
      <c r="E1313" s="7" t="inlineStr">
        <is>
          <t>LALPAN PF 250 GMS BOPP</t>
        </is>
      </c>
      <c r="F1313" s="7" t="n">
        <v>100</v>
      </c>
      <c r="G1313" s="7" t="inlineStr">
        <is>
          <t>POUCH</t>
        </is>
      </c>
      <c r="H1313" t="inlineStr">
        <is>
          <t>BLEND S</t>
        </is>
      </c>
    </row>
    <row r="1314" ht="14.25" customHeight="1" s="5">
      <c r="A1314" s="7" t="n">
        <v>18343</v>
      </c>
      <c r="B1314" s="7" t="inlineStr">
        <is>
          <t>LALPAN PF 250 GMS X 20(5KG) X 5 BOPP/PP BAG WITH BATTERY OFFER</t>
        </is>
      </c>
      <c r="C1314" s="7" t="inlineStr">
        <is>
          <t>LALPAN</t>
        </is>
      </c>
      <c r="D1314" s="7" t="n">
        <v>19325</v>
      </c>
      <c r="E1314" s="7" t="inlineStr">
        <is>
          <t>LALPAN PF 250 GMS BOPP WITH BATTERY OFFER</t>
        </is>
      </c>
      <c r="F1314" s="7" t="n">
        <v>100</v>
      </c>
      <c r="G1314" s="7" t="inlineStr">
        <is>
          <t>POUCH</t>
        </is>
      </c>
      <c r="H1314" t="inlineStr">
        <is>
          <t>BLEND S</t>
        </is>
      </c>
    </row>
    <row r="1315" ht="14.25" customHeight="1" s="5">
      <c r="A1315" s="7" t="n">
        <v>154</v>
      </c>
      <c r="B1315" s="7" t="inlineStr">
        <is>
          <t>LALPAN PF 250 GMS X 48(12KG CFC)</t>
        </is>
      </c>
      <c r="C1315" s="7" t="inlineStr">
        <is>
          <t>LALPAN</t>
        </is>
      </c>
      <c r="D1315" s="7" t="n">
        <v>19324</v>
      </c>
      <c r="E1315" s="7" t="inlineStr">
        <is>
          <t>LALPAN PF 250 GMS BOPP</t>
        </is>
      </c>
      <c r="F1315" s="7" t="n">
        <v>48</v>
      </c>
      <c r="G1315" s="7" t="inlineStr">
        <is>
          <t>POUCH</t>
        </is>
      </c>
      <c r="H1315" t="inlineStr">
        <is>
          <t>BLEND S</t>
        </is>
      </c>
    </row>
    <row r="1316" ht="14.25" customHeight="1" s="5">
      <c r="A1316" s="7" t="n">
        <v>5572</v>
      </c>
      <c r="B1316" s="7" t="inlineStr">
        <is>
          <t>LALPAN PF 50 GMS X 400(20 KG) PP NON WOVEN BAG</t>
        </is>
      </c>
      <c r="C1316" s="7" t="inlineStr">
        <is>
          <t>LALPAN</t>
        </is>
      </c>
      <c r="D1316" s="7" t="n">
        <v>19348</v>
      </c>
      <c r="E1316" s="7" t="inlineStr">
        <is>
          <t>LALPAN PF 50 GMS POUCH</t>
        </is>
      </c>
      <c r="F1316" s="7" t="n">
        <v>400</v>
      </c>
      <c r="G1316" s="7" t="inlineStr">
        <is>
          <t>POUCH</t>
        </is>
      </c>
      <c r="H1316" t="inlineStr">
        <is>
          <t>BLEND S (NEW)</t>
        </is>
      </c>
    </row>
    <row r="1317" ht="14.25" customHeight="1" s="5">
      <c r="A1317" s="7" t="n">
        <v>19206</v>
      </c>
      <c r="B1317" s="7" t="inlineStr">
        <is>
          <t>LALPAN PF S  250 GMS X 20 X 5  BOPP/PP BAG BOGO PRINT 25 KG</t>
        </is>
      </c>
      <c r="C1317" s="7" t="inlineStr">
        <is>
          <t>LALPAN</t>
        </is>
      </c>
      <c r="D1317" s="7" t="n">
        <v>19204</v>
      </c>
      <c r="E1317" s="7" t="inlineStr">
        <is>
          <t>LALPAN PF S 250 GM BOGO PRINT</t>
        </is>
      </c>
      <c r="F1317" s="7" t="n">
        <v>100</v>
      </c>
      <c r="G1317" s="7" t="inlineStr">
        <is>
          <t>POUCH</t>
        </is>
      </c>
      <c r="H1317" t="inlineStr">
        <is>
          <t>BLEND S</t>
        </is>
      </c>
    </row>
    <row r="1318" ht="14.25" customHeight="1" s="5">
      <c r="A1318" s="7" t="n">
        <v>19203</v>
      </c>
      <c r="B1318" s="7" t="inlineStr">
        <is>
          <t>LALPAN PF S ( 48 X 250 GM LAMINATE POUCH ) CFC BOGO BAND</t>
        </is>
      </c>
      <c r="C1318" s="7" t="inlineStr">
        <is>
          <t>LALPAN</t>
        </is>
      </c>
      <c r="D1318" s="7" t="n">
        <v>19201</v>
      </c>
      <c r="E1318" s="7" t="inlineStr">
        <is>
          <t>LALPAN PF S 250 GM BOGO BAND</t>
        </is>
      </c>
      <c r="F1318" s="7" t="n">
        <v>48</v>
      </c>
      <c r="G1318" s="7" t="inlineStr">
        <is>
          <t>POUCH</t>
        </is>
      </c>
      <c r="H1318" t="inlineStr">
        <is>
          <t>BLEND S</t>
        </is>
      </c>
    </row>
    <row r="1319" ht="14.25" customHeight="1" s="5">
      <c r="A1319" s="7" t="n">
        <v>19947</v>
      </c>
      <c r="B1319" s="7" t="inlineStr">
        <is>
          <t>LALPAN PF S ( 48 X 250 GM LAMINATE POUCH ) CFC BOGO PRINT 12 KG</t>
        </is>
      </c>
      <c r="C1319" s="7" t="inlineStr">
        <is>
          <t>LALPAN</t>
        </is>
      </c>
      <c r="D1319" s="7" t="n">
        <v>19204</v>
      </c>
      <c r="E1319" s="7" t="inlineStr">
        <is>
          <t>LALPAN PF S 250 GM BOGO PRINT</t>
        </is>
      </c>
      <c r="F1319" s="7" t="n">
        <v>48</v>
      </c>
      <c r="G1319" s="7" t="inlineStr">
        <is>
          <t>POUCH</t>
        </is>
      </c>
      <c r="H1319" t="inlineStr">
        <is>
          <t>BLEND S</t>
        </is>
      </c>
    </row>
    <row r="1320" ht="14.25" customHeight="1" s="5">
      <c r="A1320" s="7" t="n">
        <v>34420</v>
      </c>
      <c r="B1320" s="7" t="inlineStr">
        <is>
          <t>LALPAN PF S (NEW) (24 X 10 X 100 GM LAMINATED POUCH) PP BAG BATTERY OFFER</t>
        </is>
      </c>
      <c r="C1320" s="7" t="inlineStr">
        <is>
          <t>LALPAN</t>
        </is>
      </c>
      <c r="D1320" s="7" t="n">
        <v>19346</v>
      </c>
      <c r="E1320" s="7" t="inlineStr">
        <is>
          <t>LALPAN PF 100 GMS POUCH</t>
        </is>
      </c>
      <c r="F1320" s="7" t="n">
        <v>240</v>
      </c>
      <c r="G1320" s="7" t="inlineStr">
        <is>
          <t>POUCH</t>
        </is>
      </c>
      <c r="H1320" t="inlineStr">
        <is>
          <t>BLEND S (NEW)</t>
        </is>
      </c>
    </row>
    <row r="1321" ht="14.25" customHeight="1" s="5">
      <c r="A1321" s="7" t="n">
        <v>33676</v>
      </c>
      <c r="B1321" s="7" t="inlineStr">
        <is>
          <t>LALPAN PF S (NEW) [20 X 50 X 20 GM LAMINATE POUCH] PP NON WOVEN BAG</t>
        </is>
      </c>
      <c r="C1321" s="7" t="inlineStr">
        <is>
          <t>LALPAN</t>
        </is>
      </c>
      <c r="D1321" s="7" t="n">
        <v>32223</v>
      </c>
      <c r="E1321" s="7" t="inlineStr">
        <is>
          <t>LALPAN PF S (NEW) 20 GM POUCH</t>
        </is>
      </c>
      <c r="F1321" s="7" t="n">
        <v>1000</v>
      </c>
      <c r="G1321" s="7" t="inlineStr">
        <is>
          <t>POUCH</t>
        </is>
      </c>
      <c r="H1321" t="inlineStr">
        <is>
          <t>BLEND S (NEW)</t>
        </is>
      </c>
    </row>
    <row r="1322" ht="14.25" customHeight="1" s="5">
      <c r="A1322" s="7" t="n">
        <v>32224</v>
      </c>
      <c r="B1322" s="7" t="inlineStr">
        <is>
          <t>LALPAN PF S (NEW) [23 X 50 X 20 GM LAMINATE POUCH] PP NON WOVEN BAG</t>
        </is>
      </c>
      <c r="C1322" s="7" t="inlineStr">
        <is>
          <t>LALPAN</t>
        </is>
      </c>
      <c r="D1322" s="7" t="n">
        <v>32223</v>
      </c>
      <c r="E1322" s="7" t="inlineStr">
        <is>
          <t>LALPAN PF S (NEW) 20 GM POUCH</t>
        </is>
      </c>
      <c r="F1322" s="7" t="n">
        <v>1150</v>
      </c>
      <c r="G1322" s="7" t="inlineStr">
        <is>
          <t>POUCH</t>
        </is>
      </c>
      <c r="H1322" t="inlineStr">
        <is>
          <t>BLEND S (NEW)</t>
        </is>
      </c>
    </row>
    <row r="1323" ht="14.25" customHeight="1" s="5">
      <c r="A1323" s="7" t="n">
        <v>31980</v>
      </c>
      <c r="B1323" s="7" t="inlineStr">
        <is>
          <t>LALPAN PF S (NEW) [25 X 40 X 22 GM LAMINATE POUCH] PP NON WOVEN BAG</t>
        </is>
      </c>
      <c r="C1323" s="7" t="inlineStr">
        <is>
          <t>LALPAN</t>
        </is>
      </c>
      <c r="D1323" s="7" t="n">
        <v>20372</v>
      </c>
      <c r="E1323" s="7" t="inlineStr">
        <is>
          <t>LALPAN PF S 22 GMS POUCH</t>
        </is>
      </c>
      <c r="F1323" s="7" t="n">
        <v>1000</v>
      </c>
      <c r="G1323" s="7" t="inlineStr">
        <is>
          <t>POUCH</t>
        </is>
      </c>
      <c r="H1323" t="inlineStr">
        <is>
          <t>BLEND S</t>
        </is>
      </c>
    </row>
    <row r="1324" ht="14.25" customHeight="1" s="5">
      <c r="A1324" s="7" t="n">
        <v>20063</v>
      </c>
      <c r="B1324" s="7" t="inlineStr">
        <is>
          <t>LALPAN PF S [ 20 X 20 X 50 GM LAMINATE POUCH ] PP OLD BAG</t>
        </is>
      </c>
      <c r="C1324" s="7" t="inlineStr">
        <is>
          <t>LALPAN</t>
        </is>
      </c>
      <c r="D1324" s="7" t="n">
        <v>19348</v>
      </c>
      <c r="E1324" s="7" t="inlineStr">
        <is>
          <t>LALPAN PF 50 GMS POUCH</t>
        </is>
      </c>
      <c r="F1324" s="7" t="n">
        <v>400</v>
      </c>
      <c r="G1324" s="7" t="inlineStr">
        <is>
          <t>POUCH</t>
        </is>
      </c>
      <c r="H1324" t="inlineStr">
        <is>
          <t>BLEND S (NEW)</t>
        </is>
      </c>
    </row>
    <row r="1325" ht="14.25" customHeight="1" s="5">
      <c r="A1325" s="7" t="n">
        <v>20062</v>
      </c>
      <c r="B1325" s="7" t="inlineStr">
        <is>
          <t>LALPAN PF S [ 20 X 40 X 25 GM LAMINATE POUCH ] PP OLD BAG</t>
        </is>
      </c>
      <c r="C1325" s="7" t="inlineStr">
        <is>
          <t>LALPAN</t>
        </is>
      </c>
      <c r="D1325" s="7" t="n">
        <v>19349</v>
      </c>
      <c r="E1325" s="7" t="inlineStr">
        <is>
          <t>LALPAN PF 25 GMS POUCH</t>
        </is>
      </c>
      <c r="F1325" s="7" t="n">
        <v>800</v>
      </c>
      <c r="G1325" s="7" t="inlineStr">
        <is>
          <t>POUCH</t>
        </is>
      </c>
      <c r="H1325" t="inlineStr">
        <is>
          <t>BLEND S</t>
        </is>
      </c>
    </row>
    <row r="1326" ht="14.25" customHeight="1" s="5">
      <c r="A1326" s="7" t="n">
        <v>33303</v>
      </c>
      <c r="B1326" s="7" t="inlineStr">
        <is>
          <t>LALPAN PF S [ 5 X 25 X 200 GM LAMINATE POUCH ] PP BAG</t>
        </is>
      </c>
      <c r="C1326" s="7" t="inlineStr">
        <is>
          <t>LALPAN</t>
        </is>
      </c>
      <c r="D1326" s="7" t="n">
        <v>33302</v>
      </c>
      <c r="E1326" s="7" t="inlineStr">
        <is>
          <t>LALPAN PF S 200 GM POUCH</t>
        </is>
      </c>
      <c r="F1326" s="7" t="n">
        <v>125</v>
      </c>
      <c r="G1326" s="7" t="inlineStr">
        <is>
          <t>POUCH</t>
        </is>
      </c>
      <c r="H1326" t="inlineStr">
        <is>
          <t>BLEND S</t>
        </is>
      </c>
    </row>
    <row r="1327" ht="14.25" customHeight="1" s="5">
      <c r="A1327" s="7" t="n">
        <v>22687</v>
      </c>
      <c r="B1327" s="7" t="inlineStr">
        <is>
          <t>LALPAN PF S [(5 X 20 X 250 GM)+(5 X 2 X 100 GM) LAMINATE POUCH] PP BAG TRADE OFFER</t>
        </is>
      </c>
      <c r="C1327" s="7" t="inlineStr">
        <is>
          <t>LALPAN</t>
        </is>
      </c>
      <c r="D1327" s="7" t="n">
        <v>19324</v>
      </c>
      <c r="E1327" s="7" t="inlineStr">
        <is>
          <t>LALPAN PF 250 GMS BOPP</t>
        </is>
      </c>
      <c r="F1327" s="7" t="n">
        <v>100</v>
      </c>
      <c r="G1327" s="7" t="inlineStr">
        <is>
          <t>POUCH</t>
        </is>
      </c>
      <c r="H1327" t="inlineStr">
        <is>
          <t>BLEND S</t>
        </is>
      </c>
    </row>
    <row r="1328" ht="14.25" customHeight="1" s="5">
      <c r="A1328" s="7" t="n">
        <v>22687</v>
      </c>
      <c r="B1328" s="7" t="inlineStr">
        <is>
          <t>LALPAN PF S [(5 X 20 X 250 GM)+(5 X 2 X 100 GM) LAMINATE POUCH] PP BAG TRADE OFFER</t>
        </is>
      </c>
      <c r="C1328" s="7" t="inlineStr">
        <is>
          <t>LALPAN</t>
        </is>
      </c>
      <c r="D1328" s="7" t="n">
        <v>19346</v>
      </c>
      <c r="E1328" s="7" t="inlineStr">
        <is>
          <t>LALPAN PF 100 GMS POUCH</t>
        </is>
      </c>
      <c r="F1328" s="7" t="n">
        <v>10</v>
      </c>
      <c r="G1328" s="7" t="inlineStr">
        <is>
          <t>POUCH</t>
        </is>
      </c>
      <c r="H1328" t="inlineStr">
        <is>
          <t>BLEND S (NEW)</t>
        </is>
      </c>
    </row>
    <row r="1329" ht="14.25" customHeight="1" s="5">
      <c r="A1329" s="7" t="n">
        <v>36295</v>
      </c>
      <c r="B1329" s="7" t="inlineStr">
        <is>
          <t>LALPAN PF S [(5 X 24 X 250 GM) + (5 X 1 X 250 GM) LAMINATE POUCH] PP BAG ELAICHI TRADE OFFER</t>
        </is>
      </c>
      <c r="C1329" s="7" t="inlineStr">
        <is>
          <t>LALPAN</t>
        </is>
      </c>
      <c r="D1329" s="7" t="n">
        <v>19324</v>
      </c>
      <c r="E1329" s="7" t="inlineStr">
        <is>
          <t>LALPAN PF 250 GMS BOPP</t>
        </is>
      </c>
      <c r="F1329" s="7" t="n">
        <v>120</v>
      </c>
      <c r="G1329" s="7" t="inlineStr">
        <is>
          <t>POUCH</t>
        </is>
      </c>
      <c r="H1329" t="inlineStr">
        <is>
          <t>BLEND S</t>
        </is>
      </c>
    </row>
    <row r="1330" ht="14.25" customHeight="1" s="5">
      <c r="A1330" s="7" t="n">
        <v>36295</v>
      </c>
      <c r="B1330" s="7" t="inlineStr">
        <is>
          <t>LALPAN PF S [(5 X 24 X 250 GM) + (5 X 1 X 250 GM) LAMINATE POUCH] PP BAG ELAICHI TRADE OFFER</t>
        </is>
      </c>
      <c r="C1330" s="7" t="inlineStr">
        <is>
          <t>LALPAN</t>
        </is>
      </c>
      <c r="D1330" s="7" t="n">
        <v>34516</v>
      </c>
      <c r="E1330" s="7" t="inlineStr">
        <is>
          <t>LALPAN ELAICHI LEAF BLACK TEA SARASWATI ELAICHI PKT 250 GM POUCH</t>
        </is>
      </c>
      <c r="F1330" s="7" t="n">
        <v>5</v>
      </c>
      <c r="G1330" s="7" t="inlineStr">
        <is>
          <t>POUCH</t>
        </is>
      </c>
      <c r="H1330" t="inlineStr">
        <is>
          <t>BLEND BLACK TEA SARASWATI ELAICHI PKT</t>
        </is>
      </c>
    </row>
    <row r="1331" ht="14.25" customHeight="1" s="5">
      <c r="A1331" s="7" t="n">
        <v>33433</v>
      </c>
      <c r="B1331" s="7" t="inlineStr">
        <is>
          <t>LALPAN PF S [(5 X 24 X 250 GM) + (5 X 2 X 44 GM) LAMINATE POUCH] PP BAG TRADE OFFER</t>
        </is>
      </c>
      <c r="C1331" s="7" t="inlineStr">
        <is>
          <t>LALPAN</t>
        </is>
      </c>
      <c r="D1331" s="7" t="n">
        <v>19324</v>
      </c>
      <c r="E1331" s="7" t="inlineStr">
        <is>
          <t>LALPAN PF 250 GMS BOPP</t>
        </is>
      </c>
      <c r="F1331" s="7" t="n">
        <v>120</v>
      </c>
      <c r="G1331" s="7" t="inlineStr">
        <is>
          <t>POUCH</t>
        </is>
      </c>
      <c r="H1331" t="inlineStr">
        <is>
          <t>BLEND S</t>
        </is>
      </c>
    </row>
    <row r="1332" ht="14.25" customHeight="1" s="5">
      <c r="A1332" s="7" t="n">
        <v>33433</v>
      </c>
      <c r="B1332" s="7" t="inlineStr">
        <is>
          <t>LALPAN PF S [(5 X 24 X 250 GM) + (5 X 2 X 44 GM) LAMINATE POUCH] PP BAG TRADE OFFER</t>
        </is>
      </c>
      <c r="C1332" s="7" t="inlineStr">
        <is>
          <t>LALPAN</t>
        </is>
      </c>
      <c r="D1332" s="7" t="n">
        <v>33332</v>
      </c>
      <c r="E1332" s="7" t="inlineStr">
        <is>
          <t>LALPAN PF S(NEW) 44 GM POUCH</t>
        </is>
      </c>
      <c r="F1332" s="7" t="n">
        <v>10</v>
      </c>
      <c r="G1332" s="7" t="inlineStr">
        <is>
          <t>POUCH</t>
        </is>
      </c>
      <c r="H1332" t="inlineStr">
        <is>
          <t>BLEND S (NEW)</t>
        </is>
      </c>
    </row>
    <row r="1333" ht="14.25" customHeight="1" s="5">
      <c r="A1333" s="7" t="n">
        <v>20373</v>
      </c>
      <c r="B1333" s="7" t="inlineStr">
        <is>
          <t>LALPAN PF S [20 X 40 X 22 GMS LAMINATE POUCH] KG PP NON WOVEN BAG</t>
        </is>
      </c>
      <c r="C1333" s="7" t="inlineStr">
        <is>
          <t>LALPAN</t>
        </is>
      </c>
      <c r="D1333" s="7" t="n">
        <v>20372</v>
      </c>
      <c r="E1333" s="7" t="inlineStr">
        <is>
          <t>LALPAN PF S 22 GMS POUCH</t>
        </is>
      </c>
      <c r="F1333" s="7" t="n">
        <v>800</v>
      </c>
      <c r="G1333" s="7" t="inlineStr">
        <is>
          <t>POUCH</t>
        </is>
      </c>
      <c r="H1333" t="inlineStr">
        <is>
          <t>BLEND S</t>
        </is>
      </c>
    </row>
    <row r="1334" ht="14.25" customHeight="1" s="5">
      <c r="A1334" s="7" t="n">
        <v>32555</v>
      </c>
      <c r="B1334" s="7" t="inlineStr">
        <is>
          <t>LALPAN PF S [24 X 2 X 500 GM NON WOVEN] CFC</t>
        </is>
      </c>
      <c r="C1334" s="7" t="inlineStr">
        <is>
          <t>LALPAN</t>
        </is>
      </c>
      <c r="D1334" s="7" t="n">
        <v>32553</v>
      </c>
      <c r="E1334" s="7" t="inlineStr">
        <is>
          <t>LALPAN PF S 500 GM POUCH</t>
        </is>
      </c>
      <c r="F1334" s="7" t="n">
        <v>48</v>
      </c>
      <c r="G1334" s="7" t="inlineStr">
        <is>
          <t>POUCH</t>
        </is>
      </c>
      <c r="H1334" t="inlineStr">
        <is>
          <t>BLEND S</t>
        </is>
      </c>
    </row>
    <row r="1335" ht="14.25" customHeight="1" s="5">
      <c r="A1335" s="7" t="n">
        <v>36646</v>
      </c>
      <c r="B1335" s="7" t="inlineStr">
        <is>
          <t>LALPAN PF S [24 X 2 X 500 GM NON WOVEN] CFC- AT</t>
        </is>
      </c>
      <c r="C1335" s="7" t="inlineStr">
        <is>
          <t>LALPAN</t>
        </is>
      </c>
      <c r="D1335" s="7" t="n">
        <v>32553</v>
      </c>
      <c r="E1335" s="7" t="inlineStr">
        <is>
          <t>LALPAN PF S 500 GM POUCH</t>
        </is>
      </c>
      <c r="F1335" s="7" t="n">
        <v>48</v>
      </c>
      <c r="G1335" s="7" t="inlineStr">
        <is>
          <t>POUCH</t>
        </is>
      </c>
      <c r="H1335" t="inlineStr">
        <is>
          <t>BLEND S</t>
        </is>
      </c>
    </row>
    <row r="1336" ht="14.25" customHeight="1" s="5">
      <c r="A1336" s="7" t="n">
        <v>26052</v>
      </c>
      <c r="B1336" s="7" t="inlineStr">
        <is>
          <t>LALPAN PF S [5 X 20 X 250 GM LAMINATE POUCH] PP BAG CP OFFER</t>
        </is>
      </c>
      <c r="C1336" s="7" t="inlineStr">
        <is>
          <t>LALPAN</t>
        </is>
      </c>
      <c r="D1336" s="7" t="n">
        <v>19324</v>
      </c>
      <c r="E1336" s="7" t="inlineStr">
        <is>
          <t>LALPAN PF 250 GMS BOPP</t>
        </is>
      </c>
      <c r="F1336" s="7" t="n">
        <v>100</v>
      </c>
      <c r="G1336" s="7" t="inlineStr">
        <is>
          <t>POUCH</t>
        </is>
      </c>
      <c r="H1336" t="inlineStr">
        <is>
          <t>BLEND S</t>
        </is>
      </c>
    </row>
    <row r="1337" ht="14.25" customHeight="1" s="5">
      <c r="A1337" s="7" t="n">
        <v>33431</v>
      </c>
      <c r="B1337" s="7" t="inlineStr">
        <is>
          <t>LALPAN PF S [5 X 24 X 250 GM LAMINATE POUCH] PP BAG</t>
        </is>
      </c>
      <c r="C1337" s="7" t="inlineStr">
        <is>
          <t>LALPAN</t>
        </is>
      </c>
      <c r="D1337" s="7" t="n">
        <v>19324</v>
      </c>
      <c r="E1337" s="7" t="inlineStr">
        <is>
          <t>LALPAN PF 250 GMS BOPP</t>
        </is>
      </c>
      <c r="F1337" s="7" t="n">
        <v>120</v>
      </c>
      <c r="G1337" s="7" t="inlineStr">
        <is>
          <t>POUCH</t>
        </is>
      </c>
      <c r="H1337" t="inlineStr">
        <is>
          <t>BLEND S</t>
        </is>
      </c>
    </row>
    <row r="1338" ht="14.25" customHeight="1" s="5">
      <c r="A1338" s="7" t="n">
        <v>34491</v>
      </c>
      <c r="B1338" s="7" t="inlineStr">
        <is>
          <t>LALPAN PF S [5 X 24 X 250 GM LAMINATE POUCH] PP BAG CP OFFER</t>
        </is>
      </c>
      <c r="C1338" s="7" t="inlineStr">
        <is>
          <t>LALPAN</t>
        </is>
      </c>
      <c r="D1338" s="7" t="n">
        <v>19324</v>
      </c>
      <c r="E1338" s="7" t="inlineStr">
        <is>
          <t>LALPAN PF 250 GMS BOPP</t>
        </is>
      </c>
      <c r="F1338" s="7" t="n">
        <v>120</v>
      </c>
      <c r="G1338" s="7" t="inlineStr">
        <is>
          <t>POUCH</t>
        </is>
      </c>
      <c r="H1338" t="inlineStr">
        <is>
          <t>BLEND S</t>
        </is>
      </c>
    </row>
    <row r="1339" ht="14.25" customHeight="1" s="5">
      <c r="A1339" s="7" t="n">
        <v>36645</v>
      </c>
      <c r="B1339" s="7" t="inlineStr">
        <is>
          <t>LALPAN PF S [5 X 24 X 250 GM LAMINATE POUCH] PP BAG CP OFFER-AT</t>
        </is>
      </c>
      <c r="C1339" s="7" t="inlineStr">
        <is>
          <t>LALPAN</t>
        </is>
      </c>
      <c r="D1339" s="7" t="n">
        <v>19324</v>
      </c>
      <c r="E1339" s="7" t="inlineStr">
        <is>
          <t>LALPAN PF 250 GMS BOPP</t>
        </is>
      </c>
      <c r="F1339" s="7" t="n">
        <v>120</v>
      </c>
      <c r="G1339" s="7" t="inlineStr">
        <is>
          <t>POUCH</t>
        </is>
      </c>
      <c r="H1339" t="inlineStr">
        <is>
          <t>BLEND S</t>
        </is>
      </c>
    </row>
    <row r="1340" ht="14.25" customHeight="1" s="5">
      <c r="A1340" s="7" t="n">
        <v>34731</v>
      </c>
      <c r="B1340" s="7" t="inlineStr">
        <is>
          <t>LALPAN PF S [5 X 24 X 250 GM LAMINATE POUCH] PP BAG SCRATCH CARD OFFER</t>
        </is>
      </c>
      <c r="C1340" s="7" t="inlineStr">
        <is>
          <t>LALPAN</t>
        </is>
      </c>
      <c r="D1340" s="7" t="n">
        <v>19324</v>
      </c>
      <c r="E1340" s="7" t="inlineStr">
        <is>
          <t>LALPAN PF 250 GMS BOPP</t>
        </is>
      </c>
      <c r="F1340" s="7" t="n">
        <v>120</v>
      </c>
      <c r="G1340" s="7" t="inlineStr">
        <is>
          <t>POUCH</t>
        </is>
      </c>
      <c r="H1340" t="inlineStr">
        <is>
          <t>BLEND S</t>
        </is>
      </c>
    </row>
    <row r="1341" ht="14.25" customHeight="1" s="5">
      <c r="A1341" s="7" t="n">
        <v>28479</v>
      </c>
      <c r="B1341" s="7" t="inlineStr">
        <is>
          <t>LALPAN PF S [8 X 40 X 20 GM LAMINATE POUCH] CFC</t>
        </is>
      </c>
      <c r="C1341" s="7" t="inlineStr">
        <is>
          <t>LALPAN</t>
        </is>
      </c>
      <c r="D1341" s="7" t="n">
        <v>28478</v>
      </c>
      <c r="E1341" s="7" t="inlineStr">
        <is>
          <t>LALPAN PF S 20 GM POUCH</t>
        </is>
      </c>
      <c r="F1341" s="7" t="n">
        <v>320</v>
      </c>
      <c r="G1341" s="7" t="inlineStr">
        <is>
          <t>POUCH</t>
        </is>
      </c>
      <c r="H1341" t="inlineStr">
        <is>
          <t>BLEND S</t>
        </is>
      </c>
    </row>
    <row r="1342" ht="14.25" customHeight="1" s="5">
      <c r="A1342" s="7" t="n">
        <v>33333</v>
      </c>
      <c r="B1342" s="7" t="inlineStr">
        <is>
          <t>LALPAN PF S(NEW) [ 25 X 20 X 44 GM LAMINATE POUCH ] PP NON WOVEN BAG</t>
        </is>
      </c>
      <c r="C1342" s="7" t="inlineStr">
        <is>
          <t>LALPAN</t>
        </is>
      </c>
      <c r="D1342" s="7" t="n">
        <v>33332</v>
      </c>
      <c r="E1342" s="7" t="inlineStr">
        <is>
          <t>LALPAN PF S(NEW) 44 GM POUCH</t>
        </is>
      </c>
      <c r="F1342" s="7" t="n">
        <v>500</v>
      </c>
      <c r="G1342" s="7" t="inlineStr">
        <is>
          <t>POUCH</t>
        </is>
      </c>
      <c r="H1342" t="inlineStr">
        <is>
          <t>BLEND S (NEW)</t>
        </is>
      </c>
    </row>
    <row r="1343" ht="14.25" customHeight="1" s="5">
      <c r="A1343" s="7" t="n">
        <v>34635</v>
      </c>
      <c r="B1343" s="7" t="inlineStr">
        <is>
          <t>LALPAN PREMIUM LEAF WB WEST [8 X 40 X 16 GM LAMINATE POUCH] CFC</t>
        </is>
      </c>
      <c r="C1343" s="7" t="inlineStr">
        <is>
          <t>LALPAN</t>
        </is>
      </c>
      <c r="D1343" s="7" t="n">
        <v>34633</v>
      </c>
      <c r="E1343" s="7" t="inlineStr">
        <is>
          <t>LALPAN PREMIUM LEAF WB WEST 16 GM POUCH</t>
        </is>
      </c>
      <c r="F1343" s="7" t="n">
        <v>320</v>
      </c>
      <c r="G1343" s="7" t="inlineStr">
        <is>
          <t>POUCH</t>
        </is>
      </c>
      <c r="H1343" t="inlineStr">
        <is>
          <t>BLEND WB WEST</t>
        </is>
      </c>
    </row>
    <row r="1344" ht="14.25" customHeight="1" s="5">
      <c r="A1344" s="7" t="n">
        <v>34627</v>
      </c>
      <c r="B1344" s="7" t="inlineStr">
        <is>
          <t>LALPAN PREMIUM LEAF WB WEST [8 X 40 X 20 GM LAMINATE POUCH] CFC</t>
        </is>
      </c>
      <c r="C1344" s="7" t="inlineStr">
        <is>
          <t>LALPAN</t>
        </is>
      </c>
      <c r="D1344" s="7" t="n">
        <v>34626</v>
      </c>
      <c r="E1344" s="7" t="inlineStr">
        <is>
          <t>LALPAN PREMIUM LEAF WB WEST 20 GM POUCH</t>
        </is>
      </c>
      <c r="F1344" s="7" t="n">
        <v>320</v>
      </c>
      <c r="G1344" s="7" t="inlineStr">
        <is>
          <t>POUCH</t>
        </is>
      </c>
      <c r="H1344" t="inlineStr">
        <is>
          <t>BLEND WB WEST</t>
        </is>
      </c>
    </row>
    <row r="1345" ht="14.25" customHeight="1" s="5">
      <c r="A1345" s="7" t="n">
        <v>31905</v>
      </c>
      <c r="B1345" s="7" t="inlineStr">
        <is>
          <t>LANCASHIRE 2/1100 TEA BAGS</t>
        </is>
      </c>
      <c r="C1345" s="7" t="inlineStr">
        <is>
          <t>LANCASHIRE</t>
        </is>
      </c>
      <c r="D1345" s="7" t="n">
        <v>31967</v>
      </c>
      <c r="E1345" s="7" t="inlineStr">
        <is>
          <t>LANCASHIRE 1100 TBGS</t>
        </is>
      </c>
      <c r="F1345" s="7" t="n">
        <v>2</v>
      </c>
      <c r="G1345" s="7" t="inlineStr">
        <is>
          <t>POUCH</t>
        </is>
      </c>
      <c r="H1345" t="inlineStr">
        <is>
          <t>BLEND LCS-RFA</t>
        </is>
      </c>
    </row>
    <row r="1346" ht="14.25" customHeight="1" s="5">
      <c r="A1346" s="7" t="n">
        <v>31903</v>
      </c>
      <c r="B1346" s="7" t="inlineStr">
        <is>
          <t>LANCASHIRE 6/1 KGS POUCH</t>
        </is>
      </c>
      <c r="C1346" s="7" t="inlineStr">
        <is>
          <t>LANCASHIRE</t>
        </is>
      </c>
      <c r="D1346" s="7" t="n">
        <v>31970</v>
      </c>
      <c r="E1346" s="7" t="inlineStr">
        <is>
          <t>LANCASHIRE 1 KGS POUCH</t>
        </is>
      </c>
      <c r="F1346" s="7" t="n">
        <v>6</v>
      </c>
      <c r="G1346" s="7" t="inlineStr">
        <is>
          <t>POUCH</t>
        </is>
      </c>
      <c r="H1346" t="inlineStr">
        <is>
          <t>BLEND LCS-RFA</t>
        </is>
      </c>
    </row>
    <row r="1347" ht="14.25" customHeight="1" s="5">
      <c r="A1347" s="7" t="n">
        <v>692</v>
      </c>
      <c r="B1347" s="7" t="inlineStr">
        <is>
          <t>LES 3 CAIMENS 12/100 DC ENV TBGS</t>
        </is>
      </c>
      <c r="C1347" s="7" t="inlineStr">
        <is>
          <t>LES 3 CAIMENS</t>
        </is>
      </c>
      <c r="D1347" s="7" t="n">
        <v>693</v>
      </c>
      <c r="E1347" s="7" t="inlineStr">
        <is>
          <t>LES 3 CAIMENS 100 DC ENV TBGS</t>
        </is>
      </c>
      <c r="F1347" s="7" t="n">
        <v>12</v>
      </c>
      <c r="G1347" s="7" t="inlineStr">
        <is>
          <t>CTN</t>
        </is>
      </c>
      <c r="H1347" t="inlineStr">
        <is>
          <t>BLEND 786</t>
        </is>
      </c>
    </row>
    <row r="1348" ht="14.25" customHeight="1" s="5">
      <c r="A1348" s="7" t="n">
        <v>32146</v>
      </c>
      <c r="B1348" s="7" t="inlineStr">
        <is>
          <t>LORD NELSON BREAKFAST BLACK TEA 8/50 DC SF TAG TBGS - CZ,SI, SK</t>
        </is>
      </c>
      <c r="C1348" s="7" t="inlineStr">
        <is>
          <t>LIDL</t>
        </is>
      </c>
      <c r="D1348" s="7" t="n">
        <v>32160</v>
      </c>
      <c r="E1348" s="7" t="inlineStr">
        <is>
          <t>LORD NELSON BREAKFAST BLACK TEA 50 DC SF TAG TBGS - CZ,SI, SK</t>
        </is>
      </c>
      <c r="F1348" s="7" t="n">
        <v>8</v>
      </c>
      <c r="G1348" s="7" t="inlineStr">
        <is>
          <t>CTN</t>
        </is>
      </c>
      <c r="H1348" t="inlineStr">
        <is>
          <t>BLEND A135/7722 - RFA</t>
        </is>
      </c>
    </row>
    <row r="1349" ht="14.25" customHeight="1" s="5">
      <c r="A1349" s="7" t="n">
        <v>32148</v>
      </c>
      <c r="B1349" s="7" t="inlineStr">
        <is>
          <t>LORD NELSON BREAKFAST BLACK TEA 8/50 DC SF TAG TBGS - LV, GR, CS, LT</t>
        </is>
      </c>
      <c r="C1349" s="7" t="inlineStr">
        <is>
          <t>LIDL</t>
        </is>
      </c>
      <c r="D1349" s="7" t="n">
        <v>32162</v>
      </c>
      <c r="E1349" s="7" t="inlineStr">
        <is>
          <t>LORD NELSON BREAKFAST BLACK TEA 50 DC SF TAG TBGS - LV, GR, CS, LT</t>
        </is>
      </c>
      <c r="F1349" s="7" t="n">
        <v>8</v>
      </c>
      <c r="G1349" s="7" t="inlineStr">
        <is>
          <t>CTN</t>
        </is>
      </c>
      <c r="H1349" t="inlineStr">
        <is>
          <t>BLEND A135/7722 - RFA</t>
        </is>
      </c>
    </row>
    <row r="1350" ht="14.25" customHeight="1" s="5">
      <c r="A1350" s="7" t="n">
        <v>32144</v>
      </c>
      <c r="B1350" s="7" t="inlineStr">
        <is>
          <t>LORD NELSON BREAKFAST SCHWARZTEE THE NOIR 8/50 DC SF TAG TBGS - CH</t>
        </is>
      </c>
      <c r="C1350" s="7" t="inlineStr">
        <is>
          <t>LIDL</t>
        </is>
      </c>
      <c r="D1350" s="7" t="n">
        <v>32158</v>
      </c>
      <c r="E1350" s="7" t="inlineStr">
        <is>
          <t>LORD NELSON BREAKFAST SCHWARZTEE THE NOIR 50 DC SF TAG TBGS - CH</t>
        </is>
      </c>
      <c r="F1350" s="7" t="n">
        <v>8</v>
      </c>
      <c r="G1350" s="7" t="inlineStr">
        <is>
          <t>CTN</t>
        </is>
      </c>
      <c r="H1350" t="inlineStr">
        <is>
          <t>BLEND A135/7722 - RFA</t>
        </is>
      </c>
    </row>
    <row r="1351" ht="14.25" customHeight="1" s="5">
      <c r="A1351" s="7" t="n">
        <v>32147</v>
      </c>
      <c r="B1351" s="7" t="inlineStr">
        <is>
          <t>LORD NELSON ENGLISH BREAKFAST TE NEGRO CHA PRETO 8/50 DC SF TAG TBGS - ES, PT</t>
        </is>
      </c>
      <c r="C1351" s="7" t="inlineStr">
        <is>
          <t>LIDL</t>
        </is>
      </c>
      <c r="D1351" s="7" t="n">
        <v>32161</v>
      </c>
      <c r="E1351" s="7" t="inlineStr">
        <is>
          <t>LORD NELSON ENGLISH BREAKFAST TE NEGRO CHA PRETO 50 DC SF TAG TBGS - ES, PT</t>
        </is>
      </c>
      <c r="F1351" s="7" t="n">
        <v>8</v>
      </c>
      <c r="G1351" s="7" t="inlineStr">
        <is>
          <t>CTN</t>
        </is>
      </c>
      <c r="H1351" t="inlineStr">
        <is>
          <t>BLEND A135/7722 - RFA</t>
        </is>
      </c>
    </row>
    <row r="1352" ht="14.25" customHeight="1" s="5">
      <c r="A1352" s="7" t="n">
        <v>32145</v>
      </c>
      <c r="B1352" s="7" t="inlineStr">
        <is>
          <t>LORD NELSON ENGLISH BREAKFAST TEA 8/50 DC SF TAG TBGS - SE, FI, DK</t>
        </is>
      </c>
      <c r="C1352" s="7" t="inlineStr">
        <is>
          <t>LIDL</t>
        </is>
      </c>
      <c r="D1352" s="7" t="n">
        <v>32159</v>
      </c>
      <c r="E1352" s="7" t="inlineStr">
        <is>
          <t>LORD NELSON ENGLISH BREAKFAST TEA 50 DC SF TAG TBGS - SE, FI, DK</t>
        </is>
      </c>
      <c r="F1352" s="7" t="n">
        <v>8</v>
      </c>
      <c r="G1352" s="7" t="inlineStr">
        <is>
          <t>CTN</t>
        </is>
      </c>
      <c r="H1352" t="inlineStr">
        <is>
          <t>BLEND A135/7722 - RFA</t>
        </is>
      </c>
    </row>
    <row r="1353" ht="14.25" customHeight="1" s="5">
      <c r="A1353" s="7" t="n">
        <v>32152</v>
      </c>
      <c r="B1353" s="7" t="inlineStr">
        <is>
          <t>LORD NELSON FRUIT VARIATION 8/20 DC SF ENV TBGS - NL</t>
        </is>
      </c>
      <c r="C1353" s="7" t="inlineStr">
        <is>
          <t>LIDL</t>
        </is>
      </c>
      <c r="D1353" s="7" t="n">
        <v>32166</v>
      </c>
      <c r="E1353" s="7" t="inlineStr">
        <is>
          <t>LORD NELSON ROOD FRUIT VARIATIE 20 DC ENV TBGS</t>
        </is>
      </c>
      <c r="F1353" s="7" t="n">
        <v>4</v>
      </c>
      <c r="G1353" s="7" t="inlineStr">
        <is>
          <t>CTN</t>
        </is>
      </c>
      <c r="H1353">
        <f>#N/A</f>
        <v/>
      </c>
    </row>
    <row r="1354" ht="14.25" customHeight="1" s="5">
      <c r="A1354" s="7" t="n">
        <v>32152</v>
      </c>
      <c r="B1354" s="7" t="inlineStr">
        <is>
          <t>LORD NELSON FRUIT VARIATION 8/20 DC SF ENV TBGS - NL</t>
        </is>
      </c>
      <c r="C1354" s="7" t="inlineStr">
        <is>
          <t>LIDL</t>
        </is>
      </c>
      <c r="D1354" s="7" t="n">
        <v>32167</v>
      </c>
      <c r="E1354" s="7" t="inlineStr">
        <is>
          <t>LORD NELSON GEEL FRUIT VARIATIE 20 DC ENV TBGS</t>
        </is>
      </c>
      <c r="F1354" s="7" t="n">
        <v>4</v>
      </c>
      <c r="G1354" s="7" t="inlineStr">
        <is>
          <t>CTN</t>
        </is>
      </c>
      <c r="H1354">
        <f>#N/A</f>
        <v/>
      </c>
    </row>
    <row r="1355" ht="14.25" customHeight="1" s="5">
      <c r="A1355" s="7" t="n">
        <v>32167</v>
      </c>
      <c r="B1355" s="7" t="inlineStr">
        <is>
          <t>LORD NELSON GEEL FRUIT VARIATIE 20 DC ENV TBGS</t>
        </is>
      </c>
      <c r="C1355" s="7" t="inlineStr">
        <is>
          <t>LIDL</t>
        </is>
      </c>
      <c r="D1355" s="7" t="n">
        <v>32288</v>
      </c>
      <c r="E1355" s="7" t="inlineStr">
        <is>
          <t>LORD NELSON LOOSE ENV LEMON DC SF ENV TBGS</t>
        </is>
      </c>
      <c r="F1355" s="7" t="n">
        <v>5</v>
      </c>
      <c r="G1355" s="7" t="inlineStr">
        <is>
          <t>ENV</t>
        </is>
      </c>
      <c r="H1355" t="inlineStr">
        <is>
          <t>BLEND LEMON JUMBO TBC</t>
        </is>
      </c>
    </row>
    <row r="1356" ht="14.25" customHeight="1" s="5">
      <c r="A1356" s="7" t="n">
        <v>32167</v>
      </c>
      <c r="B1356" s="7" t="inlineStr">
        <is>
          <t>LORD NELSON GEEL FRUIT VARIATIE 20 DC ENV TBGS</t>
        </is>
      </c>
      <c r="C1356" s="7" t="inlineStr">
        <is>
          <t>LIDL</t>
        </is>
      </c>
      <c r="D1356" s="7" t="n">
        <v>32289</v>
      </c>
      <c r="E1356" s="7" t="inlineStr">
        <is>
          <t>LORD NELSON LOOSE ENV MANGO DC SF ENV TBGS</t>
        </is>
      </c>
      <c r="F1356" s="7" t="n">
        <v>5</v>
      </c>
      <c r="G1356" s="7" t="inlineStr">
        <is>
          <t>ENV</t>
        </is>
      </c>
      <c r="H1356" t="inlineStr">
        <is>
          <t>BLEND MANGO JUMBO TBC</t>
        </is>
      </c>
    </row>
    <row r="1357" ht="14.25" customHeight="1" s="5">
      <c r="A1357" s="7" t="n">
        <v>32167</v>
      </c>
      <c r="B1357" s="7" t="inlineStr">
        <is>
          <t>LORD NELSON GEEL FRUIT VARIATIE 20 DC ENV TBGS</t>
        </is>
      </c>
      <c r="C1357" s="7" t="inlineStr">
        <is>
          <t>LIDL</t>
        </is>
      </c>
      <c r="D1357" s="7" t="n">
        <v>32290</v>
      </c>
      <c r="E1357" s="7" t="inlineStr">
        <is>
          <t>LORD NELSON LOOSE ENV MELON DC SF ENV TBGS</t>
        </is>
      </c>
      <c r="F1357" s="7" t="n">
        <v>5</v>
      </c>
      <c r="G1357" s="7" t="inlineStr">
        <is>
          <t>ENV</t>
        </is>
      </c>
      <c r="H1357" t="inlineStr">
        <is>
          <t>BLEND MELON JUMBO TBC</t>
        </is>
      </c>
    </row>
    <row r="1358" ht="14.25" customHeight="1" s="5">
      <c r="A1358" s="7" t="n">
        <v>32167</v>
      </c>
      <c r="B1358" s="7" t="inlineStr">
        <is>
          <t>LORD NELSON GEEL FRUIT VARIATIE 20 DC ENV TBGS</t>
        </is>
      </c>
      <c r="C1358" s="7" t="inlineStr">
        <is>
          <t>LIDL</t>
        </is>
      </c>
      <c r="D1358" s="7" t="n">
        <v>32291</v>
      </c>
      <c r="E1358" s="7" t="inlineStr">
        <is>
          <t>LORD NELSON LOOSE ENV ORANGE DC SF ENV TBGS</t>
        </is>
      </c>
      <c r="F1358" s="7" t="n">
        <v>5</v>
      </c>
      <c r="G1358" s="7" t="inlineStr">
        <is>
          <t>ENV</t>
        </is>
      </c>
      <c r="H1358" t="inlineStr">
        <is>
          <t>BLEND ORANGE JUMBO TBC</t>
        </is>
      </c>
    </row>
    <row r="1359" ht="14.25" customHeight="1" s="5">
      <c r="A1359" s="7" t="n">
        <v>32151</v>
      </c>
      <c r="B1359" s="7" t="inlineStr">
        <is>
          <t>LORD NELSON PEPPERMINT 15/25 DC SF TAG TBGS - SI, SK, RS</t>
        </is>
      </c>
      <c r="C1359" s="7" t="inlineStr">
        <is>
          <t>LIDL</t>
        </is>
      </c>
      <c r="D1359" s="7" t="n">
        <v>32165</v>
      </c>
      <c r="E1359" s="7" t="inlineStr">
        <is>
          <t>LORD NELSON PEPPERMINT 25 DC SF TAG TBGS - SI, SK, RS</t>
        </is>
      </c>
      <c r="F1359" s="7" t="n">
        <v>15</v>
      </c>
      <c r="G1359" s="7" t="inlineStr">
        <is>
          <t>CTN</t>
        </is>
      </c>
      <c r="H1359" t="inlineStr">
        <is>
          <t>BLEND MINT TBC 100% UTZ</t>
        </is>
      </c>
    </row>
    <row r="1360" ht="14.25" customHeight="1" s="5">
      <c r="A1360" s="7" t="n">
        <v>32239</v>
      </c>
      <c r="B1360" s="7" t="inlineStr">
        <is>
          <t>LORD NELSON PFEFFERMINZE 15/25 DC SF TAG TBGS - DE</t>
        </is>
      </c>
      <c r="C1360" s="7" t="inlineStr">
        <is>
          <t>LIDL</t>
        </is>
      </c>
      <c r="D1360" s="7" t="n">
        <v>32240</v>
      </c>
      <c r="E1360" s="7" t="inlineStr">
        <is>
          <t>LORD NELSON PFEFFERMINZE 25 DC SF TAG TBGS - DE</t>
        </is>
      </c>
      <c r="F1360" s="7" t="n">
        <v>15</v>
      </c>
      <c r="G1360" s="7" t="inlineStr">
        <is>
          <t>CTN</t>
        </is>
      </c>
      <c r="H1360" t="inlineStr">
        <is>
          <t>BLEND MINT TBC 100% UTZ</t>
        </is>
      </c>
    </row>
    <row r="1361" ht="14.25" customHeight="1" s="5">
      <c r="A1361" s="7" t="n">
        <v>32166</v>
      </c>
      <c r="B1361" s="7" t="inlineStr">
        <is>
          <t>LORD NELSON ROOD FRUIT VARIATIE 20 DC ENV TBGS</t>
        </is>
      </c>
      <c r="C1361" s="7" t="inlineStr">
        <is>
          <t>LIDL</t>
        </is>
      </c>
      <c r="D1361" s="7" t="n">
        <v>32292</v>
      </c>
      <c r="E1361" s="7" t="inlineStr">
        <is>
          <t>LORD NELSON LOOSE ENV RASPBERRY DC SF ENV TBGS</t>
        </is>
      </c>
      <c r="F1361" s="7" t="n">
        <v>5</v>
      </c>
      <c r="G1361" s="7" t="inlineStr">
        <is>
          <t>ENV</t>
        </is>
      </c>
      <c r="H1361" t="inlineStr">
        <is>
          <t>BLEND RASPBERRY ALDI TBC</t>
        </is>
      </c>
    </row>
    <row r="1362" ht="14.25" customHeight="1" s="5">
      <c r="A1362" s="7" t="n">
        <v>32166</v>
      </c>
      <c r="B1362" s="7" t="inlineStr">
        <is>
          <t>LORD NELSON ROOD FRUIT VARIATIE 20 DC ENV TBGS</t>
        </is>
      </c>
      <c r="C1362" s="7" t="inlineStr">
        <is>
          <t>LIDL</t>
        </is>
      </c>
      <c r="D1362" s="7" t="n">
        <v>32293</v>
      </c>
      <c r="E1362" s="7" t="inlineStr">
        <is>
          <t>LORD NELSON LOOSE ENV STRAWBERRY DC SF ENV TBGS</t>
        </is>
      </c>
      <c r="F1362" s="7" t="n">
        <v>5</v>
      </c>
      <c r="G1362" s="7" t="inlineStr">
        <is>
          <t>ENV</t>
        </is>
      </c>
      <c r="H1362" t="inlineStr">
        <is>
          <t>BLEND STRAWBERRY JUMBO TBC</t>
        </is>
      </c>
    </row>
    <row r="1363" ht="14.25" customHeight="1" s="5">
      <c r="A1363" s="7" t="n">
        <v>32166</v>
      </c>
      <c r="B1363" s="7" t="inlineStr">
        <is>
          <t>LORD NELSON ROOD FRUIT VARIATIE 20 DC ENV TBGS</t>
        </is>
      </c>
      <c r="C1363" s="7" t="inlineStr">
        <is>
          <t>LIDL</t>
        </is>
      </c>
      <c r="D1363" s="7" t="n">
        <v>32294</v>
      </c>
      <c r="E1363" s="7" t="inlineStr">
        <is>
          <t>LORD NELSON LOOSE ENV CHERRY DC SF ENV TBGS</t>
        </is>
      </c>
      <c r="F1363" s="7" t="n">
        <v>5</v>
      </c>
      <c r="G1363" s="7" t="inlineStr">
        <is>
          <t>ENV</t>
        </is>
      </c>
      <c r="H1363" t="inlineStr">
        <is>
          <t>BLEND CHERRY JUMBO TBC</t>
        </is>
      </c>
    </row>
    <row r="1364" ht="14.25" customHeight="1" s="5">
      <c r="A1364" s="7" t="n">
        <v>32166</v>
      </c>
      <c r="B1364" s="7" t="inlineStr">
        <is>
          <t>LORD NELSON ROOD FRUIT VARIATIE 20 DC ENV TBGS</t>
        </is>
      </c>
      <c r="C1364" s="7" t="inlineStr">
        <is>
          <t>LIDL</t>
        </is>
      </c>
      <c r="D1364" s="7" t="n">
        <v>32295</v>
      </c>
      <c r="E1364" s="7" t="inlineStr">
        <is>
          <t>LORD NELSON LOOSE ENV FOREST FRUIT DC SF ENV TBGS</t>
        </is>
      </c>
      <c r="F1364" s="7" t="n">
        <v>5</v>
      </c>
      <c r="G1364" s="7" t="inlineStr">
        <is>
          <t>ENV</t>
        </is>
      </c>
      <c r="H1364" t="inlineStr">
        <is>
          <t>BLEND FOREST FRUIT JUMBO TBC</t>
        </is>
      </c>
    </row>
    <row r="1365" ht="14.25" customHeight="1" s="5">
      <c r="A1365" s="7" t="n">
        <v>32149</v>
      </c>
      <c r="B1365" s="7" t="inlineStr">
        <is>
          <t>LORD NELSON SCHWARZER TEE EARL GREY 8/40 DC SF TAG TBGS- DE</t>
        </is>
      </c>
      <c r="C1365" s="7" t="inlineStr">
        <is>
          <t>LIDL</t>
        </is>
      </c>
      <c r="D1365" s="7" t="n">
        <v>32163</v>
      </c>
      <c r="E1365" s="7" t="inlineStr">
        <is>
          <t>LORD NELSON SCHWARZER TEE EARL GREY 40 DC SF TAG TBGS- DE</t>
        </is>
      </c>
      <c r="F1365" s="7" t="n">
        <v>8</v>
      </c>
      <c r="G1365" s="7" t="inlineStr">
        <is>
          <t>CTN</t>
        </is>
      </c>
      <c r="H1365" t="inlineStr">
        <is>
          <t>BLEND EARL GREY JUMBO TBC</t>
        </is>
      </c>
    </row>
    <row r="1366" ht="14.25" customHeight="1" s="5">
      <c r="A1366" s="7" t="n">
        <v>32143</v>
      </c>
      <c r="B1366" s="7" t="inlineStr">
        <is>
          <t>LORD NELSON SCHWARZTEE MISCHUNG 8/50 DC SF TAG TBGS - DE, AT</t>
        </is>
      </c>
      <c r="C1366" s="7" t="inlineStr">
        <is>
          <t>LIDL</t>
        </is>
      </c>
      <c r="D1366" s="7" t="n">
        <v>32157</v>
      </c>
      <c r="E1366" s="7" t="inlineStr">
        <is>
          <t>LORD NELSON SCHWARZTEE MISCHUNG 50 DC SF TAG TBGS - DE, AT</t>
        </is>
      </c>
      <c r="F1366" s="7" t="n">
        <v>8</v>
      </c>
      <c r="G1366" s="7" t="inlineStr">
        <is>
          <t>CTN</t>
        </is>
      </c>
      <c r="H1366" t="inlineStr">
        <is>
          <t>BLEND A135/7722 - RFA</t>
        </is>
      </c>
    </row>
    <row r="1367" ht="14.25" customHeight="1" s="5">
      <c r="A1367" s="7" t="n">
        <v>33004</v>
      </c>
      <c r="B1367" s="7" t="inlineStr">
        <is>
          <t>MATHAS TRANQUIL ASSAM 36/100 DC HS SF TAG TBGS</t>
        </is>
      </c>
      <c r="C1367" s="7" t="inlineStr">
        <is>
          <t>MATHAS</t>
        </is>
      </c>
      <c r="D1367" s="7" t="n">
        <v>32937</v>
      </c>
      <c r="E1367" s="7" t="inlineStr">
        <is>
          <t>MATHAS TRANQUIL ASSAM 100 DC HS SF TAG TBGS</t>
        </is>
      </c>
      <c r="F1367" s="7" t="n">
        <v>36</v>
      </c>
      <c r="G1367" s="7" t="inlineStr">
        <is>
          <t>CTN</t>
        </is>
      </c>
      <c r="H1367" t="inlineStr">
        <is>
          <t>BLEND PL R</t>
        </is>
      </c>
    </row>
    <row r="1368" ht="14.25" customHeight="1" s="5">
      <c r="A1368" s="7" t="n">
        <v>33001</v>
      </c>
      <c r="B1368" s="7" t="inlineStr">
        <is>
          <t>MATHAS TRANQUIL GREEN TEA 18/100 DC SF HS ENV TBGS</t>
        </is>
      </c>
      <c r="C1368" s="7" t="inlineStr">
        <is>
          <t>MATHAS</t>
        </is>
      </c>
      <c r="D1368" s="7" t="n">
        <v>32938</v>
      </c>
      <c r="E1368" s="7" t="inlineStr">
        <is>
          <t>MATHAS TRANQUIL GREEN TEA 100 DC SF HS ENV TBGS</t>
        </is>
      </c>
      <c r="F1368" s="7" t="n">
        <v>18</v>
      </c>
      <c r="G1368" s="7" t="inlineStr">
        <is>
          <t>CTN</t>
        </is>
      </c>
      <c r="H1368" t="inlineStr">
        <is>
          <t>BLEND GREEN PL</t>
        </is>
      </c>
    </row>
    <row r="1369" ht="14.25" customHeight="1" s="5">
      <c r="A1369" s="7" t="n">
        <v>33002</v>
      </c>
      <c r="B1369" s="7" t="inlineStr">
        <is>
          <t>MATHAS TRANQUIL HONEY LEMON TEA 18/100 DC SF HS ENV TBGS</t>
        </is>
      </c>
      <c r="C1369" s="7" t="inlineStr">
        <is>
          <t>MATHAS</t>
        </is>
      </c>
      <c r="D1369" s="7" t="n">
        <v>32939</v>
      </c>
      <c r="E1369" s="7" t="inlineStr">
        <is>
          <t>MATHAS TRANQUIL HONEY LEMON TEA 100 DC SF HS ENV TBGS</t>
        </is>
      </c>
      <c r="F1369" s="7" t="n">
        <v>18</v>
      </c>
      <c r="G1369" s="7" t="inlineStr">
        <is>
          <t>CTN</t>
        </is>
      </c>
      <c r="H1369" t="inlineStr">
        <is>
          <t>BLEND GREEN TEA HONEY LEMON RELIANCE TBC</t>
        </is>
      </c>
    </row>
    <row r="1370" ht="14.25" customHeight="1" s="5">
      <c r="A1370" s="7" t="n">
        <v>33003</v>
      </c>
      <c r="B1370" s="7" t="inlineStr">
        <is>
          <t>MATHAS TRANQUIL LEMON TEA 18/100 DC SF HS ENV TBGS</t>
        </is>
      </c>
      <c r="C1370" s="7" t="inlineStr">
        <is>
          <t>MATHAS</t>
        </is>
      </c>
      <c r="D1370" s="7" t="n">
        <v>32940</v>
      </c>
      <c r="E1370" s="7" t="inlineStr">
        <is>
          <t>MATHAS TRANQUIL LEMON TEA 100 DC SF HS ENV TBGS</t>
        </is>
      </c>
      <c r="F1370" s="7" t="n">
        <v>18</v>
      </c>
      <c r="G1370" s="7" t="inlineStr">
        <is>
          <t>CTN</t>
        </is>
      </c>
      <c r="H1370" t="inlineStr">
        <is>
          <t>BLEND CCD LEMON</t>
        </is>
      </c>
    </row>
    <row r="1371" ht="14.25" customHeight="1" s="5">
      <c r="A1371" s="7" t="n">
        <v>2420</v>
      </c>
      <c r="B1371" s="7" t="inlineStr">
        <is>
          <t>MHAI DIVA CAMOMILE 6/100 SC HS ENV TBGS</t>
        </is>
      </c>
      <c r="C1371" s="7" t="inlineStr">
        <is>
          <t>MHAI DIVA</t>
        </is>
      </c>
      <c r="D1371" s="7" t="n">
        <v>2421</v>
      </c>
      <c r="E1371" s="7" t="inlineStr">
        <is>
          <t>MHAI DIVA CAMOMILE 100 SC HS ENV TBGS</t>
        </is>
      </c>
      <c r="F1371" s="7" t="n">
        <v>6</v>
      </c>
      <c r="G1371" s="7" t="inlineStr">
        <is>
          <t>CTN</t>
        </is>
      </c>
      <c r="H1371">
        <f>#N/A</f>
        <v/>
      </c>
    </row>
    <row r="1372" ht="14.25" customHeight="1" s="5">
      <c r="A1372" s="7" t="n">
        <v>2428</v>
      </c>
      <c r="B1372" s="7" t="inlineStr">
        <is>
          <t>MHAI DIVA CINNAMON 6/100 SC HS ENV TBGS</t>
        </is>
      </c>
      <c r="C1372" s="7" t="inlineStr">
        <is>
          <t>MHAI DIVA</t>
        </is>
      </c>
      <c r="D1372" s="7" t="n">
        <v>2429</v>
      </c>
      <c r="E1372" s="7" t="inlineStr">
        <is>
          <t>MHAI DIVA CINNAMON 100 SC HS ENV TBGS</t>
        </is>
      </c>
      <c r="F1372" s="7" t="n">
        <v>6</v>
      </c>
      <c r="G1372" s="7" t="inlineStr">
        <is>
          <t>CTN</t>
        </is>
      </c>
      <c r="H1372">
        <f>#N/A</f>
        <v/>
      </c>
    </row>
    <row r="1373" ht="14.25" customHeight="1" s="5">
      <c r="A1373" s="7" t="n">
        <v>2433</v>
      </c>
      <c r="B1373" s="7" t="inlineStr">
        <is>
          <t>MHAI DIVA DARJEELING 6/100 SC HS ENV TBGS</t>
        </is>
      </c>
      <c r="C1373" s="7" t="inlineStr">
        <is>
          <t>MHAI DIVA</t>
        </is>
      </c>
      <c r="D1373" s="7" t="n">
        <v>2434</v>
      </c>
      <c r="E1373" s="7" t="inlineStr">
        <is>
          <t>MHAI DIVA DARJEELING 100 SC HS ENV TBGS</t>
        </is>
      </c>
      <c r="F1373" s="7" t="n">
        <v>6</v>
      </c>
      <c r="G1373" s="7" t="inlineStr">
        <is>
          <t>CTN</t>
        </is>
      </c>
      <c r="H1373">
        <f>#N/A</f>
        <v/>
      </c>
    </row>
    <row r="1374" ht="14.25" customHeight="1" s="5">
      <c r="A1374" s="7" t="n">
        <v>2438</v>
      </c>
      <c r="B1374" s="7" t="inlineStr">
        <is>
          <t>MHAI DIVA DECAF ENGLISH BRAKFAST 6/100 SC HS ENV TBGS</t>
        </is>
      </c>
      <c r="C1374" s="7" t="inlineStr">
        <is>
          <t>MHAI DIVA</t>
        </is>
      </c>
      <c r="D1374" s="7" t="n">
        <v>2439</v>
      </c>
      <c r="E1374" s="7" t="inlineStr">
        <is>
          <t>MHAI DIVA DECAF ENGLISH BRAKFAST 100 SC HS ENV TBGS</t>
        </is>
      </c>
      <c r="F1374" s="7" t="n">
        <v>6</v>
      </c>
      <c r="G1374" s="7" t="inlineStr">
        <is>
          <t>CTN</t>
        </is>
      </c>
      <c r="H1374">
        <f>#N/A</f>
        <v/>
      </c>
    </row>
    <row r="1375" ht="14.25" customHeight="1" s="5">
      <c r="A1375" s="7" t="n">
        <v>2443</v>
      </c>
      <c r="B1375" s="7" t="inlineStr">
        <is>
          <t>MHAI DIVA EARL GREY 6/100 SC HS ENV TBGS</t>
        </is>
      </c>
      <c r="C1375" s="7" t="inlineStr">
        <is>
          <t>MHAI DIVA</t>
        </is>
      </c>
      <c r="D1375" s="7" t="n">
        <v>2444</v>
      </c>
      <c r="E1375" s="7" t="inlineStr">
        <is>
          <t>MHAI DIVA EARL GREY 100 SC HS ENV TBGS</t>
        </is>
      </c>
      <c r="F1375" s="7" t="n">
        <v>6</v>
      </c>
      <c r="G1375" s="7" t="inlineStr">
        <is>
          <t>CTN</t>
        </is>
      </c>
      <c r="H1375">
        <f>#N/A</f>
        <v/>
      </c>
    </row>
    <row r="1376" ht="14.25" customHeight="1" s="5">
      <c r="A1376" s="7" t="n">
        <v>2448</v>
      </c>
      <c r="B1376" s="7" t="inlineStr">
        <is>
          <t>MHAI DIVA ENGLISH BREAKFAST 6/100 SC HS ENV TBGS</t>
        </is>
      </c>
      <c r="C1376" s="7" t="inlineStr">
        <is>
          <t>MHAI DIVA</t>
        </is>
      </c>
      <c r="D1376" s="7" t="n">
        <v>2449</v>
      </c>
      <c r="E1376" s="7" t="inlineStr">
        <is>
          <t>MHAI DIVA ENGLISH BREAKFAST 100 SC HS ENV TBGS</t>
        </is>
      </c>
      <c r="F1376" s="7" t="n">
        <v>6</v>
      </c>
      <c r="G1376" s="7" t="inlineStr">
        <is>
          <t>CTN</t>
        </is>
      </c>
      <c r="H1376">
        <f>#N/A</f>
        <v/>
      </c>
    </row>
    <row r="1377" ht="14.25" customHeight="1" s="5">
      <c r="A1377" s="7" t="n">
        <v>2452</v>
      </c>
      <c r="B1377" s="7" t="inlineStr">
        <is>
          <t>MHAI DIVA FINE CEYLON 6/100 SC HS ENV TBGS</t>
        </is>
      </c>
      <c r="C1377" s="7" t="inlineStr">
        <is>
          <t>MHAI DIVA</t>
        </is>
      </c>
      <c r="D1377" s="7" t="n">
        <v>2453</v>
      </c>
      <c r="E1377" s="7" t="inlineStr">
        <is>
          <t>MHAI DIVA FINE CEYLON 100 SC HS ENV TBGS</t>
        </is>
      </c>
      <c r="F1377" s="7" t="n">
        <v>6</v>
      </c>
      <c r="G1377" s="7" t="inlineStr">
        <is>
          <t>CTN</t>
        </is>
      </c>
      <c r="H1377">
        <f>#N/A</f>
        <v/>
      </c>
    </row>
    <row r="1378" ht="14.25" customHeight="1" s="5">
      <c r="A1378" s="7" t="n">
        <v>2457</v>
      </c>
      <c r="B1378" s="7" t="inlineStr">
        <is>
          <t>MHAI DIVA FOREST FUIT 6/100 SC HS ENV TBGS</t>
        </is>
      </c>
      <c r="C1378" s="7" t="inlineStr">
        <is>
          <t>MHAI DIVA</t>
        </is>
      </c>
      <c r="D1378" s="7" t="n">
        <v>2458</v>
      </c>
      <c r="E1378" s="7" t="inlineStr">
        <is>
          <t>MHAI DIVA FOREST FUIT 100 SC HS ENV TBGS</t>
        </is>
      </c>
      <c r="F1378" s="7" t="n">
        <v>6</v>
      </c>
      <c r="G1378" s="7" t="inlineStr">
        <is>
          <t>CTN</t>
        </is>
      </c>
      <c r="H1378">
        <f>#N/A</f>
        <v/>
      </c>
    </row>
    <row r="1379" ht="14.25" customHeight="1" s="5">
      <c r="A1379" s="7" t="n">
        <v>2462</v>
      </c>
      <c r="B1379" s="7" t="inlineStr">
        <is>
          <t>MHAI DIVA GREEN TEA 6/100 SC HS ENV TBGS</t>
        </is>
      </c>
      <c r="C1379" s="7" t="inlineStr">
        <is>
          <t>MHAI DIVA</t>
        </is>
      </c>
      <c r="D1379" s="7" t="n">
        <v>2463</v>
      </c>
      <c r="E1379" s="7" t="inlineStr">
        <is>
          <t>MHAI DIVA GREEN TEA 100 SC HS ENV TBGS</t>
        </is>
      </c>
      <c r="F1379" s="7" t="n">
        <v>6</v>
      </c>
      <c r="G1379" s="7" t="inlineStr">
        <is>
          <t>CTN</t>
        </is>
      </c>
      <c r="H1379">
        <f>#N/A</f>
        <v/>
      </c>
    </row>
    <row r="1380" ht="14.25" customHeight="1" s="5">
      <c r="A1380" s="7" t="n">
        <v>2467</v>
      </c>
      <c r="B1380" s="7" t="inlineStr">
        <is>
          <t>MHAI DIVA GREEN TEA JASMINE 6/100 SC HS ENV TBGS</t>
        </is>
      </c>
      <c r="C1380" s="7" t="inlineStr">
        <is>
          <t>MHAI DIVA</t>
        </is>
      </c>
      <c r="D1380" s="7" t="n">
        <v>2468</v>
      </c>
      <c r="E1380" s="7" t="inlineStr">
        <is>
          <t>MHAI DIVA GREEN TEA JASMINE 100 SC HS ENV TBGS</t>
        </is>
      </c>
      <c r="F1380" s="7" t="n">
        <v>6</v>
      </c>
      <c r="G1380" s="7" t="inlineStr">
        <is>
          <t>CTN</t>
        </is>
      </c>
      <c r="H1380">
        <f>#N/A</f>
        <v/>
      </c>
    </row>
    <row r="1381" ht="14.25" customHeight="1" s="5">
      <c r="A1381" s="7" t="n">
        <v>2472</v>
      </c>
      <c r="B1381" s="7" t="inlineStr">
        <is>
          <t>MHAI DIVA HONEY 6/100 SC HS ENV TBGS</t>
        </is>
      </c>
      <c r="C1381" s="7" t="inlineStr">
        <is>
          <t>MHAI DIVA</t>
        </is>
      </c>
      <c r="D1381" s="7" t="n">
        <v>2473</v>
      </c>
      <c r="E1381" s="7" t="inlineStr">
        <is>
          <t>MHAI DIVA HONEY 100 SC HS ENV TBGS</t>
        </is>
      </c>
      <c r="F1381" s="7" t="n">
        <v>6</v>
      </c>
      <c r="G1381" s="7" t="inlineStr">
        <is>
          <t>CTN</t>
        </is>
      </c>
      <c r="H1381">
        <f>#N/A</f>
        <v/>
      </c>
    </row>
    <row r="1382" ht="14.25" customHeight="1" s="5">
      <c r="A1382" s="7" t="n">
        <v>2477</v>
      </c>
      <c r="B1382" s="7" t="inlineStr">
        <is>
          <t>MHAI DIVA HOT TEA BLEND 6/100 SC HS ENV TBGS</t>
        </is>
      </c>
      <c r="C1382" s="7" t="inlineStr">
        <is>
          <t>MHAI DIVA</t>
        </is>
      </c>
      <c r="D1382" s="7" t="n">
        <v>2478</v>
      </c>
      <c r="E1382" s="7" t="inlineStr">
        <is>
          <t>MHAI DIVA HOT TEA BLEND 100 SC HS ENV TBGS</t>
        </is>
      </c>
      <c r="F1382" s="7" t="n">
        <v>6</v>
      </c>
      <c r="G1382" s="7" t="inlineStr">
        <is>
          <t>CTN</t>
        </is>
      </c>
      <c r="H1382">
        <f>#N/A</f>
        <v/>
      </c>
    </row>
    <row r="1383" ht="14.25" customHeight="1" s="5">
      <c r="A1383" s="7" t="n">
        <v>2481</v>
      </c>
      <c r="B1383" s="7" t="inlineStr">
        <is>
          <t>MHAI DIVA LEMON 6/100 SC HS ENV TBGS</t>
        </is>
      </c>
      <c r="C1383" s="7" t="inlineStr">
        <is>
          <t>MHAI DIVA</t>
        </is>
      </c>
      <c r="D1383" s="7" t="n">
        <v>2482</v>
      </c>
      <c r="E1383" s="7" t="inlineStr">
        <is>
          <t>MHAI DIVA LEMON 100 SC HS ENV TBGS</t>
        </is>
      </c>
      <c r="F1383" s="7" t="n">
        <v>6</v>
      </c>
      <c r="G1383" s="7" t="inlineStr">
        <is>
          <t>CTN</t>
        </is>
      </c>
      <c r="H1383">
        <f>#N/A</f>
        <v/>
      </c>
    </row>
    <row r="1384" ht="14.25" customHeight="1" s="5">
      <c r="A1384" s="7" t="n">
        <v>2485</v>
      </c>
      <c r="B1384" s="7" t="inlineStr">
        <is>
          <t>MHAI DIVA LEMON GRASS 6/100 SC HS ENV TBGS</t>
        </is>
      </c>
      <c r="C1384" s="7" t="inlineStr">
        <is>
          <t>MHAI DIVA</t>
        </is>
      </c>
      <c r="D1384" s="7" t="n">
        <v>2486</v>
      </c>
      <c r="E1384" s="7" t="inlineStr">
        <is>
          <t>MHAI DIVA LEMON GRASS 100 SC HS ENV TBGS</t>
        </is>
      </c>
      <c r="F1384" s="7" t="n">
        <v>6</v>
      </c>
      <c r="G1384" s="7" t="inlineStr">
        <is>
          <t>CTN</t>
        </is>
      </c>
      <c r="H1384">
        <f>#N/A</f>
        <v/>
      </c>
    </row>
    <row r="1385" ht="14.25" customHeight="1" s="5">
      <c r="A1385" s="7" t="n">
        <v>2490</v>
      </c>
      <c r="B1385" s="7" t="inlineStr">
        <is>
          <t>MHAI DIVA MANGO 6/100 SC HS ENV TBGS</t>
        </is>
      </c>
      <c r="C1385" s="7" t="inlineStr">
        <is>
          <t>MHAI DIVA</t>
        </is>
      </c>
      <c r="D1385" s="7" t="n">
        <v>2491</v>
      </c>
      <c r="E1385" s="7" t="inlineStr">
        <is>
          <t>MHAI DIVA MANGO 100 SC HS ENV TBGS</t>
        </is>
      </c>
      <c r="F1385" s="7" t="n">
        <v>6</v>
      </c>
      <c r="G1385" s="7" t="inlineStr">
        <is>
          <t>CTN</t>
        </is>
      </c>
      <c r="H1385">
        <f>#N/A</f>
        <v/>
      </c>
    </row>
    <row r="1386" ht="14.25" customHeight="1" s="5">
      <c r="A1386" s="7" t="n">
        <v>2494</v>
      </c>
      <c r="B1386" s="7" t="inlineStr">
        <is>
          <t>MHAI DIVA MINT 6/100 SC HS ENV TBGS</t>
        </is>
      </c>
      <c r="C1386" s="7" t="inlineStr">
        <is>
          <t>MHAI DIVA</t>
        </is>
      </c>
      <c r="D1386" s="7" t="n">
        <v>2495</v>
      </c>
      <c r="E1386" s="7" t="inlineStr">
        <is>
          <t>MHAI DIVA MINT 100 SC HS ENV TBGS</t>
        </is>
      </c>
      <c r="F1386" s="7" t="n">
        <v>6</v>
      </c>
      <c r="G1386" s="7" t="inlineStr">
        <is>
          <t>CTN</t>
        </is>
      </c>
      <c r="H1386">
        <f>#N/A</f>
        <v/>
      </c>
    </row>
    <row r="1387" ht="14.25" customHeight="1" s="5">
      <c r="A1387" s="7" t="n">
        <v>2498</v>
      </c>
      <c r="B1387" s="7" t="inlineStr">
        <is>
          <t>MHAI DIVA ORANGE 6/100 SC HS ENV TBGS</t>
        </is>
      </c>
      <c r="C1387" s="7" t="inlineStr">
        <is>
          <t>MHAI DIVA</t>
        </is>
      </c>
      <c r="D1387" s="7" t="n">
        <v>2499</v>
      </c>
      <c r="E1387" s="7" t="inlineStr">
        <is>
          <t>MHAI DIVA ORANGE 100 SC HS ENV TBGS</t>
        </is>
      </c>
      <c r="F1387" s="7" t="n">
        <v>6</v>
      </c>
      <c r="G1387" s="7" t="inlineStr">
        <is>
          <t>CTN</t>
        </is>
      </c>
      <c r="H1387">
        <f>#N/A</f>
        <v/>
      </c>
    </row>
    <row r="1388" ht="14.25" customHeight="1" s="5">
      <c r="A1388" s="7" t="n">
        <v>2502</v>
      </c>
      <c r="B1388" s="7" t="inlineStr">
        <is>
          <t>MHAI DIVA RASPBERRY 6/100 SC HS ENV TBGS</t>
        </is>
      </c>
      <c r="C1388" s="7" t="inlineStr">
        <is>
          <t>MHAI DIVA</t>
        </is>
      </c>
      <c r="D1388" s="7" t="n">
        <v>2503</v>
      </c>
      <c r="E1388" s="7" t="inlineStr">
        <is>
          <t>MHAI DIVA RASPBERRY 100 SC HS ENV TBGS</t>
        </is>
      </c>
      <c r="F1388" s="7" t="n">
        <v>6</v>
      </c>
      <c r="G1388" s="7" t="inlineStr">
        <is>
          <t>CTN</t>
        </is>
      </c>
      <c r="H1388">
        <f>#N/A</f>
        <v/>
      </c>
    </row>
    <row r="1389" ht="14.25" customHeight="1" s="5">
      <c r="A1389" s="7" t="n">
        <v>2507</v>
      </c>
      <c r="B1389" s="7" t="inlineStr">
        <is>
          <t>MHAI DIVA ROOIBOS 6/100 SC HS ENV TBGS</t>
        </is>
      </c>
      <c r="C1389" s="7" t="inlineStr">
        <is>
          <t>MHAI DIVA</t>
        </is>
      </c>
      <c r="D1389" s="7" t="n">
        <v>2508</v>
      </c>
      <c r="E1389" s="7" t="inlineStr">
        <is>
          <t>MHAI DIVA ROOIBOS 100 SC HS ENV TBGS</t>
        </is>
      </c>
      <c r="F1389" s="7" t="n">
        <v>6</v>
      </c>
      <c r="G1389" s="7" t="inlineStr">
        <is>
          <t>CTN</t>
        </is>
      </c>
      <c r="H1389">
        <f>#N/A</f>
        <v/>
      </c>
    </row>
    <row r="1390" ht="14.25" customHeight="1" s="5">
      <c r="A1390" s="7" t="n">
        <v>35131</v>
      </c>
      <c r="B1390" s="7" t="inlineStr">
        <is>
          <t>MOOBELLE BANANA FLVR MILK POWDER (25 GMS) 12 STRIPS X 10 SACHETS</t>
        </is>
      </c>
      <c r="C1390" s="7" t="inlineStr">
        <is>
          <t>MOOBELLE</t>
        </is>
      </c>
      <c r="D1390" s="7" t="n">
        <v>35134</v>
      </c>
      <c r="E1390" s="7" t="inlineStr">
        <is>
          <t>MOOBELLE BANANA FLVR MILK POWDER (25 GMS)</t>
        </is>
      </c>
      <c r="F1390" s="7" t="n">
        <v>120</v>
      </c>
      <c r="G1390" s="7" t="inlineStr">
        <is>
          <t>POUCH</t>
        </is>
      </c>
      <c r="H1390" t="inlineStr">
        <is>
          <t>BLEND BANANA MILK POWDER</t>
        </is>
      </c>
    </row>
    <row r="1391" ht="14.25" customHeight="1" s="5">
      <c r="A1391" s="7" t="n">
        <v>35271</v>
      </c>
      <c r="B1391" s="7" t="inlineStr">
        <is>
          <t>MOOBELLE BANANA FLVR MILK POWDER (25 GMS) 12 STRIPS X 10 SACHETS WITH HANGER</t>
        </is>
      </c>
      <c r="C1391" s="7" t="inlineStr">
        <is>
          <t>MOOBELLE</t>
        </is>
      </c>
      <c r="D1391" s="7" t="n">
        <v>35134</v>
      </c>
      <c r="E1391" s="7" t="inlineStr">
        <is>
          <t>MOOBELLE BANANA FLVR MILK POWDER (25 GMS)</t>
        </is>
      </c>
      <c r="F1391" s="7" t="n">
        <v>120</v>
      </c>
      <c r="G1391" s="7" t="inlineStr">
        <is>
          <t>POUCH</t>
        </is>
      </c>
      <c r="H1391" t="inlineStr">
        <is>
          <t>BLEND BANANA MILK POWDER</t>
        </is>
      </c>
    </row>
    <row r="1392" ht="14.25" customHeight="1" s="5">
      <c r="A1392" s="7" t="n">
        <v>35133</v>
      </c>
      <c r="B1392" s="7" t="inlineStr">
        <is>
          <t>MOOBELLE CHOCOLATE FLVR MILK POWDER (25 GMS) 12 STRIPS X 10 SACHETS</t>
        </is>
      </c>
      <c r="C1392" s="7" t="inlineStr">
        <is>
          <t>MOOBELLE</t>
        </is>
      </c>
      <c r="D1392" s="7" t="n">
        <v>35136</v>
      </c>
      <c r="E1392" s="7" t="inlineStr">
        <is>
          <t>MOOBELLE CHOCOLATE FLVR MILK POWDER (25 GMS)</t>
        </is>
      </c>
      <c r="F1392" s="7" t="n">
        <v>120</v>
      </c>
      <c r="G1392" s="7" t="inlineStr">
        <is>
          <t>POUCH</t>
        </is>
      </c>
      <c r="H1392" t="inlineStr">
        <is>
          <t>BLEND CHOCOLATE MILK POWDER</t>
        </is>
      </c>
    </row>
    <row r="1393" ht="14.25" customHeight="1" s="5">
      <c r="A1393" s="7" t="n">
        <v>35273</v>
      </c>
      <c r="B1393" s="7" t="inlineStr">
        <is>
          <t>MOOBELLE CHOCOLATE FLVR MILK POWDER (25 GMS) 12 STRIPS X 10 SACHETS WITH HANGER</t>
        </is>
      </c>
      <c r="C1393" s="7" t="inlineStr">
        <is>
          <t>MOOBELLE</t>
        </is>
      </c>
      <c r="D1393" s="7" t="n">
        <v>35136</v>
      </c>
      <c r="E1393" s="7" t="inlineStr">
        <is>
          <t>MOOBELLE CHOCOLATE FLVR MILK POWDER (25 GMS)</t>
        </is>
      </c>
      <c r="F1393" s="7" t="n">
        <v>120</v>
      </c>
      <c r="G1393" s="7" t="inlineStr">
        <is>
          <t>POUCH</t>
        </is>
      </c>
      <c r="H1393" t="inlineStr">
        <is>
          <t>BLEND CHOCOLATE MILK POWDER</t>
        </is>
      </c>
    </row>
    <row r="1394" ht="14.25" customHeight="1" s="5">
      <c r="A1394" s="7" t="n">
        <v>35132</v>
      </c>
      <c r="B1394" s="7" t="inlineStr">
        <is>
          <t>MOOBELLE STRAWBERRY FLVR MILK POWDER (25 GMS) 12 STRIPS X 10 SACHETS</t>
        </is>
      </c>
      <c r="C1394" s="7" t="inlineStr">
        <is>
          <t>MOOBELLE</t>
        </is>
      </c>
      <c r="D1394" s="7" t="n">
        <v>35135</v>
      </c>
      <c r="E1394" s="7" t="inlineStr">
        <is>
          <t>MOOBELLE STRAWBERRY FLVR MILK POWDER (25 GMS)</t>
        </is>
      </c>
      <c r="F1394" s="7" t="n">
        <v>120</v>
      </c>
      <c r="G1394" s="7" t="inlineStr">
        <is>
          <t>POUCH</t>
        </is>
      </c>
      <c r="H1394" t="inlineStr">
        <is>
          <t>BLEND STRAWBERRY MILK POWDER</t>
        </is>
      </c>
    </row>
    <row r="1395" ht="14.25" customHeight="1" s="5">
      <c r="A1395" s="7" t="n">
        <v>35272</v>
      </c>
      <c r="B1395" s="7" t="inlineStr">
        <is>
          <t>MOOBELLE STRAWBERRY FLVR MILK POWDER (25 GMS) 12 STRIPS X 10 SACHETS WITH HANGER</t>
        </is>
      </c>
      <c r="C1395" s="7" t="inlineStr">
        <is>
          <t>MOOBELLE</t>
        </is>
      </c>
      <c r="D1395" s="7" t="n">
        <v>35135</v>
      </c>
      <c r="E1395" s="7" t="inlineStr">
        <is>
          <t>MOOBELLE STRAWBERRY FLVR MILK POWDER (25 GMS)</t>
        </is>
      </c>
      <c r="F1395" s="7" t="n">
        <v>120</v>
      </c>
      <c r="G1395" s="7" t="inlineStr">
        <is>
          <t>POUCH</t>
        </is>
      </c>
      <c r="H1395" t="inlineStr">
        <is>
          <t>BLEND STRAWBERRY MILK POWDER</t>
        </is>
      </c>
    </row>
    <row r="1396" ht="14.25" customHeight="1" s="5">
      <c r="A1396" s="7" t="n">
        <v>697</v>
      </c>
      <c r="B1396" s="7" t="inlineStr">
        <is>
          <t>MOSQUE 12/100 DC ENV TBGS</t>
        </is>
      </c>
      <c r="C1396" s="7" t="inlineStr">
        <is>
          <t>MOSQUE</t>
        </is>
      </c>
      <c r="D1396" s="7" t="n">
        <v>698</v>
      </c>
      <c r="E1396" s="7" t="inlineStr">
        <is>
          <t>MOSQUE 100 DC ENV TBGS</t>
        </is>
      </c>
      <c r="F1396" s="7" t="n">
        <v>12</v>
      </c>
      <c r="G1396" s="7" t="inlineStr">
        <is>
          <t>CTN</t>
        </is>
      </c>
      <c r="H1396" t="inlineStr">
        <is>
          <t>BLEND 786</t>
        </is>
      </c>
    </row>
    <row r="1397" ht="14.25" customHeight="1" s="5">
      <c r="A1397" s="7" t="n">
        <v>702</v>
      </c>
      <c r="B1397" s="7" t="inlineStr">
        <is>
          <t>MOSQUE 12/100 DC ENV TBGS WITH TSHIRT</t>
        </is>
      </c>
      <c r="C1397" s="7" t="inlineStr">
        <is>
          <t>MOSQUE</t>
        </is>
      </c>
      <c r="D1397" s="7" t="n">
        <v>698</v>
      </c>
      <c r="E1397" s="7" t="inlineStr">
        <is>
          <t>MOSQUE 100 DC ENV TBGS</t>
        </is>
      </c>
      <c r="F1397" s="7" t="n">
        <v>12</v>
      </c>
      <c r="G1397" s="7" t="inlineStr">
        <is>
          <t>CTN</t>
        </is>
      </c>
      <c r="H1397" t="inlineStr">
        <is>
          <t>BLEND 786</t>
        </is>
      </c>
    </row>
    <row r="1398" ht="14.25" customHeight="1" s="5">
      <c r="A1398" s="7" t="n">
        <v>34187</v>
      </c>
      <c r="B1398" s="7" t="inlineStr">
        <is>
          <t>MUSGRAVE EXCELLENCE TEA BAGS 1 CUP 1/600 TAGLESS TBGS</t>
        </is>
      </c>
      <c r="C1398" s="7" t="inlineStr">
        <is>
          <t>MUSGRAVE</t>
        </is>
      </c>
      <c r="D1398" s="7" t="n">
        <v>34256</v>
      </c>
      <c r="E1398" s="7" t="inlineStr">
        <is>
          <t>MUSGRAVE EXCELLENCE TEA BAGS 1 CUP LOOSE TAGLESS TBGS</t>
        </is>
      </c>
      <c r="F1398" s="7" t="n">
        <v>600</v>
      </c>
      <c r="G1398" s="7" t="inlineStr">
        <is>
          <t>ENV</t>
        </is>
      </c>
      <c r="H1398" t="inlineStr">
        <is>
          <t>BLEND MG EXCELLENCE</t>
        </is>
      </c>
    </row>
    <row r="1399" ht="14.25" customHeight="1" s="5">
      <c r="A1399" s="7" t="n">
        <v>19981</v>
      </c>
      <c r="B1399" s="7" t="inlineStr">
        <is>
          <t>NAFED PREMIUM ASSAM 18/100 DC SF ENV TEA BAG</t>
        </is>
      </c>
      <c r="C1399" s="7" t="inlineStr">
        <is>
          <t>NAFED</t>
        </is>
      </c>
      <c r="D1399" s="7" t="n">
        <v>19980</v>
      </c>
      <c r="E1399" s="7" t="inlineStr">
        <is>
          <t>NAFED PREMIUM ASSAM 100 DC SF ENV TEA BAG</t>
        </is>
      </c>
      <c r="F1399" s="7" t="n">
        <v>18</v>
      </c>
      <c r="G1399" s="7" t="inlineStr">
        <is>
          <t>CTN</t>
        </is>
      </c>
      <c r="H1399" t="inlineStr">
        <is>
          <t>BLEND 909</t>
        </is>
      </c>
    </row>
    <row r="1400" ht="14.25" customHeight="1" s="5">
      <c r="A1400" s="7" t="n">
        <v>2512</v>
      </c>
      <c r="B1400" s="7" t="inlineStr">
        <is>
          <t>NETTO - THE BREAKFAST 12/25 DC SF HS ENV TBGS</t>
        </is>
      </c>
      <c r="C1400" s="7" t="inlineStr">
        <is>
          <t>NETTO</t>
        </is>
      </c>
      <c r="D1400" s="7" t="n">
        <v>2513</v>
      </c>
      <c r="E1400" s="7" t="inlineStr">
        <is>
          <t>NETTO - THE BREAKFAST 25 DC SF HS ENV TBGS</t>
        </is>
      </c>
      <c r="F1400" s="7" t="n">
        <v>12</v>
      </c>
      <c r="G1400" s="7" t="inlineStr">
        <is>
          <t>CTN</t>
        </is>
      </c>
      <c r="H1400" t="inlineStr">
        <is>
          <t>BLEND A33</t>
        </is>
      </c>
    </row>
    <row r="1401" ht="14.25" customHeight="1" s="5">
      <c r="A1401" s="7" t="n">
        <v>2518</v>
      </c>
      <c r="B1401" s="7" t="inlineStr">
        <is>
          <t>NETTO - THE BREAKFAST 12/50 DC SF HS ENV TBGS</t>
        </is>
      </c>
      <c r="C1401" s="7" t="inlineStr">
        <is>
          <t>NETTO</t>
        </is>
      </c>
      <c r="D1401" s="7" t="n">
        <v>2519</v>
      </c>
      <c r="E1401" s="7" t="inlineStr">
        <is>
          <t>NETTO - THE BREAKFAST 50 DC SF HS ENV TBGS</t>
        </is>
      </c>
      <c r="F1401" s="7" t="n">
        <v>12</v>
      </c>
      <c r="G1401" s="7" t="inlineStr">
        <is>
          <t>CTN</t>
        </is>
      </c>
      <c r="H1401" t="inlineStr">
        <is>
          <t>BLEND A33</t>
        </is>
      </c>
    </row>
    <row r="1402" ht="14.25" customHeight="1" s="5">
      <c r="A1402" s="7" t="n">
        <v>2521</v>
      </c>
      <c r="B1402" s="7" t="inlineStr">
        <is>
          <t>NETTO - THE EARL GREY 12/25 DC SF HS ENV TB</t>
        </is>
      </c>
      <c r="C1402" s="7" t="inlineStr">
        <is>
          <t>NETTO</t>
        </is>
      </c>
      <c r="D1402" s="7" t="n">
        <v>2522</v>
      </c>
      <c r="E1402" s="7" t="inlineStr">
        <is>
          <t>NETTO - THE EARL GREY 25 DC SF HS ENV TB</t>
        </is>
      </c>
      <c r="F1402" s="7" t="n">
        <v>12</v>
      </c>
      <c r="G1402" s="7" t="inlineStr">
        <is>
          <t>CTN</t>
        </is>
      </c>
      <c r="H1402" t="inlineStr">
        <is>
          <t>BLEND EARL GREY JUMBO TBC</t>
        </is>
      </c>
    </row>
    <row r="1403" ht="14.25" customHeight="1" s="5">
      <c r="A1403" s="7" t="n">
        <v>21775</v>
      </c>
      <c r="B1403" s="7" t="inlineStr">
        <is>
          <t>NIHAL 12/100 DC ENV TBGS</t>
        </is>
      </c>
      <c r="C1403" s="7" t="inlineStr">
        <is>
          <t>NIHAL</t>
        </is>
      </c>
      <c r="D1403" s="7" t="n">
        <v>706</v>
      </c>
      <c r="E1403" s="7" t="inlineStr">
        <is>
          <t>NIHAL 100 DC ENV TBGS</t>
        </is>
      </c>
      <c r="F1403" s="7" t="n">
        <v>12</v>
      </c>
      <c r="G1403" s="7" t="inlineStr">
        <is>
          <t>CTN</t>
        </is>
      </c>
      <c r="H1403" t="inlineStr">
        <is>
          <t>BLEND A33</t>
        </is>
      </c>
    </row>
    <row r="1404" ht="14.25" customHeight="1" s="5">
      <c r="A1404" s="7" t="n">
        <v>705</v>
      </c>
      <c r="B1404" s="7" t="inlineStr">
        <is>
          <t>NIHAL 12/100 DC ENV TBGS WITH TSHIRT</t>
        </is>
      </c>
      <c r="C1404" s="7" t="inlineStr">
        <is>
          <t>NIHAL</t>
        </is>
      </c>
      <c r="D1404" s="7" t="n">
        <v>706</v>
      </c>
      <c r="E1404" s="7" t="inlineStr">
        <is>
          <t>NIHAL 100 DC ENV TBGS</t>
        </is>
      </c>
      <c r="F1404" s="7" t="n">
        <v>12</v>
      </c>
      <c r="G1404" s="7" t="inlineStr">
        <is>
          <t>CTN</t>
        </is>
      </c>
      <c r="H1404" t="inlineStr">
        <is>
          <t>BLEND A33</t>
        </is>
      </c>
    </row>
    <row r="1405" ht="14.25" customHeight="1" s="5">
      <c r="A1405" s="7" t="n">
        <v>711</v>
      </c>
      <c r="B1405" s="7" t="inlineStr">
        <is>
          <t>NIHAL 12/100 DC ENV TBGS WITHOT TSHIRT</t>
        </is>
      </c>
      <c r="C1405" s="7" t="inlineStr">
        <is>
          <t>NIHAL</t>
        </is>
      </c>
      <c r="D1405" s="7" t="n">
        <v>706</v>
      </c>
      <c r="E1405" s="7" t="inlineStr">
        <is>
          <t>NIHAL 100 DC ENV TBGS</t>
        </is>
      </c>
      <c r="F1405" s="7" t="n">
        <v>12</v>
      </c>
      <c r="G1405" s="7" t="inlineStr">
        <is>
          <t>CTN</t>
        </is>
      </c>
      <c r="H1405" t="inlineStr">
        <is>
          <t>BLEND A33</t>
        </is>
      </c>
    </row>
    <row r="1406" ht="14.25" customHeight="1" s="5">
      <c r="A1406" s="7" t="n">
        <v>23755</v>
      </c>
      <c r="B1406" s="7" t="inlineStr">
        <is>
          <t>NIHAL 12/108 DC ENV TBGS WITH SPOON</t>
        </is>
      </c>
      <c r="C1406" s="7" t="inlineStr">
        <is>
          <t>NIHAL</t>
        </is>
      </c>
      <c r="D1406" s="7" t="n">
        <v>24536</v>
      </c>
      <c r="E1406" s="7" t="inlineStr">
        <is>
          <t>NIHAL 108 DC ENV TBGS WITH SPOON</t>
        </is>
      </c>
      <c r="F1406" s="7" t="n">
        <v>12</v>
      </c>
      <c r="G1406" s="7" t="inlineStr">
        <is>
          <t>CTN</t>
        </is>
      </c>
      <c r="H1406" t="inlineStr">
        <is>
          <t>BLEND A33</t>
        </is>
      </c>
    </row>
    <row r="1407" ht="14.25" customHeight="1" s="5">
      <c r="A1407" s="7" t="n">
        <v>713</v>
      </c>
      <c r="B1407" s="7" t="inlineStr">
        <is>
          <t>NIHAL 12/108 DC ENV TBGS WITH TSHIRT</t>
        </is>
      </c>
      <c r="C1407" s="7" t="inlineStr">
        <is>
          <t>NIHAL</t>
        </is>
      </c>
      <c r="D1407" s="7" t="n">
        <v>714</v>
      </c>
      <c r="E1407" s="7" t="inlineStr">
        <is>
          <t>NIHAL 108 DC ENV TBGS</t>
        </is>
      </c>
      <c r="F1407" s="7" t="n">
        <v>12</v>
      </c>
      <c r="G1407" s="7" t="inlineStr">
        <is>
          <t>CTN</t>
        </is>
      </c>
      <c r="H1407" t="inlineStr">
        <is>
          <t>BLEND 786</t>
        </is>
      </c>
    </row>
    <row r="1408" ht="14.25" customHeight="1" s="5">
      <c r="A1408" s="7" t="n">
        <v>717</v>
      </c>
      <c r="B1408" s="7" t="inlineStr">
        <is>
          <t>NIHAL 36/100 DC ENV TBGS WITH TSHIRT</t>
        </is>
      </c>
      <c r="C1408" s="7" t="inlineStr">
        <is>
          <t>NIHAL</t>
        </is>
      </c>
      <c r="D1408" s="7" t="n">
        <v>706</v>
      </c>
      <c r="E1408" s="7" t="inlineStr">
        <is>
          <t>NIHAL 100 DC ENV TBGS</t>
        </is>
      </c>
      <c r="F1408" s="7" t="n">
        <v>36</v>
      </c>
      <c r="G1408" s="7" t="inlineStr">
        <is>
          <t>CTN</t>
        </is>
      </c>
      <c r="H1408" t="inlineStr">
        <is>
          <t>BLEND A33</t>
        </is>
      </c>
    </row>
    <row r="1409" ht="14.25" customHeight="1" s="5">
      <c r="A1409" s="7" t="n">
        <v>720</v>
      </c>
      <c r="B1409" s="7" t="inlineStr">
        <is>
          <t>NIHAL 48/25 DC ENV TBGS WITH TSHIRT</t>
        </is>
      </c>
      <c r="C1409" s="7" t="inlineStr">
        <is>
          <t>NIHAL</t>
        </is>
      </c>
      <c r="D1409" s="7" t="n">
        <v>721</v>
      </c>
      <c r="E1409" s="7" t="inlineStr">
        <is>
          <t>NIHAL 25 DC ENV TBGS</t>
        </is>
      </c>
      <c r="F1409" s="7" t="n">
        <v>48</v>
      </c>
      <c r="G1409" s="7" t="inlineStr">
        <is>
          <t>CTN</t>
        </is>
      </c>
      <c r="H1409" t="inlineStr">
        <is>
          <t>BLEND 786</t>
        </is>
      </c>
    </row>
    <row r="1410" ht="14.25" customHeight="1" s="5">
      <c r="A1410" s="7" t="n">
        <v>27932</v>
      </c>
      <c r="B1410" s="7" t="inlineStr">
        <is>
          <t>ELANI 24/25 DC ENV TBGS</t>
        </is>
      </c>
      <c r="C1410" s="7" t="inlineStr">
        <is>
          <t>NOVA ESTRELA</t>
        </is>
      </c>
      <c r="D1410" s="7" t="n">
        <v>27945</v>
      </c>
      <c r="E1410" s="7" t="inlineStr">
        <is>
          <t>ELANI 25 DC ENV TBGS</t>
        </is>
      </c>
      <c r="F1410" s="7" t="n">
        <v>24</v>
      </c>
      <c r="G1410" s="7" t="inlineStr">
        <is>
          <t>CTN</t>
        </is>
      </c>
      <c r="H1410" t="inlineStr">
        <is>
          <t>BLEND 786</t>
        </is>
      </c>
    </row>
    <row r="1411" ht="14.25" customHeight="1" s="5">
      <c r="A1411" s="7" t="n">
        <v>36541</v>
      </c>
      <c r="B1411" s="7" t="inlineStr">
        <is>
          <t>NOVOTEL ASSAM 18/100 DC SF HS ENV TBGS</t>
        </is>
      </c>
      <c r="C1411" s="7" t="inlineStr">
        <is>
          <t>TE-A-ME</t>
        </is>
      </c>
      <c r="D1411" s="7" t="n">
        <v>36534</v>
      </c>
      <c r="E1411" s="7" t="inlineStr">
        <is>
          <t>NOVOTEL ASSAM 100 DC SF HS ENV TBGS</t>
        </is>
      </c>
      <c r="F1411" s="7" t="n">
        <v>18</v>
      </c>
      <c r="G1411" s="7" t="inlineStr">
        <is>
          <t>CTN</t>
        </is>
      </c>
      <c r="H1411" t="inlineStr">
        <is>
          <t>BLEND TEAME 909</t>
        </is>
      </c>
    </row>
    <row r="1412" ht="14.25" customHeight="1" s="5">
      <c r="A1412" s="7" t="n">
        <v>36547</v>
      </c>
      <c r="B1412" s="7" t="inlineStr">
        <is>
          <t>NOVOTEL CHAMOMILE 18/100 DC SF HS ENV TBGS</t>
        </is>
      </c>
      <c r="C1412" s="7" t="inlineStr">
        <is>
          <t>TE-A-ME</t>
        </is>
      </c>
      <c r="D1412" s="7" t="n">
        <v>36540</v>
      </c>
      <c r="E1412" s="7" t="inlineStr">
        <is>
          <t>NOVOTEL CHAMOMILE 100 DC SF HS ENV TBGS</t>
        </is>
      </c>
      <c r="F1412" s="7" t="n">
        <v>18</v>
      </c>
      <c r="G1412" s="7" t="inlineStr">
        <is>
          <t>CTN</t>
        </is>
      </c>
      <c r="H1412" t="inlineStr">
        <is>
          <t>BLEND CHAMOMILE TBC</t>
        </is>
      </c>
    </row>
    <row r="1413" ht="14.25" customHeight="1" s="5">
      <c r="A1413" s="7" t="n">
        <v>36544</v>
      </c>
      <c r="B1413" s="7" t="inlineStr">
        <is>
          <t>NOVOTEL DARJEELING 18/100 DC SF HS ENV TBGS</t>
        </is>
      </c>
      <c r="C1413" s="7" t="inlineStr">
        <is>
          <t>TE-A-ME</t>
        </is>
      </c>
      <c r="D1413" s="7" t="n">
        <v>36537</v>
      </c>
      <c r="E1413" s="7" t="inlineStr">
        <is>
          <t>NOVOTEL DARJEELING 100 DC SF HS ENV TBGS</t>
        </is>
      </c>
      <c r="F1413" s="7" t="n">
        <v>18</v>
      </c>
      <c r="G1413" s="7" t="inlineStr">
        <is>
          <t>CTN</t>
        </is>
      </c>
      <c r="H1413" t="inlineStr">
        <is>
          <t>BLEND DJ (LOCAL)</t>
        </is>
      </c>
    </row>
    <row r="1414" ht="14.25" customHeight="1" s="5">
      <c r="A1414" s="7" t="n">
        <v>36545</v>
      </c>
      <c r="B1414" s="7" t="inlineStr">
        <is>
          <t>NOVOTEL EARL GREY 18/100 DC SF HS ENV TBGS</t>
        </is>
      </c>
      <c r="C1414" s="7" t="inlineStr">
        <is>
          <t>TE-A-ME</t>
        </is>
      </c>
      <c r="D1414" s="7" t="n">
        <v>36538</v>
      </c>
      <c r="E1414" s="7" t="inlineStr">
        <is>
          <t>NOVOTEL EARL GREY 100 DC SF HS ENV TBGS</t>
        </is>
      </c>
      <c r="F1414" s="7" t="n">
        <v>18</v>
      </c>
      <c r="G1414" s="7" t="inlineStr">
        <is>
          <t>CTN</t>
        </is>
      </c>
      <c r="H1414" t="inlineStr">
        <is>
          <t>BLEND BLACK TEA EARL GREY TBC</t>
        </is>
      </c>
    </row>
    <row r="1415" ht="14.25" customHeight="1" s="5">
      <c r="A1415" s="7" t="n">
        <v>36543</v>
      </c>
      <c r="B1415" s="7" t="inlineStr">
        <is>
          <t>NOVOTEL ENGLISH BREAKFAST 18/100 DC SF HS ENV TBGS</t>
        </is>
      </c>
      <c r="C1415" s="7" t="inlineStr">
        <is>
          <t>TE-A-ME</t>
        </is>
      </c>
      <c r="D1415" s="7" t="n">
        <v>36536</v>
      </c>
      <c r="E1415" s="7" t="inlineStr">
        <is>
          <t>NOVOTEL ENGLISH BREAKFAST 100 DC SF HS ENV TBGS</t>
        </is>
      </c>
      <c r="F1415" s="7" t="n">
        <v>18</v>
      </c>
      <c r="G1415" s="7" t="inlineStr">
        <is>
          <t>CTN</t>
        </is>
      </c>
      <c r="H1415" t="inlineStr">
        <is>
          <t>BLEND TEAME 909</t>
        </is>
      </c>
    </row>
    <row r="1416" ht="14.25" customHeight="1" s="5">
      <c r="A1416" s="7" t="n">
        <v>36546</v>
      </c>
      <c r="B1416" s="7" t="inlineStr">
        <is>
          <t>NOVOTEL GREEN 18/100 DC SF HS ENV TBGS</t>
        </is>
      </c>
      <c r="C1416" s="7" t="inlineStr">
        <is>
          <t>TE-A-ME</t>
        </is>
      </c>
      <c r="D1416" s="7" t="n">
        <v>36539</v>
      </c>
      <c r="E1416" s="7" t="inlineStr">
        <is>
          <t>NOVOTEL GREEN 100 DC SF HS ENV TBGS</t>
        </is>
      </c>
      <c r="F1416" s="7" t="n">
        <v>18</v>
      </c>
      <c r="G1416" s="7" t="inlineStr">
        <is>
          <t>CTN</t>
        </is>
      </c>
      <c r="H1416" t="inlineStr">
        <is>
          <t>BLEND TEAME GREEN</t>
        </is>
      </c>
    </row>
    <row r="1417" ht="14.25" customHeight="1" s="5">
      <c r="A1417" s="7" t="n">
        <v>36542</v>
      </c>
      <c r="B1417" s="7" t="inlineStr">
        <is>
          <t>NOVOTEL MASALA 18/100 DC SF HS ENV TBGS</t>
        </is>
      </c>
      <c r="C1417" s="7" t="inlineStr">
        <is>
          <t>TE-A-ME</t>
        </is>
      </c>
      <c r="D1417" s="7" t="n">
        <v>36535</v>
      </c>
      <c r="E1417" s="7" t="inlineStr">
        <is>
          <t>NOVOTEL MASALA 100 DC SF HS ENV TBGS</t>
        </is>
      </c>
      <c r="F1417" s="7" t="n">
        <v>18</v>
      </c>
      <c r="G1417" s="7" t="inlineStr">
        <is>
          <t>CTN</t>
        </is>
      </c>
      <c r="H1417" t="inlineStr">
        <is>
          <t>BLEND BLACK TEA MASALA TBC</t>
        </is>
      </c>
    </row>
    <row r="1418" ht="14.25" customHeight="1" s="5">
      <c r="A1418" s="7" t="n">
        <v>34478</v>
      </c>
      <c r="B1418" s="7" t="inlineStr">
        <is>
          <t>OLINDA 12/110 DC ENV TBGS WITH TSHIRT</t>
        </is>
      </c>
      <c r="C1418" s="7" t="inlineStr">
        <is>
          <t>OLINDA</t>
        </is>
      </c>
      <c r="D1418" s="7" t="n">
        <v>34486</v>
      </c>
      <c r="E1418" s="7" t="inlineStr">
        <is>
          <t>OLINDA 110 DC ENV TBGS</t>
        </is>
      </c>
      <c r="F1418" s="7" t="n">
        <v>12</v>
      </c>
      <c r="G1418" s="7" t="inlineStr">
        <is>
          <t>CTN</t>
        </is>
      </c>
      <c r="H1418" t="inlineStr">
        <is>
          <t>BLEND 786</t>
        </is>
      </c>
    </row>
    <row r="1419" ht="14.25" customHeight="1" s="5">
      <c r="A1419" s="7" t="n">
        <v>724</v>
      </c>
      <c r="B1419" s="7" t="inlineStr">
        <is>
          <t>ORIBA 12/100 DC ENV TBGS</t>
        </is>
      </c>
      <c r="C1419" s="7" t="inlineStr">
        <is>
          <t>ORIBA</t>
        </is>
      </c>
      <c r="D1419" s="7" t="n">
        <v>725</v>
      </c>
      <c r="E1419" s="7" t="inlineStr">
        <is>
          <t>ORIBA 100 DC ENV TBGS</t>
        </is>
      </c>
      <c r="F1419" s="7" t="n">
        <v>12</v>
      </c>
      <c r="G1419" s="7" t="inlineStr">
        <is>
          <t>CTN</t>
        </is>
      </c>
      <c r="H1419" t="inlineStr">
        <is>
          <t>BLEND 999</t>
        </is>
      </c>
    </row>
    <row r="1420" ht="14.25" customHeight="1" s="5">
      <c r="A1420" s="7" t="n">
        <v>34810</v>
      </c>
      <c r="B1420" s="7" t="inlineStr">
        <is>
          <t>ORIBA CLOVE 48/25 DC ENV TBGS</t>
        </is>
      </c>
      <c r="C1420" s="7" t="inlineStr">
        <is>
          <t>ORIBA</t>
        </is>
      </c>
      <c r="D1420" s="7" t="n">
        <v>34923</v>
      </c>
      <c r="E1420" s="7" t="inlineStr">
        <is>
          <t>ORIBA CLOVE 25 DC ENV TBGS</t>
        </is>
      </c>
      <c r="F1420" s="7" t="n">
        <v>48</v>
      </c>
      <c r="G1420" s="7" t="inlineStr">
        <is>
          <t>CTN</t>
        </is>
      </c>
      <c r="H1420" t="inlineStr">
        <is>
          <t>BLEND BLACK TEA CLOVE TBC</t>
        </is>
      </c>
    </row>
    <row r="1421" ht="14.25" customHeight="1" s="5">
      <c r="A1421" s="7" t="n">
        <v>26108</v>
      </c>
      <c r="B1421" s="7" t="inlineStr">
        <is>
          <t>ORIBA COCKTAIL 48/25 DC ENV TBGS</t>
        </is>
      </c>
      <c r="C1421" s="7" t="inlineStr">
        <is>
          <t>ORIBA</t>
        </is>
      </c>
      <c r="D1421" s="7" t="n">
        <v>26531</v>
      </c>
      <c r="E1421" s="7" t="inlineStr">
        <is>
          <t>ORIBA COCKTAIL 25 DC ENV TBGS</t>
        </is>
      </c>
      <c r="F1421" s="7" t="n">
        <v>48</v>
      </c>
      <c r="G1421" s="7" t="inlineStr">
        <is>
          <t>CTN</t>
        </is>
      </c>
      <c r="H1421" t="inlineStr">
        <is>
          <t>BLEND BLACK TEA COCKTAIL TBC</t>
        </is>
      </c>
    </row>
    <row r="1422" ht="14.25" customHeight="1" s="5">
      <c r="A1422" s="7" t="n">
        <v>26105</v>
      </c>
      <c r="B1422" s="7" t="inlineStr">
        <is>
          <t>ORIBA GINGER  48/25 DC ENV TBGS</t>
        </is>
      </c>
      <c r="C1422" s="7" t="inlineStr">
        <is>
          <t>ORIBA</t>
        </is>
      </c>
      <c r="D1422" s="7" t="n">
        <v>26532</v>
      </c>
      <c r="E1422" s="7" t="inlineStr">
        <is>
          <t>ORIBA GINGER 25 DC ENV TBGS</t>
        </is>
      </c>
      <c r="F1422" s="7" t="n">
        <v>48</v>
      </c>
      <c r="G1422" s="7" t="inlineStr">
        <is>
          <t>CTN</t>
        </is>
      </c>
      <c r="H1422" t="inlineStr">
        <is>
          <t>BLEND AF BLACK TEA  GINGER TBGS</t>
        </is>
      </c>
    </row>
    <row r="1423" ht="14.25" customHeight="1" s="5">
      <c r="A1423" s="7" t="n">
        <v>729</v>
      </c>
      <c r="B1423" s="7" t="inlineStr">
        <is>
          <t>ORIBA GINGER  24/25 SC ENV TBGS</t>
        </is>
      </c>
      <c r="C1423" s="7" t="inlineStr">
        <is>
          <t>ORIBA</t>
        </is>
      </c>
      <c r="D1423" s="7" t="n">
        <v>730</v>
      </c>
      <c r="E1423" s="7" t="inlineStr">
        <is>
          <t>ORIBA GINGER  25 SC ENV TBGS</t>
        </is>
      </c>
      <c r="F1423" s="7" t="n">
        <v>24</v>
      </c>
      <c r="G1423" s="7" t="inlineStr">
        <is>
          <t>CTN</t>
        </is>
      </c>
      <c r="H1423">
        <f>#N/A</f>
        <v/>
      </c>
    </row>
    <row r="1424" ht="14.25" customHeight="1" s="5">
      <c r="A1424" s="7" t="n">
        <v>26103</v>
      </c>
      <c r="B1424" s="7" t="inlineStr">
        <is>
          <t>ORIBA GOLD 12/100 DC ENV TBGS</t>
        </is>
      </c>
      <c r="C1424" s="7" t="inlineStr">
        <is>
          <t>ORIBA</t>
        </is>
      </c>
      <c r="D1424" s="7" t="n">
        <v>17948</v>
      </c>
      <c r="E1424" s="7" t="inlineStr">
        <is>
          <t>ORIBA GOLD 100 DC ENV TBGS</t>
        </is>
      </c>
      <c r="F1424" s="7" t="n">
        <v>12</v>
      </c>
      <c r="G1424" s="7" t="inlineStr">
        <is>
          <t>CTN</t>
        </is>
      </c>
      <c r="H1424" t="inlineStr">
        <is>
          <t>BLEND A33</t>
        </is>
      </c>
    </row>
    <row r="1425" ht="14.25" customHeight="1" s="5">
      <c r="A1425" s="7" t="n">
        <v>17947</v>
      </c>
      <c r="B1425" s="7" t="inlineStr">
        <is>
          <t>ORIBA GOLD 12/100 DC ENV TBGS WITH TSHIRT</t>
        </is>
      </c>
      <c r="C1425" s="7" t="inlineStr">
        <is>
          <t>ORIBA</t>
        </is>
      </c>
      <c r="D1425" s="7" t="n">
        <v>17948</v>
      </c>
      <c r="E1425" s="7" t="inlineStr">
        <is>
          <t>ORIBA GOLD 100 DC ENV TBGS</t>
        </is>
      </c>
      <c r="F1425" s="7" t="n">
        <v>12</v>
      </c>
      <c r="G1425" s="7" t="inlineStr">
        <is>
          <t>CTN</t>
        </is>
      </c>
      <c r="H1425" t="inlineStr">
        <is>
          <t>BLEND A33</t>
        </is>
      </c>
    </row>
    <row r="1426" ht="14.25" customHeight="1" s="5">
      <c r="A1426" s="7" t="n">
        <v>34906</v>
      </c>
      <c r="B1426" s="7" t="inlineStr">
        <is>
          <t>ORIBA GOLD 40/25 DC ENV TBGS</t>
        </is>
      </c>
      <c r="C1426" s="7" t="inlineStr">
        <is>
          <t>ORIBA</t>
        </is>
      </c>
      <c r="D1426" s="7" t="n">
        <v>34903</v>
      </c>
      <c r="E1426" s="7" t="inlineStr">
        <is>
          <t>ORIBA GOLD 25 DC ENV TBGS</t>
        </is>
      </c>
      <c r="F1426" s="7" t="n">
        <v>40</v>
      </c>
      <c r="G1426" s="7" t="inlineStr">
        <is>
          <t>CTN</t>
        </is>
      </c>
      <c r="H1426" t="inlineStr">
        <is>
          <t>BLEND A33</t>
        </is>
      </c>
    </row>
    <row r="1427" ht="14.25" customHeight="1" s="5">
      <c r="A1427" s="7" t="n">
        <v>26107</v>
      </c>
      <c r="B1427" s="7" t="inlineStr">
        <is>
          <t>ORIBA LEMON 48/25 DC ENV TBGS</t>
        </is>
      </c>
      <c r="C1427" s="7" t="inlineStr">
        <is>
          <t>ORIBA</t>
        </is>
      </c>
      <c r="D1427" s="7" t="n">
        <v>26533</v>
      </c>
      <c r="E1427" s="7" t="inlineStr">
        <is>
          <t>ORIBA LEMON 25 DC ENV TBGS</t>
        </is>
      </c>
      <c r="F1427" s="7" t="n">
        <v>48</v>
      </c>
      <c r="G1427" s="7" t="inlineStr">
        <is>
          <t>CTN</t>
        </is>
      </c>
      <c r="H1427" t="inlineStr">
        <is>
          <t>BLEND BLACK TEA LEMON TB</t>
        </is>
      </c>
    </row>
    <row r="1428" ht="14.25" customHeight="1" s="5">
      <c r="A1428" s="7" t="n">
        <v>735</v>
      </c>
      <c r="B1428" s="7" t="inlineStr">
        <is>
          <t>ORIBA MINT 24/25 SC ENV TBGS</t>
        </is>
      </c>
      <c r="C1428" s="7" t="inlineStr">
        <is>
          <t>ORIBA</t>
        </is>
      </c>
      <c r="D1428" s="7" t="n">
        <v>736</v>
      </c>
      <c r="E1428" s="7" t="inlineStr">
        <is>
          <t>ORIBA MINT 25 SC ENV TBGS</t>
        </is>
      </c>
      <c r="F1428" s="7" t="n">
        <v>24</v>
      </c>
      <c r="G1428" s="7" t="inlineStr">
        <is>
          <t>CTN</t>
        </is>
      </c>
      <c r="H1428">
        <f>#N/A</f>
        <v/>
      </c>
    </row>
    <row r="1429" ht="14.25" customHeight="1" s="5">
      <c r="A1429" s="7" t="n">
        <v>26106</v>
      </c>
      <c r="B1429" s="7" t="inlineStr">
        <is>
          <t>ORIBA MINT 48/25 DC ENV TBGS</t>
        </is>
      </c>
      <c r="C1429" s="7" t="inlineStr">
        <is>
          <t>ORIBA</t>
        </is>
      </c>
      <c r="D1429" s="7" t="n">
        <v>26241</v>
      </c>
      <c r="E1429" s="7" t="inlineStr">
        <is>
          <t>ORIBA MINT 25 DC ENV TBGS</t>
        </is>
      </c>
      <c r="F1429" s="7" t="n">
        <v>48</v>
      </c>
      <c r="G1429" s="7" t="inlineStr">
        <is>
          <t>CTN</t>
        </is>
      </c>
      <c r="H1429" t="inlineStr">
        <is>
          <t>BLEND AF BLACK TEA MINT TBGS</t>
        </is>
      </c>
    </row>
    <row r="1430" ht="14.25" customHeight="1" s="5">
      <c r="A1430" s="7" t="n">
        <v>740</v>
      </c>
      <c r="B1430" s="7" t="inlineStr">
        <is>
          <t>ORIBA STRAWBERRY 24/25 SC ENV TBGS</t>
        </is>
      </c>
      <c r="C1430" s="7" t="inlineStr">
        <is>
          <t>ORIBA</t>
        </is>
      </c>
      <c r="D1430" s="7" t="n">
        <v>741</v>
      </c>
      <c r="E1430" s="7" t="inlineStr">
        <is>
          <t>ORIBA STRAWBERRY 25 SC ENV TBGS</t>
        </is>
      </c>
      <c r="F1430" s="7" t="n">
        <v>24</v>
      </c>
      <c r="G1430" s="7" t="inlineStr">
        <is>
          <t>CTN</t>
        </is>
      </c>
      <c r="H1430">
        <f>#N/A</f>
        <v/>
      </c>
    </row>
    <row r="1431" ht="14.25" customHeight="1" s="5">
      <c r="A1431" s="7" t="n">
        <v>26104</v>
      </c>
      <c r="B1431" s="7" t="inlineStr">
        <is>
          <t>ORIBA STRAWBERRY 48/25 DC ENV TBGS</t>
        </is>
      </c>
      <c r="C1431" s="7" t="inlineStr">
        <is>
          <t>ORIBA</t>
        </is>
      </c>
      <c r="D1431" s="7" t="n">
        <v>26534</v>
      </c>
      <c r="E1431" s="7" t="inlineStr">
        <is>
          <t>ORIBA STRAWBERRY 25 DC ENV TBGS</t>
        </is>
      </c>
      <c r="F1431" s="7" t="n">
        <v>48</v>
      </c>
      <c r="G1431" s="7" t="inlineStr">
        <is>
          <t>CTN</t>
        </is>
      </c>
      <c r="H1431" t="inlineStr">
        <is>
          <t>BLEND STRAWBERRY TB</t>
        </is>
      </c>
    </row>
    <row r="1432" ht="14.25" customHeight="1" s="5">
      <c r="A1432" s="7" t="n">
        <v>745</v>
      </c>
      <c r="B1432" s="7" t="inlineStr">
        <is>
          <t>ORIBA TAMARIND 24/25 SC ENV TBGS</t>
        </is>
      </c>
      <c r="C1432" s="7" t="inlineStr">
        <is>
          <t>ORIBA</t>
        </is>
      </c>
      <c r="D1432" s="7" t="n">
        <v>746</v>
      </c>
      <c r="E1432" s="7" t="inlineStr">
        <is>
          <t>ORIBA TAMARIND 25 SC ENV TBGS</t>
        </is>
      </c>
      <c r="F1432" s="7" t="n">
        <v>24</v>
      </c>
      <c r="G1432" s="7" t="inlineStr">
        <is>
          <t>CTN</t>
        </is>
      </c>
      <c r="H1432">
        <f>#N/A</f>
        <v/>
      </c>
    </row>
    <row r="1433" ht="14.25" customHeight="1" s="5">
      <c r="A1433" s="7" t="n">
        <v>27432</v>
      </c>
      <c r="B1433" s="7" t="inlineStr">
        <is>
          <t>OURA 12/100 DC ENV TBGS</t>
        </is>
      </c>
      <c r="C1433" s="7" t="inlineStr">
        <is>
          <t>OURA</t>
        </is>
      </c>
      <c r="D1433" s="7" t="n">
        <v>27436</v>
      </c>
      <c r="E1433" s="7" t="inlineStr">
        <is>
          <t>OURA 100 DC ENV TBGS</t>
        </is>
      </c>
      <c r="F1433" s="7" t="n">
        <v>12</v>
      </c>
      <c r="G1433" s="7" t="inlineStr">
        <is>
          <t>CTN</t>
        </is>
      </c>
      <c r="H1433" t="inlineStr">
        <is>
          <t>BLEND A33</t>
        </is>
      </c>
    </row>
    <row r="1434" ht="14.25" customHeight="1" s="5">
      <c r="A1434" s="7" t="n">
        <v>29405</v>
      </c>
      <c r="B1434" s="7" t="inlineStr">
        <is>
          <t>OURA 80/25 DC TAG TBGS</t>
        </is>
      </c>
      <c r="C1434" s="7" t="inlineStr">
        <is>
          <t>OURA</t>
        </is>
      </c>
      <c r="D1434" s="7" t="n">
        <v>29411</v>
      </c>
      <c r="E1434" s="7" t="inlineStr">
        <is>
          <t>OURA 25 DC TAG TBGS</t>
        </is>
      </c>
      <c r="F1434" s="7" t="n">
        <v>80</v>
      </c>
      <c r="G1434" s="7" t="inlineStr">
        <is>
          <t>CTN</t>
        </is>
      </c>
      <c r="H1434" t="inlineStr">
        <is>
          <t>BLEND A33</t>
        </is>
      </c>
    </row>
    <row r="1435" ht="14.25" customHeight="1" s="5">
      <c r="A1435" s="7" t="n">
        <v>750</v>
      </c>
      <c r="B1435" s="7" t="inlineStr">
        <is>
          <t>PACIFICO 12/20 DC SF TAG TBGS-4 GMS</t>
        </is>
      </c>
      <c r="C1435" s="7" t="inlineStr">
        <is>
          <t>PACIFICO</t>
        </is>
      </c>
      <c r="D1435" s="7" t="n">
        <v>751</v>
      </c>
      <c r="E1435" s="7" t="inlineStr">
        <is>
          <t>PACIFICO 20 DC SF TAG TBGS-4 GMS</t>
        </is>
      </c>
      <c r="F1435" s="7" t="n">
        <v>12</v>
      </c>
      <c r="G1435" s="7" t="inlineStr">
        <is>
          <t>CTN</t>
        </is>
      </c>
      <c r="H1435" t="inlineStr">
        <is>
          <t>BLEND 7093-S-RFA</t>
        </is>
      </c>
    </row>
    <row r="1436" ht="14.25" customHeight="1" s="5">
      <c r="A1436" s="7" t="n">
        <v>18402</v>
      </c>
      <c r="B1436" s="7" t="inlineStr">
        <is>
          <t>PACIFICO 12/20 DC TAG TBGS-2 GMS</t>
        </is>
      </c>
      <c r="C1436" s="7" t="inlineStr">
        <is>
          <t>PACIFICO</t>
        </is>
      </c>
      <c r="D1436" s="7" t="n">
        <v>18401</v>
      </c>
      <c r="E1436" s="7" t="inlineStr">
        <is>
          <t>PACIFICO 20 DC TAG TBGS-2 GMS</t>
        </is>
      </c>
      <c r="F1436" s="7" t="n">
        <v>12</v>
      </c>
      <c r="G1436" s="7" t="inlineStr">
        <is>
          <t>CTN</t>
        </is>
      </c>
      <c r="H1436" t="inlineStr">
        <is>
          <t>BLEND 7093-S-RFA</t>
        </is>
      </c>
    </row>
    <row r="1437" ht="14.25" customHeight="1" s="5">
      <c r="A1437" s="7" t="n">
        <v>27112</v>
      </c>
      <c r="B1437" s="7" t="inlineStr">
        <is>
          <t>PADI  24/100 SC TBGS TAGLESS (2 GMS)</t>
        </is>
      </c>
      <c r="C1437" s="7" t="inlineStr">
        <is>
          <t>PADI</t>
        </is>
      </c>
      <c r="D1437" s="7" t="n">
        <v>27113</v>
      </c>
      <c r="E1437" s="7" t="inlineStr">
        <is>
          <t>PADI 100 SC TBGS TAGLESS</t>
        </is>
      </c>
      <c r="F1437" s="7" t="n">
        <v>24</v>
      </c>
      <c r="G1437" s="7" t="inlineStr">
        <is>
          <t>CTN</t>
        </is>
      </c>
      <c r="H1437" t="inlineStr">
        <is>
          <t>BLEND 786</t>
        </is>
      </c>
    </row>
    <row r="1438" ht="14.25" customHeight="1" s="5">
      <c r="A1438" s="7" t="n">
        <v>27700</v>
      </c>
      <c r="B1438" s="7" t="inlineStr">
        <is>
          <t>PADI 12/100 DC ENV TBGS</t>
        </is>
      </c>
      <c r="C1438" s="7" t="inlineStr">
        <is>
          <t>PADI</t>
        </is>
      </c>
      <c r="D1438" s="7" t="n">
        <v>27760</v>
      </c>
      <c r="E1438" s="7" t="inlineStr">
        <is>
          <t>PADI 100 DC ENV TBGS</t>
        </is>
      </c>
      <c r="F1438" s="7" t="n">
        <v>12</v>
      </c>
      <c r="G1438" s="7" t="inlineStr">
        <is>
          <t>CTN</t>
        </is>
      </c>
      <c r="H1438" t="inlineStr">
        <is>
          <t>BLEND 786</t>
        </is>
      </c>
    </row>
    <row r="1439" ht="14.25" customHeight="1" s="5">
      <c r="A1439" s="7" t="n">
        <v>27701</v>
      </c>
      <c r="B1439" s="7" t="inlineStr">
        <is>
          <t>PADI 24/25 DC ENV TBGS</t>
        </is>
      </c>
      <c r="C1439" s="7" t="inlineStr">
        <is>
          <t>PADI</t>
        </is>
      </c>
      <c r="D1439" s="7" t="n">
        <v>27757</v>
      </c>
      <c r="E1439" s="7" t="inlineStr">
        <is>
          <t>PADI 25 DC ENV TBGS</t>
        </is>
      </c>
      <c r="F1439" s="7" t="n">
        <v>24</v>
      </c>
      <c r="G1439" s="7" t="inlineStr">
        <is>
          <t>CTN</t>
        </is>
      </c>
      <c r="H1439" t="inlineStr">
        <is>
          <t>BLEND 786</t>
        </is>
      </c>
    </row>
    <row r="1440" ht="14.25" customHeight="1" s="5">
      <c r="A1440" s="7" t="n">
        <v>27705</v>
      </c>
      <c r="B1440" s="7" t="inlineStr">
        <is>
          <t>PADI 24/50 DC ENV TBGS</t>
        </is>
      </c>
      <c r="C1440" s="7" t="inlineStr">
        <is>
          <t>PADI</t>
        </is>
      </c>
      <c r="D1440" s="7" t="n">
        <v>27759</v>
      </c>
      <c r="E1440" s="7" t="inlineStr">
        <is>
          <t>PADI 50 DC ENV TBGS</t>
        </is>
      </c>
      <c r="F1440" s="7" t="n">
        <v>24</v>
      </c>
      <c r="G1440" s="7" t="inlineStr">
        <is>
          <t>CTN</t>
        </is>
      </c>
      <c r="H1440" t="inlineStr">
        <is>
          <t>BLEND 786</t>
        </is>
      </c>
    </row>
    <row r="1441" ht="14.25" customHeight="1" s="5">
      <c r="A1441" s="7" t="n">
        <v>37142</v>
      </c>
      <c r="B1441" s="7" t="inlineStr">
        <is>
          <t>PADI HOT CHOCOLATE 3 IN 1 (30GMS) 12 STRIPS X 10 SACHETS WITH HANGER</t>
        </is>
      </c>
      <c r="C1441" s="7" t="inlineStr">
        <is>
          <t>PADI</t>
        </is>
      </c>
      <c r="D1441" s="7" t="n">
        <v>37180</v>
      </c>
      <c r="E1441" s="7" t="inlineStr">
        <is>
          <t>PADI HOT CHOCOLATE 3 IN 1 (30GMS)</t>
        </is>
      </c>
      <c r="F1441" s="7" t="n">
        <v>120</v>
      </c>
      <c r="G1441" s="7" t="inlineStr">
        <is>
          <t>POUCH</t>
        </is>
      </c>
      <c r="H1441" t="inlineStr">
        <is>
          <t>BLEND INSTANT CHOCOLATE AFRICA</t>
        </is>
      </c>
    </row>
    <row r="1442" ht="14.25" customHeight="1" s="5">
      <c r="A1442" s="7" t="n">
        <v>22666</v>
      </c>
      <c r="B1442" s="7" t="inlineStr">
        <is>
          <t>PG NATURE PROTECT PGNP 180/100 GMS LEAF PKT TEA</t>
        </is>
      </c>
      <c r="C1442" s="7" t="inlineStr">
        <is>
          <t>PREMIUM GOLD</t>
        </is>
      </c>
      <c r="D1442" s="7" t="n">
        <v>22660</v>
      </c>
      <c r="E1442" s="7" t="inlineStr">
        <is>
          <t>PG NATURE PROTECT 100 GMS LEAF PKT TEA</t>
        </is>
      </c>
      <c r="F1442" s="7" t="n">
        <v>180</v>
      </c>
      <c r="G1442" s="7" t="inlineStr">
        <is>
          <t>CTN</t>
        </is>
      </c>
      <c r="H1442" t="inlineStr">
        <is>
          <t>BLEND BLACK TEA NATURE CARE PGNP CC</t>
        </is>
      </c>
    </row>
    <row r="1443" ht="14.25" customHeight="1" s="5">
      <c r="A1443" s="7" t="n">
        <v>22809</v>
      </c>
      <c r="B1443" s="7" t="inlineStr">
        <is>
          <t>PG NATURE PROTECT PGNP 24/500 GMS LEAF PKT TEA</t>
        </is>
      </c>
      <c r="C1443" s="7" t="inlineStr">
        <is>
          <t>PREMIUM GOLD</t>
        </is>
      </c>
      <c r="D1443" s="7" t="n">
        <v>22808</v>
      </c>
      <c r="E1443" s="7" t="inlineStr">
        <is>
          <t>PG NATURE PROTECT 500 GMS PKT TEA</t>
        </is>
      </c>
      <c r="F1443" s="7" t="n">
        <v>24</v>
      </c>
      <c r="G1443" s="7" t="inlineStr">
        <is>
          <t>PKT</t>
        </is>
      </c>
      <c r="H1443" t="inlineStr">
        <is>
          <t>BLEND BLACK TEA NATURE CARE PGNP CC</t>
        </is>
      </c>
    </row>
    <row r="1444" ht="14.25" customHeight="1" s="5">
      <c r="A1444" s="7" t="n">
        <v>22027</v>
      </c>
      <c r="B1444" s="7" t="inlineStr">
        <is>
          <t>PG NATURE PROTECT PGNP 48/250 GMS LEAF PKT TEA</t>
        </is>
      </c>
      <c r="C1444" s="7" t="inlineStr">
        <is>
          <t>PREMIUM GOLD</t>
        </is>
      </c>
      <c r="D1444" s="7" t="n">
        <v>22028</v>
      </c>
      <c r="E1444" s="7" t="inlineStr">
        <is>
          <t>PG NATURE PROTECT 250 GMS PKT TEA</t>
        </is>
      </c>
      <c r="F1444" s="7" t="n">
        <v>48</v>
      </c>
      <c r="G1444" s="7" t="inlineStr">
        <is>
          <t>CTN</t>
        </is>
      </c>
      <c r="H1444" t="inlineStr">
        <is>
          <t>BLEND BLACK TEA NATURE CARE PGNP CC</t>
        </is>
      </c>
    </row>
    <row r="1445" ht="14.25" customHeight="1" s="5">
      <c r="A1445" s="7" t="n">
        <v>22665</v>
      </c>
      <c r="B1445" s="7" t="inlineStr">
        <is>
          <t>PG NATURE PROTECT PGNP 96/250 GMS LEAF PKT TEA</t>
        </is>
      </c>
      <c r="C1445" s="7" t="inlineStr">
        <is>
          <t>PG</t>
        </is>
      </c>
      <c r="D1445" s="7" t="n">
        <v>22028</v>
      </c>
      <c r="E1445" s="7" t="inlineStr">
        <is>
          <t>PG NATURE PROTECT 250 GMS PKT TEA</t>
        </is>
      </c>
      <c r="F1445" s="7" t="n">
        <v>96</v>
      </c>
      <c r="G1445" s="7" t="inlineStr">
        <is>
          <t>CTN</t>
        </is>
      </c>
      <c r="H1445" t="inlineStr">
        <is>
          <t>BLEND BLACK TEA NATURE CARE PGNP CC</t>
        </is>
      </c>
    </row>
    <row r="1446" ht="14.25" customHeight="1" s="5">
      <c r="A1446" s="7" t="n">
        <v>27133</v>
      </c>
      <c r="B1446" s="7" t="inlineStr">
        <is>
          <t>PG NATURE PROTECT PGNP CC LEAF [8 X 40 X 20 GM LAMINATE POUCH] CFC</t>
        </is>
      </c>
      <c r="C1446" s="7" t="inlineStr">
        <is>
          <t>PREMIUM GOLD</t>
        </is>
      </c>
      <c r="D1446" s="7" t="n">
        <v>27130</v>
      </c>
      <c r="E1446" s="7" t="inlineStr">
        <is>
          <t>PG NATURE PROTECT LEAF 20 GM POUCH</t>
        </is>
      </c>
      <c r="F1446" s="7" t="n">
        <v>320</v>
      </c>
      <c r="G1446" s="7" t="inlineStr">
        <is>
          <t>POUCH</t>
        </is>
      </c>
      <c r="H1446" t="inlineStr">
        <is>
          <t>BLEND BLACK TEA NATURE CARE PGNP CC</t>
        </is>
      </c>
    </row>
    <row r="1447" ht="14.25" customHeight="1" s="5">
      <c r="A1447" s="7" t="n">
        <v>759</v>
      </c>
      <c r="B1447" s="7" t="inlineStr">
        <is>
          <t>PREMIER 12/100 DC ENV TBGS</t>
        </is>
      </c>
      <c r="C1447" s="7" t="inlineStr">
        <is>
          <t>PREMIER</t>
        </is>
      </c>
      <c r="D1447" s="7" t="n">
        <v>760</v>
      </c>
      <c r="E1447" s="7" t="inlineStr">
        <is>
          <t>PREMIER 100 DC ENV TBGS</t>
        </is>
      </c>
      <c r="F1447" s="7" t="n">
        <v>12</v>
      </c>
      <c r="G1447" s="7" t="inlineStr">
        <is>
          <t>CTN</t>
        </is>
      </c>
      <c r="H1447" t="inlineStr">
        <is>
          <t>BLEND 786</t>
        </is>
      </c>
    </row>
    <row r="1448" ht="14.25" customHeight="1" s="5">
      <c r="A1448" s="7" t="n">
        <v>23235</v>
      </c>
      <c r="B1448" s="7" t="inlineStr">
        <is>
          <t>PREMIER 12/100 DC ENV TBGS WITH  STRAWBERRY SACHETS</t>
        </is>
      </c>
      <c r="C1448" s="7" t="inlineStr">
        <is>
          <t>PREMIER</t>
        </is>
      </c>
      <c r="D1448" s="7" t="n">
        <v>760</v>
      </c>
      <c r="E1448" s="7" t="inlineStr">
        <is>
          <t>PREMIER 100 DC ENV TBGS</t>
        </is>
      </c>
      <c r="F1448" s="7" t="n">
        <v>12</v>
      </c>
      <c r="G1448" s="7" t="inlineStr">
        <is>
          <t>CTN</t>
        </is>
      </c>
      <c r="H1448" t="inlineStr">
        <is>
          <t>BLEND 786</t>
        </is>
      </c>
    </row>
    <row r="1449" ht="14.25" customHeight="1" s="5">
      <c r="A1449" s="7" t="n">
        <v>23235</v>
      </c>
      <c r="B1449" s="7" t="inlineStr">
        <is>
          <t>PREMIER 12/100 DC ENV TBGS WITH  STRAWBERRY SACHETS</t>
        </is>
      </c>
      <c r="C1449" s="7" t="inlineStr">
        <is>
          <t>PREMIER</t>
        </is>
      </c>
      <c r="D1449" s="7" t="n">
        <v>23223</v>
      </c>
      <c r="E1449" s="7" t="inlineStr">
        <is>
          <t>PREMIER LOOSE ENV STRAWBERRY SC ENV TBGS</t>
        </is>
      </c>
      <c r="F1449" s="7" t="n">
        <v>24</v>
      </c>
      <c r="G1449" s="7" t="inlineStr">
        <is>
          <t>ENV</t>
        </is>
      </c>
      <c r="H1449">
        <f>#N/A</f>
        <v/>
      </c>
    </row>
    <row r="1450" ht="14.25" customHeight="1" s="5">
      <c r="A1450" s="7" t="n">
        <v>23234</v>
      </c>
      <c r="B1450" s="7" t="inlineStr">
        <is>
          <t>PREMIER 12/100 DC ENV TBGS WITH COCKTAIL SACHETS</t>
        </is>
      </c>
      <c r="C1450" s="7" t="inlineStr">
        <is>
          <t>PREMIER</t>
        </is>
      </c>
      <c r="D1450" s="7" t="n">
        <v>760</v>
      </c>
      <c r="E1450" s="7" t="inlineStr">
        <is>
          <t>PREMIER 100 DC ENV TBGS</t>
        </is>
      </c>
      <c r="F1450" s="7" t="n">
        <v>12</v>
      </c>
      <c r="G1450" s="7" t="inlineStr">
        <is>
          <t>CTN</t>
        </is>
      </c>
      <c r="H1450" t="inlineStr">
        <is>
          <t>BLEND 786</t>
        </is>
      </c>
    </row>
    <row r="1451" ht="14.25" customHeight="1" s="5">
      <c r="A1451" s="7" t="n">
        <v>23234</v>
      </c>
      <c r="B1451" s="7" t="inlineStr">
        <is>
          <t>PREMIER 12/100 DC ENV TBGS WITH COCKTAIL SACHETS</t>
        </is>
      </c>
      <c r="C1451" s="7" t="inlineStr">
        <is>
          <t>PREMIER</t>
        </is>
      </c>
      <c r="D1451" s="7" t="n">
        <v>23222</v>
      </c>
      <c r="E1451" s="7" t="inlineStr">
        <is>
          <t>PREMIER LOOSE ENV COCKTAIL SC ENV TBGS</t>
        </is>
      </c>
      <c r="F1451" s="7" t="n">
        <v>24</v>
      </c>
      <c r="G1451" s="7" t="inlineStr">
        <is>
          <t>ENV</t>
        </is>
      </c>
      <c r="H1451">
        <f>#N/A</f>
        <v/>
      </c>
    </row>
    <row r="1452" ht="14.25" customHeight="1" s="5">
      <c r="A1452" s="7" t="n">
        <v>23236</v>
      </c>
      <c r="B1452" s="7" t="inlineStr">
        <is>
          <t>PREMIER 12/100 DC ENV TBGS WITH ORANGE SACHETS</t>
        </is>
      </c>
      <c r="C1452" s="7" t="inlineStr">
        <is>
          <t>PREMIER</t>
        </is>
      </c>
      <c r="D1452" s="7" t="n">
        <v>760</v>
      </c>
      <c r="E1452" s="7" t="inlineStr">
        <is>
          <t>PREMIER 100 DC ENV TBGS</t>
        </is>
      </c>
      <c r="F1452" s="7" t="n">
        <v>12</v>
      </c>
      <c r="G1452" s="7" t="inlineStr">
        <is>
          <t>CTN</t>
        </is>
      </c>
      <c r="H1452" t="inlineStr">
        <is>
          <t>BLEND 786</t>
        </is>
      </c>
    </row>
    <row r="1453" ht="14.25" customHeight="1" s="5">
      <c r="A1453" s="7" t="n">
        <v>23236</v>
      </c>
      <c r="B1453" s="7" t="inlineStr">
        <is>
          <t>PREMIER 12/100 DC ENV TBGS WITH ORANGE SACHETS</t>
        </is>
      </c>
      <c r="C1453" s="7" t="inlineStr">
        <is>
          <t>PREMIER</t>
        </is>
      </c>
      <c r="D1453" s="7" t="n">
        <v>23221</v>
      </c>
      <c r="E1453" s="7" t="inlineStr">
        <is>
          <t>PREMIER LOOSE ENV ORANGE SC ENV TBGS</t>
        </is>
      </c>
      <c r="F1453" s="7" t="n">
        <v>24</v>
      </c>
      <c r="G1453" s="7" t="inlineStr">
        <is>
          <t>ENV</t>
        </is>
      </c>
      <c r="H1453">
        <f>#N/A</f>
        <v/>
      </c>
    </row>
    <row r="1454" ht="14.25" customHeight="1" s="5">
      <c r="A1454" s="7" t="n">
        <v>764</v>
      </c>
      <c r="B1454" s="7" t="inlineStr">
        <is>
          <t>PREMIER 12/100 DC ENV TBGS WITH SHOPPING BAG</t>
        </is>
      </c>
      <c r="C1454" s="7" t="inlineStr">
        <is>
          <t>PREMIER</t>
        </is>
      </c>
      <c r="D1454" s="7" t="n">
        <v>760</v>
      </c>
      <c r="E1454" s="7" t="inlineStr">
        <is>
          <t>PREMIER 100 DC ENV TBGS</t>
        </is>
      </c>
      <c r="F1454" s="7" t="n">
        <v>12</v>
      </c>
      <c r="G1454" s="7" t="inlineStr">
        <is>
          <t>CTN</t>
        </is>
      </c>
      <c r="H1454" t="inlineStr">
        <is>
          <t>BLEND 786</t>
        </is>
      </c>
    </row>
    <row r="1455" ht="14.25" customHeight="1" s="5">
      <c r="A1455" s="7" t="n">
        <v>5576</v>
      </c>
      <c r="B1455" s="7" t="inlineStr">
        <is>
          <t>PREMIER 12/100 DC ENV TBGS WITH T-SHIRT</t>
        </is>
      </c>
      <c r="C1455" s="7" t="inlineStr">
        <is>
          <t>PREMIER</t>
        </is>
      </c>
      <c r="D1455" s="7" t="n">
        <v>760</v>
      </c>
      <c r="E1455" s="7" t="inlineStr">
        <is>
          <t>PREMIER 100 DC ENV TBGS</t>
        </is>
      </c>
      <c r="F1455" s="7" t="n">
        <v>12</v>
      </c>
      <c r="G1455" s="7" t="inlineStr">
        <is>
          <t>CTN</t>
        </is>
      </c>
      <c r="H1455" t="inlineStr">
        <is>
          <t>BLEND 786</t>
        </is>
      </c>
    </row>
    <row r="1456" ht="14.25" customHeight="1" s="5">
      <c r="A1456" s="7" t="n">
        <v>767</v>
      </c>
      <c r="B1456" s="7" t="inlineStr">
        <is>
          <t>PREMIER 12/106 DC ENV TBGS</t>
        </is>
      </c>
      <c r="C1456" s="7" t="inlineStr">
        <is>
          <t>PREMIER</t>
        </is>
      </c>
      <c r="D1456" s="7" t="n">
        <v>768</v>
      </c>
      <c r="E1456" s="7" t="inlineStr">
        <is>
          <t>PREMIER 106 DC ENV TBGS</t>
        </is>
      </c>
      <c r="F1456" s="7" t="n">
        <v>12</v>
      </c>
      <c r="G1456" s="7" t="inlineStr">
        <is>
          <t>CTN</t>
        </is>
      </c>
      <c r="H1456" t="inlineStr">
        <is>
          <t>BLEND 786</t>
        </is>
      </c>
    </row>
    <row r="1457" ht="14.25" customHeight="1" s="5">
      <c r="A1457" s="7" t="n">
        <v>33074</v>
      </c>
      <c r="B1457" s="7" t="inlineStr">
        <is>
          <t>PREMIER CLOVE 24/25 DC ENV TBGS</t>
        </is>
      </c>
      <c r="C1457" s="7" t="inlineStr">
        <is>
          <t>PREMIER</t>
        </is>
      </c>
      <c r="D1457" s="7" t="n">
        <v>27474</v>
      </c>
      <c r="E1457" s="7" t="inlineStr">
        <is>
          <t>PREMIER CLOVE 25 DC ENV TBGS</t>
        </is>
      </c>
      <c r="F1457" s="7" t="n">
        <v>24</v>
      </c>
      <c r="G1457" s="7" t="inlineStr">
        <is>
          <t>CTN</t>
        </is>
      </c>
      <c r="H1457" t="inlineStr">
        <is>
          <t>BLEND BLACK TEA CLOVE TBC</t>
        </is>
      </c>
    </row>
    <row r="1458" ht="14.25" customHeight="1" s="5">
      <c r="A1458" s="7" t="n">
        <v>27473</v>
      </c>
      <c r="B1458" s="7" t="inlineStr">
        <is>
          <t>PREMIER CLOVE 24/25 DC ENV WITH T-SHIRT</t>
        </is>
      </c>
      <c r="C1458" s="7" t="inlineStr">
        <is>
          <t>PREMIER</t>
        </is>
      </c>
      <c r="D1458" s="7" t="n">
        <v>27474</v>
      </c>
      <c r="E1458" s="7" t="inlineStr">
        <is>
          <t>PREMIER CLOVE 25 DC ENV TBGS</t>
        </is>
      </c>
      <c r="F1458" s="7" t="n">
        <v>24</v>
      </c>
      <c r="G1458" s="7" t="inlineStr">
        <is>
          <t>CTN</t>
        </is>
      </c>
      <c r="H1458" t="inlineStr">
        <is>
          <t>BLEND BLACK TEA CLOVE TBC</t>
        </is>
      </c>
    </row>
    <row r="1459" ht="14.25" customHeight="1" s="5">
      <c r="A1459" s="7" t="n">
        <v>26246</v>
      </c>
      <c r="B1459" s="7" t="inlineStr">
        <is>
          <t>PREMIER COCKTAIL 24/25 DC ENV TBGS</t>
        </is>
      </c>
      <c r="C1459" s="7" t="inlineStr">
        <is>
          <t>PREMIER</t>
        </is>
      </c>
      <c r="D1459" s="7" t="n">
        <v>26245</v>
      </c>
      <c r="E1459" s="7" t="inlineStr">
        <is>
          <t>PREMIER COCKTAIL 25 DC ENV TBGS</t>
        </is>
      </c>
      <c r="F1459" s="7" t="n">
        <v>24</v>
      </c>
      <c r="G1459" s="7" t="inlineStr">
        <is>
          <t>CTN</t>
        </is>
      </c>
      <c r="H1459" t="inlineStr">
        <is>
          <t>BLEND BLACK TEA COCKTAIL TBC</t>
        </is>
      </c>
    </row>
    <row r="1460" ht="14.25" customHeight="1" s="5">
      <c r="A1460" s="7" t="n">
        <v>27056</v>
      </c>
      <c r="B1460" s="7" t="inlineStr">
        <is>
          <t>PREMIER COCKTAIL 24/25 DC ENV TBGS WITH T-SHIRT</t>
        </is>
      </c>
      <c r="C1460" s="7" t="inlineStr">
        <is>
          <t>PREMIER</t>
        </is>
      </c>
      <c r="D1460" s="7" t="n">
        <v>26245</v>
      </c>
      <c r="E1460" s="7" t="inlineStr">
        <is>
          <t>PREMIER COCKTAIL 25 DC ENV TBGS</t>
        </is>
      </c>
      <c r="F1460" s="7" t="n">
        <v>24</v>
      </c>
      <c r="G1460" s="7" t="inlineStr">
        <is>
          <t>CTN</t>
        </is>
      </c>
      <c r="H1460" t="inlineStr">
        <is>
          <t>BLEND BLACK TEA COCKTAIL TBC</t>
        </is>
      </c>
    </row>
    <row r="1461" ht="14.25" customHeight="1" s="5">
      <c r="A1461" s="7" t="n">
        <v>31665</v>
      </c>
      <c r="B1461" s="7" t="inlineStr">
        <is>
          <t>PREMIER CRANBERRY APPLE 24/25 DC ENV TBGS</t>
        </is>
      </c>
      <c r="C1461" s="7" t="inlineStr">
        <is>
          <t>PREMIER</t>
        </is>
      </c>
      <c r="D1461" s="7" t="n">
        <v>23809</v>
      </c>
      <c r="E1461" s="7" t="inlineStr">
        <is>
          <t>PREMIER CRANBERRY APPLE 25 DC ENV TBGS</t>
        </is>
      </c>
      <c r="F1461" s="7" t="n">
        <v>24</v>
      </c>
      <c r="G1461" s="7" t="inlineStr">
        <is>
          <t>CTN</t>
        </is>
      </c>
      <c r="H1461" t="inlineStr">
        <is>
          <t>BLEND BLACK TEA CRANBERRY TBC</t>
        </is>
      </c>
    </row>
    <row r="1462" ht="14.25" customHeight="1" s="5">
      <c r="A1462" s="7" t="n">
        <v>23762</v>
      </c>
      <c r="B1462" s="7" t="inlineStr">
        <is>
          <t>PREMIER CRANBERRY APPLE 24/25 DC ENV WITH T-SHIRT</t>
        </is>
      </c>
      <c r="C1462" s="7" t="inlineStr">
        <is>
          <t>PREMIER</t>
        </is>
      </c>
      <c r="D1462" s="7" t="n">
        <v>23809</v>
      </c>
      <c r="E1462" s="7" t="inlineStr">
        <is>
          <t>PREMIER CRANBERRY APPLE 25 DC ENV TBGS</t>
        </is>
      </c>
      <c r="F1462" s="7" t="n">
        <v>24</v>
      </c>
      <c r="G1462" s="7" t="inlineStr">
        <is>
          <t>CTN</t>
        </is>
      </c>
      <c r="H1462" t="inlineStr">
        <is>
          <t>BLEND BLACK TEA CRANBERRY TBC</t>
        </is>
      </c>
    </row>
    <row r="1463" ht="14.25" customHeight="1" s="5">
      <c r="A1463" s="7" t="n">
        <v>2543</v>
      </c>
      <c r="B1463" s="7" t="inlineStr">
        <is>
          <t>PREMIER CRANBERRY APPLE 24/25 SC ENV TBGS</t>
        </is>
      </c>
      <c r="C1463" s="7" t="inlineStr">
        <is>
          <t>PREMIER</t>
        </is>
      </c>
      <c r="D1463" s="7" t="n">
        <v>2544</v>
      </c>
      <c r="E1463" s="7" t="inlineStr">
        <is>
          <t>PREMIER CRANBERRY APPLE 25 SC ENV TBGS</t>
        </is>
      </c>
      <c r="F1463" s="7" t="n">
        <v>24</v>
      </c>
      <c r="G1463" s="7" t="inlineStr">
        <is>
          <t>CTN</t>
        </is>
      </c>
      <c r="H1463">
        <f>#N/A</f>
        <v/>
      </c>
    </row>
    <row r="1464" ht="14.25" customHeight="1" s="5">
      <c r="A1464" s="7" t="n">
        <v>31663</v>
      </c>
      <c r="B1464" s="7" t="inlineStr">
        <is>
          <t>PREMIER GINGER 24/25 DC ENV TBGS</t>
        </is>
      </c>
      <c r="C1464" s="7" t="inlineStr">
        <is>
          <t>PREMIER</t>
        </is>
      </c>
      <c r="D1464" s="7" t="n">
        <v>23802</v>
      </c>
      <c r="E1464" s="7" t="inlineStr">
        <is>
          <t>PREMIER GINGER 25 DC ENV TBGS</t>
        </is>
      </c>
      <c r="F1464" s="7" t="n">
        <v>24</v>
      </c>
      <c r="G1464" s="7" t="inlineStr">
        <is>
          <t>CTN</t>
        </is>
      </c>
      <c r="H1464" t="inlineStr">
        <is>
          <t>BLEND AF BLACK TEA  GINGER TBGS</t>
        </is>
      </c>
    </row>
    <row r="1465" ht="14.25" customHeight="1" s="5">
      <c r="A1465" s="7" t="n">
        <v>23756</v>
      </c>
      <c r="B1465" s="7" t="inlineStr">
        <is>
          <t>PREMIER GINGER 24/25 DC ENV TBGS WITH T-SHIRT</t>
        </is>
      </c>
      <c r="C1465" s="7" t="inlineStr">
        <is>
          <t>PREMIER</t>
        </is>
      </c>
      <c r="D1465" s="7" t="n">
        <v>23802</v>
      </c>
      <c r="E1465" s="7" t="inlineStr">
        <is>
          <t>PREMIER GINGER 25 DC ENV TBGS</t>
        </is>
      </c>
      <c r="F1465" s="7" t="n">
        <v>24</v>
      </c>
      <c r="G1465" s="7" t="inlineStr">
        <is>
          <t>CTN</t>
        </is>
      </c>
      <c r="H1465" t="inlineStr">
        <is>
          <t>BLEND AF BLACK TEA  GINGER TBGS</t>
        </is>
      </c>
    </row>
    <row r="1466" ht="14.25" customHeight="1" s="5">
      <c r="A1466" s="7" t="n">
        <v>2545</v>
      </c>
      <c r="B1466" s="7" t="inlineStr">
        <is>
          <t>PREMIER GINGER 24/25 SC ENV TBGS</t>
        </is>
      </c>
      <c r="C1466" s="7" t="inlineStr">
        <is>
          <t>PREMIER</t>
        </is>
      </c>
      <c r="D1466" s="7" t="n">
        <v>2546</v>
      </c>
      <c r="E1466" s="7" t="inlineStr">
        <is>
          <t>PREMIER GINGER 25 SC ENV TBGS</t>
        </is>
      </c>
      <c r="F1466" s="7" t="n">
        <v>24</v>
      </c>
      <c r="G1466" s="7" t="inlineStr">
        <is>
          <t>CTN</t>
        </is>
      </c>
      <c r="H1466">
        <f>#N/A</f>
        <v/>
      </c>
    </row>
    <row r="1467" ht="14.25" customHeight="1" s="5">
      <c r="A1467" s="7" t="n">
        <v>2547</v>
      </c>
      <c r="B1467" s="7" t="inlineStr">
        <is>
          <t>PREMIER GREEN TEA LEMON 24/25 SC ENV TBGS</t>
        </is>
      </c>
      <c r="C1467" s="7" t="inlineStr">
        <is>
          <t>PREMIER</t>
        </is>
      </c>
      <c r="D1467" s="7" t="n">
        <v>2548</v>
      </c>
      <c r="E1467" s="7" t="inlineStr">
        <is>
          <t>PREMIER GREEN TEA LEMON 25 SC ENV TBGS</t>
        </is>
      </c>
      <c r="F1467" s="7" t="n">
        <v>24</v>
      </c>
      <c r="G1467" s="7" t="inlineStr">
        <is>
          <t>CTN</t>
        </is>
      </c>
      <c r="H1467">
        <f>#N/A</f>
        <v/>
      </c>
    </row>
    <row r="1468" ht="14.25" customHeight="1" s="5">
      <c r="A1468" s="7" t="n">
        <v>788</v>
      </c>
      <c r="B1468" s="7" t="inlineStr">
        <is>
          <t>PREMIER GREEN TEA MORINGA 24/25 SC ENV TBGS</t>
        </is>
      </c>
      <c r="C1468" s="7" t="inlineStr">
        <is>
          <t>PREMIER</t>
        </is>
      </c>
      <c r="D1468" s="7" t="n">
        <v>789</v>
      </c>
      <c r="E1468" s="7" t="inlineStr">
        <is>
          <t>PREMIER GREEN TEA MORINGA 25 SC ENV TBGS</t>
        </is>
      </c>
      <c r="F1468" s="7" t="n">
        <v>24</v>
      </c>
      <c r="G1468" s="7" t="inlineStr">
        <is>
          <t>CTN</t>
        </is>
      </c>
      <c r="H1468">
        <f>#N/A</f>
        <v/>
      </c>
    </row>
    <row r="1469" ht="14.25" customHeight="1" s="5">
      <c r="A1469" s="7" t="n">
        <v>794</v>
      </c>
      <c r="B1469" s="7" t="inlineStr">
        <is>
          <t>PREMIER GREEN TEA MORINGA 24/25 SC ENV TBGS WITH T-SHIRT</t>
        </is>
      </c>
      <c r="C1469" s="7" t="inlineStr">
        <is>
          <t>PREMIER</t>
        </is>
      </c>
      <c r="D1469" s="7" t="n">
        <v>789</v>
      </c>
      <c r="E1469" s="7" t="inlineStr">
        <is>
          <t>PREMIER GREEN TEA MORINGA 25 SC ENV TBGS</t>
        </is>
      </c>
      <c r="F1469" s="7" t="n">
        <v>24</v>
      </c>
      <c r="G1469" s="7" t="inlineStr">
        <is>
          <t>CTN</t>
        </is>
      </c>
      <c r="H1469">
        <f>#N/A</f>
        <v/>
      </c>
    </row>
    <row r="1470" ht="14.25" customHeight="1" s="5">
      <c r="A1470" s="7" t="n">
        <v>796</v>
      </c>
      <c r="B1470" s="7" t="inlineStr">
        <is>
          <t>PREMIER GREENT TEA CRANBERRY 24/25 SC ENV TBGS WITH T-SHIRT</t>
        </is>
      </c>
      <c r="C1470" s="7" t="inlineStr">
        <is>
          <t>PREMIER</t>
        </is>
      </c>
      <c r="D1470" s="7" t="n">
        <v>797</v>
      </c>
      <c r="E1470" s="7" t="inlineStr">
        <is>
          <t>PREMIER GREENT TEA CRANBERRY 25 SC ENV TBGS</t>
        </is>
      </c>
      <c r="F1470" s="7" t="n">
        <v>24</v>
      </c>
      <c r="G1470" s="7" t="inlineStr">
        <is>
          <t>CTN</t>
        </is>
      </c>
      <c r="H1470">
        <f>#N/A</f>
        <v/>
      </c>
    </row>
    <row r="1471" ht="14.25" customHeight="1" s="5">
      <c r="A1471" s="7" t="n">
        <v>802</v>
      </c>
      <c r="B1471" s="7" t="inlineStr">
        <is>
          <t>PREMIER GREENT TEA LEMON GRASS 24/25 SC ENV TBGS WITH T-SHIRT</t>
        </is>
      </c>
      <c r="C1471" s="7" t="inlineStr">
        <is>
          <t>PREMIER</t>
        </is>
      </c>
      <c r="D1471" s="7" t="n">
        <v>803</v>
      </c>
      <c r="E1471" s="7" t="inlineStr">
        <is>
          <t>PREMIER GREENT TEA LEMON GRASS 25 SC ENV TBGS</t>
        </is>
      </c>
      <c r="F1471" s="7" t="n">
        <v>24</v>
      </c>
      <c r="G1471" s="7" t="inlineStr">
        <is>
          <t>CTN</t>
        </is>
      </c>
      <c r="H1471">
        <f>#N/A</f>
        <v/>
      </c>
    </row>
    <row r="1472" ht="14.25" customHeight="1" s="5">
      <c r="A1472" s="7" t="n">
        <v>31666</v>
      </c>
      <c r="B1472" s="7" t="inlineStr">
        <is>
          <t>PREMIER HIBISCUS APPLE 24/25 DC ENV TBGS</t>
        </is>
      </c>
      <c r="C1472" s="7" t="inlineStr">
        <is>
          <t>PREMIER</t>
        </is>
      </c>
      <c r="D1472" s="7" t="n">
        <v>23808</v>
      </c>
      <c r="E1472" s="7" t="inlineStr">
        <is>
          <t>PREMIER HIBISCUS APPLE 25 DC ENV TBGS</t>
        </is>
      </c>
      <c r="F1472" s="7" t="n">
        <v>24</v>
      </c>
      <c r="G1472" s="7" t="inlineStr">
        <is>
          <t>CTN</t>
        </is>
      </c>
      <c r="H1472" t="inlineStr">
        <is>
          <t>BLEND HIBISCUS APPLE TBC -AF</t>
        </is>
      </c>
    </row>
    <row r="1473" ht="14.25" customHeight="1" s="5">
      <c r="A1473" s="7" t="n">
        <v>23800</v>
      </c>
      <c r="B1473" s="7" t="inlineStr">
        <is>
          <t>PREMIER HIBISCUS APPLE 24/25 DC ENV TBGS WITH T-SHIRT</t>
        </is>
      </c>
      <c r="C1473" s="7" t="inlineStr">
        <is>
          <t>PREMIER</t>
        </is>
      </c>
      <c r="D1473" s="7" t="n">
        <v>23808</v>
      </c>
      <c r="E1473" s="7" t="inlineStr">
        <is>
          <t>PREMIER HIBISCUS APPLE 25 DC ENV TBGS</t>
        </is>
      </c>
      <c r="F1473" s="7" t="n">
        <v>24</v>
      </c>
      <c r="G1473" s="7" t="inlineStr">
        <is>
          <t>CTN</t>
        </is>
      </c>
      <c r="H1473" t="inlineStr">
        <is>
          <t>BLEND HIBISCUS APPLE TBC -AF</t>
        </is>
      </c>
    </row>
    <row r="1474" ht="14.25" customHeight="1" s="5">
      <c r="A1474" s="7" t="n">
        <v>31668</v>
      </c>
      <c r="B1474" s="7" t="inlineStr">
        <is>
          <t>PREMIER LEMON 24/25 DC ENV TBGS</t>
        </is>
      </c>
      <c r="C1474" s="7" t="inlineStr">
        <is>
          <t>PREMIER</t>
        </is>
      </c>
      <c r="D1474" s="7" t="n">
        <v>23803</v>
      </c>
      <c r="E1474" s="7" t="inlineStr">
        <is>
          <t>PREMIER LEMON 25 DC ENV TBGS</t>
        </is>
      </c>
      <c r="F1474" s="7" t="n">
        <v>24</v>
      </c>
      <c r="G1474" s="7" t="inlineStr">
        <is>
          <t>CTN</t>
        </is>
      </c>
      <c r="H1474" t="inlineStr">
        <is>
          <t>BLEND BLACK TEA LEMON TB</t>
        </is>
      </c>
    </row>
    <row r="1475" ht="14.25" customHeight="1" s="5">
      <c r="A1475" s="7" t="n">
        <v>23764</v>
      </c>
      <c r="B1475" s="7" t="inlineStr">
        <is>
          <t>PREMIER LEMON 24/25 DC ENV WITH T-SHIRT</t>
        </is>
      </c>
      <c r="C1475" s="7" t="inlineStr">
        <is>
          <t>PREMIER</t>
        </is>
      </c>
      <c r="D1475" s="7" t="n">
        <v>23803</v>
      </c>
      <c r="E1475" s="7" t="inlineStr">
        <is>
          <t>PREMIER LEMON 25 DC ENV TBGS</t>
        </is>
      </c>
      <c r="F1475" s="7" t="n">
        <v>24</v>
      </c>
      <c r="G1475" s="7" t="inlineStr">
        <is>
          <t>CTN</t>
        </is>
      </c>
      <c r="H1475" t="inlineStr">
        <is>
          <t>BLEND BLACK TEA LEMON TB</t>
        </is>
      </c>
    </row>
    <row r="1476" ht="14.25" customHeight="1" s="5">
      <c r="A1476" s="7" t="n">
        <v>2552</v>
      </c>
      <c r="B1476" s="7" t="inlineStr">
        <is>
          <t>PREMIER LEMON 24/25 SC ENV TBGS</t>
        </is>
      </c>
      <c r="C1476" s="7" t="inlineStr">
        <is>
          <t>PREMIER</t>
        </is>
      </c>
      <c r="D1476" s="7" t="n">
        <v>2553</v>
      </c>
      <c r="E1476" s="7" t="inlineStr">
        <is>
          <t>PREMIER LEMON 25 SC ENV TBGS</t>
        </is>
      </c>
      <c r="F1476" s="7" t="n">
        <v>24</v>
      </c>
      <c r="G1476" s="7" t="inlineStr">
        <is>
          <t>CTN</t>
        </is>
      </c>
      <c r="H1476">
        <f>#N/A</f>
        <v/>
      </c>
    </row>
    <row r="1477" ht="14.25" customHeight="1" s="5">
      <c r="A1477" s="7" t="n">
        <v>31664</v>
      </c>
      <c r="B1477" s="7" t="inlineStr">
        <is>
          <t>PREMIER MINT 24/25 DC ENV TBGS</t>
        </is>
      </c>
      <c r="C1477" s="7" t="inlineStr">
        <is>
          <t>PREMIER</t>
        </is>
      </c>
      <c r="D1477" s="7" t="n">
        <v>23804</v>
      </c>
      <c r="E1477" s="7" t="inlineStr">
        <is>
          <t>PREMIER MINT 25 DC ENV TBGS</t>
        </is>
      </c>
      <c r="F1477" s="7" t="n">
        <v>24</v>
      </c>
      <c r="G1477" s="7" t="inlineStr">
        <is>
          <t>CTN</t>
        </is>
      </c>
      <c r="H1477" t="inlineStr">
        <is>
          <t>BLEND AF BLACK TEA MINT TBGS</t>
        </is>
      </c>
    </row>
    <row r="1478" ht="14.25" customHeight="1" s="5">
      <c r="A1478" s="7" t="n">
        <v>23767</v>
      </c>
      <c r="B1478" s="7" t="inlineStr">
        <is>
          <t>PREMIER MINT 24/25 DC ENV WITH T-SHIRT</t>
        </is>
      </c>
      <c r="C1478" s="7" t="inlineStr">
        <is>
          <t>PREMIER</t>
        </is>
      </c>
      <c r="D1478" s="7" t="n">
        <v>23804</v>
      </c>
      <c r="E1478" s="7" t="inlineStr">
        <is>
          <t>PREMIER MINT 25 DC ENV TBGS</t>
        </is>
      </c>
      <c r="F1478" s="7" t="n">
        <v>24</v>
      </c>
      <c r="G1478" s="7" t="inlineStr">
        <is>
          <t>CTN</t>
        </is>
      </c>
      <c r="H1478" t="inlineStr">
        <is>
          <t>BLEND AF BLACK TEA MINT TBGS</t>
        </is>
      </c>
    </row>
    <row r="1479" ht="14.25" customHeight="1" s="5">
      <c r="A1479" s="7" t="n">
        <v>2554</v>
      </c>
      <c r="B1479" s="7" t="inlineStr">
        <is>
          <t>PREMIER MINT 24/25 SC ENV TBGS</t>
        </is>
      </c>
      <c r="C1479" s="7" t="inlineStr">
        <is>
          <t>PREMIER</t>
        </is>
      </c>
      <c r="D1479" s="7" t="n">
        <v>2555</v>
      </c>
      <c r="E1479" s="7" t="inlineStr">
        <is>
          <t>PREMIER MINT 25 SC ENV TBGS</t>
        </is>
      </c>
      <c r="F1479" s="7" t="n">
        <v>24</v>
      </c>
      <c r="G1479" s="7" t="inlineStr">
        <is>
          <t>CTN</t>
        </is>
      </c>
      <c r="H1479">
        <f>#N/A</f>
        <v/>
      </c>
    </row>
    <row r="1480" ht="14.25" customHeight="1" s="5">
      <c r="A1480" s="7" t="n">
        <v>31662</v>
      </c>
      <c r="B1480" s="7" t="inlineStr">
        <is>
          <t>PREMIER ORANGE 24/25 DC ENV TBGS</t>
        </is>
      </c>
      <c r="C1480" s="7" t="inlineStr">
        <is>
          <t>PREMIER</t>
        </is>
      </c>
      <c r="D1480" s="7" t="n">
        <v>23805</v>
      </c>
      <c r="E1480" s="7" t="inlineStr">
        <is>
          <t>PREMIER ORANGE 25 DC ENV TBGS</t>
        </is>
      </c>
      <c r="F1480" s="7" t="n">
        <v>24</v>
      </c>
      <c r="G1480" s="7" t="inlineStr">
        <is>
          <t>CTN</t>
        </is>
      </c>
      <c r="H1480" t="inlineStr">
        <is>
          <t>BLEND AX-BLACK ORANGE TB</t>
        </is>
      </c>
    </row>
    <row r="1481" ht="14.25" customHeight="1" s="5">
      <c r="A1481" s="7" t="n">
        <v>23765</v>
      </c>
      <c r="B1481" s="7" t="inlineStr">
        <is>
          <t>PREMIER ORANGE 24/25 DC ENV WITH T-SHIRT</t>
        </is>
      </c>
      <c r="C1481" s="7" t="inlineStr">
        <is>
          <t>PREMIER</t>
        </is>
      </c>
      <c r="D1481" s="7" t="n">
        <v>23805</v>
      </c>
      <c r="E1481" s="7" t="inlineStr">
        <is>
          <t>PREMIER ORANGE 25 DC ENV TBGS</t>
        </is>
      </c>
      <c r="F1481" s="7" t="n">
        <v>24</v>
      </c>
      <c r="G1481" s="7" t="inlineStr">
        <is>
          <t>CTN</t>
        </is>
      </c>
      <c r="H1481" t="inlineStr">
        <is>
          <t>BLEND AX-BLACK ORANGE TB</t>
        </is>
      </c>
    </row>
    <row r="1482" ht="14.25" customHeight="1" s="5">
      <c r="A1482" s="7" t="n">
        <v>32843</v>
      </c>
      <c r="B1482" s="7" t="inlineStr">
        <is>
          <t>PREMIER ORANGE PEACH 24/25 DC ENV TBGS</t>
        </is>
      </c>
      <c r="C1482" s="7" t="inlineStr">
        <is>
          <t>PREMIER</t>
        </is>
      </c>
      <c r="D1482" s="7" t="n">
        <v>32849</v>
      </c>
      <c r="E1482" s="7" t="inlineStr">
        <is>
          <t>PREMIER ORANGE PEACH 25 DC ENV TBGS</t>
        </is>
      </c>
      <c r="F1482" s="7" t="n">
        <v>24</v>
      </c>
      <c r="G1482" s="7" t="inlineStr">
        <is>
          <t>CTN</t>
        </is>
      </c>
      <c r="H1482" t="inlineStr">
        <is>
          <t>BLEND BLACK TEA ORANGE PEACH TB AF</t>
        </is>
      </c>
    </row>
    <row r="1483" ht="14.25" customHeight="1" s="5">
      <c r="A1483" s="7" t="n">
        <v>33869</v>
      </c>
      <c r="B1483" s="7" t="inlineStr">
        <is>
          <t>PREMIER PINEAPPLE 24/25 DC ENV TBGS</t>
        </is>
      </c>
      <c r="C1483" s="7" t="inlineStr">
        <is>
          <t>PREMIER</t>
        </is>
      </c>
      <c r="D1483" s="7" t="n">
        <v>23810</v>
      </c>
      <c r="E1483" s="7" t="inlineStr">
        <is>
          <t>PREMIER PINEAPPLE 25 DC ENV TBGS</t>
        </is>
      </c>
      <c r="F1483" s="7" t="n">
        <v>24</v>
      </c>
      <c r="G1483" s="7" t="inlineStr">
        <is>
          <t>CTN</t>
        </is>
      </c>
      <c r="H1483" t="inlineStr">
        <is>
          <t>BLEND BLACK TEA PINEAPPLE TB</t>
        </is>
      </c>
    </row>
    <row r="1484" ht="14.25" customHeight="1" s="5">
      <c r="A1484" s="7" t="n">
        <v>23763</v>
      </c>
      <c r="B1484" s="7" t="inlineStr">
        <is>
          <t>PREMIER PINEAPPLE 24/25 DC ENV WITH T-SHIRT</t>
        </is>
      </c>
      <c r="C1484" s="7" t="inlineStr">
        <is>
          <t>PREMIER</t>
        </is>
      </c>
      <c r="D1484" s="7" t="n">
        <v>23810</v>
      </c>
      <c r="E1484" s="7" t="inlineStr">
        <is>
          <t>PREMIER PINEAPPLE 25 DC ENV TBGS</t>
        </is>
      </c>
      <c r="F1484" s="7" t="n">
        <v>24</v>
      </c>
      <c r="G1484" s="7" t="inlineStr">
        <is>
          <t>CTN</t>
        </is>
      </c>
      <c r="H1484" t="inlineStr">
        <is>
          <t>BLEND BLACK TEA PINEAPPLE TB</t>
        </is>
      </c>
    </row>
    <row r="1485" ht="14.25" customHeight="1" s="5">
      <c r="A1485" s="7" t="n">
        <v>32842</v>
      </c>
      <c r="B1485" s="7" t="inlineStr">
        <is>
          <t>PREMIER PINEAPPLE COCONUT 24/25 DC ENV TBGS</t>
        </is>
      </c>
      <c r="C1485" s="7" t="inlineStr">
        <is>
          <t>PREMIER</t>
        </is>
      </c>
      <c r="D1485" s="7" t="n">
        <v>32850</v>
      </c>
      <c r="E1485" s="7" t="inlineStr">
        <is>
          <t>PREMIER PINEAPPLE COCONUT 25 DC ENV TBGS</t>
        </is>
      </c>
      <c r="F1485" s="7" t="n">
        <v>24</v>
      </c>
      <c r="G1485" s="7" t="inlineStr">
        <is>
          <t>CTN</t>
        </is>
      </c>
      <c r="H1485" t="inlineStr">
        <is>
          <t>BLEND BLACK TEA PINEAPPLE COCONUT TB AF</t>
        </is>
      </c>
    </row>
    <row r="1486" ht="14.25" customHeight="1" s="5">
      <c r="A1486" s="7" t="n">
        <v>23769</v>
      </c>
      <c r="B1486" s="7" t="inlineStr">
        <is>
          <t>PREMIER ROSE 24/25 DC ENV WITH T-SHIRT</t>
        </is>
      </c>
      <c r="C1486" s="7" t="inlineStr">
        <is>
          <t>PREMIER</t>
        </is>
      </c>
      <c r="D1486" s="7" t="n">
        <v>23811</v>
      </c>
      <c r="E1486" s="7" t="inlineStr">
        <is>
          <t>PREMIER ROSE 25 DC ENV TBGS</t>
        </is>
      </c>
      <c r="F1486" s="7" t="n">
        <v>24</v>
      </c>
      <c r="G1486" s="7" t="inlineStr">
        <is>
          <t>CTN</t>
        </is>
      </c>
      <c r="H1486" t="inlineStr">
        <is>
          <t>BLEND ROSE TB</t>
        </is>
      </c>
    </row>
    <row r="1487" ht="14.25" customHeight="1" s="5">
      <c r="A1487" s="7" t="n">
        <v>31661</v>
      </c>
      <c r="B1487" s="7" t="inlineStr">
        <is>
          <t>PREMIER STRAWBERRY 24/25 DC ENV TBGS</t>
        </is>
      </c>
      <c r="C1487" s="7" t="inlineStr">
        <is>
          <t>PREMIER</t>
        </is>
      </c>
      <c r="D1487" s="7" t="n">
        <v>23806</v>
      </c>
      <c r="E1487" s="7" t="inlineStr">
        <is>
          <t>PREMIER STRAWBERRY 25 DC ENV TBGS</t>
        </is>
      </c>
      <c r="F1487" s="7" t="n">
        <v>24</v>
      </c>
      <c r="G1487" s="7" t="inlineStr">
        <is>
          <t>CTN</t>
        </is>
      </c>
      <c r="H1487" t="inlineStr">
        <is>
          <t>BLEND STRAWBERRY TB</t>
        </is>
      </c>
    </row>
    <row r="1488" ht="14.25" customHeight="1" s="5">
      <c r="A1488" s="7" t="n">
        <v>23766</v>
      </c>
      <c r="B1488" s="7" t="inlineStr">
        <is>
          <t>PREMIER STRAWBERRY 24/25 DC ENV WITH T-SHIRT</t>
        </is>
      </c>
      <c r="C1488" s="7" t="inlineStr">
        <is>
          <t>PREMIER</t>
        </is>
      </c>
      <c r="D1488" s="7" t="n">
        <v>23806</v>
      </c>
      <c r="E1488" s="7" t="inlineStr">
        <is>
          <t>PREMIER STRAWBERRY 25 DC ENV TBGS</t>
        </is>
      </c>
      <c r="F1488" s="7" t="n">
        <v>24</v>
      </c>
      <c r="G1488" s="7" t="inlineStr">
        <is>
          <t>CTN</t>
        </is>
      </c>
      <c r="H1488" t="inlineStr">
        <is>
          <t>BLEND STRAWBERRY TB</t>
        </is>
      </c>
    </row>
    <row r="1489" ht="14.25" customHeight="1" s="5">
      <c r="A1489" s="7" t="n">
        <v>31667</v>
      </c>
      <c r="B1489" s="7" t="inlineStr">
        <is>
          <t>PREMIER TAMARIND 24/25 DC ENV TBGS</t>
        </is>
      </c>
      <c r="C1489" s="7" t="inlineStr">
        <is>
          <t>PREMIER</t>
        </is>
      </c>
      <c r="D1489" s="7" t="n">
        <v>23807</v>
      </c>
      <c r="E1489" s="7" t="inlineStr">
        <is>
          <t>PREMIER TAMARIND 25 DC ENV TBGS</t>
        </is>
      </c>
      <c r="F1489" s="7" t="n">
        <v>24</v>
      </c>
      <c r="G1489" s="7" t="inlineStr">
        <is>
          <t>CTN</t>
        </is>
      </c>
      <c r="H1489" t="inlineStr">
        <is>
          <t>BLEND BLACK TEA WITH TAMARIND FLAVOUR</t>
        </is>
      </c>
    </row>
    <row r="1490" ht="14.25" customHeight="1" s="5">
      <c r="A1490" s="7" t="n">
        <v>23768</v>
      </c>
      <c r="B1490" s="7" t="inlineStr">
        <is>
          <t>PREMIER TAMARIND 24/25 DC ENV WITH T-SHIRT</t>
        </is>
      </c>
      <c r="C1490" s="7" t="inlineStr">
        <is>
          <t>PREMIER</t>
        </is>
      </c>
      <c r="D1490" s="7" t="n">
        <v>23807</v>
      </c>
      <c r="E1490" s="7" t="inlineStr">
        <is>
          <t>PREMIER TAMARIND 25 DC ENV TBGS</t>
        </is>
      </c>
      <c r="F1490" s="7" t="n">
        <v>24</v>
      </c>
      <c r="G1490" s="7" t="inlineStr">
        <is>
          <t>CTN</t>
        </is>
      </c>
      <c r="H1490" t="inlineStr">
        <is>
          <t>BLEND BLACK TEA WITH TAMARIND FLAVOUR</t>
        </is>
      </c>
    </row>
    <row r="1491" ht="14.25" customHeight="1" s="5">
      <c r="A1491" s="7" t="n">
        <v>2560</v>
      </c>
      <c r="B1491" s="7" t="inlineStr">
        <is>
          <t>PREMIER TAMARIND 24/25 SC ENV TBGS</t>
        </is>
      </c>
      <c r="C1491" s="7" t="inlineStr">
        <is>
          <t>PREMIER</t>
        </is>
      </c>
      <c r="D1491" s="7" t="n">
        <v>2561</v>
      </c>
      <c r="E1491" s="7" t="inlineStr">
        <is>
          <t>PREMIER TAMARIND 25 SC ENV TBGS</t>
        </is>
      </c>
      <c r="F1491" s="7" t="n">
        <v>24</v>
      </c>
      <c r="G1491" s="7" t="inlineStr">
        <is>
          <t>CTN</t>
        </is>
      </c>
      <c r="H1491">
        <f>#N/A</f>
        <v/>
      </c>
    </row>
    <row r="1492" ht="14.25" customHeight="1" s="5">
      <c r="A1492" s="7" t="n">
        <v>31669</v>
      </c>
      <c r="B1492" s="7" t="inlineStr">
        <is>
          <t>PREMIER WATERMELON 24/25 DC ENV TBGS</t>
        </is>
      </c>
      <c r="C1492" s="7" t="inlineStr">
        <is>
          <t>PREMIER</t>
        </is>
      </c>
      <c r="D1492" s="7" t="n">
        <v>23812</v>
      </c>
      <c r="E1492" s="7" t="inlineStr">
        <is>
          <t>PREMIER WATERMELON 25 DC ENV TBGS</t>
        </is>
      </c>
      <c r="F1492" s="7" t="n">
        <v>24</v>
      </c>
      <c r="G1492" s="7" t="inlineStr">
        <is>
          <t>CTN</t>
        </is>
      </c>
      <c r="H1492" t="inlineStr">
        <is>
          <t>BLEND WATERMELON TB</t>
        </is>
      </c>
    </row>
    <row r="1493" ht="14.25" customHeight="1" s="5">
      <c r="A1493" s="7" t="n">
        <v>23770</v>
      </c>
      <c r="B1493" s="7" t="inlineStr">
        <is>
          <t>PREMIER WATERMELON 24/25 DC ENV WITH T-SHIRT</t>
        </is>
      </c>
      <c r="C1493" s="7" t="inlineStr">
        <is>
          <t>PREMIER</t>
        </is>
      </c>
      <c r="D1493" s="7" t="n">
        <v>23812</v>
      </c>
      <c r="E1493" s="7" t="inlineStr">
        <is>
          <t>PREMIER WATERMELON 25 DC ENV TBGS</t>
        </is>
      </c>
      <c r="F1493" s="7" t="n">
        <v>24</v>
      </c>
      <c r="G1493" s="7" t="inlineStr">
        <is>
          <t>CTN</t>
        </is>
      </c>
      <c r="H1493" t="inlineStr">
        <is>
          <t>BLEND WATERMELON TB</t>
        </is>
      </c>
    </row>
    <row r="1494" ht="14.25" customHeight="1" s="5">
      <c r="A1494" s="7" t="n">
        <v>19030</v>
      </c>
      <c r="B1494" s="7" t="inlineStr">
        <is>
          <t>Premium Gold (250 GM x 48) Leaf CP 20% Extra RA</t>
        </is>
      </c>
      <c r="C1494" s="7" t="inlineStr">
        <is>
          <t>PREMIUM GOLD</t>
        </is>
      </c>
      <c r="D1494" s="7" t="n">
        <v>19107</v>
      </c>
      <c r="E1494" s="7" t="inlineStr">
        <is>
          <t xml:space="preserve">Premium Gold 250 GM Leaf CP 20% Extra RA </t>
        </is>
      </c>
      <c r="F1494" s="7" t="n">
        <v>48</v>
      </c>
      <c r="G1494" s="7" t="inlineStr">
        <is>
          <t>CTN</t>
        </is>
      </c>
      <c r="H1494" t="inlineStr">
        <is>
          <t>BLEND RA-GD</t>
        </is>
      </c>
    </row>
    <row r="1495" ht="14.25" customHeight="1" s="5">
      <c r="A1495" s="7" t="n">
        <v>19067</v>
      </c>
      <c r="B1495" s="7" t="inlineStr">
        <is>
          <t>Premium Gold 100 GM Leaf CP Battery RB (2 X 20 KG)</t>
        </is>
      </c>
      <c r="C1495" s="7" t="inlineStr">
        <is>
          <t>PREMIUM GOLD</t>
        </is>
      </c>
      <c r="D1495" s="7" t="n">
        <v>19112</v>
      </c>
      <c r="E1495" s="7" t="inlineStr">
        <is>
          <t>Premium Gold 100 GM Leaf CP Battery RB</t>
        </is>
      </c>
      <c r="F1495" s="7" t="n">
        <v>200</v>
      </c>
      <c r="G1495" s="7" t="inlineStr">
        <is>
          <t>POUCH</t>
        </is>
      </c>
      <c r="H1495" t="inlineStr">
        <is>
          <t>BLEND RG-TRD</t>
        </is>
      </c>
    </row>
    <row r="1496" ht="14.25" customHeight="1" s="5">
      <c r="A1496" s="7" t="n">
        <v>19068</v>
      </c>
      <c r="B1496" s="7" t="inlineStr">
        <is>
          <t>Premium Gold 100 GM Leaf CP Battery RC (2 X 20 KG)</t>
        </is>
      </c>
      <c r="C1496" s="7" t="inlineStr">
        <is>
          <t>PREMIUM GOLD</t>
        </is>
      </c>
      <c r="D1496" s="7" t="n">
        <v>19113</v>
      </c>
      <c r="E1496" s="7" t="inlineStr">
        <is>
          <t>Premium Gold 100 GM Leaf CP Battery RC</t>
        </is>
      </c>
      <c r="F1496" s="7" t="n">
        <v>200</v>
      </c>
      <c r="G1496" s="7" t="inlineStr">
        <is>
          <t>POUCH</t>
        </is>
      </c>
      <c r="H1496" t="inlineStr">
        <is>
          <t>BLEND RC-TPM</t>
        </is>
      </c>
    </row>
    <row r="1497" ht="14.25" customHeight="1" s="5">
      <c r="A1497" s="7" t="n">
        <v>19028</v>
      </c>
      <c r="B1497" s="7" t="inlineStr">
        <is>
          <t>Premium Gold 250 GM Leaf RA (100X100)</t>
        </is>
      </c>
      <c r="C1497" s="7" t="inlineStr">
        <is>
          <t>PREMIUM GOLD</t>
        </is>
      </c>
      <c r="D1497" s="7" t="n">
        <v>19105</v>
      </c>
      <c r="E1497" s="7" t="inlineStr">
        <is>
          <t>Premium Gold 250 GM Leaf RA</t>
        </is>
      </c>
      <c r="F1497" s="7" t="n">
        <v>96</v>
      </c>
      <c r="G1497" s="7" t="inlineStr">
        <is>
          <t>POUCH</t>
        </is>
      </c>
      <c r="H1497" t="inlineStr">
        <is>
          <t>BLEND MAHESHWARI LEAF</t>
        </is>
      </c>
    </row>
    <row r="1498" ht="14.25" customHeight="1" s="5">
      <c r="A1498" s="7" t="n">
        <v>19069</v>
      </c>
      <c r="B1498" s="7" t="inlineStr">
        <is>
          <t>Premium Gold 500 GM Leaf RA (0.5 X 24 KG)</t>
        </is>
      </c>
      <c r="C1498" s="7" t="inlineStr">
        <is>
          <t>PREMIUM GOLD</t>
        </is>
      </c>
      <c r="D1498" s="7" t="n">
        <v>19125</v>
      </c>
      <c r="E1498" s="7" t="inlineStr">
        <is>
          <t>Premium Gold 500 GM Leaf RA</t>
        </is>
      </c>
      <c r="F1498" s="7" t="n">
        <v>24</v>
      </c>
      <c r="G1498" s="7" t="inlineStr">
        <is>
          <t>CTN</t>
        </is>
      </c>
      <c r="H1498" t="inlineStr">
        <is>
          <t>BLEND MAHESHWARI LEAF</t>
        </is>
      </c>
    </row>
    <row r="1499" ht="14.25" customHeight="1" s="5">
      <c r="A1499" s="7" t="n">
        <v>36293</v>
      </c>
      <c r="B1499" s="7" t="inlineStr">
        <is>
          <t>PREMIUM GOLD LEAF EGNP ELAICHI PKT 250 GM POUCH [12 X 8 X 250 GM LAMINATE POUCH] CANVAS BAG</t>
        </is>
      </c>
      <c r="C1499" s="7" t="inlineStr">
        <is>
          <t>PREMIUM GOLD</t>
        </is>
      </c>
      <c r="D1499" s="7" t="n">
        <v>36292</v>
      </c>
      <c r="E1499" s="7" t="inlineStr">
        <is>
          <t>PREMIUM GOLD LEAF EGNP ELAICHI PKT 250 GM POUCH</t>
        </is>
      </c>
      <c r="F1499" s="7" t="n">
        <v>96</v>
      </c>
      <c r="G1499" s="7" t="inlineStr">
        <is>
          <t>POUCH</t>
        </is>
      </c>
      <c r="H1499" t="inlineStr">
        <is>
          <t>BLEND BLACK TEA EGNP ELAICHI PKT</t>
        </is>
      </c>
    </row>
    <row r="1500" ht="14.25" customHeight="1" s="5">
      <c r="A1500" s="7" t="n">
        <v>22886</v>
      </c>
      <c r="B1500" s="7" t="inlineStr">
        <is>
          <t>PREMIUM GOLD LEAF RA [12 X 4 X 500 GM LAMINATE POUCH] PP BAG</t>
        </is>
      </c>
      <c r="C1500" s="7" t="inlineStr">
        <is>
          <t>PG</t>
        </is>
      </c>
      <c r="D1500" s="7" t="n">
        <v>22883</v>
      </c>
      <c r="E1500" s="7" t="inlineStr">
        <is>
          <t>PREMIUM GOLD LEAF RA 500 GM POUCH</t>
        </is>
      </c>
      <c r="F1500" s="7" t="n">
        <v>48</v>
      </c>
      <c r="G1500" s="7" t="inlineStr">
        <is>
          <t>POUCH</t>
        </is>
      </c>
      <c r="H1500" t="inlineStr">
        <is>
          <t>BLEND MAHESHWARI LEAF</t>
        </is>
      </c>
    </row>
    <row r="1501" ht="14.25" customHeight="1" s="5">
      <c r="A1501" s="7" t="n">
        <v>23784</v>
      </c>
      <c r="B1501" s="7" t="inlineStr">
        <is>
          <t>PREMIUM GOLD LEAF RA [12 X 4 X 500 GM LAMINATE POUCH] PP BAG CP OFFER</t>
        </is>
      </c>
      <c r="C1501" s="7" t="inlineStr">
        <is>
          <t>PREMIUM GOLD</t>
        </is>
      </c>
      <c r="D1501" s="7" t="n">
        <v>22883</v>
      </c>
      <c r="E1501" s="7" t="inlineStr">
        <is>
          <t>PREMIUM GOLD LEAF RA 500 GM POUCH</t>
        </is>
      </c>
      <c r="F1501" s="7" t="n">
        <v>48</v>
      </c>
      <c r="G1501" s="7" t="inlineStr">
        <is>
          <t>POUCH</t>
        </is>
      </c>
      <c r="H1501" t="inlineStr">
        <is>
          <t>BLEND MAHESHWARI LEAF</t>
        </is>
      </c>
    </row>
    <row r="1502" ht="14.25" customHeight="1" s="5">
      <c r="A1502" s="7" t="n">
        <v>20068</v>
      </c>
      <c r="B1502" s="7" t="inlineStr">
        <is>
          <t>PREMIUM GOLD LEAF RA [12 X 8 X 250 GM LAMINATE POUCH] OLD PP BAG</t>
        </is>
      </c>
      <c r="C1502" s="7" t="inlineStr">
        <is>
          <t>PREMIUM GOLD</t>
        </is>
      </c>
      <c r="D1502" s="7" t="n">
        <v>19105</v>
      </c>
      <c r="E1502" s="7" t="inlineStr">
        <is>
          <t>Premium Gold 250 GM Leaf RA</t>
        </is>
      </c>
      <c r="F1502" s="7" t="n">
        <v>96</v>
      </c>
      <c r="G1502" s="7" t="inlineStr">
        <is>
          <t>POUCH</t>
        </is>
      </c>
      <c r="H1502" t="inlineStr">
        <is>
          <t>BLEND MAHESHWARI LEAF</t>
        </is>
      </c>
    </row>
    <row r="1503" ht="14.25" customHeight="1" s="5">
      <c r="A1503" s="7" t="n">
        <v>26620</v>
      </c>
      <c r="B1503" s="7" t="inlineStr">
        <is>
          <t>PREMIUM GOLD LEAF RA [12 X 8 X 250 GM LAMINATE POUCH] PP BAG</t>
        </is>
      </c>
      <c r="C1503" s="7" t="inlineStr">
        <is>
          <t>PREMIUM GOLD</t>
        </is>
      </c>
      <c r="D1503" s="7" t="n">
        <v>26619</v>
      </c>
      <c r="E1503" s="7" t="inlineStr">
        <is>
          <t>PREMIUM GOLD LEAF RA 250 GM POUCH</t>
        </is>
      </c>
      <c r="F1503" s="7" t="n">
        <v>96</v>
      </c>
      <c r="G1503" s="7" t="inlineStr">
        <is>
          <t>POUCH</t>
        </is>
      </c>
      <c r="H1503" t="inlineStr">
        <is>
          <t>BLEND RA-GD</t>
        </is>
      </c>
    </row>
    <row r="1504" ht="14.25" customHeight="1" s="5">
      <c r="A1504" s="7" t="n">
        <v>22264</v>
      </c>
      <c r="B1504" s="7" t="inlineStr">
        <is>
          <t>PREMIUM GOLD LEAF RA [12 X 8 X 250 GM LAMINATE POUCH] PP BAG CP OFFER</t>
        </is>
      </c>
      <c r="C1504" s="7" t="inlineStr">
        <is>
          <t>PG</t>
        </is>
      </c>
      <c r="D1504" s="7" t="n">
        <v>22262</v>
      </c>
      <c r="E1504" s="7" t="inlineStr">
        <is>
          <t>Premium Gold 250 GM Leaf RA- CP OFFER</t>
        </is>
      </c>
      <c r="F1504" s="7" t="n">
        <v>96</v>
      </c>
      <c r="G1504" s="7" t="inlineStr">
        <is>
          <t>POUCH</t>
        </is>
      </c>
      <c r="H1504" t="inlineStr">
        <is>
          <t>BLEND RA-GD</t>
        </is>
      </c>
    </row>
    <row r="1505" ht="14.25" customHeight="1" s="5">
      <c r="A1505" s="7" t="n">
        <v>22885</v>
      </c>
      <c r="B1505" s="7" t="inlineStr">
        <is>
          <t>PREMIUM GOLD LEAF RA [24 X 1 KG LAMINATE POUCH] CFC</t>
        </is>
      </c>
      <c r="C1505" s="7" t="inlineStr">
        <is>
          <t>PG</t>
        </is>
      </c>
      <c r="D1505" s="7" t="n">
        <v>22882</v>
      </c>
      <c r="E1505" s="7" t="inlineStr">
        <is>
          <t>PREMIUM GOLD LEAF RA 1 KG POUCH</t>
        </is>
      </c>
      <c r="F1505" s="7" t="n">
        <v>24</v>
      </c>
      <c r="G1505" s="7" t="inlineStr">
        <is>
          <t>POUCH</t>
        </is>
      </c>
      <c r="H1505" t="inlineStr">
        <is>
          <t>BLEND MAHESHWARI LEAF</t>
        </is>
      </c>
    </row>
    <row r="1506" ht="14.25" customHeight="1" s="5">
      <c r="A1506" s="7" t="n">
        <v>27420</v>
      </c>
      <c r="B1506" s="7" t="inlineStr">
        <is>
          <t>PREMIUM GOLD LEAF RA [24 X 1 KG LAMINATE POUCH] CFC 6 STEEL GLASS OFFER</t>
        </is>
      </c>
      <c r="C1506" s="7" t="inlineStr">
        <is>
          <t>PREMIUM GOLD</t>
        </is>
      </c>
      <c r="D1506" s="7" t="n">
        <v>22882</v>
      </c>
      <c r="E1506" s="7" t="inlineStr">
        <is>
          <t>PREMIUM GOLD LEAF RA 1 KG POUCH</t>
        </is>
      </c>
      <c r="F1506" s="7" t="n">
        <v>24</v>
      </c>
      <c r="G1506" s="7" t="inlineStr">
        <is>
          <t>POUCH</t>
        </is>
      </c>
      <c r="H1506" t="inlineStr">
        <is>
          <t>BLEND MAHESHWARI LEAF</t>
        </is>
      </c>
    </row>
    <row r="1507" ht="14.25" customHeight="1" s="5">
      <c r="A1507" s="7" t="n">
        <v>23783</v>
      </c>
      <c r="B1507" s="7" t="inlineStr">
        <is>
          <t>PREMIUM GOLD LEAF RA [24 X 1 KG LAMINATE POUCH] CFC CP OFFER</t>
        </is>
      </c>
      <c r="C1507" s="7" t="inlineStr">
        <is>
          <t>PREMIUM GOLD</t>
        </is>
      </c>
      <c r="D1507" s="7" t="n">
        <v>22882</v>
      </c>
      <c r="E1507" s="7" t="inlineStr">
        <is>
          <t>PREMIUM GOLD LEAF RA 1 KG POUCH</t>
        </is>
      </c>
      <c r="F1507" s="7" t="n">
        <v>24</v>
      </c>
      <c r="G1507" s="7" t="inlineStr">
        <is>
          <t>POUCH</t>
        </is>
      </c>
      <c r="H1507" t="inlineStr">
        <is>
          <t>BLEND MAHESHWARI LEAF</t>
        </is>
      </c>
    </row>
    <row r="1508" ht="14.25" customHeight="1" s="5">
      <c r="A1508" s="7" t="n">
        <v>22938</v>
      </c>
      <c r="B1508" s="7" t="inlineStr">
        <is>
          <t>PREMIUM GOLD LEAF RA [40 X 500 GM CTN] 20 KG CFC</t>
        </is>
      </c>
      <c r="C1508" s="7" t="inlineStr">
        <is>
          <t>PG</t>
        </is>
      </c>
      <c r="D1508" s="7" t="n">
        <v>19125</v>
      </c>
      <c r="E1508" s="7" t="inlineStr">
        <is>
          <t>Premium Gold 500 GM Leaf RA</t>
        </is>
      </c>
      <c r="F1508" s="7" t="n">
        <v>40</v>
      </c>
      <c r="G1508" s="7" t="inlineStr">
        <is>
          <t>CTN</t>
        </is>
      </c>
      <c r="H1508" t="inlineStr">
        <is>
          <t>BLEND MAHESHWARI LEAF</t>
        </is>
      </c>
    </row>
    <row r="1509" ht="14.25" customHeight="1" s="5">
      <c r="A1509" s="7" t="n">
        <v>23128</v>
      </c>
      <c r="B1509" s="7" t="inlineStr">
        <is>
          <t>PREMIUM GOLD LEAF RA [42 X 500 GM CTN] CFC</t>
        </is>
      </c>
      <c r="C1509" s="7" t="inlineStr">
        <is>
          <t>PG</t>
        </is>
      </c>
      <c r="D1509" s="7" t="n">
        <v>19125</v>
      </c>
      <c r="E1509" s="7" t="inlineStr">
        <is>
          <t>Premium Gold 500 GM Leaf RA</t>
        </is>
      </c>
      <c r="F1509" s="7" t="n">
        <v>42</v>
      </c>
      <c r="G1509" s="7" t="inlineStr">
        <is>
          <t>CTN</t>
        </is>
      </c>
      <c r="H1509" t="inlineStr">
        <is>
          <t>BLEND MAHESHWARI LEAF</t>
        </is>
      </c>
    </row>
    <row r="1510" ht="14.25" customHeight="1" s="5">
      <c r="A1510" s="7" t="n">
        <v>27242</v>
      </c>
      <c r="B1510" s="7" t="inlineStr">
        <is>
          <t>PREMIUM GOLD LEAF RA [8 X 40 X 20 GM LAMINATE POUCH] CFC</t>
        </is>
      </c>
      <c r="C1510" s="7" t="inlineStr">
        <is>
          <t>PREMIUM GOLD</t>
        </is>
      </c>
      <c r="D1510" s="7" t="n">
        <v>27239</v>
      </c>
      <c r="E1510" s="7" t="inlineStr">
        <is>
          <t>PREMIUM GOLD LEAF RA 20 GM POUCH</t>
        </is>
      </c>
      <c r="F1510" s="7" t="n">
        <v>320</v>
      </c>
      <c r="G1510" s="7" t="inlineStr">
        <is>
          <t>POUCH</t>
        </is>
      </c>
      <c r="H1510" t="inlineStr">
        <is>
          <t>BLEND RA-GD</t>
        </is>
      </c>
    </row>
    <row r="1511" ht="14.25" customHeight="1" s="5">
      <c r="A1511" s="7" t="n">
        <v>20056</v>
      </c>
      <c r="B1511" s="7" t="inlineStr">
        <is>
          <t>PREMIUM GOLD LEAF RG [ 10 X 20 X 100 GM LAMINATE POUCH ] PP BAG CP FREE BATTERY</t>
        </is>
      </c>
      <c r="C1511" s="7" t="inlineStr">
        <is>
          <t>PREMIUM GOLD</t>
        </is>
      </c>
      <c r="D1511" s="7" t="n">
        <v>20058</v>
      </c>
      <c r="E1511" s="7" t="inlineStr">
        <is>
          <t>Premium Gold 100 GM Leaf CP Battery RG</t>
        </is>
      </c>
      <c r="F1511" s="7" t="n">
        <v>200</v>
      </c>
      <c r="G1511" s="7" t="inlineStr">
        <is>
          <t>POUCH</t>
        </is>
      </c>
      <c r="H1511" t="inlineStr">
        <is>
          <t>BLEND RG-TRD</t>
        </is>
      </c>
    </row>
    <row r="1512" ht="14.25" customHeight="1" s="5">
      <c r="A1512" s="7" t="n">
        <v>22622</v>
      </c>
      <c r="B1512" s="7" t="inlineStr">
        <is>
          <t>PREMIUM GOLD LEAF RG [ 24 X 10 X 100 GM LAMINATE POUCH ] PP BAG</t>
        </is>
      </c>
      <c r="C1512" s="7" t="inlineStr">
        <is>
          <t>PG</t>
        </is>
      </c>
      <c r="D1512" s="7" t="n">
        <v>22620</v>
      </c>
      <c r="E1512" s="7" t="inlineStr">
        <is>
          <t>PREMIUM GOLD 100 GM LEAF RG POUCH</t>
        </is>
      </c>
      <c r="F1512" s="7" t="n">
        <v>240</v>
      </c>
      <c r="G1512" s="7" t="inlineStr">
        <is>
          <t>POUCH</t>
        </is>
      </c>
      <c r="H1512" t="inlineStr">
        <is>
          <t>BLEND RG STAR</t>
        </is>
      </c>
    </row>
    <row r="1513" ht="14.25" customHeight="1" s="5">
      <c r="A1513" s="7" t="n">
        <v>22625</v>
      </c>
      <c r="B1513" s="7" t="inlineStr">
        <is>
          <t>PREMIUM GOLD LEAF RG [(18 X 10 X 100 GM)+( 18 X 10 X 26 GM) LAMINATE POUCH] PP BAG Rs.10/- OFFER</t>
        </is>
      </c>
      <c r="C1513" s="7" t="inlineStr">
        <is>
          <t>PG</t>
        </is>
      </c>
      <c r="D1513" s="7" t="n">
        <v>20756</v>
      </c>
      <c r="E1513" s="7" t="inlineStr">
        <is>
          <t>TEZ Premium 26 GM Leaf RG</t>
        </is>
      </c>
      <c r="F1513" s="7" t="n">
        <v>180</v>
      </c>
      <c r="G1513" s="7" t="inlineStr">
        <is>
          <t>POUCH</t>
        </is>
      </c>
      <c r="H1513" t="inlineStr">
        <is>
          <t>BLEND RG-(S)-SOUTH</t>
        </is>
      </c>
    </row>
    <row r="1514" ht="14.25" customHeight="1" s="5">
      <c r="A1514" s="7" t="n">
        <v>22625</v>
      </c>
      <c r="B1514" s="7" t="inlineStr">
        <is>
          <t>PREMIUM GOLD LEAF RG [(18 X 10 X 100 GM)+( 18 X 10 X 26 GM) LAMINATE POUCH] PP BAG Rs.10/- OFFER</t>
        </is>
      </c>
      <c r="C1514" s="7" t="inlineStr">
        <is>
          <t>PG</t>
        </is>
      </c>
      <c r="D1514" s="7" t="n">
        <v>22620</v>
      </c>
      <c r="E1514" s="7" t="inlineStr">
        <is>
          <t>PREMIUM GOLD 100 GM LEAF RG POUCH</t>
        </is>
      </c>
      <c r="F1514" s="7" t="n">
        <v>180</v>
      </c>
      <c r="G1514" s="7" t="inlineStr">
        <is>
          <t>POUCH</t>
        </is>
      </c>
      <c r="H1514" t="inlineStr">
        <is>
          <t>BLEND RG STAR</t>
        </is>
      </c>
    </row>
    <row r="1515" ht="14.25" customHeight="1" s="5">
      <c r="A1515" s="7" t="n">
        <v>35050</v>
      </c>
      <c r="B1515" s="7" t="inlineStr">
        <is>
          <t>PREMIUM GOLD LEAF RG STAR [(18 X 10 X 100 GM)+( 18 X 10 X 24 GM) LAMINATE POUCH] PP BAG OFFER</t>
        </is>
      </c>
      <c r="C1515" s="7" t="inlineStr">
        <is>
          <t>PREMIUM GOLD</t>
        </is>
      </c>
      <c r="D1515" s="7" t="n">
        <v>22620</v>
      </c>
      <c r="E1515" s="7" t="inlineStr">
        <is>
          <t>PREMIUM GOLD 100 GM LEAF RG POUCH</t>
        </is>
      </c>
      <c r="F1515" s="7" t="n">
        <v>180</v>
      </c>
      <c r="G1515" s="7" t="inlineStr">
        <is>
          <t>POUCH</t>
        </is>
      </c>
      <c r="H1515" t="inlineStr">
        <is>
          <t>BLEND RG STAR</t>
        </is>
      </c>
    </row>
    <row r="1516" ht="14.25" customHeight="1" s="5">
      <c r="A1516" s="7" t="n">
        <v>35050</v>
      </c>
      <c r="B1516" s="7" t="inlineStr">
        <is>
          <t>PREMIUM GOLD LEAF RG STAR [(18 X 10 X 100 GM)+( 18 X 10 X 24 GM) LAMINATE POUCH] PP BAG OFFER</t>
        </is>
      </c>
      <c r="C1516" s="7" t="inlineStr">
        <is>
          <t>PREMIUM GOLD</t>
        </is>
      </c>
      <c r="D1516" s="7" t="n">
        <v>35044</v>
      </c>
      <c r="E1516" s="7" t="inlineStr">
        <is>
          <t>TEZ PREMIUM LEAF RG STAR 24 GM POUCH</t>
        </is>
      </c>
      <c r="F1516" s="7" t="n">
        <v>180</v>
      </c>
      <c r="G1516" s="7" t="inlineStr">
        <is>
          <t>POUCH</t>
        </is>
      </c>
      <c r="H1516" t="inlineStr">
        <is>
          <t>BLEND RG STAR</t>
        </is>
      </c>
    </row>
    <row r="1517" ht="14.25" customHeight="1" s="5">
      <c r="A1517" s="7" t="n">
        <v>30964</v>
      </c>
      <c r="B1517" s="7" t="inlineStr">
        <is>
          <t>PREMIUM GOLD LEAF WB NORTH [12 X 4 X 500 GM LAMINATE POUCH] PP BAG</t>
        </is>
      </c>
      <c r="C1517" s="7" t="inlineStr">
        <is>
          <t>PREMIUM GOLD</t>
        </is>
      </c>
      <c r="D1517" s="7" t="n">
        <v>30958</v>
      </c>
      <c r="E1517" s="7" t="inlineStr">
        <is>
          <t>PREMIUM GOLD LEAF WB NORTH 500 GM POUCH</t>
        </is>
      </c>
      <c r="F1517" s="7" t="n">
        <v>48</v>
      </c>
      <c r="G1517" s="7" t="inlineStr">
        <is>
          <t>POUCH</t>
        </is>
      </c>
      <c r="H1517" t="inlineStr">
        <is>
          <t>BLEND WB NORTH</t>
        </is>
      </c>
    </row>
    <row r="1518" ht="14.25" customHeight="1" s="5">
      <c r="A1518" s="7" t="n">
        <v>30965</v>
      </c>
      <c r="B1518" s="7" t="inlineStr">
        <is>
          <t>PREMIUM GOLD LEAF WB NORTH [12 X 4 X 500 GM LAMINATE POUCH] PP BAG CP OFFER</t>
        </is>
      </c>
      <c r="C1518" s="7" t="inlineStr">
        <is>
          <t>PREMIUM GOLD</t>
        </is>
      </c>
      <c r="D1518" s="7" t="n">
        <v>30958</v>
      </c>
      <c r="E1518" s="7" t="inlineStr">
        <is>
          <t>PREMIUM GOLD LEAF WB NORTH 500 GM POUCH</t>
        </is>
      </c>
      <c r="F1518" s="7" t="n">
        <v>48</v>
      </c>
      <c r="G1518" s="7" t="inlineStr">
        <is>
          <t>POUCH</t>
        </is>
      </c>
      <c r="H1518" t="inlineStr">
        <is>
          <t>BLEND WB NORTH</t>
        </is>
      </c>
    </row>
    <row r="1519" ht="14.25" customHeight="1" s="5">
      <c r="A1519" s="7" t="n">
        <v>30961</v>
      </c>
      <c r="B1519" s="7" t="inlineStr">
        <is>
          <t>PREMIUM GOLD LEAF WB NORTH [12 X 8 X 250 GM LAMINATE POUCH] PP BAG</t>
        </is>
      </c>
      <c r="C1519" s="7" t="inlineStr">
        <is>
          <t>PREMIUM GOLD</t>
        </is>
      </c>
      <c r="D1519" s="7" t="n">
        <v>30957</v>
      </c>
      <c r="E1519" s="7" t="inlineStr">
        <is>
          <t>PREMIUM GOLD LEAF WB NORTH 250 GM POUCH</t>
        </is>
      </c>
      <c r="F1519" s="7" t="n">
        <v>96</v>
      </c>
      <c r="G1519" s="7" t="inlineStr">
        <is>
          <t>POUCH</t>
        </is>
      </c>
      <c r="H1519" t="inlineStr">
        <is>
          <t>BLEND WB NORTH</t>
        </is>
      </c>
    </row>
    <row r="1520" ht="14.25" customHeight="1" s="5">
      <c r="A1520" s="7" t="n">
        <v>30962</v>
      </c>
      <c r="B1520" s="7" t="inlineStr">
        <is>
          <t>PREMIUM GOLD LEAF WB NORTH [12 X 8 X 250 GM LAMINATE POUCH] PP BAG CP OFFER</t>
        </is>
      </c>
      <c r="C1520" s="7" t="inlineStr">
        <is>
          <t>PREMIUM GOLD</t>
        </is>
      </c>
      <c r="D1520" s="7" t="n">
        <v>30957</v>
      </c>
      <c r="E1520" s="7" t="inlineStr">
        <is>
          <t>PREMIUM GOLD LEAF WB NORTH 250 GM POUCH</t>
        </is>
      </c>
      <c r="F1520" s="7" t="n">
        <v>96</v>
      </c>
      <c r="G1520" s="7" t="inlineStr">
        <is>
          <t>POUCH</t>
        </is>
      </c>
      <c r="H1520" t="inlineStr">
        <is>
          <t>BLEND WB NORTH</t>
        </is>
      </c>
    </row>
    <row r="1521" ht="14.25" customHeight="1" s="5">
      <c r="A1521" s="7" t="n">
        <v>30966</v>
      </c>
      <c r="B1521" s="7" t="inlineStr">
        <is>
          <t>PREMIUM GOLD LEAF WB NORTH [24 X 1 KG LAMINATE POUCH] CFC</t>
        </is>
      </c>
      <c r="C1521" s="7" t="inlineStr">
        <is>
          <t>PREMIUM GOLD</t>
        </is>
      </c>
      <c r="D1521" s="7" t="n">
        <v>30959</v>
      </c>
      <c r="E1521" s="7" t="inlineStr">
        <is>
          <t>PREMIUM GOLD LEAF WB NORTH 1 KG POUCH</t>
        </is>
      </c>
      <c r="F1521" s="7" t="n">
        <v>24</v>
      </c>
      <c r="G1521" s="7" t="inlineStr">
        <is>
          <t>POUCH</t>
        </is>
      </c>
      <c r="H1521" t="inlineStr">
        <is>
          <t>BLEND WB NORTH</t>
        </is>
      </c>
    </row>
    <row r="1522" ht="14.25" customHeight="1" s="5">
      <c r="A1522" s="7" t="n">
        <v>30967</v>
      </c>
      <c r="B1522" s="7" t="inlineStr">
        <is>
          <t>PREMIUM GOLD LEAF WB NORTH [24 X 1 KG LAMINATE POUCH] CFC CP OFFER</t>
        </is>
      </c>
      <c r="C1522" s="7" t="inlineStr">
        <is>
          <t>PREMIUM GOLD</t>
        </is>
      </c>
      <c r="D1522" s="7" t="n">
        <v>30959</v>
      </c>
      <c r="E1522" s="7" t="inlineStr">
        <is>
          <t>PREMIUM GOLD LEAF WB NORTH 1 KG POUCH</t>
        </is>
      </c>
      <c r="F1522" s="7" t="n">
        <v>24</v>
      </c>
      <c r="G1522" s="7" t="inlineStr">
        <is>
          <t>POUCH</t>
        </is>
      </c>
      <c r="H1522" t="inlineStr">
        <is>
          <t>BLEND WB NORTH</t>
        </is>
      </c>
    </row>
    <row r="1523" ht="14.25" customHeight="1" s="5">
      <c r="A1523" s="7" t="n">
        <v>30968</v>
      </c>
      <c r="B1523" s="7" t="inlineStr">
        <is>
          <t>PREMIUM GOLD LEAF WB NORTH [8 X 40 X 20 GM LAMINATE POUCH] CFC</t>
        </is>
      </c>
      <c r="C1523" s="7" t="inlineStr">
        <is>
          <t>PREMIUM GOLD</t>
        </is>
      </c>
      <c r="D1523" s="7" t="n">
        <v>30960</v>
      </c>
      <c r="E1523" s="7" t="inlineStr">
        <is>
          <t>PREMIUM GOLD LEAF WB NORTH 20 GM POUCH</t>
        </is>
      </c>
      <c r="F1523" s="7" t="n">
        <v>320</v>
      </c>
      <c r="G1523" s="7" t="inlineStr">
        <is>
          <t>POUCH</t>
        </is>
      </c>
      <c r="H1523" t="inlineStr">
        <is>
          <t>BLEND WB NORTH</t>
        </is>
      </c>
    </row>
    <row r="1524" ht="14.25" customHeight="1" s="5">
      <c r="A1524" s="7" t="n">
        <v>26931</v>
      </c>
      <c r="B1524" s="7" t="inlineStr">
        <is>
          <t>PREMIUM GOLD MADHUSREE FANNINGS [12 X 8 X 250 GM LAMINATE POUCH] PP BAG</t>
        </is>
      </c>
      <c r="C1524" s="7" t="inlineStr">
        <is>
          <t>PREMIUM GOLD</t>
        </is>
      </c>
      <c r="D1524" s="7" t="n">
        <v>26929</v>
      </c>
      <c r="E1524" s="7" t="inlineStr">
        <is>
          <t>PREMIUM GOLD MADHUSREE FANNINGS 250 GM POUCH</t>
        </is>
      </c>
      <c r="F1524" s="7" t="n">
        <v>96</v>
      </c>
      <c r="G1524" s="7" t="inlineStr">
        <is>
          <t>POUCH</t>
        </is>
      </c>
      <c r="H1524" t="inlineStr">
        <is>
          <t>BLEND MADHUSREE FANNINGS</t>
        </is>
      </c>
    </row>
    <row r="1525" ht="14.25" customHeight="1" s="5">
      <c r="A1525" s="7" t="n">
        <v>27207</v>
      </c>
      <c r="B1525" s="7" t="inlineStr">
        <is>
          <t>PREMIUM GOLD MADHUSREE FANNINGS [8 X 40 X 20 GM LAMINATE POUCH] CFC</t>
        </is>
      </c>
      <c r="C1525" s="7" t="inlineStr">
        <is>
          <t>PREMIUM GOLD</t>
        </is>
      </c>
      <c r="D1525" s="7" t="n">
        <v>27204</v>
      </c>
      <c r="E1525" s="7" t="inlineStr">
        <is>
          <t>PREMIUM GOLD MADHUSREE FANNINGS 20 GM POUCH</t>
        </is>
      </c>
      <c r="F1525" s="7" t="n">
        <v>320</v>
      </c>
      <c r="G1525" s="7" t="inlineStr">
        <is>
          <t>POUCH</t>
        </is>
      </c>
      <c r="H1525" t="inlineStr">
        <is>
          <t>BLEND MADHUSREE FANNINGS</t>
        </is>
      </c>
    </row>
    <row r="1526" ht="14.25" customHeight="1" s="5">
      <c r="A1526" s="7" t="n">
        <v>35554</v>
      </c>
      <c r="B1526" s="7" t="inlineStr">
        <is>
          <t>PREMIUM GOLD MAHESHWARI LEAF [24 X 1 KG LAMINATE POUCH] CANVAS BAG SPOON &amp; CALCULATOR OFFER</t>
        </is>
      </c>
      <c r="C1526" s="7" t="inlineStr">
        <is>
          <t>PREMIUM GOLD</t>
        </is>
      </c>
      <c r="D1526" s="7" t="n">
        <v>22882</v>
      </c>
      <c r="E1526" s="7" t="inlineStr">
        <is>
          <t>PREMIUM GOLD LEAF RA 1 KG POUCH</t>
        </is>
      </c>
      <c r="F1526" s="7" t="n">
        <v>24</v>
      </c>
      <c r="G1526" s="7" t="inlineStr">
        <is>
          <t>POUCH</t>
        </is>
      </c>
      <c r="H1526" t="inlineStr">
        <is>
          <t>BLEND MAHESHWARI LEAF</t>
        </is>
      </c>
    </row>
    <row r="1527" ht="14.25" customHeight="1" s="5">
      <c r="A1527" s="7" t="n">
        <v>34114</v>
      </c>
      <c r="B1527" s="7" t="inlineStr">
        <is>
          <t>PREMIUM GOLD MAHESHWARI LEAF [24 X 1 KG LAMINATE POUCH] CFC SPOON OFFER</t>
        </is>
      </c>
      <c r="C1527" s="7" t="inlineStr">
        <is>
          <t>PREMIUM GOLD</t>
        </is>
      </c>
      <c r="D1527" s="7" t="n">
        <v>22882</v>
      </c>
      <c r="E1527" s="7" t="inlineStr">
        <is>
          <t>PREMIUM GOLD LEAF RA 1 KG POUCH</t>
        </is>
      </c>
      <c r="F1527" s="7" t="n">
        <v>24</v>
      </c>
      <c r="G1527" s="7" t="inlineStr">
        <is>
          <t>POUCH</t>
        </is>
      </c>
      <c r="H1527" t="inlineStr">
        <is>
          <t>BLEND MAHESHWARI LEAF</t>
        </is>
      </c>
    </row>
    <row r="1528" ht="14.25" customHeight="1" s="5">
      <c r="A1528" s="7" t="n">
        <v>27241</v>
      </c>
      <c r="B1528" s="7" t="inlineStr">
        <is>
          <t>PREMIUM GOLD MAHESHWARI LEAF [8 X 40 X 20 GM LAMINATE POUCH] CFC</t>
        </is>
      </c>
      <c r="C1528" s="7" t="inlineStr">
        <is>
          <t>PREMIUM GOLD</t>
        </is>
      </c>
      <c r="D1528" s="7" t="n">
        <v>27238</v>
      </c>
      <c r="E1528" s="7" t="inlineStr">
        <is>
          <t>PREMIUM GOLD MAHESHWARI LEAF 20 GM POUCH</t>
        </is>
      </c>
      <c r="F1528" s="7" t="n">
        <v>320</v>
      </c>
      <c r="G1528" s="7" t="inlineStr">
        <is>
          <t>POUCH</t>
        </is>
      </c>
      <c r="H1528" t="inlineStr">
        <is>
          <t>BLEND MAHESHWARI LEAF</t>
        </is>
      </c>
    </row>
    <row r="1529" ht="14.25" customHeight="1" s="5">
      <c r="A1529" s="7" t="n">
        <v>19070</v>
      </c>
      <c r="B1529" s="7" t="inlineStr">
        <is>
          <t>Premium Gold SV 250 GM Leaf RB (2 X 12 KG)</t>
        </is>
      </c>
      <c r="C1529" s="7" t="inlineStr">
        <is>
          <t>PREMIUM GOLD</t>
        </is>
      </c>
      <c r="D1529" s="7" t="n">
        <v>19120</v>
      </c>
      <c r="E1529" s="7" t="inlineStr">
        <is>
          <t>Premium Gold SV 250 GM Leaf RB</t>
        </is>
      </c>
      <c r="F1529" s="7" t="n">
        <v>96</v>
      </c>
      <c r="G1529" s="7" t="inlineStr">
        <is>
          <t>POUCH</t>
        </is>
      </c>
      <c r="H1529" t="inlineStr">
        <is>
          <t>BLEND RB-TPM</t>
        </is>
      </c>
    </row>
    <row r="1530" ht="14.25" customHeight="1" s="5">
      <c r="A1530" s="7" t="n">
        <v>19070</v>
      </c>
      <c r="B1530" s="7" t="inlineStr">
        <is>
          <t>Premium Gold SV 250 GM Leaf RB (2 X 12 KG)</t>
        </is>
      </c>
      <c r="C1530" s="7" t="inlineStr">
        <is>
          <t>PREMIUM GOLD</t>
        </is>
      </c>
      <c r="D1530" s="7" t="n">
        <v>19128</v>
      </c>
      <c r="E1530" s="7" t="inlineStr">
        <is>
          <t>TEZ Premium 50 GM Leaf RD</t>
        </is>
      </c>
      <c r="F1530" s="7" t="n">
        <v>24</v>
      </c>
      <c r="G1530" s="7" t="inlineStr">
        <is>
          <t>POUCH</t>
        </is>
      </c>
      <c r="H1530" t="inlineStr">
        <is>
          <t>BLEND RD-TPM</t>
        </is>
      </c>
    </row>
    <row r="1531" ht="14.25" customHeight="1" s="5">
      <c r="A1531" s="7" t="n">
        <v>22064</v>
      </c>
      <c r="B1531" s="7" t="inlineStr">
        <is>
          <t>PRICE CHOPPER 12/100 PTAG TBGS 00360</t>
        </is>
      </c>
      <c r="C1531" s="7" t="inlineStr">
        <is>
          <t>PRICE CHOPPER</t>
        </is>
      </c>
      <c r="D1531" s="7" t="n">
        <v>22467</v>
      </c>
      <c r="E1531" s="7" t="inlineStr">
        <is>
          <t>PRICE CHOPPER 100 PTAG TBGS 00360</t>
        </is>
      </c>
      <c r="F1531" s="7" t="n">
        <v>12</v>
      </c>
      <c r="G1531" s="7" t="inlineStr">
        <is>
          <t>CTN</t>
        </is>
      </c>
      <c r="H1531" t="inlineStr">
        <is>
          <t>BLEND GB-411</t>
        </is>
      </c>
    </row>
    <row r="1532" ht="14.25" customHeight="1" s="5">
      <c r="A1532" s="7" t="n">
        <v>847</v>
      </c>
      <c r="B1532" s="7" t="inlineStr">
        <is>
          <t>PURE ROYAL 24/100 SC TBGS TAGLESS</t>
        </is>
      </c>
      <c r="C1532" s="7" t="inlineStr">
        <is>
          <t>PURE ROYAL</t>
        </is>
      </c>
      <c r="D1532" s="7" t="n">
        <v>848</v>
      </c>
      <c r="E1532" s="7" t="inlineStr">
        <is>
          <t>PURE ROYAL 100 SC TBGS TAGLESS</t>
        </is>
      </c>
      <c r="F1532" s="7" t="n">
        <v>24</v>
      </c>
      <c r="G1532" s="7" t="inlineStr">
        <is>
          <t>CTN</t>
        </is>
      </c>
      <c r="H1532" t="inlineStr">
        <is>
          <t>BLEND STD-789</t>
        </is>
      </c>
    </row>
    <row r="1533" ht="14.25" customHeight="1" s="5">
      <c r="A1533" s="7" t="n">
        <v>23745</v>
      </c>
      <c r="B1533" s="7" t="inlineStr">
        <is>
          <t>PVT EST (R) BY TET 32-3 OZ AB RND ITBS</t>
        </is>
      </c>
      <c r="C1533" s="7" t="inlineStr">
        <is>
          <t>BREW MAGIC</t>
        </is>
      </c>
      <c r="D1533" s="7" t="n">
        <v>23754</v>
      </c>
      <c r="E1533" s="7" t="inlineStr">
        <is>
          <t>PVT EST (R) BY TET 3 OZ AB RND ITBS</t>
        </is>
      </c>
      <c r="F1533" s="7" t="n">
        <v>4</v>
      </c>
      <c r="G1533" s="7" t="inlineStr">
        <is>
          <t>PKT</t>
        </is>
      </c>
      <c r="H1533" t="inlineStr">
        <is>
          <t>BLEND 7022 RFA</t>
        </is>
      </c>
    </row>
    <row r="1534" ht="14.25" customHeight="1" s="5">
      <c r="A1534" s="7" t="n">
        <v>22134</v>
      </c>
      <c r="B1534" s="7" t="inlineStr">
        <is>
          <t>RAJ TEA CSR [12 X 8 X 250 GM LAMINATE POUCH] PP BAG</t>
        </is>
      </c>
      <c r="C1534" s="7" t="inlineStr">
        <is>
          <t>RAJ</t>
        </is>
      </c>
      <c r="D1534" s="7" t="n">
        <v>22133</v>
      </c>
      <c r="E1534" s="7" t="inlineStr">
        <is>
          <t>RAJ TEA 250 GM LEAF BOPP</t>
        </is>
      </c>
      <c r="F1534" s="7" t="n">
        <v>96</v>
      </c>
      <c r="G1534" s="7" t="inlineStr">
        <is>
          <t>POUCH</t>
        </is>
      </c>
      <c r="H1534" t="inlineStr">
        <is>
          <t>BLEND STD-CSR</t>
        </is>
      </c>
    </row>
    <row r="1535" ht="14.25" customHeight="1" s="5">
      <c r="A1535" s="7" t="n">
        <v>17902</v>
      </c>
      <c r="B1535" s="7" t="inlineStr">
        <is>
          <t>RICHMOND 10 STRIP x 20 SACHET x 2 TBGS SC TAG TBGS</t>
        </is>
      </c>
      <c r="C1535" s="7" t="inlineStr">
        <is>
          <t>RICHMOND</t>
        </is>
      </c>
      <c r="D1535" s="7" t="n">
        <v>18304</v>
      </c>
      <c r="E1535" s="7" t="inlineStr">
        <is>
          <t>RICHMOND STRIP  (20 SACHET WITH 2TB SC)</t>
        </is>
      </c>
      <c r="F1535" s="7" t="n">
        <v>10</v>
      </c>
      <c r="G1535" s="7" t="inlineStr">
        <is>
          <t>PCS</t>
        </is>
      </c>
      <c r="H1535">
        <f>#N/A</f>
        <v/>
      </c>
    </row>
    <row r="1536" ht="14.25" customHeight="1" s="5">
      <c r="A1536" s="7" t="n">
        <v>19508</v>
      </c>
      <c r="B1536" s="7" t="inlineStr">
        <is>
          <t>RICHMOND 20 STRIP x 10 SACHET x 2 TBGS SC TAG TBGS</t>
        </is>
      </c>
      <c r="C1536" s="7" t="inlineStr">
        <is>
          <t>RICHMOND</t>
        </is>
      </c>
      <c r="D1536" s="7" t="n">
        <v>19507</v>
      </c>
      <c r="E1536" s="7" t="inlineStr">
        <is>
          <t>RICHMOND STRIP  (10 SACHET WITH 2TB SC)</t>
        </is>
      </c>
      <c r="F1536" s="7" t="n">
        <v>20</v>
      </c>
      <c r="G1536" s="7" t="inlineStr">
        <is>
          <t>PCS</t>
        </is>
      </c>
      <c r="H1536">
        <f>#N/A</f>
        <v/>
      </c>
    </row>
    <row r="1537" ht="14.25" customHeight="1" s="5">
      <c r="A1537" s="7" t="n">
        <v>21911</v>
      </c>
      <c r="B1537" s="7" t="inlineStr">
        <is>
          <t>RICHMOND RED 40/27 ROUND TBGS- 1.8 GMS</t>
        </is>
      </c>
      <c r="C1537" s="7" t="inlineStr">
        <is>
          <t>RICHMOND</t>
        </is>
      </c>
      <c r="D1537" s="7" t="n">
        <v>21913</v>
      </c>
      <c r="E1537" s="7" t="inlineStr">
        <is>
          <t>RICHMOND RED 27 ROUND TBGS- 1.8 GMS</t>
        </is>
      </c>
      <c r="F1537" s="7" t="n">
        <v>40</v>
      </c>
      <c r="G1537" s="7" t="inlineStr">
        <is>
          <t>CTN</t>
        </is>
      </c>
      <c r="H1537" t="inlineStr">
        <is>
          <t>BLEND A33</t>
        </is>
      </c>
    </row>
    <row r="1538" ht="14.25" customHeight="1" s="5">
      <c r="A1538" s="7" t="n">
        <v>2562</v>
      </c>
      <c r="B1538" s="7" t="inlineStr">
        <is>
          <t>RICHMOND RED LABEL 40/27 ROUND TBGS</t>
        </is>
      </c>
      <c r="C1538" s="7" t="inlineStr">
        <is>
          <t>RICHMOND</t>
        </is>
      </c>
      <c r="D1538" s="7" t="n">
        <v>2563</v>
      </c>
      <c r="E1538" s="7" t="inlineStr">
        <is>
          <t>RICHMOND RED LABEL 27 ROUND TBGS</t>
        </is>
      </c>
      <c r="F1538" s="7" t="n">
        <v>40</v>
      </c>
      <c r="G1538" s="7" t="inlineStr">
        <is>
          <t>CTN</t>
        </is>
      </c>
      <c r="H1538" t="inlineStr">
        <is>
          <t>BLEND A33</t>
        </is>
      </c>
    </row>
    <row r="1539" ht="14.25" customHeight="1" s="5">
      <c r="A1539" s="7" t="n">
        <v>17896</v>
      </c>
      <c r="B1539" s="7" t="inlineStr">
        <is>
          <t>RICHMOND STRAWBERRY 24/20 SC HS ENV TBGS</t>
        </is>
      </c>
      <c r="C1539" s="7" t="inlineStr">
        <is>
          <t>RICHMOND</t>
        </is>
      </c>
      <c r="D1539" s="7" t="n">
        <v>18348</v>
      </c>
      <c r="E1539" s="7" t="inlineStr">
        <is>
          <t>RICHMOND STRAWBERRY 20 SC HS ENV TBGS</t>
        </is>
      </c>
      <c r="F1539" s="7" t="n">
        <v>24</v>
      </c>
      <c r="G1539" s="7" t="inlineStr">
        <is>
          <t>CTN</t>
        </is>
      </c>
      <c r="H1539" t="inlineStr">
        <is>
          <t>BLEND BLACK TEA STRAWBERRY TBC RICHMOND</t>
        </is>
      </c>
    </row>
    <row r="1540" ht="14.25" customHeight="1" s="5">
      <c r="A1540" s="7" t="n">
        <v>2567</v>
      </c>
      <c r="B1540" s="7" t="inlineStr">
        <is>
          <t>RICHMOND YELLOW LABEL 40/27 SC TAG TBGS</t>
        </is>
      </c>
      <c r="C1540" s="7" t="inlineStr">
        <is>
          <t>RICHMOND</t>
        </is>
      </c>
      <c r="D1540" s="7" t="n">
        <v>2568</v>
      </c>
      <c r="E1540" s="7" t="inlineStr">
        <is>
          <t>RICHMOND YELLOW LABEL 27 SC TAG TBGS</t>
        </is>
      </c>
      <c r="F1540" s="7" t="n">
        <v>40</v>
      </c>
      <c r="G1540" s="7" t="inlineStr">
        <is>
          <t>CTN</t>
        </is>
      </c>
      <c r="H1540">
        <f>#N/A</f>
        <v/>
      </c>
    </row>
    <row r="1541" ht="14.25" customHeight="1" s="5">
      <c r="A1541" s="7" t="n">
        <v>34473</v>
      </c>
      <c r="B1541" s="7" t="inlineStr">
        <is>
          <t>ROASTEA ASSAM TEA 36/100 DC HS SF TAG TBGS</t>
        </is>
      </c>
      <c r="C1541" s="7" t="inlineStr">
        <is>
          <t>ROASTEA</t>
        </is>
      </c>
      <c r="D1541" s="7" t="n">
        <v>34472</v>
      </c>
      <c r="E1541" s="7" t="inlineStr">
        <is>
          <t>ROASTEA ASSAM TEA 100 DC HS SF TAG TBGS</t>
        </is>
      </c>
      <c r="F1541" s="7" t="n">
        <v>36</v>
      </c>
      <c r="G1541" s="7" t="inlineStr">
        <is>
          <t>CTN</t>
        </is>
      </c>
      <c r="H1541" t="inlineStr">
        <is>
          <t>BLENDED TEA ROAST TEA ASSAM</t>
        </is>
      </c>
    </row>
    <row r="1542" ht="14.25" customHeight="1" s="5">
      <c r="A1542" s="7" t="n">
        <v>2572</v>
      </c>
      <c r="B1542" s="7" t="inlineStr">
        <is>
          <t>SAHEL 12/100 DC ENV TBGS</t>
        </is>
      </c>
      <c r="C1542" s="7" t="inlineStr">
        <is>
          <t>SAHEL</t>
        </is>
      </c>
      <c r="D1542" s="7" t="n">
        <v>2573</v>
      </c>
      <c r="E1542" s="7" t="inlineStr">
        <is>
          <t>SAHEL 100 DC ENV TBGS</t>
        </is>
      </c>
      <c r="F1542" s="7" t="n">
        <v>12</v>
      </c>
      <c r="G1542" s="7" t="inlineStr">
        <is>
          <t>CTN</t>
        </is>
      </c>
      <c r="H1542" t="inlineStr">
        <is>
          <t>BLEND 786</t>
        </is>
      </c>
    </row>
    <row r="1543" ht="14.25" customHeight="1" s="5">
      <c r="A1543" s="7" t="n">
        <v>852</v>
      </c>
      <c r="B1543" s="7" t="inlineStr">
        <is>
          <t>SAHEL 36/100 DC ENV TBGS</t>
        </is>
      </c>
      <c r="C1543" s="7" t="inlineStr">
        <is>
          <t>SAHEL</t>
        </is>
      </c>
      <c r="D1543" s="7" t="n">
        <v>2573</v>
      </c>
      <c r="E1543" s="7" t="inlineStr">
        <is>
          <t>SAHEL 100 DC ENV TBGS</t>
        </is>
      </c>
      <c r="F1543" s="7" t="n">
        <v>36</v>
      </c>
      <c r="G1543" s="7" t="inlineStr">
        <is>
          <t>CTN</t>
        </is>
      </c>
      <c r="H1543" t="inlineStr">
        <is>
          <t>BLEND 786</t>
        </is>
      </c>
    </row>
    <row r="1544" ht="14.25" customHeight="1" s="5">
      <c r="A1544" s="7" t="n">
        <v>32180</v>
      </c>
      <c r="B1544" s="7" t="inlineStr">
        <is>
          <t>SALGAR CHAI COFFEE HONEY LEMON GREEN TEA 18/100 DC SF HS ENV TBGS</t>
        </is>
      </c>
      <c r="C1544" s="7" t="inlineStr">
        <is>
          <t>SALGAR CHAI COFFEE</t>
        </is>
      </c>
      <c r="D1544" s="7" t="n">
        <v>32129</v>
      </c>
      <c r="E1544" s="7" t="inlineStr">
        <is>
          <t>SALGAR CHAI COFFEE HONEY LEMON GREEN TEA 100 DC SF HS ENV TBGS</t>
        </is>
      </c>
      <c r="F1544" s="7" t="n">
        <v>18</v>
      </c>
      <c r="G1544" s="7" t="inlineStr">
        <is>
          <t>CTN</t>
        </is>
      </c>
      <c r="H1544" t="inlineStr">
        <is>
          <t>BLEND TE-A-ME GREEN TEA HONEY LEMON</t>
        </is>
      </c>
    </row>
    <row r="1545" ht="14.25" customHeight="1" s="5">
      <c r="A1545" s="7" t="n">
        <v>17932</v>
      </c>
      <c r="B1545" s="7" t="inlineStr">
        <is>
          <t>SANCHO 12/100 DC ENV TBGS</t>
        </is>
      </c>
      <c r="C1545" s="7" t="inlineStr">
        <is>
          <t>SANCHO</t>
        </is>
      </c>
      <c r="D1545" s="7" t="n">
        <v>858</v>
      </c>
      <c r="E1545" s="7" t="inlineStr">
        <is>
          <t>SANCHO 100 DC ENV TBGS</t>
        </is>
      </c>
      <c r="F1545" s="7" t="n">
        <v>12</v>
      </c>
      <c r="G1545" s="7" t="inlineStr">
        <is>
          <t>CTN</t>
        </is>
      </c>
      <c r="H1545" t="inlineStr">
        <is>
          <t>BLEND 786</t>
        </is>
      </c>
    </row>
    <row r="1546" ht="14.25" customHeight="1" s="5">
      <c r="A1546" s="7" t="n">
        <v>857</v>
      </c>
      <c r="B1546" s="7" t="inlineStr">
        <is>
          <t>SANCHO 12/100 DC ENV TBGS WITH T-SHIRT</t>
        </is>
      </c>
      <c r="C1546" s="7" t="inlineStr">
        <is>
          <t>SANCHO</t>
        </is>
      </c>
      <c r="D1546" s="7" t="n">
        <v>858</v>
      </c>
      <c r="E1546" s="7" t="inlineStr">
        <is>
          <t>SANCHO 100 DC ENV TBGS</t>
        </is>
      </c>
      <c r="F1546" s="7" t="n">
        <v>12</v>
      </c>
      <c r="G1546" s="7" t="inlineStr">
        <is>
          <t>CTN</t>
        </is>
      </c>
      <c r="H1546" t="inlineStr">
        <is>
          <t>BLEND 786</t>
        </is>
      </c>
    </row>
    <row r="1547" ht="14.25" customHeight="1" s="5">
      <c r="A1547" s="7" t="n">
        <v>857</v>
      </c>
      <c r="B1547" s="7" t="inlineStr">
        <is>
          <t>SANCHO 12/100 DC ENV TBGS WITH T-SHIRT</t>
        </is>
      </c>
      <c r="C1547" s="7" t="inlineStr">
        <is>
          <t>SANCHO</t>
        </is>
      </c>
      <c r="D1547" s="7" t="n">
        <v>17932</v>
      </c>
      <c r="E1547" s="7" t="inlineStr">
        <is>
          <t>SANCHO 12/100 DC ENV TBGS</t>
        </is>
      </c>
      <c r="F1547" s="7" t="n">
        <v>1</v>
      </c>
      <c r="G1547" s="7" t="inlineStr">
        <is>
          <t>CFC</t>
        </is>
      </c>
      <c r="H1547">
        <f>#N/A</f>
        <v/>
      </c>
    </row>
    <row r="1548" ht="14.25" customHeight="1" s="5">
      <c r="A1548" s="7" t="n">
        <v>200</v>
      </c>
      <c r="B1548" s="7" t="inlineStr">
        <is>
          <t>SARASWATI 12/1 (500 GMS X 2) DUST - NON WOVEN BAGS</t>
        </is>
      </c>
      <c r="C1548" s="7" t="inlineStr">
        <is>
          <t>SARASWATI</t>
        </is>
      </c>
      <c r="D1548" s="7" t="n">
        <v>19345</v>
      </c>
      <c r="E1548" s="7" t="inlineStr">
        <is>
          <t>SARASWATI DUST 500 GMS NON WOVEN BAGS</t>
        </is>
      </c>
      <c r="F1548" s="7" t="n">
        <v>24</v>
      </c>
      <c r="G1548" s="7" t="inlineStr">
        <is>
          <t>POUCH</t>
        </is>
      </c>
      <c r="H1548" t="inlineStr">
        <is>
          <t>BLEND A PKT</t>
        </is>
      </c>
    </row>
    <row r="1549" ht="14.25" customHeight="1" s="5">
      <c r="A1549" s="7" t="n">
        <v>180</v>
      </c>
      <c r="B1549" s="7" t="inlineStr">
        <is>
          <t>SARASWATI 12/1 KG (500 GMS X 2) BOP- NON WOVEN BAGS</t>
        </is>
      </c>
      <c r="C1549" s="7" t="inlineStr">
        <is>
          <t>SARASWATI</t>
        </is>
      </c>
      <c r="D1549" s="7" t="n">
        <v>19344</v>
      </c>
      <c r="E1549" s="7" t="inlineStr">
        <is>
          <t>SARASWATI 500 GMS  BOP NON WOVEN BAGS</t>
        </is>
      </c>
      <c r="F1549" s="7" t="n">
        <v>24</v>
      </c>
      <c r="G1549" s="7" t="inlineStr">
        <is>
          <t>POUCH</t>
        </is>
      </c>
      <c r="H1549" t="inlineStr">
        <is>
          <t>BLEND SFA</t>
        </is>
      </c>
    </row>
    <row r="1550" ht="14.25" customHeight="1" s="5">
      <c r="A1550" s="7" t="n">
        <v>176</v>
      </c>
      <c r="B1550" s="7" t="inlineStr">
        <is>
          <t>SARASWATI 12/1 KG (500 GMS X 2) DUST- FREE SIPPER WITH THIS PACK</t>
        </is>
      </c>
      <c r="C1550" s="7" t="inlineStr">
        <is>
          <t>SARASWATI</t>
        </is>
      </c>
      <c r="D1550" s="7" t="n">
        <v>19342</v>
      </c>
      <c r="E1550" s="7" t="inlineStr">
        <is>
          <t>SARASWATI 500 GMS DUST - FREE SIPPER WITH THIS PACK</t>
        </is>
      </c>
      <c r="F1550" s="7" t="n">
        <v>24</v>
      </c>
      <c r="G1550" s="7" t="inlineStr">
        <is>
          <t>POUCH</t>
        </is>
      </c>
      <c r="H1550" t="inlineStr">
        <is>
          <t>BLEND A PKT</t>
        </is>
      </c>
    </row>
    <row r="1551" ht="14.25" customHeight="1" s="5">
      <c r="A1551" s="7" t="n">
        <v>178</v>
      </c>
      <c r="B1551" s="7" t="inlineStr">
        <is>
          <t>SARASWATI 12/1 KG (500 GMS X 2) FM - FREE SIPPER WITH THIS PACK</t>
        </is>
      </c>
      <c r="C1551" s="7" t="inlineStr">
        <is>
          <t>SARASWATI</t>
        </is>
      </c>
      <c r="D1551" s="7" t="n">
        <v>19343</v>
      </c>
      <c r="E1551" s="7" t="inlineStr">
        <is>
          <t>SARASWATI 500 GMS FM - FREE SIPPER WITH THIS PACK</t>
        </is>
      </c>
      <c r="F1551" s="7" t="n">
        <v>24</v>
      </c>
      <c r="G1551" s="7" t="inlineStr">
        <is>
          <t>POUCH</t>
        </is>
      </c>
      <c r="H1551" t="inlineStr">
        <is>
          <t>BLEND SFM</t>
        </is>
      </c>
    </row>
    <row r="1552" ht="14.25" customHeight="1" s="5">
      <c r="A1552" s="7" t="n">
        <v>172</v>
      </c>
      <c r="B1552" s="7" t="inlineStr">
        <is>
          <t>SARASWATI 12/1 KG (500GMS X 2) DUST - FREE CUP WITH THIS PACK</t>
        </is>
      </c>
      <c r="C1552" s="7" t="inlineStr">
        <is>
          <t>SARASWATI</t>
        </is>
      </c>
      <c r="D1552" s="7" t="n">
        <v>19341</v>
      </c>
      <c r="E1552" s="7" t="inlineStr">
        <is>
          <t>SARASWATI 500 GMS DUST - FREE CUP WITH THIS PACK</t>
        </is>
      </c>
      <c r="F1552" s="7" t="n">
        <v>24</v>
      </c>
      <c r="G1552" s="7" t="inlineStr">
        <is>
          <t>POUCH</t>
        </is>
      </c>
      <c r="H1552" t="inlineStr">
        <is>
          <t>BLEND APKT (NEW)</t>
        </is>
      </c>
    </row>
    <row r="1553" ht="14.25" customHeight="1" s="5">
      <c r="A1553" s="7" t="n">
        <v>167</v>
      </c>
      <c r="B1553" s="7" t="inlineStr">
        <is>
          <t>SARASWATI 12/1KG(500GMS X 2) BOP - FREE SIPPER WITH THIS PACK</t>
        </is>
      </c>
      <c r="C1553" s="7" t="inlineStr">
        <is>
          <t>SARASWATI</t>
        </is>
      </c>
      <c r="D1553" s="7" t="n">
        <v>19340</v>
      </c>
      <c r="E1553" s="7" t="inlineStr">
        <is>
          <t>SARASWATI 500 GMS BOP - FREE SIPPER WITH THIS PACK</t>
        </is>
      </c>
      <c r="F1553" s="7" t="n">
        <v>24</v>
      </c>
      <c r="G1553" s="7" t="inlineStr">
        <is>
          <t>POUCH</t>
        </is>
      </c>
      <c r="H1553" t="inlineStr">
        <is>
          <t>BLEND SFA</t>
        </is>
      </c>
    </row>
    <row r="1554" ht="14.25" customHeight="1" s="5">
      <c r="A1554" s="7" t="n">
        <v>37525</v>
      </c>
      <c r="B1554" s="7" t="inlineStr">
        <is>
          <t>SARASWATI AMRUT DUST SRASWATI AMRUT SWEET PKT [1 X 48 X 250 GM LAMINATE POUCH] CFC</t>
        </is>
      </c>
      <c r="C1554" s="7" t="inlineStr">
        <is>
          <t>SARASWATI</t>
        </is>
      </c>
      <c r="D1554" s="7" t="n">
        <v>37524</v>
      </c>
      <c r="E1554" s="7" t="inlineStr">
        <is>
          <t>SARASWATI AMRUT DUST  BLACK TEA SRASWATI AMRUT SWEET PKT 250 GM POUCH</t>
        </is>
      </c>
      <c r="F1554" s="7" t="n">
        <v>48</v>
      </c>
      <c r="G1554" s="7" t="inlineStr">
        <is>
          <t>POUCH</t>
        </is>
      </c>
      <c r="H1554" t="inlineStr">
        <is>
          <t>BLEND BLACK TEA SRASWATI AMRUT SWEET PKT</t>
        </is>
      </c>
    </row>
    <row r="1555" ht="14.25" customHeight="1" s="5">
      <c r="A1555" s="7" t="n">
        <v>37526</v>
      </c>
      <c r="B1555" s="7" t="inlineStr">
        <is>
          <t>SARASWATI AMRUT DUST SRASWATI AMRUT SWEET PKT [1 X 48 X 250 GM LAMINATE POUCH] CFC CP OFFER</t>
        </is>
      </c>
      <c r="C1555" s="7" t="inlineStr">
        <is>
          <t>SARASWATI</t>
        </is>
      </c>
      <c r="D1555" s="7" t="n">
        <v>37524</v>
      </c>
      <c r="E1555" s="7" t="inlineStr">
        <is>
          <t>SARASWATI AMRUT DUST  BLACK TEA SRASWATI AMRUT SWEET PKT 250 GM POUCH</t>
        </is>
      </c>
      <c r="F1555" s="7" t="n">
        <v>48</v>
      </c>
      <c r="G1555" s="7" t="inlineStr">
        <is>
          <t>POUCH</t>
        </is>
      </c>
      <c r="H1555" t="inlineStr">
        <is>
          <t>BLEND BLACK TEA SRASWATI AMRUT SWEET PKT</t>
        </is>
      </c>
    </row>
    <row r="1556" ht="14.25" customHeight="1" s="5">
      <c r="A1556" s="7" t="n">
        <v>186</v>
      </c>
      <c r="B1556" s="7" t="inlineStr">
        <is>
          <t>SARASWATI BOP 250 GMS X 20(5KG) X 5 BOPP/PP BAG</t>
        </is>
      </c>
      <c r="C1556" s="7" t="inlineStr">
        <is>
          <t>SARASWATI</t>
        </is>
      </c>
      <c r="D1556" s="7" t="n">
        <v>19333</v>
      </c>
      <c r="E1556" s="7" t="inlineStr">
        <is>
          <t>SARASWATI BOP 250 GMS POUCH</t>
        </is>
      </c>
      <c r="F1556" s="7" t="n">
        <v>100</v>
      </c>
      <c r="G1556" s="7" t="inlineStr">
        <is>
          <t>POUCH</t>
        </is>
      </c>
      <c r="H1556" t="inlineStr">
        <is>
          <t>BLEND SFA</t>
        </is>
      </c>
    </row>
    <row r="1557" ht="14.25" customHeight="1" s="5">
      <c r="A1557" s="7" t="n">
        <v>190</v>
      </c>
      <c r="B1557" s="7" t="inlineStr">
        <is>
          <t>SARASWATI BOP 250 GMS X 20(5KG) X 5 BOPP/PP BAG-WITH OFFER</t>
        </is>
      </c>
      <c r="C1557" s="7" t="inlineStr">
        <is>
          <t>SARASWATI</t>
        </is>
      </c>
      <c r="D1557" s="7" t="n">
        <v>19334</v>
      </c>
      <c r="E1557" s="7" t="inlineStr">
        <is>
          <t>SARASWATI BOP 250 GMS POUCH WITH OFFER</t>
        </is>
      </c>
      <c r="F1557" s="7" t="n">
        <v>100</v>
      </c>
      <c r="G1557" s="7" t="inlineStr">
        <is>
          <t>POUCH</t>
        </is>
      </c>
      <c r="H1557" t="inlineStr">
        <is>
          <t>BLEND SFA</t>
        </is>
      </c>
    </row>
    <row r="1558" ht="14.25" customHeight="1" s="5">
      <c r="A1558" s="7" t="n">
        <v>36471</v>
      </c>
      <c r="B1558" s="7" t="inlineStr">
        <is>
          <t>SARASWATI BOP SFA [24 X 1 KG LAMINATE POUCH] CFC</t>
        </is>
      </c>
      <c r="C1558" s="7" t="inlineStr">
        <is>
          <t>SARASWATI</t>
        </is>
      </c>
      <c r="D1558" s="7" t="n">
        <v>36470</v>
      </c>
      <c r="E1558" s="7" t="inlineStr">
        <is>
          <t>SARASWATI BOP SFA 1 KG POUCH</t>
        </is>
      </c>
      <c r="F1558" s="7" t="n">
        <v>24</v>
      </c>
      <c r="G1558" s="7" t="inlineStr">
        <is>
          <t>POUCH</t>
        </is>
      </c>
      <c r="H1558" t="inlineStr">
        <is>
          <t>BLEND SFA</t>
        </is>
      </c>
    </row>
    <row r="1559" ht="14.25" customHeight="1" s="5">
      <c r="A1559" s="7" t="n">
        <v>18681</v>
      </c>
      <c r="B1559" s="7" t="inlineStr">
        <is>
          <t>SARASWATI DUST 100 GMS X 200 (20 KG) PP NON WOVEN BAG -WITH BATTERY OFFER</t>
        </is>
      </c>
      <c r="C1559" s="7" t="inlineStr">
        <is>
          <t>SARASWATI</t>
        </is>
      </c>
      <c r="D1559" s="7" t="n">
        <v>19351</v>
      </c>
      <c r="E1559" s="7" t="inlineStr">
        <is>
          <t>SARASWATI DUST 100 GMS POUCH -WITH BATTERY OFFER</t>
        </is>
      </c>
      <c r="F1559" s="7" t="n">
        <v>200</v>
      </c>
      <c r="G1559" s="7" t="inlineStr">
        <is>
          <t>POUCH</t>
        </is>
      </c>
      <c r="H1559" t="inlineStr">
        <is>
          <t>BLEND A705(SARASWATI SPL DUST)</t>
        </is>
      </c>
    </row>
    <row r="1560" ht="14.25" customHeight="1" s="5">
      <c r="A1560" s="7" t="n">
        <v>18683</v>
      </c>
      <c r="B1560" s="7" t="inlineStr">
        <is>
          <t>SARASWATI DUST 100 GMSX200 (20 KG) PP NON WOVEN BAG</t>
        </is>
      </c>
      <c r="C1560" s="7" t="inlineStr">
        <is>
          <t>SARASWATI</t>
        </is>
      </c>
      <c r="D1560" s="7" t="n">
        <v>19350</v>
      </c>
      <c r="E1560" s="7" t="inlineStr">
        <is>
          <t>SARASWATI DUST 100 GMS POUCH</t>
        </is>
      </c>
      <c r="F1560" s="7" t="n">
        <v>200</v>
      </c>
      <c r="G1560" s="7" t="inlineStr">
        <is>
          <t>POUCH</t>
        </is>
      </c>
      <c r="H1560" t="inlineStr">
        <is>
          <t>BLEND A705(SARASWATI SPL DUST)</t>
        </is>
      </c>
    </row>
    <row r="1561" ht="14.25" customHeight="1" s="5">
      <c r="A1561" s="7" t="n">
        <v>206</v>
      </c>
      <c r="B1561" s="7" t="inlineStr">
        <is>
          <t>SARASWATI DUST 15 GMS X 900 (13.5 KG) PP OLD BAG</t>
        </is>
      </c>
      <c r="C1561" s="7" t="inlineStr">
        <is>
          <t>SARASWATI</t>
        </is>
      </c>
      <c r="D1561" s="7" t="n">
        <v>19355</v>
      </c>
      <c r="E1561" s="7" t="inlineStr">
        <is>
          <t>SARASWATI DUST 15 GMS POUCH</t>
        </is>
      </c>
      <c r="F1561" s="7" t="n">
        <v>900</v>
      </c>
      <c r="G1561" s="7" t="inlineStr">
        <is>
          <t>POUCH</t>
        </is>
      </c>
      <c r="H1561" t="inlineStr">
        <is>
          <t>BLEND STD 7005</t>
        </is>
      </c>
    </row>
    <row r="1562" ht="14.25" customHeight="1" s="5">
      <c r="A1562" s="7" t="n">
        <v>214</v>
      </c>
      <c r="B1562" s="7" t="inlineStr">
        <is>
          <t>SARASWATI DUST 250 GMS X 20(5KG) X 5 BOPP- LUNCH BOX PROMO</t>
        </is>
      </c>
      <c r="C1562" s="7" t="inlineStr">
        <is>
          <t>SARASWATI</t>
        </is>
      </c>
      <c r="D1562" s="7" t="n">
        <v>19331</v>
      </c>
      <c r="E1562" s="7" t="inlineStr">
        <is>
          <t>SARASWATI DUST 250 GMS BOPP - LUNCH BOX PROMO</t>
        </is>
      </c>
      <c r="F1562" s="7" t="n">
        <v>100</v>
      </c>
      <c r="G1562" s="7" t="inlineStr">
        <is>
          <t>POUCH</t>
        </is>
      </c>
      <c r="H1562" t="inlineStr">
        <is>
          <t>BLEND A PKT</t>
        </is>
      </c>
    </row>
    <row r="1563" ht="14.25" customHeight="1" s="5">
      <c r="A1563" s="7" t="n">
        <v>217</v>
      </c>
      <c r="B1563" s="7" t="inlineStr">
        <is>
          <t>SARASWATI DUST 250 GMS X 20(5KG) X 5 BOPP- WITH BISCUIT OFFER</t>
        </is>
      </c>
      <c r="C1563" s="7" t="inlineStr">
        <is>
          <t>SARASWATI</t>
        </is>
      </c>
      <c r="D1563" s="7" t="n">
        <v>19330</v>
      </c>
      <c r="E1563" s="7" t="inlineStr">
        <is>
          <t>SARASWATI DUST 250 GMS BOPP - WITH BISCUIT OFFER</t>
        </is>
      </c>
      <c r="F1563" s="7" t="n">
        <v>100</v>
      </c>
      <c r="G1563" s="7" t="inlineStr">
        <is>
          <t>POUCH</t>
        </is>
      </c>
      <c r="H1563" t="inlineStr">
        <is>
          <t>BLEND A PKT</t>
        </is>
      </c>
    </row>
    <row r="1564" ht="14.25" customHeight="1" s="5">
      <c r="A1564" s="7" t="n">
        <v>209</v>
      </c>
      <c r="B1564" s="7" t="inlineStr">
        <is>
          <t>SARASWATI DUST 250 GMS X 20(5KG) X 5 BOPP/PP BAG OFFER PACK</t>
        </is>
      </c>
      <c r="C1564" s="7" t="inlineStr">
        <is>
          <t>SARASWATI</t>
        </is>
      </c>
      <c r="D1564" s="7" t="n">
        <v>19329</v>
      </c>
      <c r="E1564" s="7" t="inlineStr">
        <is>
          <t>SARASWATI DUST 250 GMS BOPP</t>
        </is>
      </c>
      <c r="F1564" s="7" t="n">
        <v>100</v>
      </c>
      <c r="G1564" s="7" t="inlineStr">
        <is>
          <t>POUCH</t>
        </is>
      </c>
      <c r="H1564" t="inlineStr">
        <is>
          <t>BLEND APKT (NEW)</t>
        </is>
      </c>
    </row>
    <row r="1565" ht="14.25" customHeight="1" s="5">
      <c r="A1565" s="7" t="n">
        <v>220</v>
      </c>
      <c r="B1565" s="7" t="inlineStr">
        <is>
          <t>SARASWATI DUST 250 GMS X 48(12KG CFC)</t>
        </is>
      </c>
      <c r="C1565" s="7" t="inlineStr">
        <is>
          <t>SARASWATI</t>
        </is>
      </c>
      <c r="D1565" s="7" t="n">
        <v>19329</v>
      </c>
      <c r="E1565" s="7" t="inlineStr">
        <is>
          <t>SARASWATI DUST 250 GMS BOPP</t>
        </is>
      </c>
      <c r="F1565" s="7" t="n">
        <v>48</v>
      </c>
      <c r="G1565" s="7" t="inlineStr">
        <is>
          <t>POUCH</t>
        </is>
      </c>
      <c r="H1565" t="inlineStr">
        <is>
          <t>BLEND APKT (NEW)</t>
        </is>
      </c>
    </row>
    <row r="1566" ht="14.25" customHeight="1" s="5">
      <c r="A1566" s="7" t="n">
        <v>225</v>
      </c>
      <c r="B1566" s="7" t="inlineStr">
        <is>
          <t>SARASWATI DUST 30 GMS X 450(13.5 KG) PP OLD BAG</t>
        </is>
      </c>
      <c r="C1566" s="7" t="inlineStr">
        <is>
          <t>SARASWATI</t>
        </is>
      </c>
      <c r="D1566" s="7" t="n">
        <v>19353</v>
      </c>
      <c r="E1566" s="7" t="inlineStr">
        <is>
          <t>SARASWATI DUST 30 GMS POUCH</t>
        </is>
      </c>
      <c r="F1566" s="7" t="n">
        <v>450</v>
      </c>
      <c r="G1566" s="7" t="inlineStr">
        <is>
          <t>POUCH</t>
        </is>
      </c>
      <c r="H1566" t="inlineStr">
        <is>
          <t>BLEND STD 7005</t>
        </is>
      </c>
    </row>
    <row r="1567" ht="14.25" customHeight="1" s="5">
      <c r="A1567" s="7" t="n">
        <v>18682</v>
      </c>
      <c r="B1567" s="7" t="inlineStr">
        <is>
          <t>SARASWATI DUST 50 GMS X 400(20 KG) PP NON WOVEN BAG</t>
        </is>
      </c>
      <c r="C1567" s="7" t="inlineStr">
        <is>
          <t>SARASWATI</t>
        </is>
      </c>
      <c r="D1567" s="7" t="n">
        <v>19352</v>
      </c>
      <c r="E1567" s="7" t="inlineStr">
        <is>
          <t>SARASWATI DUST 50 GMS POUCH</t>
        </is>
      </c>
      <c r="F1567" s="7" t="n">
        <v>400</v>
      </c>
      <c r="G1567" s="7" t="inlineStr">
        <is>
          <t>POUCH</t>
        </is>
      </c>
      <c r="H1567" t="inlineStr">
        <is>
          <t>BLEND A705(SARASWATI SPL DUST)</t>
        </is>
      </c>
    </row>
    <row r="1568" ht="14.25" customHeight="1" s="5">
      <c r="A1568" s="7" t="n">
        <v>231</v>
      </c>
      <c r="B1568" s="7" t="inlineStr">
        <is>
          <t>SARASWATI DUST 50 GMS X 500 ( 25 KG) BOPP/PP BAG )</t>
        </is>
      </c>
      <c r="C1568" s="7" t="inlineStr">
        <is>
          <t>SARASWATI</t>
        </is>
      </c>
      <c r="D1568" s="7" t="n">
        <v>19352</v>
      </c>
      <c r="E1568" s="7" t="inlineStr">
        <is>
          <t>SARASWATI DUST 50 GMS POUCH</t>
        </is>
      </c>
      <c r="F1568" s="7" t="n">
        <v>500</v>
      </c>
      <c r="G1568" s="7" t="inlineStr">
        <is>
          <t>POUCH</t>
        </is>
      </c>
      <c r="H1568" t="inlineStr">
        <is>
          <t>BLEND A705(SARASWATI SPL DUST)</t>
        </is>
      </c>
    </row>
    <row r="1569" ht="14.25" customHeight="1" s="5">
      <c r="A1569" s="7" t="n">
        <v>32306</v>
      </c>
      <c r="B1569" s="7" t="inlineStr">
        <is>
          <t>SARASWATI DUST 7005 [(3 X 10 X 30 X 22 GM)+(3 X 10 X 2 X 24 GM) LAMINATE POUCH] PP OLD BAG CP OFFER</t>
        </is>
      </c>
      <c r="C1569" s="7" t="inlineStr">
        <is>
          <t>SARASWATI</t>
        </is>
      </c>
      <c r="D1569" s="7" t="n">
        <v>32300</v>
      </c>
      <c r="E1569" s="7" t="inlineStr">
        <is>
          <t>SARASWATI DUST STD 7005 22 GM POUCH</t>
        </is>
      </c>
      <c r="F1569" s="7" t="n">
        <v>900</v>
      </c>
      <c r="G1569" s="7" t="inlineStr">
        <is>
          <t>POUCH</t>
        </is>
      </c>
      <c r="H1569" t="inlineStr">
        <is>
          <t>BLEND STD 7005</t>
        </is>
      </c>
    </row>
    <row r="1570" ht="14.25" customHeight="1" s="5">
      <c r="A1570" s="7" t="n">
        <v>32306</v>
      </c>
      <c r="B1570" s="7" t="inlineStr">
        <is>
          <t>SARASWATI DUST 7005 [(3 X 10 X 30 X 22 GM)+(3 X 10 X 2 X 24 GM) LAMINATE POUCH] PP OLD BAG CP OFFER</t>
        </is>
      </c>
      <c r="C1570" s="7" t="inlineStr">
        <is>
          <t>SARASWATI</t>
        </is>
      </c>
      <c r="D1570" s="7" t="n">
        <v>31513</v>
      </c>
      <c r="E1570" s="7" t="inlineStr">
        <is>
          <t>SARASWATI ELAICHI LEAF BLACK TEA SARASWATI ELAICHI PKT 24 GM POUCH</t>
        </is>
      </c>
      <c r="F1570" s="7" t="n">
        <v>60</v>
      </c>
      <c r="G1570" s="7" t="inlineStr">
        <is>
          <t>POUCH</t>
        </is>
      </c>
      <c r="H1570" t="inlineStr">
        <is>
          <t>BLEND BLACK TEA SARASWATI ELAICHI PKT</t>
        </is>
      </c>
    </row>
    <row r="1571" ht="14.25" customHeight="1" s="5">
      <c r="A1571" s="7" t="n">
        <v>20378</v>
      </c>
      <c r="B1571" s="7" t="inlineStr">
        <is>
          <t>SARASWATI DUST 7005 [3 X 5 X 30 X 28 GM LAMINATE POUCH] PP OLD BAG</t>
        </is>
      </c>
      <c r="C1571" s="7" t="inlineStr">
        <is>
          <t>SARASWATI</t>
        </is>
      </c>
      <c r="D1571" s="7" t="n">
        <v>20376</v>
      </c>
      <c r="E1571" s="7" t="inlineStr">
        <is>
          <t>SARASWATI DUST 7005 28 GMS POUCH</t>
        </is>
      </c>
      <c r="F1571" s="7" t="n">
        <v>450</v>
      </c>
      <c r="G1571" s="7" t="inlineStr">
        <is>
          <t>POUCH</t>
        </is>
      </c>
      <c r="H1571" t="inlineStr">
        <is>
          <t>BLEND A705(SARASWATI SPL DUST)</t>
        </is>
      </c>
    </row>
    <row r="1572" ht="14.25" customHeight="1" s="5">
      <c r="A1572" s="7" t="n">
        <v>20379</v>
      </c>
      <c r="B1572" s="7" t="inlineStr">
        <is>
          <t>SARASWATI DUST 7005 [3 X 5 X 60 X 14 GM LAMINATE POUCH]  PP OLD BAG</t>
        </is>
      </c>
      <c r="C1572" s="7" t="inlineStr">
        <is>
          <t>SARASWATI</t>
        </is>
      </c>
      <c r="D1572" s="7" t="n">
        <v>20377</v>
      </c>
      <c r="E1572" s="7" t="inlineStr">
        <is>
          <t>SARASWATI DUST 7005 14 GMS POUCH</t>
        </is>
      </c>
      <c r="F1572" s="7" t="n">
        <v>900</v>
      </c>
      <c r="G1572" s="7" t="inlineStr">
        <is>
          <t>POUCH</t>
        </is>
      </c>
      <c r="H1572" t="inlineStr">
        <is>
          <t>BLEND A705(SARASWATI SPL DUST)</t>
        </is>
      </c>
    </row>
    <row r="1573" ht="14.25" customHeight="1" s="5">
      <c r="A1573" s="7" t="n">
        <v>31972</v>
      </c>
      <c r="B1573" s="7" t="inlineStr">
        <is>
          <t>SARASWATI DUST 7005 [3 X 9 X 30 X 24 GM LAMINATE POUCH] PP OLD BAG</t>
        </is>
      </c>
      <c r="C1573" s="7" t="inlineStr">
        <is>
          <t>SARASWATI</t>
        </is>
      </c>
      <c r="D1573" s="7" t="n">
        <v>30987</v>
      </c>
      <c r="E1573" s="7" t="inlineStr">
        <is>
          <t>SARASWATI DUST 7005 24 GM POUCH</t>
        </is>
      </c>
      <c r="F1573" s="7" t="n">
        <v>810</v>
      </c>
      <c r="G1573" s="7" t="inlineStr">
        <is>
          <t>POUCH</t>
        </is>
      </c>
      <c r="H1573" t="inlineStr">
        <is>
          <t>BLEND STD 7005</t>
        </is>
      </c>
    </row>
    <row r="1574" ht="14.25" customHeight="1" s="5">
      <c r="A1574" s="7" t="n">
        <v>30989</v>
      </c>
      <c r="B1574" s="7" t="inlineStr">
        <is>
          <t>SARASWATI DUST 7005 [4 X 5 X 30 X 24 GM LAMINATE POUCH] PP OLD BAG</t>
        </is>
      </c>
      <c r="C1574" s="7" t="inlineStr">
        <is>
          <t>SARASWATI</t>
        </is>
      </c>
      <c r="D1574" s="7" t="n">
        <v>30987</v>
      </c>
      <c r="E1574" s="7" t="inlineStr">
        <is>
          <t>SARASWATI DUST 7005 24 GM POUCH</t>
        </is>
      </c>
      <c r="F1574" s="7" t="n">
        <v>600</v>
      </c>
      <c r="G1574" s="7" t="inlineStr">
        <is>
          <t>POUCH</t>
        </is>
      </c>
      <c r="H1574" t="inlineStr">
        <is>
          <t>BLEND STD 7005</t>
        </is>
      </c>
    </row>
    <row r="1575" ht="14.25" customHeight="1" s="5">
      <c r="A1575" s="7" t="n">
        <v>30988</v>
      </c>
      <c r="B1575" s="7" t="inlineStr">
        <is>
          <t>SARASWATI DUST 7005 [4 X 5 X 60 X 12 GM LAMINATE POUCH] PP OLD BAG</t>
        </is>
      </c>
      <c r="C1575" s="7" t="inlineStr">
        <is>
          <t>SARASWATI</t>
        </is>
      </c>
      <c r="D1575" s="7" t="n">
        <v>30986</v>
      </c>
      <c r="E1575" s="7" t="inlineStr">
        <is>
          <t>SARASWATI DUST 7005 12 GM POUCH</t>
        </is>
      </c>
      <c r="F1575" s="7" t="n">
        <v>1200</v>
      </c>
      <c r="G1575" s="7" t="inlineStr">
        <is>
          <t>POUCH</t>
        </is>
      </c>
      <c r="H1575" t="inlineStr">
        <is>
          <t>BLEND STD 7005</t>
        </is>
      </c>
    </row>
    <row r="1576" ht="14.25" customHeight="1" s="5">
      <c r="A1576" s="7" t="n">
        <v>27021</v>
      </c>
      <c r="B1576" s="7" t="inlineStr">
        <is>
          <t>SARASWATI DUST A PKT [(5 X 20 X 250 GM)+(1 X 5 X 250 GM) LAMINATE POUCH] PP BAG TRADE OFFER</t>
        </is>
      </c>
      <c r="C1576" s="7" t="inlineStr">
        <is>
          <t>SARASWATI</t>
        </is>
      </c>
      <c r="D1576" s="7" t="n">
        <v>19329</v>
      </c>
      <c r="E1576" s="7" t="inlineStr">
        <is>
          <t>SARASWATI DUST 250 GMS BOPP</t>
        </is>
      </c>
      <c r="F1576" s="7" t="n">
        <v>105</v>
      </c>
      <c r="G1576" s="7" t="inlineStr">
        <is>
          <t>POUCH</t>
        </is>
      </c>
      <c r="H1576" t="inlineStr">
        <is>
          <t>BLEND APKT (NEW)</t>
        </is>
      </c>
    </row>
    <row r="1577" ht="14.25" customHeight="1" s="5">
      <c r="A1577" s="7" t="n">
        <v>22454</v>
      </c>
      <c r="B1577" s="7" t="inlineStr">
        <is>
          <t>SARASWATI DUST A PKT [(5 X 20 X 250 GM)+(1 X 5 X 250 GM) LAMINATE POUCH] PP BAG-SP OFFER</t>
        </is>
      </c>
      <c r="C1577" s="7" t="inlineStr">
        <is>
          <t>SARASWATI</t>
        </is>
      </c>
      <c r="D1577" s="7" t="n">
        <v>19329</v>
      </c>
      <c r="E1577" s="7" t="inlineStr">
        <is>
          <t>SARASWATI DUST 250 GMS BOPP</t>
        </is>
      </c>
      <c r="F1577" s="7" t="n">
        <v>100</v>
      </c>
      <c r="G1577" s="7" t="inlineStr">
        <is>
          <t>POUCH</t>
        </is>
      </c>
      <c r="H1577" t="inlineStr">
        <is>
          <t>BLEND APKT (NEW)</t>
        </is>
      </c>
    </row>
    <row r="1578" ht="14.25" customHeight="1" s="5">
      <c r="A1578" s="7" t="n">
        <v>22454</v>
      </c>
      <c r="B1578" s="7" t="inlineStr">
        <is>
          <t>SARASWATI DUST A PKT [(5 X 20 X 250 GM)+(1 X 5 X 250 GM) LAMINATE POUCH] PP BAG-SP OFFER</t>
        </is>
      </c>
      <c r="C1578" s="7" t="inlineStr">
        <is>
          <t>SARASWATI</t>
        </is>
      </c>
      <c r="D1578" s="7" t="n">
        <v>19337</v>
      </c>
      <c r="E1578" s="7" t="inlineStr">
        <is>
          <t>SPHOORTI DUST 250 GMS POUCH</t>
        </is>
      </c>
      <c r="F1578" s="7" t="n">
        <v>5</v>
      </c>
      <c r="G1578" s="7" t="inlineStr">
        <is>
          <t>POUCH</t>
        </is>
      </c>
      <c r="H1578" t="inlineStr">
        <is>
          <t>BLEND A705(SARASWATI SPL DUST)</t>
        </is>
      </c>
    </row>
    <row r="1579" ht="14.25" customHeight="1" s="5">
      <c r="A1579" s="7" t="n">
        <v>28133</v>
      </c>
      <c r="B1579" s="7" t="inlineStr">
        <is>
          <t>SARASWATI DUST A PKT [12 X 1 KG LAMINATE POUCH] CFC CP OFFER</t>
        </is>
      </c>
      <c r="C1579" s="7" t="inlineStr">
        <is>
          <t>SARASWATI</t>
        </is>
      </c>
      <c r="D1579" s="7" t="n">
        <v>28132</v>
      </c>
      <c r="E1579" s="7" t="inlineStr">
        <is>
          <t>SARASWATI DUST A PKT 1 KG POUCH</t>
        </is>
      </c>
      <c r="F1579" s="7" t="n">
        <v>12</v>
      </c>
      <c r="G1579" s="7" t="inlineStr">
        <is>
          <t>POUCH</t>
        </is>
      </c>
      <c r="H1579" t="inlineStr">
        <is>
          <t>BLEND APKT (NEW)</t>
        </is>
      </c>
    </row>
    <row r="1580" ht="14.25" customHeight="1" s="5">
      <c r="A1580" s="7" t="n">
        <v>28135</v>
      </c>
      <c r="B1580" s="7" t="inlineStr">
        <is>
          <t>SARASWATI DUST A PKT [20 X 5 X 250 GM LAMINATE POUCH] PP BAG</t>
        </is>
      </c>
      <c r="C1580" s="7" t="inlineStr">
        <is>
          <t>SARASWATI</t>
        </is>
      </c>
      <c r="D1580" s="7" t="n">
        <v>19329</v>
      </c>
      <c r="E1580" s="7" t="inlineStr">
        <is>
          <t>SARASWATI DUST 250 GMS BOPP</t>
        </is>
      </c>
      <c r="F1580" s="7" t="n">
        <v>100</v>
      </c>
      <c r="G1580" s="7" t="inlineStr">
        <is>
          <t>POUCH</t>
        </is>
      </c>
      <c r="H1580" t="inlineStr">
        <is>
          <t>BLEND APKT (NEW)</t>
        </is>
      </c>
    </row>
    <row r="1581" ht="14.25" customHeight="1" s="5">
      <c r="A1581" s="7" t="n">
        <v>22600</v>
      </c>
      <c r="B1581" s="7" t="inlineStr">
        <is>
          <t>SARASWATI DUST A PKT [20 X 5 X 250 GM LAMINATE POUCH] PP BAG CP OFFER</t>
        </is>
      </c>
      <c r="C1581" s="7" t="inlineStr">
        <is>
          <t>SARASWATI</t>
        </is>
      </c>
      <c r="D1581" s="7" t="n">
        <v>22599</v>
      </c>
      <c r="E1581" s="7" t="inlineStr">
        <is>
          <t>SARASWATI DUST 250 GM CP OFFER POUCH</t>
        </is>
      </c>
      <c r="F1581" s="7" t="n">
        <v>100</v>
      </c>
      <c r="G1581" s="7" t="inlineStr">
        <is>
          <t>POUCH</t>
        </is>
      </c>
      <c r="H1581" t="inlineStr">
        <is>
          <t>BLEND APKT (NEW)</t>
        </is>
      </c>
    </row>
    <row r="1582" ht="14.25" customHeight="1" s="5">
      <c r="A1582" s="7" t="n">
        <v>22601</v>
      </c>
      <c r="B1582" s="7" t="inlineStr">
        <is>
          <t>SARASWATI DUST A PKT [48 X 250 GM LAMINATE POUCH] CFC CP OFFER</t>
        </is>
      </c>
      <c r="C1582" s="7" t="inlineStr">
        <is>
          <t>SARASWATI</t>
        </is>
      </c>
      <c r="D1582" s="7" t="n">
        <v>22599</v>
      </c>
      <c r="E1582" s="7" t="inlineStr">
        <is>
          <t>SARASWATI DUST 250 GM CP OFFER POUCH</t>
        </is>
      </c>
      <c r="F1582" s="7" t="n">
        <v>48</v>
      </c>
      <c r="G1582" s="7" t="inlineStr">
        <is>
          <t>POUCH</t>
        </is>
      </c>
      <c r="H1582" t="inlineStr">
        <is>
          <t>BLEND APKT (NEW)</t>
        </is>
      </c>
    </row>
    <row r="1583" ht="14.25" customHeight="1" s="5">
      <c r="A1583" s="7" t="n">
        <v>27136</v>
      </c>
      <c r="B1583" s="7" t="inlineStr">
        <is>
          <t>SARASWATI DUST A PKT [8 X 40 X 20 GM LAMINATE POUCH] CFC</t>
        </is>
      </c>
      <c r="C1583" s="7" t="inlineStr">
        <is>
          <t>SARASWATI</t>
        </is>
      </c>
      <c r="D1583" s="7" t="n">
        <v>27135</v>
      </c>
      <c r="E1583" s="7" t="inlineStr">
        <is>
          <t>SARASWATI DUST 20 GM POUCH</t>
        </is>
      </c>
      <c r="F1583" s="7" t="n">
        <v>320</v>
      </c>
      <c r="G1583" s="7" t="inlineStr">
        <is>
          <t>POUCH</t>
        </is>
      </c>
      <c r="H1583" t="inlineStr">
        <is>
          <t>BLEND A PKT</t>
        </is>
      </c>
    </row>
    <row r="1584" ht="14.25" customHeight="1" s="5">
      <c r="A1584" s="7" t="n">
        <v>32989</v>
      </c>
      <c r="B1584" s="7" t="inlineStr">
        <is>
          <t>SARASWATI DUST A705 ( 20 X 20 X 44 GM LAMINATE POUCH) PP NON WOVEN BAG</t>
        </is>
      </c>
      <c r="C1584" s="7" t="inlineStr">
        <is>
          <t>SARASWATI</t>
        </is>
      </c>
      <c r="D1584" s="7" t="n">
        <v>32988</v>
      </c>
      <c r="E1584" s="7" t="inlineStr">
        <is>
          <t>SARASWATI DUST A705 44 GM LAMINATE POUCH</t>
        </is>
      </c>
      <c r="F1584" s="7" t="n">
        <v>400</v>
      </c>
      <c r="G1584" s="7" t="inlineStr">
        <is>
          <t>POUCH</t>
        </is>
      </c>
      <c r="H1584" t="inlineStr">
        <is>
          <t>BLEND A705(SARASWATI SPL DUST)</t>
        </is>
      </c>
    </row>
    <row r="1585" ht="14.25" customHeight="1" s="5">
      <c r="A1585" s="7" t="n">
        <v>26806</v>
      </c>
      <c r="B1585" s="7" t="inlineStr">
        <is>
          <t>SARASWATI DUST A705 [(16 X 10 X 100 GM)+(16 X 10 X 30 GM) LAMINATE POUCH] PP BAG-SP OFFER</t>
        </is>
      </c>
      <c r="C1585" s="7" t="inlineStr">
        <is>
          <t>SARASWATI</t>
        </is>
      </c>
      <c r="D1585" s="7" t="n">
        <v>19358</v>
      </c>
      <c r="E1585" s="7" t="inlineStr">
        <is>
          <t>SPHOORTI LEAF 30 GMS POUCH</t>
        </is>
      </c>
      <c r="F1585" s="7" t="n">
        <v>160</v>
      </c>
      <c r="G1585" s="7" t="inlineStr">
        <is>
          <t>POUCH</t>
        </is>
      </c>
      <c r="H1585" t="inlineStr">
        <is>
          <t>BLEND RC-TPM</t>
        </is>
      </c>
    </row>
    <row r="1586" ht="14.25" customHeight="1" s="5">
      <c r="A1586" s="7" t="n">
        <v>26806</v>
      </c>
      <c r="B1586" s="7" t="inlineStr">
        <is>
          <t>SARASWATI DUST A705 [(16 X 10 X 100 GM)+(16 X 10 X 30 GM) LAMINATE POUCH] PP BAG-SP OFFER</t>
        </is>
      </c>
      <c r="C1586" s="7" t="inlineStr">
        <is>
          <t>SARASWATI</t>
        </is>
      </c>
      <c r="D1586" s="7" t="n">
        <v>19350</v>
      </c>
      <c r="E1586" s="7" t="inlineStr">
        <is>
          <t>SARASWATI DUST 100 GMS POUCH</t>
        </is>
      </c>
      <c r="F1586" s="7" t="n">
        <v>160</v>
      </c>
      <c r="G1586" s="7" t="inlineStr">
        <is>
          <t>POUCH</t>
        </is>
      </c>
      <c r="H1586" t="inlineStr">
        <is>
          <t>BLEND A705(SARASWATI SPL DUST)</t>
        </is>
      </c>
    </row>
    <row r="1587" ht="14.25" customHeight="1" s="5">
      <c r="A1587" s="7" t="n">
        <v>22275</v>
      </c>
      <c r="B1587" s="7" t="inlineStr">
        <is>
          <t>SARASWATI DUST A705 [(18 X 10 X 100 GM)+(18 X 10 X 30 GM) LAMINATE POUCH] PP BAG-CP OFFER</t>
        </is>
      </c>
      <c r="C1587" s="7" t="inlineStr">
        <is>
          <t>SARASWATI</t>
        </is>
      </c>
      <c r="D1587" s="7" t="n">
        <v>19350</v>
      </c>
      <c r="E1587" s="7" t="inlineStr">
        <is>
          <t>SARASWATI DUST 100 GMS POUCH</t>
        </is>
      </c>
      <c r="F1587" s="7" t="n">
        <v>180</v>
      </c>
      <c r="G1587" s="7" t="inlineStr">
        <is>
          <t>POUCH</t>
        </is>
      </c>
      <c r="H1587" t="inlineStr">
        <is>
          <t>BLEND A705(SARASWATI SPL DUST)</t>
        </is>
      </c>
    </row>
    <row r="1588" ht="14.25" customHeight="1" s="5">
      <c r="A1588" s="7" t="n">
        <v>22275</v>
      </c>
      <c r="B1588" s="7" t="inlineStr">
        <is>
          <t>SARASWATI DUST A705 [(18 X 10 X 100 GM)+(18 X 10 X 30 GM) LAMINATE POUCH] PP BAG-CP OFFER</t>
        </is>
      </c>
      <c r="C1588" s="7" t="inlineStr">
        <is>
          <t>SARASWATI</t>
        </is>
      </c>
      <c r="D1588" s="7" t="n">
        <v>19357</v>
      </c>
      <c r="E1588" s="7" t="inlineStr">
        <is>
          <t>SPHOORTI DUST 30 GMS POUCH</t>
        </is>
      </c>
      <c r="F1588" s="7" t="n">
        <v>180</v>
      </c>
      <c r="G1588" s="7" t="inlineStr">
        <is>
          <t>POUCH</t>
        </is>
      </c>
      <c r="H1588" t="inlineStr">
        <is>
          <t>BLEND STD 7005</t>
        </is>
      </c>
    </row>
    <row r="1589" ht="14.25" customHeight="1" s="5">
      <c r="A1589" s="7" t="n">
        <v>20749</v>
      </c>
      <c r="B1589" s="7" t="inlineStr">
        <is>
          <t>SARASWATI DUST A705 [3 X 5 X 30 X 26 GM LAMINATE POUCH] PP OLD BAG</t>
        </is>
      </c>
      <c r="C1589" s="7" t="inlineStr">
        <is>
          <t>SARASWATI</t>
        </is>
      </c>
      <c r="D1589" s="7" t="n">
        <v>20751</v>
      </c>
      <c r="E1589" s="7" t="inlineStr">
        <is>
          <t>SARASWATI DUST A705(SARASWATI SPL DUST) 26 GMS POUCH</t>
        </is>
      </c>
      <c r="F1589" s="7" t="n">
        <v>450</v>
      </c>
      <c r="G1589" s="7" t="inlineStr">
        <is>
          <t>POUCH</t>
        </is>
      </c>
      <c r="H1589" t="inlineStr">
        <is>
          <t>BLEND STD 7005</t>
        </is>
      </c>
    </row>
    <row r="1590" ht="14.25" customHeight="1" s="5">
      <c r="A1590" s="7" t="n">
        <v>20748</v>
      </c>
      <c r="B1590" s="7" t="inlineStr">
        <is>
          <t>SARASWATI DUST A705 [3 X 5 X 60 X 13 GM LAMINATE POUCH]  PP OLD BAG</t>
        </is>
      </c>
      <c r="C1590" s="7" t="inlineStr">
        <is>
          <t>SARASWATI</t>
        </is>
      </c>
      <c r="D1590" s="7" t="n">
        <v>20750</v>
      </c>
      <c r="E1590" s="7" t="inlineStr">
        <is>
          <t>SARASWATI DUST A705(SARASWATI SPL DUST) 13 GMS POUCH</t>
        </is>
      </c>
      <c r="F1590" s="7" t="n">
        <v>900</v>
      </c>
      <c r="G1590" s="7" t="inlineStr">
        <is>
          <t>POUCH</t>
        </is>
      </c>
      <c r="H1590" t="inlineStr">
        <is>
          <t>BLEND STD 7005</t>
        </is>
      </c>
    </row>
    <row r="1591" ht="14.25" customHeight="1" s="5">
      <c r="A1591" s="7" t="n">
        <v>33899</v>
      </c>
      <c r="B1591" s="7" t="inlineStr">
        <is>
          <t>SARASWATI DUST A705(SARASWATI SPL DUST) [ 24 X 10 X 100 GM LAMINATE POUCH] PP BAG BATTERY OFFER</t>
        </is>
      </c>
      <c r="C1591" s="7" t="inlineStr">
        <is>
          <t>SARASWATI</t>
        </is>
      </c>
      <c r="D1591" s="7" t="n">
        <v>19350</v>
      </c>
      <c r="E1591" s="7" t="inlineStr">
        <is>
          <t>SARASWATI DUST 100 GMS POUCH</t>
        </is>
      </c>
      <c r="F1591" s="7" t="n">
        <v>240</v>
      </c>
      <c r="G1591" s="7" t="inlineStr">
        <is>
          <t>POUCH</t>
        </is>
      </c>
      <c r="H1591" t="inlineStr">
        <is>
          <t>BLEND A705(SARASWATI SPL DUST)</t>
        </is>
      </c>
    </row>
    <row r="1592" ht="14.25" customHeight="1" s="5">
      <c r="A1592" s="7" t="n">
        <v>32336</v>
      </c>
      <c r="B1592" s="7" t="inlineStr">
        <is>
          <t>SARASWATI DUST A705(SARASWATI SPL DUST) [20 X 10 X 100 GM LAMINATE POUCH] PP BAG CP OFFER</t>
        </is>
      </c>
      <c r="C1592" s="7" t="inlineStr">
        <is>
          <t>SARASWATI</t>
        </is>
      </c>
      <c r="D1592" s="7" t="n">
        <v>19350</v>
      </c>
      <c r="E1592" s="7" t="inlineStr">
        <is>
          <t>SARASWATI DUST 100 GMS POUCH</t>
        </is>
      </c>
      <c r="F1592" s="7" t="n">
        <v>200</v>
      </c>
      <c r="G1592" s="7" t="inlineStr">
        <is>
          <t>POUCH</t>
        </is>
      </c>
      <c r="H1592" t="inlineStr">
        <is>
          <t>BLEND A705(SARASWATI SPL DUST)</t>
        </is>
      </c>
    </row>
    <row r="1593" ht="14.25" customHeight="1" s="5">
      <c r="A1593" s="7" t="n">
        <v>32766</v>
      </c>
      <c r="B1593" s="7" t="inlineStr">
        <is>
          <t>SARASWATI DUST APKT (NEW) [(20 X 5 X 250 GM)+(40 X 5 X 20 GM) LAMINATE POUCH] PP BAG CP OFFER</t>
        </is>
      </c>
      <c r="C1593" s="7" t="inlineStr">
        <is>
          <t>SARASWATI</t>
        </is>
      </c>
      <c r="D1593" s="7" t="n">
        <v>28062</v>
      </c>
      <c r="E1593" s="7" t="inlineStr">
        <is>
          <t>SARASWATI DUST APKT (NEW) 250 GM POUCH</t>
        </is>
      </c>
      <c r="F1593" s="7" t="n">
        <v>100</v>
      </c>
      <c r="G1593" s="7" t="inlineStr">
        <is>
          <t>POUCH</t>
        </is>
      </c>
      <c r="H1593" t="inlineStr">
        <is>
          <t>BLEND APKT (NEW)</t>
        </is>
      </c>
    </row>
    <row r="1594" ht="14.25" customHeight="1" s="5">
      <c r="A1594" s="7" t="n">
        <v>32766</v>
      </c>
      <c r="B1594" s="7" t="inlineStr">
        <is>
          <t>SARASWATI DUST APKT (NEW) [(20 X 5 X 250 GM)+(40 X 5 X 20 GM) LAMINATE POUCH] PP BAG CP OFFER</t>
        </is>
      </c>
      <c r="C1594" s="7" t="inlineStr">
        <is>
          <t>SARASWATI</t>
        </is>
      </c>
      <c r="D1594" s="7" t="n">
        <v>32709</v>
      </c>
      <c r="E1594" s="7" t="inlineStr">
        <is>
          <t>SARASWATI GOLD DUST APKT+ 20 GM LAMINATE POUCH</t>
        </is>
      </c>
      <c r="F1594" s="7" t="n">
        <v>200</v>
      </c>
      <c r="G1594" s="7" t="inlineStr">
        <is>
          <t>POUCH</t>
        </is>
      </c>
      <c r="H1594" t="inlineStr">
        <is>
          <t>BLEND APKT+</t>
        </is>
      </c>
    </row>
    <row r="1595" ht="14.25" customHeight="1" s="5">
      <c r="A1595" s="7" t="n">
        <v>35827</v>
      </c>
      <c r="B1595" s="7" t="inlineStr">
        <is>
          <t>SARASWATI DUST APKT (NEW) [(24 X 4 X 250 GM)+(48 X 4 X 20 GM) LAMINATE POUCH] PP BAG GOLD OFFER</t>
        </is>
      </c>
      <c r="C1595" s="7" t="inlineStr">
        <is>
          <t>SARASWATI</t>
        </is>
      </c>
      <c r="D1595" s="7" t="n">
        <v>28062</v>
      </c>
      <c r="E1595" s="7" t="inlineStr">
        <is>
          <t>SARASWATI DUST APKT (NEW) 250 GM POUCH</t>
        </is>
      </c>
      <c r="F1595" s="7" t="n">
        <v>96</v>
      </c>
      <c r="G1595" s="7" t="inlineStr">
        <is>
          <t>POUCH</t>
        </is>
      </c>
      <c r="H1595" t="inlineStr">
        <is>
          <t>BLEND APKT (NEW)</t>
        </is>
      </c>
    </row>
    <row r="1596" ht="14.25" customHeight="1" s="5">
      <c r="A1596" s="7" t="n">
        <v>35827</v>
      </c>
      <c r="B1596" s="7" t="inlineStr">
        <is>
          <t>SARASWATI DUST APKT (NEW) [(24 X 4 X 250 GM)+(48 X 4 X 20 GM) LAMINATE POUCH] PP BAG GOLD OFFER</t>
        </is>
      </c>
      <c r="C1596" s="7" t="inlineStr">
        <is>
          <t>SARASWATI</t>
        </is>
      </c>
      <c r="D1596" s="7" t="n">
        <v>32709</v>
      </c>
      <c r="E1596" s="7" t="inlineStr">
        <is>
          <t>SARASWATI GOLD DUST APKT+ 20 GM LAMINATE POUCH</t>
        </is>
      </c>
      <c r="F1596" s="7" t="n">
        <v>192</v>
      </c>
      <c r="G1596" s="7" t="inlineStr">
        <is>
          <t>POUCH</t>
        </is>
      </c>
      <c r="H1596" t="inlineStr">
        <is>
          <t>BLEND APKT+</t>
        </is>
      </c>
    </row>
    <row r="1597" ht="14.25" customHeight="1" s="5">
      <c r="A1597" s="7" t="n">
        <v>28705</v>
      </c>
      <c r="B1597" s="7" t="inlineStr">
        <is>
          <t>SARASWATI DUST APKT (NEW) [12 X 1 KG LAMINATE POUCH] CFC</t>
        </is>
      </c>
      <c r="C1597" s="7" t="inlineStr">
        <is>
          <t>SARASWATI</t>
        </is>
      </c>
      <c r="D1597" s="7" t="n">
        <v>28704</v>
      </c>
      <c r="E1597" s="7" t="inlineStr">
        <is>
          <t>SARASWATI DUST APKT (NEW) 1 KG POUCH</t>
        </is>
      </c>
      <c r="F1597" s="7" t="n">
        <v>12</v>
      </c>
      <c r="G1597" s="7" t="inlineStr">
        <is>
          <t>POUCH</t>
        </is>
      </c>
      <c r="H1597" t="inlineStr">
        <is>
          <t>BLEND APKT (NEW)</t>
        </is>
      </c>
    </row>
    <row r="1598" ht="14.25" customHeight="1" s="5">
      <c r="A1598" s="7" t="n">
        <v>28178</v>
      </c>
      <c r="B1598" s="7" t="inlineStr">
        <is>
          <t>SARASWATI DUST APKT (NEW) [20 X 5 X 250 GM LAMINATE POUCH] PP BAG</t>
        </is>
      </c>
      <c r="C1598" s="7" t="inlineStr">
        <is>
          <t>SARASWATI</t>
        </is>
      </c>
      <c r="D1598" s="7" t="n">
        <v>28062</v>
      </c>
      <c r="E1598" s="7" t="inlineStr">
        <is>
          <t>SARASWATI DUST APKT (NEW) 250 GM POUCH</t>
        </is>
      </c>
      <c r="F1598" s="7" t="n">
        <v>100</v>
      </c>
      <c r="G1598" s="7" t="inlineStr">
        <is>
          <t>POUCH</t>
        </is>
      </c>
      <c r="H1598" t="inlineStr">
        <is>
          <t>BLEND APKT (NEW)</t>
        </is>
      </c>
    </row>
    <row r="1599" ht="14.25" customHeight="1" s="5">
      <c r="A1599" s="7" t="n">
        <v>28063</v>
      </c>
      <c r="B1599" s="7" t="inlineStr">
        <is>
          <t>SARASWATI DUST APKT (NEW) [20 X 5 X 250 GM LAMINATE POUCH] PP BAG CP OFFER</t>
        </is>
      </c>
      <c r="C1599" s="7" t="inlineStr">
        <is>
          <t>SARASWATI</t>
        </is>
      </c>
      <c r="D1599" s="7" t="n">
        <v>28062</v>
      </c>
      <c r="E1599" s="7" t="inlineStr">
        <is>
          <t>SARASWATI DUST APKT (NEW) 250 GM POUCH</t>
        </is>
      </c>
      <c r="F1599" s="7" t="n">
        <v>100</v>
      </c>
      <c r="G1599" s="7" t="inlineStr">
        <is>
          <t>POUCH</t>
        </is>
      </c>
      <c r="H1599" t="inlineStr">
        <is>
          <t>BLEND APKT (NEW)</t>
        </is>
      </c>
    </row>
    <row r="1600" ht="14.25" customHeight="1" s="5">
      <c r="A1600" s="7" t="n">
        <v>33964</v>
      </c>
      <c r="B1600" s="7" t="inlineStr">
        <is>
          <t>SARASWATI DUST APKT (NEW) [20 X 5 X 250 GM LAMINATE POUCH] PP BAG SCRATCH CARD OFFER</t>
        </is>
      </c>
      <c r="C1600" s="7" t="inlineStr">
        <is>
          <t>SARASWATI</t>
        </is>
      </c>
      <c r="D1600" s="7" t="n">
        <v>33952</v>
      </c>
      <c r="E1600" s="7" t="inlineStr">
        <is>
          <t>SARASWATI DUST APKT (NEW) 250 GM POUCH SCRATCH CARD OFFER</t>
        </is>
      </c>
      <c r="F1600" s="7" t="n">
        <v>100</v>
      </c>
      <c r="G1600" s="7" t="inlineStr">
        <is>
          <t>POUCH</t>
        </is>
      </c>
      <c r="H1600" t="inlineStr">
        <is>
          <t>BLEND APKT (NEW)</t>
        </is>
      </c>
    </row>
    <row r="1601" ht="14.25" customHeight="1" s="5">
      <c r="A1601" s="7" t="n">
        <v>34665</v>
      </c>
      <c r="B1601" s="7" t="inlineStr">
        <is>
          <t>SARASWATI DUST APKT (NEW) [24 X 1 KG LAMINATE POUCH] CFC</t>
        </is>
      </c>
      <c r="C1601" s="7" t="inlineStr">
        <is>
          <t>SARASWATI</t>
        </is>
      </c>
      <c r="D1601" s="7" t="n">
        <v>28704</v>
      </c>
      <c r="E1601" s="7" t="inlineStr">
        <is>
          <t>SARASWATI DUST APKT (NEW) 1 KG POUCH</t>
        </is>
      </c>
      <c r="F1601" s="7" t="n">
        <v>24</v>
      </c>
      <c r="G1601" s="7" t="inlineStr">
        <is>
          <t>POUCH</t>
        </is>
      </c>
      <c r="H1601" t="inlineStr">
        <is>
          <t>BLEND APKT (NEW)</t>
        </is>
      </c>
    </row>
    <row r="1602" ht="14.25" customHeight="1" s="5">
      <c r="A1602" s="7" t="n">
        <v>34800</v>
      </c>
      <c r="B1602" s="7" t="inlineStr">
        <is>
          <t>SARASWATI DUST APKT (NEW) [24 X 5 X 250 GM LAMINATE POUCH] PP BAG CP OFFER</t>
        </is>
      </c>
      <c r="C1602" s="7" t="inlineStr">
        <is>
          <t>SARASWATI</t>
        </is>
      </c>
      <c r="D1602" s="7" t="n">
        <v>28062</v>
      </c>
      <c r="E1602" s="7" t="inlineStr">
        <is>
          <t>SARASWATI DUST APKT (NEW) 250 GM POUCH</t>
        </is>
      </c>
      <c r="F1602" s="7" t="n">
        <v>120</v>
      </c>
      <c r="G1602" s="7" t="inlineStr">
        <is>
          <t>POUCH</t>
        </is>
      </c>
      <c r="H1602" t="inlineStr">
        <is>
          <t>BLEND APKT (NEW)</t>
        </is>
      </c>
    </row>
    <row r="1603" ht="14.25" customHeight="1" s="5">
      <c r="A1603" s="7" t="n">
        <v>29490</v>
      </c>
      <c r="B1603" s="7" t="inlineStr">
        <is>
          <t>SARASWATI DUST APKT (NEW) [48 X 250 GM LAMINATE POUCH] CFC</t>
        </is>
      </c>
      <c r="C1603" s="7" t="inlineStr">
        <is>
          <t>SARASWATI</t>
        </is>
      </c>
      <c r="D1603" s="7" t="n">
        <v>28062</v>
      </c>
      <c r="E1603" s="7" t="inlineStr">
        <is>
          <t>SARASWATI DUST APKT (NEW) 250 GM POUCH</t>
        </is>
      </c>
      <c r="F1603" s="7" t="n">
        <v>48</v>
      </c>
      <c r="G1603" s="7" t="inlineStr">
        <is>
          <t>POUCH</t>
        </is>
      </c>
      <c r="H1603" t="inlineStr">
        <is>
          <t>BLEND APKT (NEW)</t>
        </is>
      </c>
    </row>
    <row r="1604" ht="14.25" customHeight="1" s="5">
      <c r="A1604" s="7" t="n">
        <v>34992</v>
      </c>
      <c r="B1604" s="7" t="inlineStr">
        <is>
          <t>SARASWATI DUST APKT (NEW) [5 X 24 X 250 GM LAMINATE POUCH] PP BAG SCRATCH CARD OFFER</t>
        </is>
      </c>
      <c r="C1604" s="7" t="inlineStr">
        <is>
          <t>SARASWATI</t>
        </is>
      </c>
      <c r="D1604" s="7" t="n">
        <v>33952</v>
      </c>
      <c r="E1604" s="7" t="inlineStr">
        <is>
          <t>SARASWATI DUST APKT (NEW) 250 GM POUCH SCRATCH CARD OFFER</t>
        </is>
      </c>
      <c r="F1604" s="7" t="n">
        <v>120</v>
      </c>
      <c r="G1604" s="7" t="inlineStr">
        <is>
          <t>POUCH</t>
        </is>
      </c>
      <c r="H1604" t="inlineStr">
        <is>
          <t>BLEND APKT (NEW)</t>
        </is>
      </c>
    </row>
    <row r="1605" ht="14.25" customHeight="1" s="5">
      <c r="A1605" s="7" t="n">
        <v>32775</v>
      </c>
      <c r="B1605" s="7" t="inlineStr">
        <is>
          <t>SARASWATI DUST APKT(NEW) [(20 X 5 X 250 GM)+(1 X 5 X 250 GM) LAMINATE POUCH] PP BAG TRADE OFFER</t>
        </is>
      </c>
      <c r="C1605" s="7" t="inlineStr">
        <is>
          <t>SARASWATI</t>
        </is>
      </c>
      <c r="D1605" s="7" t="n">
        <v>28062</v>
      </c>
      <c r="E1605" s="7" t="inlineStr">
        <is>
          <t>SARASWATI DUST APKT (NEW) 250 GM POUCH</t>
        </is>
      </c>
      <c r="F1605" s="7" t="n">
        <v>100</v>
      </c>
      <c r="G1605" s="7" t="inlineStr">
        <is>
          <t>POUCH</t>
        </is>
      </c>
      <c r="H1605" t="inlineStr">
        <is>
          <t>BLEND APKT (NEW)</t>
        </is>
      </c>
    </row>
    <row r="1606" ht="14.25" customHeight="1" s="5">
      <c r="A1606" s="7" t="n">
        <v>32775</v>
      </c>
      <c r="B1606" s="7" t="inlineStr">
        <is>
          <t>SARASWATI DUST APKT(NEW) [(20 X 5 X 250 GM)+(1 X 5 X 250 GM) LAMINATE POUCH] PP BAG TRADE OFFER</t>
        </is>
      </c>
      <c r="C1606" s="7" t="inlineStr">
        <is>
          <t>SARASWATI</t>
        </is>
      </c>
      <c r="D1606" s="7" t="n">
        <v>31036</v>
      </c>
      <c r="E1606" s="7" t="inlineStr">
        <is>
          <t>SARASWATI GOLDL DUST APKT+ 250 GM POUCH</t>
        </is>
      </c>
      <c r="F1606" s="7" t="n">
        <v>5</v>
      </c>
      <c r="G1606" s="7" t="inlineStr">
        <is>
          <t>POUCH</t>
        </is>
      </c>
      <c r="H1606" t="inlineStr">
        <is>
          <t>BLEND APKT+</t>
        </is>
      </c>
    </row>
    <row r="1607" ht="14.25" customHeight="1" s="5">
      <c r="A1607" s="7" t="n">
        <v>32912</v>
      </c>
      <c r="B1607" s="7" t="inlineStr">
        <is>
          <t>SARASWATI DUST APKT(NEW) [(20 X 5 X 250 GM)+(1 X 5 X 250 GM) LAMINATE POUCH] PP BAG-TRADE OFFER</t>
        </is>
      </c>
      <c r="C1607" s="7" t="inlineStr">
        <is>
          <t>SARASWATI</t>
        </is>
      </c>
      <c r="D1607" s="7" t="n">
        <v>28062</v>
      </c>
      <c r="E1607" s="7" t="inlineStr">
        <is>
          <t>SARASWATI DUST APKT (NEW) 250 GM POUCH</t>
        </is>
      </c>
      <c r="F1607" s="7" t="n">
        <v>100</v>
      </c>
      <c r="G1607" s="7" t="inlineStr">
        <is>
          <t>POUCH</t>
        </is>
      </c>
      <c r="H1607" t="inlineStr">
        <is>
          <t>BLEND APKT (NEW)</t>
        </is>
      </c>
    </row>
    <row r="1608" ht="14.25" customHeight="1" s="5">
      <c r="A1608" s="7" t="n">
        <v>32912</v>
      </c>
      <c r="B1608" s="7" t="inlineStr">
        <is>
          <t>SARASWATI DUST APKT(NEW) [(20 X 5 X 250 GM)+(1 X 5 X 250 GM) LAMINATE POUCH] PP BAG-TRADE OFFER</t>
        </is>
      </c>
      <c r="C1608" s="7" t="inlineStr">
        <is>
          <t>SARASWATI</t>
        </is>
      </c>
      <c r="D1608" s="7" t="n">
        <v>31036</v>
      </c>
      <c r="E1608" s="7" t="inlineStr">
        <is>
          <t>SARASWATI GOLDL DUST APKT+ 250 GM POUCH</t>
        </is>
      </c>
      <c r="F1608" s="7" t="n">
        <v>5</v>
      </c>
      <c r="G1608" s="7" t="inlineStr">
        <is>
          <t>POUCH</t>
        </is>
      </c>
      <c r="H1608" t="inlineStr">
        <is>
          <t>BLEND APKT+</t>
        </is>
      </c>
    </row>
    <row r="1609" ht="14.25" customHeight="1" s="5">
      <c r="A1609" s="7" t="n">
        <v>35480</v>
      </c>
      <c r="B1609" s="7" t="inlineStr">
        <is>
          <t>SARASWATI DUST KOLHAPUR [ 24 X 10 X 100 GM LAMINATE POUCH] PP BAG BATTERY OFFER</t>
        </is>
      </c>
      <c r="C1609" s="7" t="inlineStr">
        <is>
          <t>SARASWATI</t>
        </is>
      </c>
      <c r="D1609" s="7" t="n">
        <v>35479</v>
      </c>
      <c r="E1609" s="7" t="inlineStr">
        <is>
          <t>SARASWATI DUST KOLHAPUR 100 GM POUCH</t>
        </is>
      </c>
      <c r="F1609" s="7" t="n">
        <v>240</v>
      </c>
      <c r="G1609" s="7" t="inlineStr">
        <is>
          <t>POUCH</t>
        </is>
      </c>
      <c r="H1609" t="inlineStr">
        <is>
          <t>BLEND SARASWATI DUST KOLAHPUR</t>
        </is>
      </c>
    </row>
    <row r="1610" ht="14.25" customHeight="1" s="5">
      <c r="A1610" s="7" t="n">
        <v>35478</v>
      </c>
      <c r="B1610" s="7" t="inlineStr">
        <is>
          <t>SARASWATI DUST KOLHAPUR [24 X 1 KG LAMINATE POUCH] CFC CP OFFER</t>
        </is>
      </c>
      <c r="C1610" s="7" t="inlineStr">
        <is>
          <t>SARASWATI</t>
        </is>
      </c>
      <c r="D1610" s="7" t="n">
        <v>35477</v>
      </c>
      <c r="E1610" s="7" t="inlineStr">
        <is>
          <t>SARASWATI DUST KOLHAPUR 1 KG POUCH</t>
        </is>
      </c>
      <c r="F1610" s="7" t="n">
        <v>24</v>
      </c>
      <c r="G1610" s="7" t="inlineStr">
        <is>
          <t>POUCH</t>
        </is>
      </c>
      <c r="H1610" t="inlineStr">
        <is>
          <t>BLEND SARASWATI DUST KOLAHPUR</t>
        </is>
      </c>
    </row>
    <row r="1611" ht="14.25" customHeight="1" s="5">
      <c r="A1611" s="7" t="n">
        <v>35036</v>
      </c>
      <c r="B1611" s="7" t="inlineStr">
        <is>
          <t>SARASWATI DUST KOLHAPUR [5 X 24 X 250 GM LAMINATE POUCH] PP BAG</t>
        </is>
      </c>
      <c r="C1611" s="7" t="inlineStr">
        <is>
          <t>SARASWATI</t>
        </is>
      </c>
      <c r="D1611" s="7" t="n">
        <v>35035</v>
      </c>
      <c r="E1611" s="7" t="inlineStr">
        <is>
          <t>SARASWATI DUST KOLAHPUR 250 GM POUCH</t>
        </is>
      </c>
      <c r="F1611" s="7" t="n">
        <v>120</v>
      </c>
      <c r="G1611" s="7" t="inlineStr">
        <is>
          <t>POUCH</t>
        </is>
      </c>
      <c r="H1611" t="inlineStr">
        <is>
          <t>BLEND SARASWATI DUST KOLAHPUR</t>
        </is>
      </c>
    </row>
    <row r="1612" ht="14.25" customHeight="1" s="5">
      <c r="A1612" s="7" t="n">
        <v>35155</v>
      </c>
      <c r="B1612" s="7" t="inlineStr">
        <is>
          <t>SARASWATI DUST KOLHAPUR [8 X 40 X 20 GM LAMINATE POUCH] CFC</t>
        </is>
      </c>
      <c r="C1612" s="7" t="inlineStr">
        <is>
          <t>SARASWATI</t>
        </is>
      </c>
      <c r="D1612" s="7" t="n">
        <v>35154</v>
      </c>
      <c r="E1612" s="7" t="inlineStr">
        <is>
          <t>SARASWATI DUST KOLAHPUR 20 GM POUCH</t>
        </is>
      </c>
      <c r="F1612" s="7" t="n">
        <v>320</v>
      </c>
      <c r="G1612" s="7" t="inlineStr">
        <is>
          <t>POUCH</t>
        </is>
      </c>
      <c r="H1612" t="inlineStr">
        <is>
          <t>BLEND SARASWATI DUST KOLAHPUR</t>
        </is>
      </c>
    </row>
    <row r="1613" ht="14.25" customHeight="1" s="5">
      <c r="A1613" s="7" t="n">
        <v>33528</v>
      </c>
      <c r="B1613" s="7" t="inlineStr">
        <is>
          <t>SARASWATI DUST STD 7005 [(3 X 10 X 30 X 22 GM) LAMINATE POUCH] PP OLD BAG</t>
        </is>
      </c>
      <c r="C1613" s="7" t="inlineStr">
        <is>
          <t>SARASWATI</t>
        </is>
      </c>
      <c r="D1613" s="7" t="n">
        <v>32300</v>
      </c>
      <c r="E1613" s="7" t="inlineStr">
        <is>
          <t>SARASWATI DUST STD 7005 22 GM POUCH</t>
        </is>
      </c>
      <c r="F1613" s="7" t="n">
        <v>900</v>
      </c>
      <c r="G1613" s="7" t="inlineStr">
        <is>
          <t>POUCH</t>
        </is>
      </c>
      <c r="H1613" t="inlineStr">
        <is>
          <t>BLEND STD 7005</t>
        </is>
      </c>
    </row>
    <row r="1614" ht="14.25" customHeight="1" s="5">
      <c r="A1614" s="7" t="n">
        <v>20076</v>
      </c>
      <c r="B1614" s="7" t="inlineStr">
        <is>
          <t>SARASWATI DUST STD 7005 [20 X 30 X 30 GM LAMINATE POUCH] OLD PP BAG</t>
        </is>
      </c>
      <c r="C1614" s="7" t="inlineStr">
        <is>
          <t>SARASWATI</t>
        </is>
      </c>
      <c r="D1614" s="7" t="n">
        <v>19353</v>
      </c>
      <c r="E1614" s="7" t="inlineStr">
        <is>
          <t>SARASWATI DUST 30 GMS POUCH</t>
        </is>
      </c>
      <c r="F1614" s="7" t="n">
        <v>600</v>
      </c>
      <c r="G1614" s="7" t="inlineStr">
        <is>
          <t>POUCH</t>
        </is>
      </c>
      <c r="H1614" t="inlineStr">
        <is>
          <t>BLEND STD 7005</t>
        </is>
      </c>
    </row>
    <row r="1615" ht="14.25" customHeight="1" s="5">
      <c r="A1615" s="7" t="n">
        <v>31503</v>
      </c>
      <c r="B1615" s="7" t="inlineStr">
        <is>
          <t>SARASWATI ELAICHI LEAF BLACK TEA SARASWATI ELAICHI PKT [48 X 250 GM LAMINATE POUCH] CFC</t>
        </is>
      </c>
      <c r="C1615" s="7" t="inlineStr">
        <is>
          <t>SARASWATI</t>
        </is>
      </c>
      <c r="D1615" s="7" t="n">
        <v>31501</v>
      </c>
      <c r="E1615" s="7" t="inlineStr">
        <is>
          <t>SARASWATI ELAICHI LEAF BLACK TEA SARASWATI ELAICHI PKT 250 GM POUCH</t>
        </is>
      </c>
      <c r="F1615" s="7" t="n">
        <v>48</v>
      </c>
      <c r="G1615" s="7" t="inlineStr">
        <is>
          <t>POUCH</t>
        </is>
      </c>
      <c r="H1615" t="inlineStr">
        <is>
          <t>BLEND BLACK TEA SARASWATI ELAICHI PKT</t>
        </is>
      </c>
    </row>
    <row r="1616" ht="14.25" customHeight="1" s="5">
      <c r="A1616" s="7" t="n">
        <v>31647</v>
      </c>
      <c r="B1616" s="7" t="inlineStr">
        <is>
          <t>SARASWATI ELAICHI LEAF BLACK TEA SARASWATI ELAICHI PKT  [8 X 40 X 20 GM LAMINATE POUCH] CFC</t>
        </is>
      </c>
      <c r="C1616" s="7" t="inlineStr">
        <is>
          <t>SARASWATI</t>
        </is>
      </c>
      <c r="D1616" s="7" t="n">
        <v>31646</v>
      </c>
      <c r="E1616" s="7" t="inlineStr">
        <is>
          <t>SARASWATI ELAICHI LEAF BLACK TEA SARASWATI ELAICHI PKT 20 GM POUCH</t>
        </is>
      </c>
      <c r="F1616" s="7" t="n">
        <v>320</v>
      </c>
      <c r="G1616" s="7" t="inlineStr">
        <is>
          <t>POUCH</t>
        </is>
      </c>
      <c r="H1616" t="inlineStr">
        <is>
          <t>BLEND BLACK TEA SARASWATI ELAICHI PKT</t>
        </is>
      </c>
    </row>
    <row r="1617" ht="14.25" customHeight="1" s="5">
      <c r="A1617" s="7" t="n">
        <v>36012</v>
      </c>
      <c r="B1617" s="7" t="inlineStr">
        <is>
          <t>SARASWATI ELAICHI LEAF SARASWATI ELAICHI PKT [12 X 8 X 250 GM LAMINATE POUCH] PP BAG</t>
        </is>
      </c>
      <c r="C1617" s="7" t="inlineStr">
        <is>
          <t>SARASWATI</t>
        </is>
      </c>
      <c r="D1617" s="7" t="n">
        <v>31501</v>
      </c>
      <c r="E1617" s="7" t="inlineStr">
        <is>
          <t>SARASWATI ELAICHI LEAF BLACK TEA SARASWATI ELAICHI PKT 250 GM POUCH</t>
        </is>
      </c>
      <c r="F1617" s="7" t="n">
        <v>96</v>
      </c>
      <c r="G1617" s="7" t="inlineStr">
        <is>
          <t>POUCH</t>
        </is>
      </c>
      <c r="H1617" t="inlineStr">
        <is>
          <t>BLEND BLACK TEA SARASWATI ELAICHI PKT</t>
        </is>
      </c>
    </row>
    <row r="1618" ht="14.25" customHeight="1" s="5">
      <c r="A1618" s="7" t="n">
        <v>36013</v>
      </c>
      <c r="B1618" s="7" t="inlineStr">
        <is>
          <t>SARASWATI ELAICHI LEAF SARASWATI ELAICHI PKT [12 X 8 X 250 GM LAMINATE POUCH] PP BAG CP OFFER</t>
        </is>
      </c>
      <c r="C1618" s="7" t="inlineStr">
        <is>
          <t>SARASWATI</t>
        </is>
      </c>
      <c r="D1618" s="7" t="n">
        <v>31501</v>
      </c>
      <c r="E1618" s="7" t="inlineStr">
        <is>
          <t>SARASWATI ELAICHI LEAF BLACK TEA SARASWATI ELAICHI PKT 250 GM POUCH</t>
        </is>
      </c>
      <c r="F1618" s="7" t="n">
        <v>96</v>
      </c>
      <c r="G1618" s="7" t="inlineStr">
        <is>
          <t>POUCH</t>
        </is>
      </c>
      <c r="H1618" t="inlineStr">
        <is>
          <t>BLEND BLACK TEA SARASWATI ELAICHI PKT</t>
        </is>
      </c>
    </row>
    <row r="1619" ht="14.25" customHeight="1" s="5">
      <c r="A1619" s="7" t="n">
        <v>34666</v>
      </c>
      <c r="B1619" s="7" t="inlineStr">
        <is>
          <t>SARASWATI ELAICHI LEAF SARASWATI ELAICHI PKT [2 X 48 X 250 GM LAMINATE POUCH] DUFFLE BAG OFFER</t>
        </is>
      </c>
      <c r="C1619" s="7" t="inlineStr">
        <is>
          <t>SARASWATI</t>
        </is>
      </c>
      <c r="D1619" s="7" t="n">
        <v>31501</v>
      </c>
      <c r="E1619" s="7" t="inlineStr">
        <is>
          <t>SARASWATI ELAICHI LEAF BLACK TEA SARASWATI ELAICHI PKT 250 GM POUCH</t>
        </is>
      </c>
      <c r="F1619" s="7" t="n">
        <v>96</v>
      </c>
      <c r="G1619" s="7" t="inlineStr">
        <is>
          <t>POUCH</t>
        </is>
      </c>
      <c r="H1619" t="inlineStr">
        <is>
          <t>BLEND BLACK TEA SARASWATI ELAICHI PKT</t>
        </is>
      </c>
    </row>
    <row r="1620" ht="14.25" customHeight="1" s="5">
      <c r="A1620" s="7" t="n">
        <v>32804</v>
      </c>
      <c r="B1620" s="7" t="inlineStr">
        <is>
          <t>SARASWATI ELAICHI LEAF SARASWATI ELAICHI PKT [3 X 10 X 30 X 20 GM LAMINATE POUCH] PP OLD BAG</t>
        </is>
      </c>
      <c r="C1620" s="7" t="inlineStr">
        <is>
          <t>SARASWATI</t>
        </is>
      </c>
      <c r="D1620" s="7" t="n">
        <v>32802</v>
      </c>
      <c r="E1620" s="7" t="inlineStr">
        <is>
          <t>SARASWATI ELAICHI LEAF SARASWATI ELAICHI PKT 20 GM LAMINATE POUCH</t>
        </is>
      </c>
      <c r="F1620" s="7" t="n">
        <v>900</v>
      </c>
      <c r="G1620" s="7" t="inlineStr">
        <is>
          <t>POUCH</t>
        </is>
      </c>
      <c r="H1620" t="inlineStr">
        <is>
          <t>BLEND BLACK TEA SARASWATI ELAICHI PKT</t>
        </is>
      </c>
    </row>
    <row r="1621" ht="14.25" customHeight="1" s="5">
      <c r="A1621" s="7" t="n">
        <v>33527</v>
      </c>
      <c r="B1621" s="7" t="inlineStr">
        <is>
          <t>SARASWATI ELAICHI LEAF SARASWATI ELAICHI PKT [3 X 10 X 30 X 22 GM LAMINATE POUCH] PP OLD BAG</t>
        </is>
      </c>
      <c r="C1621" s="7" t="inlineStr">
        <is>
          <t>SARASWATI</t>
        </is>
      </c>
      <c r="D1621" s="7" t="n">
        <v>33526</v>
      </c>
      <c r="E1621" s="7" t="inlineStr">
        <is>
          <t>SARASWATI ELAICHI LEAF BLACK TEA SARASWATI ELAICHI PKT 22 GM POUCH</t>
        </is>
      </c>
      <c r="F1621" s="7" t="n">
        <v>900</v>
      </c>
      <c r="G1621" s="7" t="inlineStr">
        <is>
          <t>POUCH</t>
        </is>
      </c>
      <c r="H1621" t="inlineStr">
        <is>
          <t>BLEND BLACK TEA SARASWATI ELAICHI PKT</t>
        </is>
      </c>
    </row>
    <row r="1622" ht="14.25" customHeight="1" s="5">
      <c r="A1622" s="7" t="n">
        <v>31514</v>
      </c>
      <c r="B1622" s="7" t="inlineStr">
        <is>
          <t>SARASWATI ELAICHI LEAF SARASWATI ELAICHI PKT [4 X 5 X 30 X 24 GM LAMINATE POUCH] PP OLD BAG</t>
        </is>
      </c>
      <c r="C1622" s="7" t="inlineStr">
        <is>
          <t>SARASWATI</t>
        </is>
      </c>
      <c r="D1622" s="7" t="n">
        <v>31513</v>
      </c>
      <c r="E1622" s="7" t="inlineStr">
        <is>
          <t>SARASWATI ELAICHI LEAF BLACK TEA SARASWATI ELAICHI PKT 24 GM POUCH</t>
        </is>
      </c>
      <c r="F1622" s="7" t="n">
        <v>600</v>
      </c>
      <c r="G1622" s="7" t="inlineStr">
        <is>
          <t>POUCH</t>
        </is>
      </c>
      <c r="H1622" t="inlineStr">
        <is>
          <t>BLEND BLACK TEA SARASWATI ELAICHI PKT</t>
        </is>
      </c>
    </row>
    <row r="1623" ht="14.25" customHeight="1" s="5">
      <c r="A1623" s="7" t="n">
        <v>34618</v>
      </c>
      <c r="B1623" s="7" t="inlineStr">
        <is>
          <t>SARASWATI ELAICHI LEAF SARASWATI ELAICHI PKT [48 X 250 GM LAMINATE POUCH] DUFFLE BAG OFFER</t>
        </is>
      </c>
      <c r="C1623" s="7" t="inlineStr">
        <is>
          <t>SARASWATI</t>
        </is>
      </c>
      <c r="D1623" s="7" t="n">
        <v>31501</v>
      </c>
      <c r="E1623" s="7" t="inlineStr">
        <is>
          <t>SARASWATI ELAICHI LEAF BLACK TEA SARASWATI ELAICHI PKT 250 GM POUCH</t>
        </is>
      </c>
      <c r="F1623" s="7" t="n">
        <v>48</v>
      </c>
      <c r="G1623" s="7" t="inlineStr">
        <is>
          <t>POUCH</t>
        </is>
      </c>
      <c r="H1623" t="inlineStr">
        <is>
          <t>BLEND BLACK TEA SARASWATI ELAICHI PKT</t>
        </is>
      </c>
    </row>
    <row r="1624" ht="14.25" customHeight="1" s="5">
      <c r="A1624" s="7" t="n">
        <v>32711</v>
      </c>
      <c r="B1624" s="7" t="inlineStr">
        <is>
          <t>SARASWATI GOLD DUST APKT+ [(1 X 40 X 250 GM)+(1 X 80 X 20 GM) LAMINATE POUCH] CFC CP OFFER</t>
        </is>
      </c>
      <c r="C1624" s="7" t="inlineStr">
        <is>
          <t>SARASWATI</t>
        </is>
      </c>
      <c r="D1624" s="7" t="n">
        <v>31036</v>
      </c>
      <c r="E1624" s="7" t="inlineStr">
        <is>
          <t>SARASWATI GOLDL DUST APKT+ 250 GM POUCH</t>
        </is>
      </c>
      <c r="F1624" s="7" t="n">
        <v>40</v>
      </c>
      <c r="G1624" s="7" t="inlineStr">
        <is>
          <t>POUCH</t>
        </is>
      </c>
      <c r="H1624" t="inlineStr">
        <is>
          <t>BLEND APKT+</t>
        </is>
      </c>
    </row>
    <row r="1625" ht="14.25" customHeight="1" s="5">
      <c r="A1625" s="7" t="n">
        <v>32711</v>
      </c>
      <c r="B1625" s="7" t="inlineStr">
        <is>
          <t>SARASWATI GOLD DUST APKT+ [(1 X 40 X 250 GM)+(1 X 80 X 20 GM) LAMINATE POUCH] CFC CP OFFER</t>
        </is>
      </c>
      <c r="C1625" s="7" t="inlineStr">
        <is>
          <t>SARASWATI</t>
        </is>
      </c>
      <c r="D1625" s="7" t="n">
        <v>32709</v>
      </c>
      <c r="E1625" s="7" t="inlineStr">
        <is>
          <t>SARASWATI GOLD DUST APKT+ 20 GM LAMINATE POUCH</t>
        </is>
      </c>
      <c r="F1625" s="7" t="n">
        <v>80</v>
      </c>
      <c r="G1625" s="7" t="inlineStr">
        <is>
          <t>POUCH</t>
        </is>
      </c>
      <c r="H1625" t="inlineStr">
        <is>
          <t>BLEND APKT+</t>
        </is>
      </c>
    </row>
    <row r="1626" ht="14.25" customHeight="1" s="5">
      <c r="A1626" s="7" t="n">
        <v>31037</v>
      </c>
      <c r="B1626" s="7" t="inlineStr">
        <is>
          <t>SARASWATI GOLD DUST APKT+ [1 X 48 X 250 GM LAMINATE POUCH] CFC CP OFFER</t>
        </is>
      </c>
      <c r="C1626" s="7" t="inlineStr">
        <is>
          <t>SARASWATI</t>
        </is>
      </c>
      <c r="D1626" s="7" t="n">
        <v>31036</v>
      </c>
      <c r="E1626" s="7" t="inlineStr">
        <is>
          <t>SARASWATI GOLDL DUST APKT+ 250 GM POUCH</t>
        </is>
      </c>
      <c r="F1626" s="7" t="n">
        <v>48</v>
      </c>
      <c r="G1626" s="7" t="inlineStr">
        <is>
          <t>POUCH</t>
        </is>
      </c>
      <c r="H1626" t="inlineStr">
        <is>
          <t>BLEND APKT+</t>
        </is>
      </c>
    </row>
    <row r="1627" ht="14.25" customHeight="1" s="5">
      <c r="A1627" s="7" t="n">
        <v>33628</v>
      </c>
      <c r="B1627" s="7" t="inlineStr">
        <is>
          <t>SARASWATI GOLD DUST APKT+ [1 X 48 X 250 GM LAMINATE POUCH] CFC</t>
        </is>
      </c>
      <c r="C1627" s="7" t="inlineStr">
        <is>
          <t>SARASWATI</t>
        </is>
      </c>
      <c r="D1627" s="7" t="n">
        <v>31036</v>
      </c>
      <c r="E1627" s="7" t="inlineStr">
        <is>
          <t>SARASWATI GOLDL DUST APKT+ 250 GM POUCH</t>
        </is>
      </c>
      <c r="F1627" s="7" t="n">
        <v>48</v>
      </c>
      <c r="G1627" s="7" t="inlineStr">
        <is>
          <t>POUCH</t>
        </is>
      </c>
      <c r="H1627" t="inlineStr">
        <is>
          <t>BLEND APKT+</t>
        </is>
      </c>
    </row>
    <row r="1628" ht="14.25" customHeight="1" s="5">
      <c r="A1628" s="7" t="n">
        <v>32710</v>
      </c>
      <c r="B1628" s="7" t="inlineStr">
        <is>
          <t>SARASWATI GOLD DUST APKT+ [3 X 10 X 30 X 20 GM LAMINATE POUCH] PP OLD BAG</t>
        </is>
      </c>
      <c r="C1628" s="7" t="inlineStr">
        <is>
          <t>SARASWATI</t>
        </is>
      </c>
      <c r="D1628" s="7" t="n">
        <v>32709</v>
      </c>
      <c r="E1628" s="7" t="inlineStr">
        <is>
          <t>SARASWATI GOLD DUST APKT+ 20 GM LAMINATE POUCH</t>
        </is>
      </c>
      <c r="F1628" s="7" t="n">
        <v>900</v>
      </c>
      <c r="G1628" s="7" t="inlineStr">
        <is>
          <t>POUCH</t>
        </is>
      </c>
      <c r="H1628" t="inlineStr">
        <is>
          <t>BLEND APKT+</t>
        </is>
      </c>
    </row>
    <row r="1629" ht="14.25" customHeight="1" s="5">
      <c r="A1629" s="7" t="n">
        <v>31645</v>
      </c>
      <c r="B1629" s="7" t="inlineStr">
        <is>
          <t>SARASWATI GOLD DUST APKT+ [8 X 40 X 20 GM LAMINATE POUCH] CFC</t>
        </is>
      </c>
      <c r="C1629" s="7" t="inlineStr">
        <is>
          <t>SARASWATI</t>
        </is>
      </c>
      <c r="D1629" s="7" t="n">
        <v>31643</v>
      </c>
      <c r="E1629" s="7" t="inlineStr">
        <is>
          <t>SARASWATI GOLD DUST APKT+ 20 GM POUCH</t>
        </is>
      </c>
      <c r="F1629" s="7" t="n">
        <v>320</v>
      </c>
      <c r="G1629" s="7" t="inlineStr">
        <is>
          <t>POUCH</t>
        </is>
      </c>
      <c r="H1629" t="inlineStr">
        <is>
          <t>BLEND APKT+</t>
        </is>
      </c>
    </row>
    <row r="1630" ht="14.25" customHeight="1" s="5">
      <c r="A1630" s="7" t="n">
        <v>32834</v>
      </c>
      <c r="B1630" s="7" t="inlineStr">
        <is>
          <t>SARASWATI GOLD LEAF WB WEST [1 X 90 X 100 GM CTN] CFC</t>
        </is>
      </c>
      <c r="C1630" s="7" t="inlineStr">
        <is>
          <t>SARASWATI</t>
        </is>
      </c>
      <c r="D1630" s="7" t="n">
        <v>32833</v>
      </c>
      <c r="E1630" s="7" t="inlineStr">
        <is>
          <t>SARASWATI GOLD LEAF WB WEST 100 GM CTN</t>
        </is>
      </c>
      <c r="F1630" s="7" t="n">
        <v>90</v>
      </c>
      <c r="G1630" s="7" t="inlineStr">
        <is>
          <t>CTN</t>
        </is>
      </c>
      <c r="H1630" t="inlineStr">
        <is>
          <t>BLEND WB WEST</t>
        </is>
      </c>
    </row>
    <row r="1631" ht="14.25" customHeight="1" s="5">
      <c r="A1631" s="7" t="n">
        <v>32803</v>
      </c>
      <c r="B1631" s="7" t="inlineStr">
        <is>
          <t>SARASWATI GOLD LEAF WB WEST [3 X 10 X 30 X 20 GM LAMINATE POUCH] PP OLD BAG</t>
        </is>
      </c>
      <c r="C1631" s="7" t="inlineStr">
        <is>
          <t>SARASWATI</t>
        </is>
      </c>
      <c r="D1631" s="7" t="n">
        <v>32800</v>
      </c>
      <c r="E1631" s="7" t="inlineStr">
        <is>
          <t>SARASWATI GOLD LEAF WB WEST 20 GM LAMINATE POUCH</t>
        </is>
      </c>
      <c r="F1631" s="7" t="n">
        <v>900</v>
      </c>
      <c r="G1631" s="7" t="inlineStr">
        <is>
          <t>POUCH</t>
        </is>
      </c>
      <c r="H1631" t="inlineStr">
        <is>
          <t>BLEND SFA</t>
        </is>
      </c>
    </row>
    <row r="1632" ht="14.25" customHeight="1" s="5">
      <c r="A1632" s="7" t="n">
        <v>32455</v>
      </c>
      <c r="B1632" s="7" t="inlineStr">
        <is>
          <t>SARASWATI GOLD LEAF WB WEST [4 X 24 X 250 GM CTN] CFC</t>
        </is>
      </c>
      <c r="C1632" s="7" t="inlineStr">
        <is>
          <t>SARASWATI</t>
        </is>
      </c>
      <c r="D1632" s="7" t="n">
        <v>31013</v>
      </c>
      <c r="E1632" s="7" t="inlineStr">
        <is>
          <t>SARASWATI GOLD LEAF WB WEST 250 GM CTN</t>
        </is>
      </c>
      <c r="F1632" s="7" t="n">
        <v>96</v>
      </c>
      <c r="G1632" s="7" t="inlineStr">
        <is>
          <t>CTN</t>
        </is>
      </c>
      <c r="H1632" t="inlineStr">
        <is>
          <t>BLEND WB WEST</t>
        </is>
      </c>
    </row>
    <row r="1633" ht="14.25" customHeight="1" s="5">
      <c r="A1633" s="7" t="n">
        <v>32444</v>
      </c>
      <c r="B1633" s="7" t="inlineStr">
        <is>
          <t>SARASWATI GOLD LEAF WB WEST [8 X 40 X 20 GM LAMINATE POUCH] CFC</t>
        </is>
      </c>
      <c r="C1633" s="7" t="inlineStr">
        <is>
          <t>SARASWATI</t>
        </is>
      </c>
      <c r="D1633" s="7" t="n">
        <v>32442</v>
      </c>
      <c r="E1633" s="7" t="inlineStr">
        <is>
          <t>SARASWATI GOLD LEAF WB WEST 20 GM POUCH</t>
        </is>
      </c>
      <c r="F1633" s="7" t="n">
        <v>320</v>
      </c>
      <c r="G1633" s="7" t="inlineStr">
        <is>
          <t>POUCH</t>
        </is>
      </c>
      <c r="H1633" t="inlineStr">
        <is>
          <t>BLEND WB WEST</t>
        </is>
      </c>
    </row>
    <row r="1634" ht="14.25" customHeight="1" s="5">
      <c r="A1634" s="7" t="n">
        <v>31015</v>
      </c>
      <c r="B1634" s="7" t="inlineStr">
        <is>
          <t>SARASWATI GOLD LEAF WB WEST [96 X 250 GM CTN] CFC</t>
        </is>
      </c>
      <c r="C1634" s="7" t="inlineStr">
        <is>
          <t>SARASWATI</t>
        </is>
      </c>
      <c r="D1634" s="7" t="n">
        <v>31013</v>
      </c>
      <c r="E1634" s="7" t="inlineStr">
        <is>
          <t>SARASWATI GOLD LEAF WB WEST 250 GM CTN</t>
        </is>
      </c>
      <c r="F1634" s="7" t="n">
        <v>96</v>
      </c>
      <c r="G1634" s="7" t="inlineStr">
        <is>
          <t>CTN</t>
        </is>
      </c>
      <c r="H1634" t="inlineStr">
        <is>
          <t>BLEND WB WEST</t>
        </is>
      </c>
    </row>
    <row r="1635" ht="14.25" customHeight="1" s="5">
      <c r="A1635" s="7" t="n">
        <v>32510</v>
      </c>
      <c r="B1635" s="7" t="inlineStr">
        <is>
          <t>SARASWATI GOLD VIKRAM GOLD F.MIX [4 X 24 X 250 GM CTN] CFC</t>
        </is>
      </c>
      <c r="C1635" s="7" t="inlineStr">
        <is>
          <t>SARASWATI</t>
        </is>
      </c>
      <c r="D1635" s="7" t="n">
        <v>31012</v>
      </c>
      <c r="E1635" s="7" t="inlineStr">
        <is>
          <t>SARASWATI GOLD VIKRAM GOLD F.MIX 250 GM CTN</t>
        </is>
      </c>
      <c r="F1635" s="7" t="n">
        <v>96</v>
      </c>
      <c r="G1635" s="7" t="inlineStr">
        <is>
          <t>CTN</t>
        </is>
      </c>
      <c r="H1635" t="inlineStr">
        <is>
          <t>BLEND VIKRAM GOLD F.MIX</t>
        </is>
      </c>
    </row>
    <row r="1636" ht="14.25" customHeight="1" s="5">
      <c r="A1636" s="7" t="n">
        <v>32445</v>
      </c>
      <c r="B1636" s="7" t="inlineStr">
        <is>
          <t>SARASWATI GOLD VIKRAM GOLD F.MIX [8 X 40 X 20 GM LAMINATE POUCH] CFC</t>
        </is>
      </c>
      <c r="C1636" s="7" t="inlineStr">
        <is>
          <t>SARASWATI</t>
        </is>
      </c>
      <c r="D1636" s="7" t="n">
        <v>32443</v>
      </c>
      <c r="E1636" s="7" t="inlineStr">
        <is>
          <t>SARASWATI GOLD VIKRAM GOLD F.MIX 20 GM POUCH</t>
        </is>
      </c>
      <c r="F1636" s="7" t="n">
        <v>320</v>
      </c>
      <c r="G1636" s="7" t="inlineStr">
        <is>
          <t>POUCH</t>
        </is>
      </c>
      <c r="H1636" t="inlineStr">
        <is>
          <t>BLEND VIKRAM GOLD F.MIX</t>
        </is>
      </c>
    </row>
    <row r="1637" ht="14.25" customHeight="1" s="5">
      <c r="A1637" s="7" t="n">
        <v>31014</v>
      </c>
      <c r="B1637" s="7" t="inlineStr">
        <is>
          <t>SARASWATI GOLD VIKRAM GOLD F.MIX [96 X 250 GM CTN] CFC</t>
        </is>
      </c>
      <c r="C1637" s="7" t="inlineStr">
        <is>
          <t>SARASWATI</t>
        </is>
      </c>
      <c r="D1637" s="7" t="n">
        <v>31012</v>
      </c>
      <c r="E1637" s="7" t="inlineStr">
        <is>
          <t>SARASWATI GOLD VIKRAM GOLD F.MIX 250 GM CTN</t>
        </is>
      </c>
      <c r="F1637" s="7" t="n">
        <v>96</v>
      </c>
      <c r="G1637" s="7" t="inlineStr">
        <is>
          <t>CTN</t>
        </is>
      </c>
      <c r="H1637" t="inlineStr">
        <is>
          <t>BLEND VIKRAM GOLD F.MIX</t>
        </is>
      </c>
    </row>
    <row r="1638" ht="14.25" customHeight="1" s="5">
      <c r="A1638" s="7" t="n">
        <v>241</v>
      </c>
      <c r="B1638" s="7" t="inlineStr">
        <is>
          <t>SARASWATI LEAF 15 GMS X 900 (13.5 KG) PP OLD BAG</t>
        </is>
      </c>
      <c r="C1638" s="7" t="inlineStr">
        <is>
          <t>SARASWATI</t>
        </is>
      </c>
      <c r="D1638" s="7" t="n">
        <v>19356</v>
      </c>
      <c r="E1638" s="7" t="inlineStr">
        <is>
          <t>SARASWATI LEAF 15 GMS POUCH</t>
        </is>
      </c>
      <c r="F1638" s="7" t="n">
        <v>900</v>
      </c>
      <c r="G1638" s="7" t="inlineStr">
        <is>
          <t>POUCH</t>
        </is>
      </c>
      <c r="H1638" t="inlineStr">
        <is>
          <t>BLEND SFA</t>
        </is>
      </c>
    </row>
    <row r="1639" ht="14.25" customHeight="1" s="5">
      <c r="A1639" s="7" t="n">
        <v>242</v>
      </c>
      <c r="B1639" s="7" t="inlineStr">
        <is>
          <t>SARASWATI LEAF 250 GMS X 48( 12 KG CFC)</t>
        </is>
      </c>
      <c r="C1639" s="7" t="inlineStr">
        <is>
          <t>SARASWATI</t>
        </is>
      </c>
      <c r="D1639" s="7" t="n">
        <v>19335</v>
      </c>
      <c r="E1639" s="7" t="inlineStr">
        <is>
          <t>SARASWATI LEAF 250 GMS POUCH</t>
        </is>
      </c>
      <c r="F1639" s="7" t="n">
        <v>48</v>
      </c>
      <c r="G1639" s="7" t="inlineStr">
        <is>
          <t>POUCH</t>
        </is>
      </c>
      <c r="H1639" t="inlineStr">
        <is>
          <t>BLEND SFA</t>
        </is>
      </c>
    </row>
    <row r="1640" ht="14.25" customHeight="1" s="5">
      <c r="A1640" s="7" t="n">
        <v>243</v>
      </c>
      <c r="B1640" s="7" t="inlineStr">
        <is>
          <t>SARASWATI LEAF 30 GMS X 450(-13.5 KG) PP OLD BAG</t>
        </is>
      </c>
      <c r="C1640" s="7" t="inlineStr">
        <is>
          <t>SARASWATI</t>
        </is>
      </c>
      <c r="D1640" s="7" t="n">
        <v>19354</v>
      </c>
      <c r="E1640" s="7" t="inlineStr">
        <is>
          <t>SARASWATI LEAF 30 GMS POUCH</t>
        </is>
      </c>
      <c r="F1640" s="7" t="n">
        <v>450</v>
      </c>
      <c r="G1640" s="7" t="inlineStr">
        <is>
          <t>POUCH</t>
        </is>
      </c>
      <c r="H1640" t="inlineStr">
        <is>
          <t>BLEND SFA</t>
        </is>
      </c>
    </row>
    <row r="1641" ht="14.25" customHeight="1" s="5">
      <c r="A1641" s="7" t="n">
        <v>37588</v>
      </c>
      <c r="B1641" s="7" t="inlineStr">
        <is>
          <t>SARASWATI LEAF BLEND SFA [8 X 40 X 20 GM LAMINATE POUCH] CFC</t>
        </is>
      </c>
      <c r="C1641" s="7" t="inlineStr">
        <is>
          <t>SARASWATI</t>
        </is>
      </c>
      <c r="D1641" s="7" t="n">
        <v>27411</v>
      </c>
      <c r="E1641" s="7" t="inlineStr">
        <is>
          <t>SARASWATI LEAF 20 GM POUCH</t>
        </is>
      </c>
      <c r="F1641" s="7" t="n">
        <v>320</v>
      </c>
      <c r="G1641" s="7" t="inlineStr">
        <is>
          <t>POUCH</t>
        </is>
      </c>
      <c r="H1641" t="inlineStr">
        <is>
          <t>BLEND SFA</t>
        </is>
      </c>
    </row>
    <row r="1642" ht="14.25" customHeight="1" s="5">
      <c r="A1642" s="7" t="n">
        <v>27412</v>
      </c>
      <c r="B1642" s="7" t="inlineStr">
        <is>
          <t>SARASWATI LEAF SFA [8 X 40 X 20 GM LAMINATE POUCH] CFC</t>
        </is>
      </c>
      <c r="C1642" s="7" t="inlineStr">
        <is>
          <t>SARASWATI</t>
        </is>
      </c>
      <c r="D1642" s="7" t="n">
        <v>27411</v>
      </c>
      <c r="E1642" s="7" t="inlineStr">
        <is>
          <t>SARASWATI LEAF 20 GM POUCH</t>
        </is>
      </c>
      <c r="F1642" s="7" t="n">
        <v>320</v>
      </c>
      <c r="G1642" s="7" t="inlineStr">
        <is>
          <t>POUCH</t>
        </is>
      </c>
      <c r="H1642" t="inlineStr">
        <is>
          <t>BLEND SFA</t>
        </is>
      </c>
    </row>
    <row r="1643" ht="14.25" customHeight="1" s="5">
      <c r="A1643" s="7" t="n">
        <v>33640</v>
      </c>
      <c r="B1643" s="7" t="inlineStr">
        <is>
          <t>SARASWATI LEAF YEL PLAIN SFA [48 X 250 GM LAMINATE POUCH] CFC</t>
        </is>
      </c>
      <c r="C1643" s="7" t="inlineStr">
        <is>
          <t>SARASWATI</t>
        </is>
      </c>
      <c r="D1643" s="7" t="n">
        <v>33639</v>
      </c>
      <c r="E1643" s="7" t="inlineStr">
        <is>
          <t>SARASWATI LEAF YEL PLAIN SFA 250 GM POUCH</t>
        </is>
      </c>
      <c r="F1643" s="7" t="n">
        <v>48</v>
      </c>
      <c r="G1643" s="7" t="inlineStr">
        <is>
          <t>POUCH</t>
        </is>
      </c>
      <c r="H1643" t="inlineStr">
        <is>
          <t>BLEND SFA</t>
        </is>
      </c>
    </row>
    <row r="1644" ht="14.25" customHeight="1" s="5">
      <c r="A1644" s="7" t="n">
        <v>36092</v>
      </c>
      <c r="B1644" s="7" t="inlineStr">
        <is>
          <t>SARASWATI LEAF YEL SFA [12 X 8 X 250 GM LAMINATE POUCH] PP BAG</t>
        </is>
      </c>
      <c r="C1644" s="7" t="inlineStr">
        <is>
          <t>SARASWATI</t>
        </is>
      </c>
      <c r="D1644" s="7" t="n">
        <v>33639</v>
      </c>
      <c r="E1644" s="7" t="inlineStr">
        <is>
          <t>SARASWATI LEAF YEL PLAIN SFA 250 GM POUCH</t>
        </is>
      </c>
      <c r="F1644" s="7" t="n">
        <v>96</v>
      </c>
      <c r="G1644" s="7" t="inlineStr">
        <is>
          <t>POUCH</t>
        </is>
      </c>
      <c r="H1644" t="inlineStr">
        <is>
          <t>BLEND SFA</t>
        </is>
      </c>
    </row>
    <row r="1645" ht="14.25" customHeight="1" s="5">
      <c r="A1645" s="7" t="n">
        <v>36091</v>
      </c>
      <c r="B1645" s="7" t="inlineStr">
        <is>
          <t>SARASWATI LEAF YEL SFA [12 X 8 X 250 GM LAMINATE POUCH] PP BAG CP OFFER</t>
        </is>
      </c>
      <c r="C1645" s="7" t="inlineStr">
        <is>
          <t>SARASWATI</t>
        </is>
      </c>
      <c r="D1645" s="7" t="n">
        <v>33639</v>
      </c>
      <c r="E1645" s="7" t="inlineStr">
        <is>
          <t>SARASWATI LEAF YEL PLAIN SFA 250 GM POUCH</t>
        </is>
      </c>
      <c r="F1645" s="7" t="n">
        <v>96</v>
      </c>
      <c r="G1645" s="7" t="inlineStr">
        <is>
          <t>POUCH</t>
        </is>
      </c>
      <c r="H1645" t="inlineStr">
        <is>
          <t>BLEND SFA</t>
        </is>
      </c>
    </row>
    <row r="1646" ht="14.25" customHeight="1" s="5">
      <c r="A1646" s="7" t="n">
        <v>27350</v>
      </c>
      <c r="B1646" s="7" t="inlineStr">
        <is>
          <t>SARASWATI LEAF YEL SFA [48 X 250 GM LAMINATE POUCH] CFC</t>
        </is>
      </c>
      <c r="C1646" s="7" t="inlineStr">
        <is>
          <t>SARASWATI</t>
        </is>
      </c>
      <c r="D1646" s="7" t="n">
        <v>27349</v>
      </c>
      <c r="E1646" s="7" t="inlineStr">
        <is>
          <t>SARASWATI LEAF YEL SFA 250 GMS POUCH</t>
        </is>
      </c>
      <c r="F1646" s="7" t="n">
        <v>48</v>
      </c>
      <c r="G1646" s="7" t="inlineStr">
        <is>
          <t>POUCH</t>
        </is>
      </c>
      <c r="H1646" t="inlineStr">
        <is>
          <t>BLEND SFA</t>
        </is>
      </c>
    </row>
    <row r="1647" ht="14.25" customHeight="1" s="5">
      <c r="A1647" s="7" t="n">
        <v>33630</v>
      </c>
      <c r="B1647" s="7" t="inlineStr">
        <is>
          <t>SARASWATI SFM [24 X 2 X 500 GM NON WOVEN] PP BAG</t>
        </is>
      </c>
      <c r="C1647" s="7" t="inlineStr">
        <is>
          <t>SARASWATI</t>
        </is>
      </c>
      <c r="D1647" s="7" t="n">
        <v>33629</v>
      </c>
      <c r="E1647" s="7" t="inlineStr">
        <is>
          <t>SARASWATI SFM 500 GM POUCH</t>
        </is>
      </c>
      <c r="F1647" s="7" t="n">
        <v>48</v>
      </c>
      <c r="G1647" s="7" t="inlineStr">
        <is>
          <t>POUCH</t>
        </is>
      </c>
      <c r="H1647" t="inlineStr">
        <is>
          <t>BLEND SFM</t>
        </is>
      </c>
    </row>
    <row r="1648" ht="14.25" customHeight="1" s="5">
      <c r="A1648" s="7" t="n">
        <v>22605</v>
      </c>
      <c r="B1648" s="7" t="inlineStr">
        <is>
          <t>SARASWATI SFM [24 X 2 X 500 GM NON WOVEN] PP OLD BAG</t>
        </is>
      </c>
      <c r="C1648" s="7" t="inlineStr">
        <is>
          <t>SARASWATI</t>
        </is>
      </c>
      <c r="D1648" s="7" t="n">
        <v>22603</v>
      </c>
      <c r="E1648" s="7" t="inlineStr">
        <is>
          <t>SARASWATI FM 1 KG (500 GM X 2) POUCH</t>
        </is>
      </c>
      <c r="F1648" s="7" t="n">
        <v>24</v>
      </c>
      <c r="G1648" s="7" t="inlineStr">
        <is>
          <t>POUCH</t>
        </is>
      </c>
      <c r="H1648" t="inlineStr">
        <is>
          <t>BLEND SFM</t>
        </is>
      </c>
    </row>
    <row r="1649" ht="14.25" customHeight="1" s="5">
      <c r="A1649" s="7" t="n">
        <v>22059</v>
      </c>
      <c r="B1649" s="7" t="inlineStr">
        <is>
          <t>SIGNATURE SLCT 12/100 PENV TBGS</t>
        </is>
      </c>
      <c r="C1649" s="7" t="inlineStr">
        <is>
          <t>SIGNATURE SLCT</t>
        </is>
      </c>
      <c r="D1649" s="7" t="n">
        <v>22463</v>
      </c>
      <c r="E1649" s="7" t="inlineStr">
        <is>
          <t>SIGNATURE SLCT 100 PENV TBGS</t>
        </is>
      </c>
      <c r="F1649" s="7" t="n">
        <v>12</v>
      </c>
      <c r="G1649" s="7" t="inlineStr">
        <is>
          <t>CTN</t>
        </is>
      </c>
      <c r="H1649" t="inlineStr">
        <is>
          <t>BLEND 7002</t>
        </is>
      </c>
    </row>
    <row r="1650" ht="14.25" customHeight="1" s="5">
      <c r="A1650" s="7" t="n">
        <v>22179</v>
      </c>
      <c r="B1650" s="7" t="inlineStr">
        <is>
          <t>SIGNATURE SLCT 12/48 PENV TBGS</t>
        </is>
      </c>
      <c r="C1650" s="7" t="inlineStr">
        <is>
          <t>SIGNATURE SLCT</t>
        </is>
      </c>
      <c r="D1650" s="7" t="n">
        <v>22806</v>
      </c>
      <c r="E1650" s="7" t="inlineStr">
        <is>
          <t>SIGNATURE SLCT 48 PENV TBGS</t>
        </is>
      </c>
      <c r="F1650" s="7" t="n">
        <v>12</v>
      </c>
      <c r="G1650" s="7" t="inlineStr">
        <is>
          <t>CTN</t>
        </is>
      </c>
      <c r="H1650" t="inlineStr">
        <is>
          <t>BLEND 7002</t>
        </is>
      </c>
    </row>
    <row r="1651" ht="14.25" customHeight="1" s="5">
      <c r="A1651" s="7" t="n">
        <v>18663</v>
      </c>
      <c r="B1651" s="7" t="inlineStr">
        <is>
          <t>SPAR CTC HERB TEA 24/250 GMS BAG IN BOX PKT TEA</t>
        </is>
      </c>
      <c r="C1651" s="7" t="inlineStr">
        <is>
          <t>SPAR</t>
        </is>
      </c>
      <c r="D1651" s="7" t="n">
        <v>18662</v>
      </c>
      <c r="E1651" s="7" t="inlineStr">
        <is>
          <t>SPAR CTC HERB TEA 250 GMS BAG IN BOX PKT TEA</t>
        </is>
      </c>
      <c r="F1651" s="7" t="n">
        <v>24</v>
      </c>
      <c r="G1651" s="7" t="inlineStr">
        <is>
          <t>CTN</t>
        </is>
      </c>
      <c r="H1651" t="inlineStr">
        <is>
          <t>BLEND BLACK TEA NATURE CARE SPAR CC</t>
        </is>
      </c>
    </row>
    <row r="1652" ht="14.25" customHeight="1" s="5">
      <c r="A1652" s="7" t="n">
        <v>18370</v>
      </c>
      <c r="B1652" s="7" t="inlineStr">
        <is>
          <t>SPAR ROYAL TEA 24/250 GMS BAG IN BOX PKT TEA</t>
        </is>
      </c>
      <c r="C1652" s="7" t="inlineStr">
        <is>
          <t>SPAR</t>
        </is>
      </c>
      <c r="D1652" s="7" t="n">
        <v>18369</v>
      </c>
      <c r="E1652" s="7" t="inlineStr">
        <is>
          <t>SPAR ROYAL TEA 250 GMS BAG IN BOX PKT TEA</t>
        </is>
      </c>
      <c r="F1652" s="7" t="n">
        <v>24</v>
      </c>
      <c r="G1652" s="7" t="inlineStr">
        <is>
          <t>CTN</t>
        </is>
      </c>
      <c r="H1652" t="inlineStr">
        <is>
          <t>BLEND TAJ</t>
        </is>
      </c>
    </row>
    <row r="1653" ht="14.25" customHeight="1" s="5">
      <c r="A1653" s="7" t="n">
        <v>35690</v>
      </c>
      <c r="B1653" s="7" t="inlineStr">
        <is>
          <t>SPHOORTEA PREMIUM LEAF STRONG TEA [6 X 12 X 250 GM LAMINATE POUCH] PP BAG CP OFFER</t>
        </is>
      </c>
      <c r="C1653" s="7" t="inlineStr">
        <is>
          <t>TEZ</t>
        </is>
      </c>
      <c r="D1653" s="7" t="n">
        <v>35643</v>
      </c>
      <c r="E1653" s="7" t="inlineStr">
        <is>
          <t>SPHOORTEA PREMIUM LEAF STRONG TEA 250 GM POUCH</t>
        </is>
      </c>
      <c r="F1653" s="7" t="n">
        <v>72</v>
      </c>
      <c r="G1653" s="7" t="inlineStr">
        <is>
          <t>POUCH</t>
        </is>
      </c>
      <c r="H1653" t="inlineStr">
        <is>
          <t>BLEND SPHOORTEA PREMIUM</t>
        </is>
      </c>
    </row>
    <row r="1654" ht="14.25" customHeight="1" s="5">
      <c r="A1654" s="7" t="n">
        <v>36423</v>
      </c>
      <c r="B1654" s="7" t="inlineStr">
        <is>
          <t>SPHOORTEA PREMIUM LEAF STRONG TEA [6 X 12 X 250 GM LAMINATE POUCH] PP BAG CP OFFER EAST</t>
        </is>
      </c>
      <c r="C1654" s="7" t="inlineStr">
        <is>
          <t>TEZ</t>
        </is>
      </c>
      <c r="D1654" s="7" t="n">
        <v>35643</v>
      </c>
      <c r="E1654" s="7" t="inlineStr">
        <is>
          <t>SPHOORTEA PREMIUM LEAF STRONG TEA 250 GM POUCH</t>
        </is>
      </c>
      <c r="F1654" s="7" t="n">
        <v>72</v>
      </c>
      <c r="G1654" s="7" t="inlineStr">
        <is>
          <t>POUCH</t>
        </is>
      </c>
      <c r="H1654" t="inlineStr">
        <is>
          <t>BLEND SPHOORTEA PREMIUM</t>
        </is>
      </c>
    </row>
    <row r="1655" ht="14.25" customHeight="1" s="5">
      <c r="A1655" s="7" t="n">
        <v>36324</v>
      </c>
      <c r="B1655" s="7" t="inlineStr">
        <is>
          <t>SPHOORTEA PREMIUM LEAF STRONG TEA [8 X 40 X 20 GM LAMINATE POUCH] CFC</t>
        </is>
      </c>
      <c r="C1655" s="7" t="inlineStr">
        <is>
          <t>TEZ</t>
        </is>
      </c>
      <c r="D1655" s="7" t="n">
        <v>36316</v>
      </c>
      <c r="E1655" s="7" t="inlineStr">
        <is>
          <t>SPHOORTEA PREMIUM LEAF STRONG TEA 20 GM POUCH</t>
        </is>
      </c>
      <c r="F1655" s="7" t="n">
        <v>320</v>
      </c>
      <c r="G1655" s="7" t="inlineStr">
        <is>
          <t>POUCH</t>
        </is>
      </c>
      <c r="H1655" t="inlineStr">
        <is>
          <t>BLEND SPHOORTEA PREMIUM</t>
        </is>
      </c>
    </row>
    <row r="1656" ht="14.25" customHeight="1" s="5">
      <c r="A1656" s="7" t="n">
        <v>245</v>
      </c>
      <c r="B1656" s="7" t="inlineStr">
        <is>
          <t>SPHOORTI DUST 250 GMS X 48( 12 KG CFC)</t>
        </is>
      </c>
      <c r="C1656" s="7" t="inlineStr">
        <is>
          <t>SPHOORTI</t>
        </is>
      </c>
      <c r="D1656" s="7" t="n">
        <v>19337</v>
      </c>
      <c r="E1656" s="7" t="inlineStr">
        <is>
          <t>SPHOORTI DUST 250 GMS POUCH</t>
        </is>
      </c>
      <c r="F1656" s="7" t="n">
        <v>48</v>
      </c>
      <c r="G1656" s="7" t="inlineStr">
        <is>
          <t>POUCH</t>
        </is>
      </c>
      <c r="H1656" t="inlineStr">
        <is>
          <t>BLEND A705(SARASWATI SPL DUST)</t>
        </is>
      </c>
    </row>
    <row r="1657" ht="14.25" customHeight="1" s="5">
      <c r="A1657" s="7" t="n">
        <v>18345</v>
      </c>
      <c r="B1657" s="7" t="inlineStr">
        <is>
          <t>SPHOORTI DUST 250 GMS X 48( 12 KG CFC)-WITH BATTERY OFFER</t>
        </is>
      </c>
      <c r="C1657" s="7" t="inlineStr">
        <is>
          <t>SPHOORTI</t>
        </is>
      </c>
      <c r="D1657" s="7" t="n">
        <v>19338</v>
      </c>
      <c r="E1657" s="7" t="inlineStr">
        <is>
          <t>SPHOORTI DUST 250 GMS POUCH WITH BATTERY OFFER</t>
        </is>
      </c>
      <c r="F1657" s="7" t="n">
        <v>48</v>
      </c>
      <c r="G1657" s="7" t="inlineStr">
        <is>
          <t>POUCH</t>
        </is>
      </c>
      <c r="H1657" t="inlineStr">
        <is>
          <t>BLEND A705(SARASWATI SPL DUST)</t>
        </is>
      </c>
    </row>
    <row r="1658" ht="14.25" customHeight="1" s="5">
      <c r="A1658" s="7" t="n">
        <v>249</v>
      </c>
      <c r="B1658" s="7" t="inlineStr">
        <is>
          <t>SPHOORTI DUST 30 GMS X 600 (18 KG) PP OLD BAG</t>
        </is>
      </c>
      <c r="C1658" s="7" t="inlineStr">
        <is>
          <t>SPHOORTI</t>
        </is>
      </c>
      <c r="D1658" s="7" t="n">
        <v>19357</v>
      </c>
      <c r="E1658" s="7" t="inlineStr">
        <is>
          <t>SPHOORTI DUST 30 GMS POUCH</t>
        </is>
      </c>
      <c r="F1658" s="7" t="n">
        <v>600</v>
      </c>
      <c r="G1658" s="7" t="inlineStr">
        <is>
          <t>POUCH</t>
        </is>
      </c>
      <c r="H1658" t="inlineStr">
        <is>
          <t>BLEND STD 7005</t>
        </is>
      </c>
    </row>
    <row r="1659" ht="14.25" customHeight="1" s="5">
      <c r="A1659" s="7" t="n">
        <v>21966</v>
      </c>
      <c r="B1659" s="7" t="inlineStr">
        <is>
          <t>SPHOORTI DUST STD 7005 [30 X 20 X 30 GM LAMINATE POUCH] 18 KG PP OLD BAG</t>
        </is>
      </c>
      <c r="C1659" s="7" t="inlineStr">
        <is>
          <t>SPHOORTI</t>
        </is>
      </c>
      <c r="D1659" s="7" t="n">
        <v>19357</v>
      </c>
      <c r="E1659" s="7" t="inlineStr">
        <is>
          <t>SPHOORTI DUST 30 GMS POUCH</t>
        </is>
      </c>
      <c r="F1659" s="7" t="n">
        <v>600</v>
      </c>
      <c r="G1659" s="7" t="inlineStr">
        <is>
          <t>POUCH</t>
        </is>
      </c>
      <c r="H1659" t="inlineStr">
        <is>
          <t>BLEND STD 7005</t>
        </is>
      </c>
    </row>
    <row r="1660" ht="14.25" customHeight="1" s="5">
      <c r="A1660" s="7" t="n">
        <v>251</v>
      </c>
      <c r="B1660" s="7" t="inlineStr">
        <is>
          <t>SPHOORTI LEAF 250 GMS X 48( 12 KG CFC)</t>
        </is>
      </c>
      <c r="C1660" s="7" t="inlineStr">
        <is>
          <t>SPHOORTI</t>
        </is>
      </c>
      <c r="D1660" s="7" t="n">
        <v>19339</v>
      </c>
      <c r="E1660" s="7" t="inlineStr">
        <is>
          <t>SPHOORTI LEAF 250 GMS CARTON</t>
        </is>
      </c>
      <c r="F1660" s="7" t="n">
        <v>48</v>
      </c>
      <c r="G1660" s="7" t="inlineStr">
        <is>
          <t>POUCH</t>
        </is>
      </c>
      <c r="H1660" t="inlineStr">
        <is>
          <t>BLEND SFA</t>
        </is>
      </c>
    </row>
    <row r="1661" ht="14.25" customHeight="1" s="5">
      <c r="A1661" s="7" t="n">
        <v>255</v>
      </c>
      <c r="B1661" s="7" t="inlineStr">
        <is>
          <t>SPHOORTI LEAF 30 GMS X 600 (18 KG) PP OLD BAG</t>
        </is>
      </c>
      <c r="C1661" s="7" t="inlineStr">
        <is>
          <t>SPHOORTI</t>
        </is>
      </c>
      <c r="D1661" s="7" t="n">
        <v>19358</v>
      </c>
      <c r="E1661" s="7" t="inlineStr">
        <is>
          <t>SPHOORTI LEAF 30 GMS POUCH</t>
        </is>
      </c>
      <c r="F1661" s="7" t="n">
        <v>600</v>
      </c>
      <c r="G1661" s="7" t="inlineStr">
        <is>
          <t>POUCH</t>
        </is>
      </c>
      <c r="H1661" t="inlineStr">
        <is>
          <t>BLEND RC-TPM</t>
        </is>
      </c>
    </row>
    <row r="1662" ht="14.25" customHeight="1" s="5">
      <c r="A1662" s="7" t="n">
        <v>21967</v>
      </c>
      <c r="B1662" s="7" t="inlineStr">
        <is>
          <t>SPHOORTI LEAF RC [30 X 20 X 30 GM LAMINATE POUCH]  18 KG PP OLD BAG</t>
        </is>
      </c>
      <c r="C1662" s="7" t="inlineStr">
        <is>
          <t>SPHOORTI</t>
        </is>
      </c>
      <c r="D1662" s="7" t="n">
        <v>19358</v>
      </c>
      <c r="E1662" s="7" t="inlineStr">
        <is>
          <t>SPHOORTI LEAF 30 GMS POUCH</t>
        </is>
      </c>
      <c r="F1662" s="7" t="n">
        <v>600</v>
      </c>
      <c r="G1662" s="7" t="inlineStr">
        <is>
          <t>POUCH</t>
        </is>
      </c>
      <c r="H1662" t="inlineStr">
        <is>
          <t>BLEND RC-TPM</t>
        </is>
      </c>
    </row>
    <row r="1663" ht="14.25" customHeight="1" s="5">
      <c r="A1663" s="7" t="n">
        <v>22048</v>
      </c>
      <c r="B1663" s="7" t="inlineStr">
        <is>
          <t>SPHOORTI LEAF RC [48 X 250 GM CTN] 12 KG CFC - INST</t>
        </is>
      </c>
      <c r="C1663" s="7" t="inlineStr">
        <is>
          <t>SPHOORTI</t>
        </is>
      </c>
      <c r="D1663" s="7" t="n">
        <v>22043</v>
      </c>
      <c r="E1663" s="7" t="inlineStr">
        <is>
          <t>SPHOORTI LEAF 250 GMS CTN</t>
        </is>
      </c>
      <c r="F1663" s="7" t="n">
        <v>48</v>
      </c>
      <c r="G1663" s="7" t="inlineStr">
        <is>
          <t>POUCH</t>
        </is>
      </c>
      <c r="H1663" t="inlineStr">
        <is>
          <t>BLEND RC-TPM</t>
        </is>
      </c>
    </row>
    <row r="1664" ht="14.25" customHeight="1" s="5">
      <c r="A1664" s="7" t="n">
        <v>21965</v>
      </c>
      <c r="B1664" s="7" t="inlineStr">
        <is>
          <t>SPHOORTI LEAF RC [48 X 250 GMS CTN] 12 KG CFC BOGO OFFER</t>
        </is>
      </c>
      <c r="C1664" s="7" t="inlineStr">
        <is>
          <t>SPHOORTI</t>
        </is>
      </c>
      <c r="D1664" s="7" t="n">
        <v>21964</v>
      </c>
      <c r="E1664" s="7" t="inlineStr">
        <is>
          <t>SPHOORTI LEAF 250 GMS CTN BOGO OFFER</t>
        </is>
      </c>
      <c r="F1664" s="7" t="n">
        <v>48</v>
      </c>
      <c r="G1664" s="7" t="inlineStr">
        <is>
          <t>POUCH</t>
        </is>
      </c>
      <c r="H1664" t="inlineStr">
        <is>
          <t>BLEND RC-TPM</t>
        </is>
      </c>
    </row>
    <row r="1665" ht="14.25" customHeight="1" s="5">
      <c r="A1665" s="7" t="n">
        <v>32490</v>
      </c>
      <c r="B1665" s="7" t="inlineStr">
        <is>
          <t>SPHOORTI LEAF RC [8 X 40 X 20 GM LAMINATE POUCH] CFC</t>
        </is>
      </c>
      <c r="C1665" s="7" t="inlineStr">
        <is>
          <t>SPHOORTI</t>
        </is>
      </c>
      <c r="D1665" s="7" t="n">
        <v>32489</v>
      </c>
      <c r="E1665" s="7" t="inlineStr">
        <is>
          <t>SPHOORTI LEAF RC 20 GM POUCH</t>
        </is>
      </c>
      <c r="F1665" s="7" t="n">
        <v>320</v>
      </c>
      <c r="G1665" s="7" t="inlineStr">
        <is>
          <t>POUCH</t>
        </is>
      </c>
      <c r="H1665" t="inlineStr">
        <is>
          <t>BLEND RC-TPM</t>
        </is>
      </c>
    </row>
    <row r="1666" ht="14.25" customHeight="1" s="5">
      <c r="A1666" s="7" t="n">
        <v>22077</v>
      </c>
      <c r="B1666" s="7" t="inlineStr">
        <is>
          <t>SPHOORTI LEAF RC [96 X 250 GM CTN] 24 KG CFC - INST</t>
        </is>
      </c>
      <c r="C1666" s="7" t="inlineStr">
        <is>
          <t>SPHOORTI</t>
        </is>
      </c>
      <c r="D1666" s="7" t="n">
        <v>22043</v>
      </c>
      <c r="E1666" s="7" t="inlineStr">
        <is>
          <t>SPHOORTI LEAF 250 GMS CTN</t>
        </is>
      </c>
      <c r="F1666" s="7" t="n">
        <v>96</v>
      </c>
      <c r="G1666" s="7" t="inlineStr">
        <is>
          <t>CTN</t>
        </is>
      </c>
      <c r="H1666" t="inlineStr">
        <is>
          <t>BLEND RC-TPM</t>
        </is>
      </c>
    </row>
    <row r="1667" ht="14.25" customHeight="1" s="5">
      <c r="A1667" s="7" t="n">
        <v>35169</v>
      </c>
      <c r="B1667" s="7" t="inlineStr">
        <is>
          <t>SPHOORTI LEAF RC [96 X 250 GM CTN] CFC CALCULATOR OFFER</t>
        </is>
      </c>
      <c r="C1667" s="7" t="inlineStr">
        <is>
          <t>SPHOORTI</t>
        </is>
      </c>
      <c r="D1667" s="7" t="n">
        <v>22043</v>
      </c>
      <c r="E1667" s="7" t="inlineStr">
        <is>
          <t>SPHOORTI LEAF 250 GMS CTN</t>
        </is>
      </c>
      <c r="F1667" s="7" t="n">
        <v>96</v>
      </c>
      <c r="G1667" s="7" t="inlineStr">
        <is>
          <t>CTN</t>
        </is>
      </c>
      <c r="H1667" t="inlineStr">
        <is>
          <t>BLEND RC-TPM</t>
        </is>
      </c>
    </row>
    <row r="1668" ht="14.25" customHeight="1" s="5">
      <c r="A1668" s="7" t="n">
        <v>29003</v>
      </c>
      <c r="B1668" s="7" t="inlineStr">
        <is>
          <t>SPHOORTI LEAF RC [96 X 250 GM CTN] CFC SPOON OFFER</t>
        </is>
      </c>
      <c r="C1668" s="7" t="inlineStr">
        <is>
          <t>SPHOORTI</t>
        </is>
      </c>
      <c r="D1668" s="7" t="n">
        <v>22043</v>
      </c>
      <c r="E1668" s="7" t="inlineStr">
        <is>
          <t>SPHOORTI LEAF 250 GMS CTN</t>
        </is>
      </c>
      <c r="F1668" s="7" t="n">
        <v>96</v>
      </c>
      <c r="G1668" s="7" t="inlineStr">
        <is>
          <t>CTN</t>
        </is>
      </c>
      <c r="H1668" t="inlineStr">
        <is>
          <t>BLEND RC-TPM</t>
        </is>
      </c>
    </row>
    <row r="1669" ht="14.25" customHeight="1" s="5">
      <c r="A1669" s="7" t="n">
        <v>22711</v>
      </c>
      <c r="B1669" s="7" t="inlineStr">
        <is>
          <t>SPHOORTI LEAF SFA [96 X 250 GM CTN] 24 KG CFC</t>
        </is>
      </c>
      <c r="C1669" s="7" t="inlineStr">
        <is>
          <t>SPHOORTI</t>
        </is>
      </c>
      <c r="D1669" s="7" t="n">
        <v>19339</v>
      </c>
      <c r="E1669" s="7" t="inlineStr">
        <is>
          <t>SPHOORTI LEAF 250 GMS CARTON</t>
        </is>
      </c>
      <c r="F1669" s="7" t="n">
        <v>96</v>
      </c>
      <c r="G1669" s="7" t="inlineStr">
        <is>
          <t>POUCH</t>
        </is>
      </c>
      <c r="H1669" t="inlineStr">
        <is>
          <t>BLEND SFA</t>
        </is>
      </c>
    </row>
    <row r="1670" ht="14.25" customHeight="1" s="5">
      <c r="A1670" s="7" t="n">
        <v>29489</v>
      </c>
      <c r="B1670" s="7" t="inlineStr">
        <is>
          <t>SPHOORTI LEAF STD-RE(TULSI) [12 X 8 X 250 GM LAMINATE POUCH] PP BAG</t>
        </is>
      </c>
      <c r="C1670" s="7" t="inlineStr">
        <is>
          <t>SPHOORTI</t>
        </is>
      </c>
      <c r="D1670" s="7" t="n">
        <v>29487</v>
      </c>
      <c r="E1670" s="7" t="inlineStr">
        <is>
          <t>SPHOORTI LEAF 250 GMS POUCH</t>
        </is>
      </c>
      <c r="F1670" s="7" t="n">
        <v>96</v>
      </c>
      <c r="G1670" s="7" t="inlineStr">
        <is>
          <t>POUCH</t>
        </is>
      </c>
      <c r="H1670" t="inlineStr">
        <is>
          <t>BLEND STD-RE(TULSI)</t>
        </is>
      </c>
    </row>
    <row r="1671" ht="14.25" customHeight="1" s="5">
      <c r="A1671" s="7" t="n">
        <v>31406</v>
      </c>
      <c r="B1671" s="7" t="inlineStr">
        <is>
          <t>SPHOORTI TULSI ROYAL LEAF STD-RE(TULSI) [1 X 48 X 235 GM LAMINATE POUCH] CFC CP OFFER</t>
        </is>
      </c>
      <c r="C1671" s="7" t="inlineStr">
        <is>
          <t>SPHOORTI</t>
        </is>
      </c>
      <c r="D1671" s="7" t="n">
        <v>31405</v>
      </c>
      <c r="E1671" s="7" t="inlineStr">
        <is>
          <t>SPHOORTI TULSI ROYAL LEAF STD-RE(TULSI) 235 GM POUCH CP OFFER</t>
        </is>
      </c>
      <c r="F1671" s="7" t="n">
        <v>48</v>
      </c>
      <c r="G1671" s="7" t="inlineStr">
        <is>
          <t>POUCH</t>
        </is>
      </c>
      <c r="H1671" t="inlineStr">
        <is>
          <t>BLEND STD-RE(TULSI)</t>
        </is>
      </c>
    </row>
    <row r="1672" ht="14.25" customHeight="1" s="5">
      <c r="A1672" s="7" t="n">
        <v>30973</v>
      </c>
      <c r="B1672" s="7" t="inlineStr">
        <is>
          <t>SPHOORTI TULSI ROYAL LEAF STD-RE(TULSI) [1 X 48 X 250 GM LAMINATE POUCH] CFC</t>
        </is>
      </c>
      <c r="C1672" s="7" t="inlineStr">
        <is>
          <t>TEZ</t>
        </is>
      </c>
      <c r="D1672" s="7" t="n">
        <v>30972</v>
      </c>
      <c r="E1672" s="7" t="inlineStr">
        <is>
          <t>SPHOORTI TULSI ROYAL LEAF STD-RE(TULSI) 250 GM POUCH</t>
        </is>
      </c>
      <c r="F1672" s="7" t="n">
        <v>48</v>
      </c>
      <c r="G1672" s="7" t="inlineStr">
        <is>
          <t>POUCH</t>
        </is>
      </c>
      <c r="H1672" t="inlineStr">
        <is>
          <t>BLEND STD-RE(TULSI)</t>
        </is>
      </c>
    </row>
    <row r="1673" ht="14.25" customHeight="1" s="5">
      <c r="A1673" s="7" t="n">
        <v>31372</v>
      </c>
      <c r="B1673" s="7" t="inlineStr">
        <is>
          <t>SPHOORTI TULSI ROYAL LEAF STD-RE(TULSI) [1 X 48 X 250 GM LAMINATE POUCH] CFC CP OFFER</t>
        </is>
      </c>
      <c r="C1673" s="7" t="inlineStr">
        <is>
          <t>SPHOORTI</t>
        </is>
      </c>
      <c r="D1673" s="7" t="n">
        <v>30972</v>
      </c>
      <c r="E1673" s="7" t="inlineStr">
        <is>
          <t>SPHOORTI TULSI ROYAL LEAF STD-RE(TULSI) 250 GM POUCH</t>
        </is>
      </c>
      <c r="F1673" s="7" t="n">
        <v>48</v>
      </c>
      <c r="G1673" s="7" t="inlineStr">
        <is>
          <t>POUCH</t>
        </is>
      </c>
      <c r="H1673" t="inlineStr">
        <is>
          <t>BLEND STD-RE(TULSI)</t>
        </is>
      </c>
    </row>
    <row r="1674" ht="14.25" customHeight="1" s="5">
      <c r="A1674" s="7" t="n">
        <v>32400</v>
      </c>
      <c r="B1674" s="7" t="inlineStr">
        <is>
          <t>SPHOORTI TULSI ROYAL LEAF STD-RE(TULSI) [12 X 10 X 200 GM LAMINATE POUCH] PP BAG</t>
        </is>
      </c>
      <c r="C1674" s="7" t="inlineStr">
        <is>
          <t>SPHOORTI</t>
        </is>
      </c>
      <c r="D1674" s="7" t="n">
        <v>32320</v>
      </c>
      <c r="E1674" s="7" t="inlineStr">
        <is>
          <t>SPHOORTI TULSI ROYAL LEAF STD-RE(TULSI) 200 GM POUCH</t>
        </is>
      </c>
      <c r="F1674" s="7" t="n">
        <v>120</v>
      </c>
      <c r="G1674" s="7" t="inlineStr">
        <is>
          <t>POUCH</t>
        </is>
      </c>
      <c r="H1674" t="inlineStr">
        <is>
          <t>BLEND STD-RE(TULSI)</t>
        </is>
      </c>
    </row>
    <row r="1675" ht="14.25" customHeight="1" s="5">
      <c r="A1675" s="7" t="n">
        <v>32321</v>
      </c>
      <c r="B1675" s="7" t="inlineStr">
        <is>
          <t>SPHOORTI TULSI ROYAL LEAF STD-RE(TULSI) [12 X 10 X 200 GM LAMINATE POUCH] PP BAG CP OFFER</t>
        </is>
      </c>
      <c r="C1675" s="7" t="inlineStr">
        <is>
          <t>SPHOORTI</t>
        </is>
      </c>
      <c r="D1675" s="7" t="n">
        <v>32320</v>
      </c>
      <c r="E1675" s="7" t="inlineStr">
        <is>
          <t>SPHOORTI TULSI ROYAL LEAF STD-RE(TULSI) 200 GM POUCH</t>
        </is>
      </c>
      <c r="F1675" s="7" t="n">
        <v>120</v>
      </c>
      <c r="G1675" s="7" t="inlineStr">
        <is>
          <t>POUCH</t>
        </is>
      </c>
      <c r="H1675" t="inlineStr">
        <is>
          <t>BLEND STD-RE(TULSI)</t>
        </is>
      </c>
    </row>
    <row r="1676" ht="14.25" customHeight="1" s="5">
      <c r="A1676" s="7" t="n">
        <v>32319</v>
      </c>
      <c r="B1676" s="7" t="inlineStr">
        <is>
          <t>SPHOORTI TULSI ROYAL LEAF STD-RE(TULSI) [12 X 8 X 235 GM LAMINATE POUCH] PP BAG CP OFFER</t>
        </is>
      </c>
      <c r="C1676" s="7" t="inlineStr">
        <is>
          <t>SPHOORTI</t>
        </is>
      </c>
      <c r="D1676" s="7" t="n">
        <v>31405</v>
      </c>
      <c r="E1676" s="7" t="inlineStr">
        <is>
          <t>SPHOORTI TULSI ROYAL LEAF STD-RE(TULSI) 235 GM POUCH CP OFFER</t>
        </is>
      </c>
      <c r="F1676" s="7" t="n">
        <v>96</v>
      </c>
      <c r="G1676" s="7" t="inlineStr">
        <is>
          <t>POUCH</t>
        </is>
      </c>
      <c r="H1676" t="inlineStr">
        <is>
          <t>BLEND STD-RE(TULSI)</t>
        </is>
      </c>
    </row>
    <row r="1677" ht="14.25" customHeight="1" s="5">
      <c r="A1677" s="7" t="n">
        <v>31376</v>
      </c>
      <c r="B1677" s="7" t="inlineStr">
        <is>
          <t>SPHOORTI TULSI ROYAL LEAF STD-RE(TULSI) [8 X 40 X 20 GM LAMINATE POUCH] CFC</t>
        </is>
      </c>
      <c r="C1677" s="7" t="inlineStr">
        <is>
          <t>SPHOORTI</t>
        </is>
      </c>
      <c r="D1677" s="7" t="n">
        <v>31375</v>
      </c>
      <c r="E1677" s="7" t="inlineStr">
        <is>
          <t>SPHOORTI TULSI ROYAL LEAF STD-RE(TULSI) 20 GM POUCH</t>
        </is>
      </c>
      <c r="F1677" s="7" t="n">
        <v>320</v>
      </c>
      <c r="G1677" s="7" t="inlineStr">
        <is>
          <t>POUCH</t>
        </is>
      </c>
      <c r="H1677" t="inlineStr">
        <is>
          <t>BLEND STD-RE(TULSI)</t>
        </is>
      </c>
    </row>
    <row r="1678" ht="14.25" customHeight="1" s="5">
      <c r="A1678" s="7" t="n">
        <v>18368</v>
      </c>
      <c r="B1678" s="7" t="inlineStr">
        <is>
          <t>SPIGA HIBISCUS APPLE 24/25 SC ENV TBGS</t>
        </is>
      </c>
      <c r="C1678" s="7" t="inlineStr">
        <is>
          <t>SPIGA</t>
        </is>
      </c>
      <c r="D1678" s="7" t="n">
        <v>18398</v>
      </c>
      <c r="E1678" s="7" t="inlineStr">
        <is>
          <t>SPIGA HIBISCUS APPLE 25 SC ENV TBGS</t>
        </is>
      </c>
      <c r="F1678" s="7" t="n">
        <v>24</v>
      </c>
      <c r="G1678" s="7" t="inlineStr">
        <is>
          <t>CTN</t>
        </is>
      </c>
      <c r="H1678">
        <f>#N/A</f>
        <v/>
      </c>
    </row>
    <row r="1679" ht="14.25" customHeight="1" s="5">
      <c r="A1679" s="7" t="n">
        <v>18367</v>
      </c>
      <c r="B1679" s="7" t="inlineStr">
        <is>
          <t>SPIGA TAMARIND 24/25 SC ENV TBGS</t>
        </is>
      </c>
      <c r="C1679" s="7" t="inlineStr">
        <is>
          <t>SPIGA</t>
        </is>
      </c>
      <c r="D1679" s="7" t="n">
        <v>18396</v>
      </c>
      <c r="E1679" s="7" t="inlineStr">
        <is>
          <t>SPIGA TAMARIND 25 SC ENV TBGS</t>
        </is>
      </c>
      <c r="F1679" s="7" t="n">
        <v>24</v>
      </c>
      <c r="G1679" s="7" t="inlineStr">
        <is>
          <t>CTN</t>
        </is>
      </c>
      <c r="H1679">
        <f>#N/A</f>
        <v/>
      </c>
    </row>
    <row r="1680" ht="14.25" customHeight="1" s="5">
      <c r="A1680" s="7" t="n">
        <v>23758</v>
      </c>
      <c r="B1680" s="7" t="inlineStr">
        <is>
          <t>SPROUTS FARMERS MARKET ORGANIC BLACK TEA 12/100 SC ENV TBGS</t>
        </is>
      </c>
      <c r="C1680" s="7" t="inlineStr">
        <is>
          <t>SPROUTS</t>
        </is>
      </c>
      <c r="D1680" s="7" t="n">
        <v>26629</v>
      </c>
      <c r="E1680" s="7" t="inlineStr">
        <is>
          <t>SPROUTS ORGANIC BLACK TEA 100 SC ENV TBGS</t>
        </is>
      </c>
      <c r="F1680" s="7" t="n">
        <v>12</v>
      </c>
      <c r="G1680" s="7" t="inlineStr">
        <is>
          <t>CTN</t>
        </is>
      </c>
      <c r="H1680" t="inlineStr">
        <is>
          <t>BLEND 7080 (ORG)</t>
        </is>
      </c>
    </row>
    <row r="1681" ht="14.25" customHeight="1" s="5">
      <c r="A1681" s="7" t="n">
        <v>23760</v>
      </c>
      <c r="B1681" s="7" t="inlineStr">
        <is>
          <t>SPROUTS FARMERS MARKET ORGANIC GREEN TEA 12/100 SC ENV TBGS</t>
        </is>
      </c>
      <c r="C1681" s="7" t="inlineStr">
        <is>
          <t>SPROUTS</t>
        </is>
      </c>
      <c r="D1681" s="7" t="n">
        <v>26628</v>
      </c>
      <c r="E1681" s="7" t="inlineStr">
        <is>
          <t>SPROUTS ORGANIC GREEN TEA 100 SC ENV TBGS</t>
        </is>
      </c>
      <c r="F1681" s="7" t="n">
        <v>12</v>
      </c>
      <c r="G1681" s="7" t="inlineStr">
        <is>
          <t>CTN</t>
        </is>
      </c>
      <c r="H1681" t="inlineStr">
        <is>
          <t>BLEND 7081 (ORG)</t>
        </is>
      </c>
    </row>
    <row r="1682" ht="14.25" customHeight="1" s="5">
      <c r="A1682" s="7" t="n">
        <v>21529</v>
      </c>
      <c r="B1682" s="7" t="inlineStr">
        <is>
          <t>STEVIA SWEET LYCHEE 6/18 PYRAMID ENV TEABAGS</t>
        </is>
      </c>
      <c r="C1682" s="7" t="inlineStr">
        <is>
          <t>STEVIA</t>
        </is>
      </c>
      <c r="D1682" s="7" t="n">
        <v>21527</v>
      </c>
      <c r="E1682" s="7" t="inlineStr">
        <is>
          <t>STEVIA SWEET LYCHEE 18 PYRAMID ENV TEABAGS</t>
        </is>
      </c>
      <c r="F1682" s="7" t="n">
        <v>6</v>
      </c>
      <c r="G1682" s="7" t="inlineStr">
        <is>
          <t>CTN</t>
        </is>
      </c>
      <c r="H1682" t="inlineStr">
        <is>
          <t>BLEND STEVIA FRUITY LYCHEE TB</t>
        </is>
      </c>
    </row>
    <row r="1683" ht="14.25" customHeight="1" s="5">
      <c r="A1683" s="7" t="n">
        <v>21528</v>
      </c>
      <c r="B1683" s="7" t="inlineStr">
        <is>
          <t>STEVIA SWEET WILD BERRY 6/18 PYRAMID ENV TEABAGS</t>
        </is>
      </c>
      <c r="C1683" s="7" t="inlineStr">
        <is>
          <t>STEVIA</t>
        </is>
      </c>
      <c r="D1683" s="7" t="n">
        <v>21526</v>
      </c>
      <c r="E1683" s="7" t="inlineStr">
        <is>
          <t>STEVIA SWEET WILD BERRY 18 PYRAMID ENV TEABAGS</t>
        </is>
      </c>
      <c r="F1683" s="7" t="n">
        <v>6</v>
      </c>
      <c r="G1683" s="7" t="inlineStr">
        <is>
          <t>CTN</t>
        </is>
      </c>
      <c r="H1683" t="inlineStr">
        <is>
          <t>BLEND STEVIA FRUITY WILD BERRY TB</t>
        </is>
      </c>
    </row>
    <row r="1684" ht="14.25" customHeight="1" s="5">
      <c r="A1684" s="7" t="n">
        <v>2597</v>
      </c>
      <c r="B1684" s="7" t="inlineStr">
        <is>
          <t>SUPER CRANBERRY APPLE 48/25 SC ENV TBGS WITH TSHIRT</t>
        </is>
      </c>
      <c r="C1684" s="7" t="inlineStr">
        <is>
          <t>SUPER</t>
        </is>
      </c>
      <c r="D1684" s="7" t="n">
        <v>2598</v>
      </c>
      <c r="E1684" s="7" t="inlineStr">
        <is>
          <t>SUPER CRANBERRY APPLE 25 SC ENV TBGS</t>
        </is>
      </c>
      <c r="F1684" s="7" t="n">
        <v>48</v>
      </c>
      <c r="G1684" s="7" t="inlineStr">
        <is>
          <t>CTN</t>
        </is>
      </c>
      <c r="H1684">
        <f>#N/A</f>
        <v/>
      </c>
    </row>
    <row r="1685" ht="14.25" customHeight="1" s="5">
      <c r="A1685" s="7" t="n">
        <v>2605</v>
      </c>
      <c r="B1685" s="7" t="inlineStr">
        <is>
          <t>SUPER GINGER 48/25 DC ENV TBGS WITH TSHIRT</t>
        </is>
      </c>
      <c r="C1685" s="7" t="inlineStr">
        <is>
          <t>SUPER</t>
        </is>
      </c>
      <c r="D1685" s="7" t="n">
        <v>2606</v>
      </c>
      <c r="E1685" s="7" t="inlineStr">
        <is>
          <t>SUPER GINGER 25 DC ENV TBGS</t>
        </is>
      </c>
      <c r="F1685" s="7" t="n">
        <v>48</v>
      </c>
      <c r="G1685" s="7" t="inlineStr">
        <is>
          <t>CTN</t>
        </is>
      </c>
      <c r="H1685" t="inlineStr">
        <is>
          <t>BLEND AF BLACK TEA  GINGER TBGS</t>
        </is>
      </c>
    </row>
    <row r="1686" ht="14.25" customHeight="1" s="5">
      <c r="A1686" s="7" t="n">
        <v>20962</v>
      </c>
      <c r="B1686" s="7" t="inlineStr">
        <is>
          <t>SUPER HIBISCUS APPLE 48/25 DC ENV TBGS</t>
        </is>
      </c>
      <c r="C1686" s="7" t="inlineStr">
        <is>
          <t>SUPER</t>
        </is>
      </c>
      <c r="D1686" s="7" t="n">
        <v>20958</v>
      </c>
      <c r="E1686" s="7" t="inlineStr">
        <is>
          <t>SUPER HIBISCUS APPLE 25 DC ENV TBGS</t>
        </is>
      </c>
      <c r="F1686" s="7" t="n">
        <v>48</v>
      </c>
      <c r="G1686" s="7" t="inlineStr">
        <is>
          <t>CTN</t>
        </is>
      </c>
      <c r="H1686" t="inlineStr">
        <is>
          <t>BLEND HIBISCUS APPLE TBC -AF</t>
        </is>
      </c>
    </row>
    <row r="1687" ht="14.25" customHeight="1" s="5">
      <c r="A1687" s="7" t="n">
        <v>21391</v>
      </c>
      <c r="B1687" s="7" t="inlineStr">
        <is>
          <t>SUPER HIBISCUS APPLE 48/25 DC ENV TBGS WITH T-SHIRT</t>
        </is>
      </c>
      <c r="C1687" s="7" t="inlineStr">
        <is>
          <t>SUPER</t>
        </is>
      </c>
      <c r="D1687" s="7" t="n">
        <v>20958</v>
      </c>
      <c r="E1687" s="7" t="inlineStr">
        <is>
          <t>SUPER HIBISCUS APPLE 25 DC ENV TBGS</t>
        </is>
      </c>
      <c r="F1687" s="7" t="n">
        <v>48</v>
      </c>
      <c r="G1687" s="7" t="inlineStr">
        <is>
          <t>CTN</t>
        </is>
      </c>
      <c r="H1687" t="inlineStr">
        <is>
          <t>BLEND HIBISCUS APPLE TBC -AF</t>
        </is>
      </c>
    </row>
    <row r="1688" ht="14.25" customHeight="1" s="5">
      <c r="A1688" s="7" t="n">
        <v>2610</v>
      </c>
      <c r="B1688" s="7" t="inlineStr">
        <is>
          <t>SUPER MINT 48/25 DC ENV TBGS WITH TSHIRT</t>
        </is>
      </c>
      <c r="C1688" s="7" t="inlineStr">
        <is>
          <t>SUPER</t>
        </is>
      </c>
      <c r="D1688" s="7" t="n">
        <v>2611</v>
      </c>
      <c r="E1688" s="7" t="inlineStr">
        <is>
          <t>SUPER MINT 25 DC ENV TBGS</t>
        </is>
      </c>
      <c r="F1688" s="7" t="n">
        <v>48</v>
      </c>
      <c r="G1688" s="7" t="inlineStr">
        <is>
          <t>CTN</t>
        </is>
      </c>
      <c r="H1688" t="inlineStr">
        <is>
          <t>BLEND AF BLACK TEA MINT TBGS</t>
        </is>
      </c>
    </row>
    <row r="1689" ht="14.25" customHeight="1" s="5">
      <c r="A1689" s="7" t="n">
        <v>2615</v>
      </c>
      <c r="B1689" s="7" t="inlineStr">
        <is>
          <t>SUPER STRAWBERRY 48/25 DC ENV TBGS WITH TSHIRT</t>
        </is>
      </c>
      <c r="C1689" s="7" t="inlineStr">
        <is>
          <t>SUPER</t>
        </is>
      </c>
      <c r="D1689" s="7" t="n">
        <v>2616</v>
      </c>
      <c r="E1689" s="7" t="inlineStr">
        <is>
          <t>SUPER STRAWBERRY 25 DC ENV TBGS</t>
        </is>
      </c>
      <c r="F1689" s="7" t="n">
        <v>48</v>
      </c>
      <c r="G1689" s="7" t="inlineStr">
        <is>
          <t>CTN</t>
        </is>
      </c>
      <c r="H1689" t="inlineStr">
        <is>
          <t>BLEND STRAWBERRY TB</t>
        </is>
      </c>
    </row>
    <row r="1690" ht="14.25" customHeight="1" s="5">
      <c r="A1690" s="7" t="n">
        <v>2620</v>
      </c>
      <c r="B1690" s="7" t="inlineStr">
        <is>
          <t>SUPER TEA 12/100 DC ENV TBGS</t>
        </is>
      </c>
      <c r="C1690" s="7" t="inlineStr">
        <is>
          <t>SUPER</t>
        </is>
      </c>
      <c r="D1690" s="7" t="n">
        <v>2621</v>
      </c>
      <c r="E1690" s="7" t="inlineStr">
        <is>
          <t>SUPER TEA 100 DC ENV TBGS</t>
        </is>
      </c>
      <c r="F1690" s="7" t="n">
        <v>12</v>
      </c>
      <c r="G1690" s="7" t="inlineStr">
        <is>
          <t>CTN</t>
        </is>
      </c>
      <c r="H1690" t="inlineStr">
        <is>
          <t>BLEND A-132</t>
        </is>
      </c>
    </row>
    <row r="1691" ht="14.25" customHeight="1" s="5">
      <c r="A1691" s="7" t="n">
        <v>2629</v>
      </c>
      <c r="B1691" s="7" t="inlineStr">
        <is>
          <t>SUPER TEA 12/100 DC ENV TBGS WITH SPOON</t>
        </is>
      </c>
      <c r="C1691" s="7" t="inlineStr">
        <is>
          <t>SUPER</t>
        </is>
      </c>
      <c r="D1691" s="7" t="n">
        <v>18997</v>
      </c>
      <c r="E1691" s="7" t="inlineStr">
        <is>
          <t>SUPER TEA 100 DC ENV TBGS WITH SPOON</t>
        </is>
      </c>
      <c r="F1691" s="7" t="n">
        <v>12</v>
      </c>
      <c r="G1691" s="7" t="inlineStr">
        <is>
          <t>CTN</t>
        </is>
      </c>
      <c r="H1691" t="inlineStr">
        <is>
          <t>BLEND A-132</t>
        </is>
      </c>
    </row>
    <row r="1692" ht="14.25" customHeight="1" s="5">
      <c r="A1692" s="7" t="n">
        <v>22704</v>
      </c>
      <c r="B1692" s="7" t="inlineStr">
        <is>
          <t>SUPER TEA 40/25 DC TAG TBGS</t>
        </is>
      </c>
      <c r="C1692" s="7" t="inlineStr">
        <is>
          <t>SUPER</t>
        </is>
      </c>
      <c r="D1692" s="7" t="n">
        <v>2635</v>
      </c>
      <c r="E1692" s="7" t="inlineStr">
        <is>
          <t>SUPER TEA 25 DC TAG TBGS</t>
        </is>
      </c>
      <c r="F1692" s="7" t="n">
        <v>40</v>
      </c>
      <c r="G1692" s="7" t="inlineStr">
        <is>
          <t>CTN</t>
        </is>
      </c>
      <c r="H1692" t="inlineStr">
        <is>
          <t>BLEND A-132</t>
        </is>
      </c>
    </row>
    <row r="1693" ht="14.25" customHeight="1" s="5">
      <c r="A1693" s="7" t="n">
        <v>2634</v>
      </c>
      <c r="B1693" s="7" t="inlineStr">
        <is>
          <t>SUPER TEA 80/25 DC TAG TBGS</t>
        </is>
      </c>
      <c r="C1693" s="7" t="inlineStr">
        <is>
          <t>SUPER</t>
        </is>
      </c>
      <c r="D1693" s="7" t="n">
        <v>2635</v>
      </c>
      <c r="E1693" s="7" t="inlineStr">
        <is>
          <t>SUPER TEA 25 DC TAG TBGS</t>
        </is>
      </c>
      <c r="F1693" s="7" t="n">
        <v>80</v>
      </c>
      <c r="G1693" s="7" t="inlineStr">
        <is>
          <t>CTN</t>
        </is>
      </c>
      <c r="H1693" t="inlineStr">
        <is>
          <t>BLEND A-132</t>
        </is>
      </c>
    </row>
    <row r="1694" ht="14.25" customHeight="1" s="5">
      <c r="A1694" s="7" t="n">
        <v>2639</v>
      </c>
      <c r="B1694" s="7" t="inlineStr">
        <is>
          <t>SUPER TEA 80/25 DC TAG TBGS WITH TSHIRT</t>
        </is>
      </c>
      <c r="C1694" s="7" t="inlineStr">
        <is>
          <t>SUPER</t>
        </is>
      </c>
      <c r="D1694" s="7" t="n">
        <v>2635</v>
      </c>
      <c r="E1694" s="7" t="inlineStr">
        <is>
          <t>SUPER TEA 25 DC TAG TBGS</t>
        </is>
      </c>
      <c r="F1694" s="7" t="n">
        <v>80</v>
      </c>
      <c r="G1694" s="7" t="inlineStr">
        <is>
          <t>CTN</t>
        </is>
      </c>
      <c r="H1694" t="inlineStr">
        <is>
          <t>BLEND A-132</t>
        </is>
      </c>
    </row>
    <row r="1695" ht="14.25" customHeight="1" s="5">
      <c r="A1695" s="7" t="n">
        <v>21390</v>
      </c>
      <c r="B1695" s="7" t="inlineStr">
        <is>
          <t>SUPER TEA 80/25 SC TAG TBGS WITH POSTER</t>
        </is>
      </c>
      <c r="C1695" s="7" t="inlineStr">
        <is>
          <t>SUPER</t>
        </is>
      </c>
      <c r="D1695" s="7" t="n">
        <v>2644</v>
      </c>
      <c r="E1695" s="7" t="inlineStr">
        <is>
          <t>SUPER TEA 25 SC TAG TBGS</t>
        </is>
      </c>
      <c r="F1695" s="7" t="n">
        <v>80</v>
      </c>
      <c r="G1695" s="7" t="inlineStr">
        <is>
          <t>CTN</t>
        </is>
      </c>
      <c r="H1695">
        <f>#N/A</f>
        <v/>
      </c>
    </row>
    <row r="1696" ht="14.25" customHeight="1" s="5">
      <c r="A1696" s="7" t="n">
        <v>2643</v>
      </c>
      <c r="B1696" s="7" t="inlineStr">
        <is>
          <t>SUPER TEA 80/25 SC TAG TBGS WITH TSHIRT</t>
        </is>
      </c>
      <c r="C1696" s="7" t="inlineStr">
        <is>
          <t>SUPER</t>
        </is>
      </c>
      <c r="D1696" s="7" t="n">
        <v>2644</v>
      </c>
      <c r="E1696" s="7" t="inlineStr">
        <is>
          <t>SUPER TEA 25 SC TAG TBGS</t>
        </is>
      </c>
      <c r="F1696" s="7" t="n">
        <v>80</v>
      </c>
      <c r="G1696" s="7" t="inlineStr">
        <is>
          <t>CTN</t>
        </is>
      </c>
      <c r="H1696">
        <f>#N/A</f>
        <v/>
      </c>
    </row>
    <row r="1697" ht="14.25" customHeight="1" s="5">
      <c r="A1697" s="7" t="n">
        <v>26944</v>
      </c>
      <c r="B1697" s="7" t="inlineStr">
        <is>
          <t>SUPER TEA CINNAMON 48/25 DC ENV TBGS</t>
        </is>
      </c>
      <c r="C1697" s="7" t="inlineStr">
        <is>
          <t>SUPER</t>
        </is>
      </c>
      <c r="D1697" s="7" t="n">
        <v>26955</v>
      </c>
      <c r="E1697" s="7" t="inlineStr">
        <is>
          <t>SUPER  CINNAMON 25 DC ENV TBGS</t>
        </is>
      </c>
      <c r="F1697" s="7" t="n">
        <v>48</v>
      </c>
      <c r="G1697" s="7" t="inlineStr">
        <is>
          <t>CTN</t>
        </is>
      </c>
      <c r="H1697" t="inlineStr">
        <is>
          <t>BLEND BLACK TEA CINNAMON SPICE TBC - AF</t>
        </is>
      </c>
    </row>
    <row r="1698" ht="14.25" customHeight="1" s="5">
      <c r="A1698" s="7" t="n">
        <v>26943</v>
      </c>
      <c r="B1698" s="7" t="inlineStr">
        <is>
          <t>SUPER TEA CLOVE 48/25 DC ENV TBGS</t>
        </is>
      </c>
      <c r="C1698" s="7" t="inlineStr">
        <is>
          <t>SUPER</t>
        </is>
      </c>
      <c r="D1698" s="7" t="n">
        <v>26954</v>
      </c>
      <c r="E1698" s="7" t="inlineStr">
        <is>
          <t>SUPER  CLOVE 25 DC ENV TBGS</t>
        </is>
      </c>
      <c r="F1698" s="7" t="n">
        <v>48</v>
      </c>
      <c r="G1698" s="7" t="inlineStr">
        <is>
          <t>CTN</t>
        </is>
      </c>
      <c r="H1698" t="inlineStr">
        <is>
          <t>BLEND BLACK TEA CLOVE TBC</t>
        </is>
      </c>
    </row>
    <row r="1699" ht="14.25" customHeight="1" s="5">
      <c r="A1699" s="7" t="n">
        <v>2647</v>
      </c>
      <c r="B1699" s="7" t="inlineStr">
        <is>
          <t>SUPER TEA CRANBERRY APPLE 48/25 DC ENV TBGS</t>
        </is>
      </c>
      <c r="C1699" s="7" t="inlineStr">
        <is>
          <t>SUPER</t>
        </is>
      </c>
      <c r="D1699" s="7" t="n">
        <v>2648</v>
      </c>
      <c r="E1699" s="7" t="inlineStr">
        <is>
          <t>SUPER TEA CRANBERRY APPLE 25 DC ENV TBGS</t>
        </is>
      </c>
      <c r="F1699" s="7" t="n">
        <v>48</v>
      </c>
      <c r="G1699" s="7" t="inlineStr">
        <is>
          <t>CTN</t>
        </is>
      </c>
      <c r="H1699" t="inlineStr">
        <is>
          <t>BLEND CRANBERRY APPLE</t>
        </is>
      </c>
    </row>
    <row r="1700" ht="14.25" customHeight="1" s="5">
      <c r="A1700" s="7" t="n">
        <v>2652</v>
      </c>
      <c r="B1700" s="7" t="inlineStr">
        <is>
          <t>SUPER TEA CRANBERRY APPLE 48/25 SC ENV TBGS</t>
        </is>
      </c>
      <c r="C1700" s="7" t="inlineStr">
        <is>
          <t>SUPER</t>
        </is>
      </c>
      <c r="D1700" s="7" t="n">
        <v>2598</v>
      </c>
      <c r="E1700" s="7" t="inlineStr">
        <is>
          <t>SUPER CRANBERRY APPLE 25 SC ENV TBGS</t>
        </is>
      </c>
      <c r="F1700" s="7" t="n">
        <v>48</v>
      </c>
      <c r="G1700" s="7" t="inlineStr">
        <is>
          <t>CTN</t>
        </is>
      </c>
      <c r="H1700">
        <f>#N/A</f>
        <v/>
      </c>
    </row>
    <row r="1701" ht="14.25" customHeight="1" s="5">
      <c r="A1701" s="7" t="n">
        <v>21279</v>
      </c>
      <c r="B1701" s="7" t="inlineStr">
        <is>
          <t>SUPER TEA CRANBERRY APPLE 48/25 SC ENV TBGS - 2GMS</t>
        </is>
      </c>
      <c r="C1701" s="7" t="inlineStr">
        <is>
          <t>SUPER</t>
        </is>
      </c>
      <c r="D1701" s="7" t="n">
        <v>21280</v>
      </c>
      <c r="E1701" s="7" t="inlineStr">
        <is>
          <t>SUPER TEA CRANBERRY APPLE 25 SC ENV TBGS - 2GMS</t>
        </is>
      </c>
      <c r="F1701" s="7" t="n">
        <v>48</v>
      </c>
      <c r="G1701" s="7" t="inlineStr">
        <is>
          <t>CTN</t>
        </is>
      </c>
      <c r="H1701">
        <f>#N/A</f>
        <v/>
      </c>
    </row>
    <row r="1702" ht="14.25" customHeight="1" s="5">
      <c r="A1702" s="7" t="n">
        <v>2654</v>
      </c>
      <c r="B1702" s="7" t="inlineStr">
        <is>
          <t>SUPER TEA GINGER 48/25 DC ENV TBGS</t>
        </is>
      </c>
      <c r="C1702" s="7" t="inlineStr">
        <is>
          <t>SUPER</t>
        </is>
      </c>
      <c r="D1702" s="7" t="n">
        <v>2606</v>
      </c>
      <c r="E1702" s="7" t="inlineStr">
        <is>
          <t>SUPER GINGER 25 DC ENV TBGS</t>
        </is>
      </c>
      <c r="F1702" s="7" t="n">
        <v>48</v>
      </c>
      <c r="G1702" s="7" t="inlineStr">
        <is>
          <t>CTN</t>
        </is>
      </c>
      <c r="H1702" t="inlineStr">
        <is>
          <t>BLEND AF BLACK TEA  GINGER TBGS</t>
        </is>
      </c>
    </row>
    <row r="1703" ht="14.25" customHeight="1" s="5">
      <c r="A1703" s="7" t="n">
        <v>2656</v>
      </c>
      <c r="B1703" s="7" t="inlineStr">
        <is>
          <t>SUPER TEA GINGER 48/25 SC ENV TBGS</t>
        </is>
      </c>
      <c r="C1703" s="7" t="inlineStr">
        <is>
          <t>SUPER</t>
        </is>
      </c>
      <c r="D1703" s="7" t="n">
        <v>2657</v>
      </c>
      <c r="E1703" s="7" t="inlineStr">
        <is>
          <t>SUPER TEA GINGER 25 SC ENV TBGS</t>
        </is>
      </c>
      <c r="F1703" s="7" t="n">
        <v>48</v>
      </c>
      <c r="G1703" s="7" t="inlineStr">
        <is>
          <t>CTN</t>
        </is>
      </c>
      <c r="H1703">
        <f>#N/A</f>
        <v/>
      </c>
    </row>
    <row r="1704" ht="14.25" customHeight="1" s="5">
      <c r="A1704" s="7" t="n">
        <v>26950</v>
      </c>
      <c r="B1704" s="7" t="inlineStr">
        <is>
          <t>SUPER TEA GREEN 48/25 DC ENV TBGS</t>
        </is>
      </c>
      <c r="C1704" s="7" t="inlineStr">
        <is>
          <t>SUPER</t>
        </is>
      </c>
      <c r="D1704" s="7" t="n">
        <v>26961</v>
      </c>
      <c r="E1704" s="7" t="inlineStr">
        <is>
          <t>SUPER GREEN  25 DC ENV TBGS</t>
        </is>
      </c>
      <c r="F1704" s="7" t="n">
        <v>48</v>
      </c>
      <c r="G1704" s="7" t="inlineStr">
        <is>
          <t>CTN</t>
        </is>
      </c>
      <c r="H1704" t="inlineStr">
        <is>
          <t>BLEND TEAME GREEN</t>
        </is>
      </c>
    </row>
    <row r="1705" ht="14.25" customHeight="1" s="5">
      <c r="A1705" s="7" t="n">
        <v>26951</v>
      </c>
      <c r="B1705" s="7" t="inlineStr">
        <is>
          <t>SUPER TEA GREEN LEMON 48/25 DC ENV TBGS</t>
        </is>
      </c>
      <c r="C1705" s="7" t="inlineStr">
        <is>
          <t>SUPER</t>
        </is>
      </c>
      <c r="D1705" s="7" t="n">
        <v>26962</v>
      </c>
      <c r="E1705" s="7" t="inlineStr">
        <is>
          <t>SUPER GREEN LEMON  25 DC ENV TBGS</t>
        </is>
      </c>
      <c r="F1705" s="7" t="n">
        <v>48</v>
      </c>
      <c r="G1705" s="7" t="inlineStr">
        <is>
          <t>CTN</t>
        </is>
      </c>
      <c r="H1705" t="inlineStr">
        <is>
          <t>BLEND GREEN CITRUS TB</t>
        </is>
      </c>
    </row>
    <row r="1706" ht="14.25" customHeight="1" s="5">
      <c r="A1706" s="7" t="n">
        <v>29687</v>
      </c>
      <c r="B1706" s="7" t="inlineStr">
        <is>
          <t>SUPER TEA LEMON 48/25 DC ENV TBGS</t>
        </is>
      </c>
      <c r="C1706" s="7" t="inlineStr">
        <is>
          <t>SUPER</t>
        </is>
      </c>
      <c r="D1706" s="7" t="n">
        <v>29688</v>
      </c>
      <c r="E1706" s="7" t="inlineStr">
        <is>
          <t>SUPER TEA LEMON 25 DC ENV TBGS</t>
        </is>
      </c>
      <c r="F1706" s="7" t="n">
        <v>48</v>
      </c>
      <c r="G1706" s="7" t="inlineStr">
        <is>
          <t>CTN</t>
        </is>
      </c>
      <c r="H1706" t="inlineStr">
        <is>
          <t>BLEND BLACK TEA LEMON TB</t>
        </is>
      </c>
    </row>
    <row r="1707" ht="14.25" customHeight="1" s="5">
      <c r="A1707" s="7" t="n">
        <v>2661</v>
      </c>
      <c r="B1707" s="7" t="inlineStr">
        <is>
          <t>SUPER TEA MINT 48/25 DC ENV TBGS</t>
        </is>
      </c>
      <c r="C1707" s="7" t="inlineStr">
        <is>
          <t>SUPER</t>
        </is>
      </c>
      <c r="D1707" s="7" t="n">
        <v>2611</v>
      </c>
      <c r="E1707" s="7" t="inlineStr">
        <is>
          <t>SUPER MINT 25 DC ENV TBGS</t>
        </is>
      </c>
      <c r="F1707" s="7" t="n">
        <v>48</v>
      </c>
      <c r="G1707" s="7" t="inlineStr">
        <is>
          <t>CTN</t>
        </is>
      </c>
      <c r="H1707" t="inlineStr">
        <is>
          <t>BLEND AF BLACK TEA MINT TBGS</t>
        </is>
      </c>
    </row>
    <row r="1708" ht="14.25" customHeight="1" s="5">
      <c r="A1708" s="7" t="n">
        <v>2663</v>
      </c>
      <c r="B1708" s="7" t="inlineStr">
        <is>
          <t>SUPER TEA MINT 48/25 SC ENV TBGS</t>
        </is>
      </c>
      <c r="C1708" s="7" t="inlineStr">
        <is>
          <t>SUPER</t>
        </is>
      </c>
      <c r="D1708" s="7" t="n">
        <v>2664</v>
      </c>
      <c r="E1708" s="7" t="inlineStr">
        <is>
          <t>SUPER TEA MINT 25 SC ENV TBGS</t>
        </is>
      </c>
      <c r="F1708" s="7" t="n">
        <v>48</v>
      </c>
      <c r="G1708" s="7" t="inlineStr">
        <is>
          <t>CTN</t>
        </is>
      </c>
      <c r="H1708">
        <f>#N/A</f>
        <v/>
      </c>
    </row>
    <row r="1709" ht="14.25" customHeight="1" s="5">
      <c r="A1709" s="7" t="n">
        <v>26949</v>
      </c>
      <c r="B1709" s="7" t="inlineStr">
        <is>
          <t>SUPER TEA MORINGA 48/25 DC ENV TBGS</t>
        </is>
      </c>
      <c r="C1709" s="7" t="inlineStr">
        <is>
          <t>SUPER</t>
        </is>
      </c>
      <c r="D1709" s="7" t="n">
        <v>26960</v>
      </c>
      <c r="E1709" s="7" t="inlineStr">
        <is>
          <t>SUPER MORINGA 25 DC ENV TBGS</t>
        </is>
      </c>
      <c r="F1709" s="7" t="n">
        <v>48</v>
      </c>
      <c r="G1709" s="7" t="inlineStr">
        <is>
          <t>CTN</t>
        </is>
      </c>
      <c r="H1709" t="inlineStr">
        <is>
          <t>BLEND GREEN TEA MORINGA GINGER TB</t>
        </is>
      </c>
    </row>
    <row r="1710" ht="14.25" customHeight="1" s="5">
      <c r="A1710" s="7" t="n">
        <v>26948</v>
      </c>
      <c r="B1710" s="7" t="inlineStr">
        <is>
          <t>SUPER TEA ORANGE 48/25 DC ENV TBGS</t>
        </is>
      </c>
      <c r="C1710" s="7" t="inlineStr">
        <is>
          <t>SUPER</t>
        </is>
      </c>
      <c r="D1710" s="7" t="n">
        <v>26959</v>
      </c>
      <c r="E1710" s="7" t="inlineStr">
        <is>
          <t>SUPER ORANGE 25 DC ENV TBGS</t>
        </is>
      </c>
      <c r="F1710" s="7" t="n">
        <v>48</v>
      </c>
      <c r="G1710" s="7" t="inlineStr">
        <is>
          <t>CTN</t>
        </is>
      </c>
      <c r="H1710" t="inlineStr">
        <is>
          <t>BLEND AX-BLACK ORANGE TB</t>
        </is>
      </c>
    </row>
    <row r="1711" ht="14.25" customHeight="1" s="5">
      <c r="A1711" s="7" t="n">
        <v>26946</v>
      </c>
      <c r="B1711" s="7" t="inlineStr">
        <is>
          <t>SUPER TEA PINEAPPLE 48/25 DC ENV TBGS</t>
        </is>
      </c>
      <c r="C1711" s="7" t="inlineStr">
        <is>
          <t>SUPER</t>
        </is>
      </c>
      <c r="D1711" s="7" t="n">
        <v>26957</v>
      </c>
      <c r="E1711" s="7" t="inlineStr">
        <is>
          <t>SUPER PINEAPPLE 25 DC ENV TBGS</t>
        </is>
      </c>
      <c r="F1711" s="7" t="n">
        <v>48</v>
      </c>
      <c r="G1711" s="7" t="inlineStr">
        <is>
          <t>CTN</t>
        </is>
      </c>
      <c r="H1711" t="inlineStr">
        <is>
          <t>BLEND BLACK TEA PINEAPPLE TB</t>
        </is>
      </c>
    </row>
    <row r="1712" ht="14.25" customHeight="1" s="5">
      <c r="A1712" s="7" t="n">
        <v>2668</v>
      </c>
      <c r="B1712" s="7" t="inlineStr">
        <is>
          <t>SUPER TEA STRAWBERRY 48/25 DC ENV TBGS</t>
        </is>
      </c>
      <c r="C1712" s="7" t="inlineStr">
        <is>
          <t>SUPER</t>
        </is>
      </c>
      <c r="D1712" s="7" t="n">
        <v>2616</v>
      </c>
      <c r="E1712" s="7" t="inlineStr">
        <is>
          <t>SUPER STRAWBERRY 25 DC ENV TBGS</t>
        </is>
      </c>
      <c r="F1712" s="7" t="n">
        <v>48</v>
      </c>
      <c r="G1712" s="7" t="inlineStr">
        <is>
          <t>CTN</t>
        </is>
      </c>
      <c r="H1712" t="inlineStr">
        <is>
          <t>BLEND STRAWBERRY TB</t>
        </is>
      </c>
    </row>
    <row r="1713" ht="14.25" customHeight="1" s="5">
      <c r="A1713" s="7" t="n">
        <v>2670</v>
      </c>
      <c r="B1713" s="7" t="inlineStr">
        <is>
          <t>SUPER TEA STRAWBERRY 48/25 SC ENV TBGS</t>
        </is>
      </c>
      <c r="C1713" s="7" t="inlineStr">
        <is>
          <t>SUPER</t>
        </is>
      </c>
      <c r="D1713" s="7" t="n">
        <v>2671</v>
      </c>
      <c r="E1713" s="7" t="inlineStr">
        <is>
          <t>SUPER TEA STRAWBERRY 25 SC ENV TBGS</t>
        </is>
      </c>
      <c r="F1713" s="7" t="n">
        <v>48</v>
      </c>
      <c r="G1713" s="7" t="inlineStr">
        <is>
          <t>CTN</t>
        </is>
      </c>
      <c r="H1713">
        <f>#N/A</f>
        <v/>
      </c>
    </row>
    <row r="1714" ht="14.25" customHeight="1" s="5">
      <c r="A1714" s="7" t="n">
        <v>26945</v>
      </c>
      <c r="B1714" s="7" t="inlineStr">
        <is>
          <t>SUPER TEA TAMARIND 48/25 DC ENV TBGS</t>
        </is>
      </c>
      <c r="C1714" s="7" t="inlineStr">
        <is>
          <t>SUPER</t>
        </is>
      </c>
      <c r="D1714" s="7" t="n">
        <v>26956</v>
      </c>
      <c r="E1714" s="7" t="inlineStr">
        <is>
          <t>SUPER TAMARIND 25 DC ENV TBGS</t>
        </is>
      </c>
      <c r="F1714" s="7" t="n">
        <v>48</v>
      </c>
      <c r="G1714" s="7" t="inlineStr">
        <is>
          <t>CTN</t>
        </is>
      </c>
      <c r="H1714" t="inlineStr">
        <is>
          <t>BLEND BLACK TEA WITH TAMARIND FLAVOUR</t>
        </is>
      </c>
    </row>
    <row r="1715" ht="14.25" customHeight="1" s="5">
      <c r="A1715" s="7" t="n">
        <v>26947</v>
      </c>
      <c r="B1715" s="7" t="inlineStr">
        <is>
          <t>SUPER TEA WATERMELON 48/25 DC ENV TBGS</t>
        </is>
      </c>
      <c r="C1715" s="7" t="inlineStr">
        <is>
          <t>SUPER</t>
        </is>
      </c>
      <c r="D1715" s="7" t="n">
        <v>26958</v>
      </c>
      <c r="E1715" s="7" t="inlineStr">
        <is>
          <t>SUPER WATERMELON 25 DC ENV TBGS</t>
        </is>
      </c>
      <c r="F1715" s="7" t="n">
        <v>48</v>
      </c>
      <c r="G1715" s="7" t="inlineStr">
        <is>
          <t>CTN</t>
        </is>
      </c>
      <c r="H1715" t="inlineStr">
        <is>
          <t>BLEND WATERMELON TB</t>
        </is>
      </c>
    </row>
    <row r="1716" ht="14.25" customHeight="1" s="5">
      <c r="A1716" s="7" t="n">
        <v>34184</v>
      </c>
      <c r="B1716" s="7" t="inlineStr">
        <is>
          <t>SUPER VALUE GOLD TEA 12/80 TAGLESS TBGS</t>
        </is>
      </c>
      <c r="C1716" s="7" t="inlineStr">
        <is>
          <t>MUSGRAVE</t>
        </is>
      </c>
      <c r="D1716" s="7" t="n">
        <v>34259</v>
      </c>
      <c r="E1716" s="7" t="inlineStr">
        <is>
          <t>SUPER VALUE GOLD TEA 80 TAGLESS TBGS</t>
        </is>
      </c>
      <c r="F1716" s="7" t="n">
        <v>12</v>
      </c>
      <c r="G1716" s="7" t="inlineStr">
        <is>
          <t>CTN</t>
        </is>
      </c>
      <c r="H1716" t="inlineStr">
        <is>
          <t>BLEND MG SUPER VALUE GOLD</t>
        </is>
      </c>
    </row>
    <row r="1717" ht="14.25" customHeight="1" s="5">
      <c r="A1717" s="7" t="n">
        <v>33779</v>
      </c>
      <c r="B1717" s="7" t="inlineStr">
        <is>
          <t>TAPOK 12/100 DC ENV TBGS</t>
        </is>
      </c>
      <c r="C1717" s="7" t="inlineStr">
        <is>
          <t>TAPOK</t>
        </is>
      </c>
      <c r="D1717" s="7" t="n">
        <v>33313</v>
      </c>
      <c r="E1717" s="7" t="inlineStr">
        <is>
          <t>TAPOK 100 DC ENV TBGS</t>
        </is>
      </c>
      <c r="F1717" s="7" t="n">
        <v>12</v>
      </c>
      <c r="G1717" s="7" t="inlineStr">
        <is>
          <t>CTN</t>
        </is>
      </c>
      <c r="H1717" t="inlineStr">
        <is>
          <t>BLEND A33</t>
        </is>
      </c>
    </row>
    <row r="1718" ht="14.25" customHeight="1" s="5">
      <c r="A1718" s="7" t="n">
        <v>33312</v>
      </c>
      <c r="B1718" s="7" t="inlineStr">
        <is>
          <t>TAPOK 12/100 DC ENV TBGS WITH T-SHIRT</t>
        </is>
      </c>
      <c r="C1718" s="7" t="inlineStr">
        <is>
          <t>TAPOK</t>
        </is>
      </c>
      <c r="D1718" s="7" t="n">
        <v>33313</v>
      </c>
      <c r="E1718" s="7" t="inlineStr">
        <is>
          <t>TAPOK 100 DC ENV TBGS</t>
        </is>
      </c>
      <c r="F1718" s="7" t="n">
        <v>12</v>
      </c>
      <c r="G1718" s="7" t="inlineStr">
        <is>
          <t>CTN</t>
        </is>
      </c>
      <c r="H1718" t="inlineStr">
        <is>
          <t>BLEND A33</t>
        </is>
      </c>
    </row>
    <row r="1719" ht="14.25" customHeight="1" s="5">
      <c r="A1719" s="7" t="n">
        <v>36339</v>
      </c>
      <c r="B1719" s="7" t="inlineStr">
        <is>
          <t>TAPOK 24/50 DC ENV TBGS</t>
        </is>
      </c>
      <c r="C1719" s="7" t="inlineStr">
        <is>
          <t>TAPOK</t>
        </is>
      </c>
      <c r="D1719" s="7" t="n">
        <v>36338</v>
      </c>
      <c r="E1719" s="7" t="inlineStr">
        <is>
          <t>TAPOK 50 DC ENV TBGS</t>
        </is>
      </c>
      <c r="F1719" s="7" t="n">
        <v>24</v>
      </c>
      <c r="G1719" s="7" t="inlineStr">
        <is>
          <t>CTN</t>
        </is>
      </c>
      <c r="H1719" t="inlineStr">
        <is>
          <t>BLEND A33</t>
        </is>
      </c>
    </row>
    <row r="1720" ht="14.25" customHeight="1" s="5">
      <c r="A1720" s="7" t="n">
        <v>36337</v>
      </c>
      <c r="B1720" s="7" t="inlineStr">
        <is>
          <t>TAPOK 24/50 DC ENV TBGS WITH BAG</t>
        </is>
      </c>
      <c r="C1720" s="7" t="inlineStr">
        <is>
          <t>TAPOK</t>
        </is>
      </c>
      <c r="D1720" s="7" t="n">
        <v>36338</v>
      </c>
      <c r="E1720" s="7" t="inlineStr">
        <is>
          <t>TAPOK 50 DC ENV TBGS</t>
        </is>
      </c>
      <c r="F1720" s="7" t="n">
        <v>24</v>
      </c>
      <c r="G1720" s="7" t="inlineStr">
        <is>
          <t>CTN</t>
        </is>
      </c>
      <c r="H1720" t="inlineStr">
        <is>
          <t>BLEND A33</t>
        </is>
      </c>
    </row>
    <row r="1721" ht="14.25" customHeight="1" s="5">
      <c r="A1721" s="7" t="n">
        <v>36355</v>
      </c>
      <c r="B1721" s="7" t="inlineStr">
        <is>
          <t>TAPOK CINNAMON 24/25 DC ENV TBGS WITH T-SHIRT</t>
        </is>
      </c>
      <c r="C1721" s="7" t="inlineStr">
        <is>
          <t>TAPOK</t>
        </is>
      </c>
      <c r="D1721" s="7" t="n">
        <v>36397</v>
      </c>
      <c r="E1721" s="7" t="inlineStr">
        <is>
          <t>TAPOK CINNAMON 25 DC ENV TBGS</t>
        </is>
      </c>
      <c r="F1721" s="7" t="n">
        <v>24</v>
      </c>
      <c r="G1721" s="7" t="inlineStr">
        <is>
          <t>CTN</t>
        </is>
      </c>
      <c r="H1721" t="inlineStr">
        <is>
          <t>BLEND BLACK TEA CINNAMON SPICE TBC - AF</t>
        </is>
      </c>
    </row>
    <row r="1722" ht="14.25" customHeight="1" s="5">
      <c r="A1722" s="7" t="n">
        <v>33780</v>
      </c>
      <c r="B1722" s="7" t="inlineStr">
        <is>
          <t>TAPOK CLOVE 24/25 DC ENV TBGS</t>
        </is>
      </c>
      <c r="C1722" s="7" t="inlineStr">
        <is>
          <t>TAPOK</t>
        </is>
      </c>
      <c r="D1722" s="7" t="n">
        <v>33438</v>
      </c>
      <c r="E1722" s="7" t="inlineStr">
        <is>
          <t>TAPOK CLOVE 25 DC ENV TBGS</t>
        </is>
      </c>
      <c r="F1722" s="7" t="n">
        <v>24</v>
      </c>
      <c r="G1722" s="7" t="inlineStr">
        <is>
          <t>CTN</t>
        </is>
      </c>
      <c r="H1722" t="inlineStr">
        <is>
          <t>BLEND BLACK TEA CLOVE TBC</t>
        </is>
      </c>
    </row>
    <row r="1723" ht="14.25" customHeight="1" s="5">
      <c r="A1723" s="7" t="n">
        <v>33429</v>
      </c>
      <c r="B1723" s="7" t="inlineStr">
        <is>
          <t>TAPOK CLOVE 24/25 DC ENV TBGS WITH T-SHIRT</t>
        </is>
      </c>
      <c r="C1723" s="7" t="inlineStr">
        <is>
          <t>TAPOK</t>
        </is>
      </c>
      <c r="D1723" s="7" t="n">
        <v>33438</v>
      </c>
      <c r="E1723" s="7" t="inlineStr">
        <is>
          <t>TAPOK CLOVE 25 DC ENV TBGS</t>
        </is>
      </c>
      <c r="F1723" s="7" t="n">
        <v>24</v>
      </c>
      <c r="G1723" s="7" t="inlineStr">
        <is>
          <t>CTN</t>
        </is>
      </c>
      <c r="H1723" t="inlineStr">
        <is>
          <t>BLEND BLACK TEA CLOVE TBC</t>
        </is>
      </c>
    </row>
    <row r="1724" ht="14.25" customHeight="1" s="5">
      <c r="A1724" s="7" t="n">
        <v>33781</v>
      </c>
      <c r="B1724" s="7" t="inlineStr">
        <is>
          <t>TAPOK GINGER 24/25 DC ENV TBGS</t>
        </is>
      </c>
      <c r="C1724" s="7" t="inlineStr">
        <is>
          <t>TAPOK</t>
        </is>
      </c>
      <c r="D1724" s="7" t="n">
        <v>33437</v>
      </c>
      <c r="E1724" s="7" t="inlineStr">
        <is>
          <t>TAPOK GINGER 25 DC ENV TBGS</t>
        </is>
      </c>
      <c r="F1724" s="7" t="n">
        <v>24</v>
      </c>
      <c r="G1724" s="7" t="inlineStr">
        <is>
          <t>CTN</t>
        </is>
      </c>
      <c r="H1724" t="inlineStr">
        <is>
          <t>BLEND AF BLACK TEA  GINGER TBGS</t>
        </is>
      </c>
    </row>
    <row r="1725" ht="14.25" customHeight="1" s="5">
      <c r="A1725" s="7" t="n">
        <v>33428</v>
      </c>
      <c r="B1725" s="7" t="inlineStr">
        <is>
          <t>TAPOK GINGER 24/25 DC ENV TBGS WITH T-SHIRT</t>
        </is>
      </c>
      <c r="C1725" s="7" t="inlineStr">
        <is>
          <t>TAPOK</t>
        </is>
      </c>
      <c r="D1725" s="7" t="n">
        <v>33437</v>
      </c>
      <c r="E1725" s="7" t="inlineStr">
        <is>
          <t>TAPOK GINGER 25 DC ENV TBGS</t>
        </is>
      </c>
      <c r="F1725" s="7" t="n">
        <v>24</v>
      </c>
      <c r="G1725" s="7" t="inlineStr">
        <is>
          <t>CTN</t>
        </is>
      </c>
      <c r="H1725" t="inlineStr">
        <is>
          <t>BLEND AF BLACK TEA  GINGER TBGS</t>
        </is>
      </c>
    </row>
    <row r="1726" ht="14.25" customHeight="1" s="5">
      <c r="A1726" s="7" t="n">
        <v>36340</v>
      </c>
      <c r="B1726" s="7" t="inlineStr">
        <is>
          <t>TAPOK LEMON 24/25 DC ENV TBGS WITH T-SHIRT</t>
        </is>
      </c>
      <c r="C1726" s="7" t="inlineStr">
        <is>
          <t>TAPOK</t>
        </is>
      </c>
      <c r="D1726" s="7" t="n">
        <v>36407</v>
      </c>
      <c r="E1726" s="7" t="inlineStr">
        <is>
          <t>TAPOK LEMON 25 DC ENV TBGS</t>
        </is>
      </c>
      <c r="F1726" s="7" t="n">
        <v>24</v>
      </c>
      <c r="G1726" s="7" t="inlineStr">
        <is>
          <t>CTN</t>
        </is>
      </c>
      <c r="H1726" t="inlineStr">
        <is>
          <t>BLEND BLACK TEA LEMON TB</t>
        </is>
      </c>
    </row>
    <row r="1727" ht="14.25" customHeight="1" s="5">
      <c r="A1727" s="7" t="n">
        <v>33784</v>
      </c>
      <c r="B1727" s="7" t="inlineStr">
        <is>
          <t>TAPOK MINT 24/25 DC ENV TBGS</t>
        </is>
      </c>
      <c r="C1727" s="7" t="inlineStr">
        <is>
          <t>TAPOK</t>
        </is>
      </c>
      <c r="D1727" s="7" t="n">
        <v>33435</v>
      </c>
      <c r="E1727" s="7" t="inlineStr">
        <is>
          <t>TAPOK MINT 25 DC ENV TBGS</t>
        </is>
      </c>
      <c r="F1727" s="7" t="n">
        <v>24</v>
      </c>
      <c r="G1727" s="7" t="inlineStr">
        <is>
          <t>CTN</t>
        </is>
      </c>
      <c r="H1727" t="inlineStr">
        <is>
          <t>BLEND AF BLACK TEA MINT TBGS</t>
        </is>
      </c>
    </row>
    <row r="1728" ht="14.25" customHeight="1" s="5">
      <c r="A1728" s="7" t="n">
        <v>33426</v>
      </c>
      <c r="B1728" s="7" t="inlineStr">
        <is>
          <t>TAPOK MINT 24/25 DC ENV TBGS WITH T-SHIRT</t>
        </is>
      </c>
      <c r="C1728" s="7" t="inlineStr">
        <is>
          <t>TAPOK</t>
        </is>
      </c>
      <c r="D1728" s="7" t="n">
        <v>33435</v>
      </c>
      <c r="E1728" s="7" t="inlineStr">
        <is>
          <t>TAPOK MINT 25 DC ENV TBGS</t>
        </is>
      </c>
      <c r="F1728" s="7" t="n">
        <v>24</v>
      </c>
      <c r="G1728" s="7" t="inlineStr">
        <is>
          <t>CTN</t>
        </is>
      </c>
      <c r="H1728" t="inlineStr">
        <is>
          <t>BLEND AF BLACK TEA MINT TBGS</t>
        </is>
      </c>
    </row>
    <row r="1729" ht="14.25" customHeight="1" s="5">
      <c r="A1729" s="7" t="n">
        <v>33786</v>
      </c>
      <c r="B1729" s="7" t="inlineStr">
        <is>
          <t>TAPOK ORANGE 24/25 DC ENV TBGS</t>
        </is>
      </c>
      <c r="C1729" s="7" t="inlineStr">
        <is>
          <t>TAPOK</t>
        </is>
      </c>
      <c r="D1729" s="7" t="n">
        <v>33439</v>
      </c>
      <c r="E1729" s="7" t="inlineStr">
        <is>
          <t>TAPOK ORANGE 25 DC ENV TBGS</t>
        </is>
      </c>
      <c r="F1729" s="7" t="n">
        <v>24</v>
      </c>
      <c r="G1729" s="7" t="inlineStr">
        <is>
          <t>CTN</t>
        </is>
      </c>
      <c r="H1729" t="inlineStr">
        <is>
          <t>BLEND AX-BLACK ORANGE TB</t>
        </is>
      </c>
    </row>
    <row r="1730" ht="14.25" customHeight="1" s="5">
      <c r="A1730" s="7" t="n">
        <v>33430</v>
      </c>
      <c r="B1730" s="7" t="inlineStr">
        <is>
          <t>TAPOK ORANGE 24/25 DC ENV TBGS WITH T-SHIRT</t>
        </is>
      </c>
      <c r="C1730" s="7" t="inlineStr">
        <is>
          <t>TAPOK</t>
        </is>
      </c>
      <c r="D1730" s="7" t="n">
        <v>33439</v>
      </c>
      <c r="E1730" s="7" t="inlineStr">
        <is>
          <t>TAPOK ORANGE 25 DC ENV TBGS</t>
        </is>
      </c>
      <c r="F1730" s="7" t="n">
        <v>24</v>
      </c>
      <c r="G1730" s="7" t="inlineStr">
        <is>
          <t>CTN</t>
        </is>
      </c>
      <c r="H1730" t="inlineStr">
        <is>
          <t>BLEND AX-BLACK ORANGE TB</t>
        </is>
      </c>
    </row>
    <row r="1731" ht="14.25" customHeight="1" s="5">
      <c r="A1731" s="7" t="n">
        <v>33785</v>
      </c>
      <c r="B1731" s="7" t="inlineStr">
        <is>
          <t>TAPOK STRAWBERRY 24/25 DC ENV TBGS</t>
        </is>
      </c>
      <c r="C1731" s="7" t="inlineStr">
        <is>
          <t>TAPOK</t>
        </is>
      </c>
      <c r="D1731" s="7" t="n">
        <v>33436</v>
      </c>
      <c r="E1731" s="7" t="inlineStr">
        <is>
          <t>TAPOK STRAWBERRY 25 DC ENV TBGS</t>
        </is>
      </c>
      <c r="F1731" s="7" t="n">
        <v>24</v>
      </c>
      <c r="G1731" s="7" t="inlineStr">
        <is>
          <t>CTN</t>
        </is>
      </c>
      <c r="H1731" t="inlineStr">
        <is>
          <t>BLEND STRAWBERRY TB</t>
        </is>
      </c>
    </row>
    <row r="1732" ht="14.25" customHeight="1" s="5">
      <c r="A1732" s="7" t="n">
        <v>33427</v>
      </c>
      <c r="B1732" s="7" t="inlineStr">
        <is>
          <t>TAPOK STRAWBERRY 24/25 DC ENV TBGS WITH T-SHIRT</t>
        </is>
      </c>
      <c r="C1732" s="7" t="inlineStr">
        <is>
          <t>TAPOK</t>
        </is>
      </c>
      <c r="D1732" s="7" t="n">
        <v>33436</v>
      </c>
      <c r="E1732" s="7" t="inlineStr">
        <is>
          <t>TAPOK STRAWBERRY 25 DC ENV TBGS</t>
        </is>
      </c>
      <c r="F1732" s="7" t="n">
        <v>24</v>
      </c>
      <c r="G1732" s="7" t="inlineStr">
        <is>
          <t>CTN</t>
        </is>
      </c>
      <c r="H1732" t="inlineStr">
        <is>
          <t>BLEND STRAWBERRY TB</t>
        </is>
      </c>
    </row>
    <row r="1733" ht="14.25" customHeight="1" s="5">
      <c r="A1733" s="7" t="n">
        <v>19375</v>
      </c>
      <c r="B1733" s="7" t="inlineStr">
        <is>
          <t>TE-A-ME  JASMINE LEMONGRASS 18/100 DC SF HS ENV TBGS (INSTITUTIONAL)</t>
        </is>
      </c>
      <c r="C1733" s="7" t="inlineStr">
        <is>
          <t>TE-A-ME</t>
        </is>
      </c>
      <c r="D1733" s="7" t="n">
        <v>19376</v>
      </c>
      <c r="E1733" s="7" t="inlineStr">
        <is>
          <t>TE-A-ME  JASMINE LEMONGRASS 100 DC SF HS ENV TBGS (INSTITUTIONAL)</t>
        </is>
      </c>
      <c r="F1733" s="7" t="n">
        <v>18</v>
      </c>
      <c r="G1733" s="7" t="inlineStr">
        <is>
          <t>CTN</t>
        </is>
      </c>
      <c r="H1733" t="inlineStr">
        <is>
          <t>BLEND GREEN TEA JASMINE LEMON GRASS TB</t>
        </is>
      </c>
    </row>
    <row r="1734" ht="14.25" customHeight="1" s="5">
      <c r="A1734" s="7" t="n">
        <v>18780</v>
      </c>
      <c r="B1734" s="7" t="inlineStr">
        <is>
          <t>TE-A-ME  BOGO HONEY LEMON GREEN + HONEY LEMON GREEN TEAS  24/25 DC SF HS ENV TBGS</t>
        </is>
      </c>
      <c r="C1734" s="7" t="inlineStr">
        <is>
          <t>TE-A-ME</t>
        </is>
      </c>
      <c r="D1734" s="7" t="n">
        <v>3786</v>
      </c>
      <c r="E1734" s="7" t="inlineStr">
        <is>
          <t>TE-A-ME NATURAL GREEN TEAS HONEY LEMON GREEN TEA 25 DC SF HS ENV TBGS</t>
        </is>
      </c>
      <c r="F1734" s="7" t="n">
        <v>24</v>
      </c>
      <c r="G1734" s="7" t="inlineStr">
        <is>
          <t>CTN</t>
        </is>
      </c>
      <c r="H1734" t="inlineStr">
        <is>
          <t>BLEND TE-A-ME GREEN TEA HONEY LEMON</t>
        </is>
      </c>
    </row>
    <row r="1735" ht="14.25" customHeight="1" s="5">
      <c r="A1735" s="7" t="n">
        <v>20391</v>
      </c>
      <c r="B1735" s="7" t="inlineStr">
        <is>
          <t>TE-A-ME  BOGO HONEY LEMON GREEN + HONEY LEMON GREEN TEAS  25 DC SF HS ENV TBGS</t>
        </is>
      </c>
      <c r="C1735" s="7" t="inlineStr">
        <is>
          <t>TE-A-ME</t>
        </is>
      </c>
      <c r="D1735" s="7" t="n">
        <v>3786</v>
      </c>
      <c r="E1735" s="7" t="inlineStr">
        <is>
          <t>TE-A-ME NATURAL GREEN TEAS HONEY LEMON GREEN TEA 25 DC SF HS ENV TBGS</t>
        </is>
      </c>
      <c r="F1735" s="7" t="n">
        <v>2</v>
      </c>
      <c r="G1735" s="7" t="inlineStr">
        <is>
          <t>CTN</t>
        </is>
      </c>
      <c r="H1735" t="inlineStr">
        <is>
          <t>BLEND TE-A-ME GREEN TEA HONEY LEMON</t>
        </is>
      </c>
    </row>
    <row r="1736" ht="14.25" customHeight="1" s="5">
      <c r="A1736" s="7" t="n">
        <v>3300</v>
      </c>
      <c r="B1736" s="7" t="inlineStr">
        <is>
          <t>TE-A-ME  KASHMIRI KAHWA TEA 18/100 DC SF HS ENV TBGS (INSTITUTIONAL)</t>
        </is>
      </c>
      <c r="C1736" s="7" t="inlineStr">
        <is>
          <t>TE-A-ME</t>
        </is>
      </c>
      <c r="D1736" s="7" t="n">
        <v>3301</v>
      </c>
      <c r="E1736" s="7" t="inlineStr">
        <is>
          <t>TE-A-ME  KASHMIRI KAHWA TEA 100 DC SF HS ENV TBGS (INSTITUTIONAL)</t>
        </is>
      </c>
      <c r="F1736" s="7" t="n">
        <v>18</v>
      </c>
      <c r="G1736" s="7" t="inlineStr">
        <is>
          <t>CTN</t>
        </is>
      </c>
      <c r="H1736" t="inlineStr">
        <is>
          <t>BLEND KASHMIRI KAHWA TB</t>
        </is>
      </c>
    </row>
    <row r="1737" ht="14.25" customHeight="1" s="5">
      <c r="A1737" s="7" t="n">
        <v>3363</v>
      </c>
      <c r="B1737" s="7" t="inlineStr">
        <is>
          <t>TE-A-ME AROMATIC SPICE TEAS MASALA TEA 24/25 DC SF HS ENV TBGS</t>
        </is>
      </c>
      <c r="C1737" s="7" t="inlineStr">
        <is>
          <t>TE-A-ME</t>
        </is>
      </c>
      <c r="D1737" s="7" t="n">
        <v>3364</v>
      </c>
      <c r="E1737" s="7" t="inlineStr">
        <is>
          <t>TE-A-ME AROMATIC SPICE TEAS MASALA TEA 25 DC SF HS ENV TBGS</t>
        </is>
      </c>
      <c r="F1737" s="7" t="n">
        <v>24</v>
      </c>
      <c r="G1737" s="7" t="inlineStr">
        <is>
          <t>CTN</t>
        </is>
      </c>
      <c r="H1737" t="inlineStr">
        <is>
          <t>BLEND BLACK TEA MASALA TBC</t>
        </is>
      </c>
    </row>
    <row r="1738" ht="14.25" customHeight="1" s="5">
      <c r="A1738" s="7" t="n">
        <v>22123</v>
      </c>
      <c r="B1738" s="7" t="inlineStr">
        <is>
          <t>TE-A-ME ASHWAGANDHA GREEN 18/100 DC SF HS ENV TBGS</t>
        </is>
      </c>
      <c r="C1738" s="7" t="inlineStr">
        <is>
          <t>TE-A-ME</t>
        </is>
      </c>
      <c r="D1738" s="7" t="n">
        <v>22114</v>
      </c>
      <c r="E1738" s="7" t="inlineStr">
        <is>
          <t>TE-A-ME ASHWAGANDHA GREEN TEA 100 DC SF HS ENV TBGS</t>
        </is>
      </c>
      <c r="F1738" s="7" t="n">
        <v>18</v>
      </c>
      <c r="G1738" s="7" t="inlineStr">
        <is>
          <t>CTN</t>
        </is>
      </c>
      <c r="H1738" t="inlineStr">
        <is>
          <t>BLEND GREEN TEA ASHWAGANDHA TBC</t>
        </is>
      </c>
    </row>
    <row r="1739" ht="14.25" customHeight="1" s="5">
      <c r="A1739" s="7" t="n">
        <v>22505</v>
      </c>
      <c r="B1739" s="7" t="inlineStr">
        <is>
          <t>TE-A-ME ASHWAGANDHA GREEN 24/25 DC SF HS ENV TBGS</t>
        </is>
      </c>
      <c r="C1739" s="7" t="inlineStr">
        <is>
          <t>TE-A-ME</t>
        </is>
      </c>
      <c r="D1739" s="7" t="n">
        <v>22504</v>
      </c>
      <c r="E1739" s="7" t="inlineStr">
        <is>
          <t>TE-A-ME ASHWAGANDHA GREEN TEA 25 DC SF HS ENV TBGS</t>
        </is>
      </c>
      <c r="F1739" s="7" t="n">
        <v>24</v>
      </c>
      <c r="G1739" s="7" t="inlineStr">
        <is>
          <t>CTN</t>
        </is>
      </c>
      <c r="H1739" t="inlineStr">
        <is>
          <t>BLEND GREEN TEA ASHWAGANDHA TBC</t>
        </is>
      </c>
    </row>
    <row r="1740" ht="14.25" customHeight="1" s="5">
      <c r="A1740" s="7" t="n">
        <v>3372</v>
      </c>
      <c r="B1740" s="7" t="inlineStr">
        <is>
          <t>TE-A-ME ASSAM TEA 18/100 DC SF HS ENV TBGS</t>
        </is>
      </c>
      <c r="C1740" s="7" t="inlineStr">
        <is>
          <t>TE-A-ME</t>
        </is>
      </c>
      <c r="D1740" s="7" t="n">
        <v>3373</v>
      </c>
      <c r="E1740" s="7" t="inlineStr">
        <is>
          <t>TE-A-ME ASSAM TEA 100 DC SF HS ENV TBGS</t>
        </is>
      </c>
      <c r="F1740" s="7" t="n">
        <v>18</v>
      </c>
      <c r="G1740" s="7" t="inlineStr">
        <is>
          <t>CTN</t>
        </is>
      </c>
      <c r="H1740" t="inlineStr">
        <is>
          <t>BLEND TEAME 909</t>
        </is>
      </c>
    </row>
    <row r="1741" ht="14.25" customHeight="1" s="5">
      <c r="A1741" s="7" t="n">
        <v>3376</v>
      </c>
      <c r="B1741" s="7" t="inlineStr">
        <is>
          <t>TE-A-ME ASSORTED GIFT BOX BLISS (GALA) 40 DC SF HS ENV TBGS</t>
        </is>
      </c>
      <c r="C1741" s="7" t="inlineStr">
        <is>
          <t>TE-A-ME</t>
        </is>
      </c>
      <c r="D1741" s="7" t="n">
        <v>2778</v>
      </c>
      <c r="E1741" s="8" t="inlineStr">
        <is>
          <t xml:space="preserve">TE-A-ME LOOSE ENV NATURAL GREEN TEAS HONEY LEMON GREEN TEA DC SF HS ENV TBGS
</t>
        </is>
      </c>
      <c r="F1741" s="7" t="n">
        <v>10</v>
      </c>
      <c r="G1741" s="7" t="inlineStr">
        <is>
          <t>TBGS</t>
        </is>
      </c>
      <c r="H1741" t="inlineStr">
        <is>
          <t>BLEND TE-A-ME GREEN TEA HONEY LEMON</t>
        </is>
      </c>
    </row>
    <row r="1742" ht="14.25" customHeight="1" s="5">
      <c r="A1742" s="7" t="n">
        <v>3376</v>
      </c>
      <c r="B1742" s="7" t="inlineStr">
        <is>
          <t>TE-A-ME ASSORTED GIFT BOX BLISS (GALA) 40 DC SF HS ENV TBGS</t>
        </is>
      </c>
      <c r="C1742" s="7" t="inlineStr">
        <is>
          <t>TE-A-ME</t>
        </is>
      </c>
      <c r="D1742" s="7" t="n">
        <v>3377</v>
      </c>
      <c r="E1742" s="8" t="inlineStr">
        <is>
          <t xml:space="preserve">TE-A-ME LOOSE ENV NATURAL GREEN TEAS MINT LEMON GINGER TEA DC SF HS ENV TBGS
</t>
        </is>
      </c>
      <c r="F1742" s="7" t="n">
        <v>10</v>
      </c>
      <c r="G1742" s="7" t="inlineStr">
        <is>
          <t>TBGS</t>
        </is>
      </c>
      <c r="H1742" t="inlineStr">
        <is>
          <t>BLEND GREEN TEA GINGER MINT LEMON TB</t>
        </is>
      </c>
    </row>
    <row r="1743" ht="14.25" customHeight="1" s="5">
      <c r="A1743" s="7" t="n">
        <v>3376</v>
      </c>
      <c r="B1743" s="7" t="inlineStr">
        <is>
          <t>TE-A-ME ASSORTED GIFT BOX BLISS (GALA) 40 DC SF HS ENV TBGS</t>
        </is>
      </c>
      <c r="C1743" s="7" t="inlineStr">
        <is>
          <t>TE-A-ME</t>
        </is>
      </c>
      <c r="D1743" s="7" t="n">
        <v>2771</v>
      </c>
      <c r="E1743" s="8" t="inlineStr">
        <is>
          <t xml:space="preserve">TE-A-ME LOOSE ENV NATURAL GREEN TEAS KASHMIRI KAHWA TEA DC SF HS ENV TBGS
</t>
        </is>
      </c>
      <c r="F1743" s="7" t="n">
        <v>10</v>
      </c>
      <c r="G1743" s="7" t="inlineStr">
        <is>
          <t>TBGS</t>
        </is>
      </c>
      <c r="H1743" t="inlineStr">
        <is>
          <t>BLEND KASHMIRI KAHWA TB</t>
        </is>
      </c>
    </row>
    <row r="1744" ht="14.25" customHeight="1" s="5">
      <c r="A1744" s="7" t="n">
        <v>3376</v>
      </c>
      <c r="B1744" s="7" t="inlineStr">
        <is>
          <t>TE-A-ME ASSORTED GIFT BOX BLISS (GALA) 40 DC SF HS ENV TBGS</t>
        </is>
      </c>
      <c r="C1744" s="7" t="inlineStr">
        <is>
          <t>TE-A-ME</t>
        </is>
      </c>
      <c r="D1744" s="7" t="n">
        <v>2773</v>
      </c>
      <c r="E1744" s="8" t="inlineStr">
        <is>
          <t xml:space="preserve">TE-A-ME LOOSE ENV WELLNESS INFUSIONS TULSI GREEN TEA DC SF HS ENV TBGS
</t>
        </is>
      </c>
      <c r="F1744" s="7" t="n">
        <v>10</v>
      </c>
      <c r="G1744" s="7" t="inlineStr">
        <is>
          <t>TBGS</t>
        </is>
      </c>
      <c r="H1744" t="inlineStr">
        <is>
          <t>BLEND TEAME GREEN TEA TULSI</t>
        </is>
      </c>
    </row>
    <row r="1745" ht="14.25" customHeight="1" s="5">
      <c r="A1745" s="7" t="n">
        <v>18331</v>
      </c>
      <c r="B1745" s="7" t="inlineStr">
        <is>
          <t>TE-A-ME ASSORTED GREEN TEAS GIFT BOX ( 6 GREEN X 8 TBGS=48 TBGS)</t>
        </is>
      </c>
      <c r="C1745" s="7" t="inlineStr">
        <is>
          <t>TE-A-ME</t>
        </is>
      </c>
      <c r="D1745" s="7" t="n">
        <v>2777</v>
      </c>
      <c r="E1745" s="8" t="inlineStr">
        <is>
          <t xml:space="preserve">TE-A-ME LOOSE ENV NATURAL GREEN TEAS GREEN TEA DC SF HS ENV TBGS
</t>
        </is>
      </c>
      <c r="F1745" s="7" t="n">
        <v>8</v>
      </c>
      <c r="G1745" s="7" t="inlineStr">
        <is>
          <t>ENV</t>
        </is>
      </c>
      <c r="H1745" t="inlineStr">
        <is>
          <t>BLEND TEAME GREEN</t>
        </is>
      </c>
    </row>
    <row r="1746" ht="14.25" customHeight="1" s="5">
      <c r="A1746" s="7" t="n">
        <v>18331</v>
      </c>
      <c r="B1746" s="7" t="inlineStr">
        <is>
          <t>TE-A-ME ASSORTED GREEN TEAS GIFT BOX ( 6 GREEN X 8 TBGS=48 TBGS)</t>
        </is>
      </c>
      <c r="C1746" s="7" t="inlineStr">
        <is>
          <t>TE-A-ME</t>
        </is>
      </c>
      <c r="D1746" s="7" t="n">
        <v>2778</v>
      </c>
      <c r="E1746" s="8" t="inlineStr">
        <is>
          <t xml:space="preserve">TE-A-ME LOOSE ENV NATURAL GREEN TEAS HONEY LEMON GREEN TEA DC SF HS ENV TBGS
</t>
        </is>
      </c>
      <c r="F1746" s="7" t="n">
        <v>8</v>
      </c>
      <c r="G1746" s="7" t="inlineStr">
        <is>
          <t>ENV</t>
        </is>
      </c>
      <c r="H1746" t="inlineStr">
        <is>
          <t>BLEND TE-A-ME GREEN TEA HONEY LEMON</t>
        </is>
      </c>
    </row>
    <row r="1747" ht="14.25" customHeight="1" s="5">
      <c r="A1747" s="7" t="n">
        <v>18331</v>
      </c>
      <c r="B1747" s="7" t="inlineStr">
        <is>
          <t>TE-A-ME ASSORTED GREEN TEAS GIFT BOX ( 6 GREEN X 8 TBGS=48 TBGS)</t>
        </is>
      </c>
      <c r="C1747" s="7" t="inlineStr">
        <is>
          <t>TE-A-ME</t>
        </is>
      </c>
      <c r="D1747" s="7" t="n">
        <v>5642</v>
      </c>
      <c r="E1747" s="7" t="inlineStr">
        <is>
          <t>TE-A-ME LOOSE ENV NATURAL GREEN TEAS JASMINE LEMONGRASS TEA DC SF HS ENV TBGS</t>
        </is>
      </c>
      <c r="F1747" s="7" t="n">
        <v>8</v>
      </c>
      <c r="G1747" s="7" t="inlineStr">
        <is>
          <t>TBGS</t>
        </is>
      </c>
      <c r="H1747" t="inlineStr">
        <is>
          <t>BLEND GREEN TEA JASMINE LEMON GRASS TB</t>
        </is>
      </c>
    </row>
    <row r="1748" ht="14.25" customHeight="1" s="5">
      <c r="A1748" s="7" t="n">
        <v>18331</v>
      </c>
      <c r="B1748" s="7" t="inlineStr">
        <is>
          <t>TE-A-ME ASSORTED GREEN TEAS GIFT BOX ( 6 GREEN X 8 TBGS=48 TBGS)</t>
        </is>
      </c>
      <c r="C1748" s="7" t="inlineStr">
        <is>
          <t>TE-A-ME</t>
        </is>
      </c>
      <c r="D1748" s="7" t="n">
        <v>2771</v>
      </c>
      <c r="E1748" s="8" t="inlineStr">
        <is>
          <t xml:space="preserve">TE-A-ME LOOSE ENV NATURAL GREEN TEAS KASHMIRI KAHWA TEA DC SF HS ENV TBGS
</t>
        </is>
      </c>
      <c r="F1748" s="7" t="n">
        <v>8</v>
      </c>
      <c r="G1748" s="7" t="inlineStr">
        <is>
          <t>ENV</t>
        </is>
      </c>
      <c r="H1748" t="inlineStr">
        <is>
          <t>BLEND KASHMIRI KAHWA TB</t>
        </is>
      </c>
    </row>
    <row r="1749" ht="14.25" customHeight="1" s="5">
      <c r="A1749" s="7" t="n">
        <v>18331</v>
      </c>
      <c r="B1749" s="7" t="inlineStr">
        <is>
          <t>TE-A-ME ASSORTED GREEN TEAS GIFT BOX ( 6 GREEN X 8 TBGS=48 TBGS)</t>
        </is>
      </c>
      <c r="C1749" s="7" t="inlineStr">
        <is>
          <t>TE-A-ME</t>
        </is>
      </c>
      <c r="D1749" s="7" t="n">
        <v>3377</v>
      </c>
      <c r="E1749" s="8" t="inlineStr">
        <is>
          <t xml:space="preserve">TE-A-ME LOOSE ENV NATURAL GREEN TEAS MINT LEMON GINGER TEA DC SF HS ENV TBGS
</t>
        </is>
      </c>
      <c r="F1749" s="7" t="n">
        <v>8</v>
      </c>
      <c r="G1749" s="7" t="inlineStr">
        <is>
          <t>TBGS</t>
        </is>
      </c>
      <c r="H1749" t="inlineStr">
        <is>
          <t>BLEND GREEN TEA GINGER MINT LEMON TB</t>
        </is>
      </c>
    </row>
    <row r="1750" ht="14.25" customHeight="1" s="5">
      <c r="A1750" s="7" t="n">
        <v>18331</v>
      </c>
      <c r="B1750" s="7" t="inlineStr">
        <is>
          <t>TE-A-ME ASSORTED GREEN TEAS GIFT BOX ( 6 GREEN X 8 TBGS=48 TBGS)</t>
        </is>
      </c>
      <c r="C1750" s="7" t="inlineStr">
        <is>
          <t>TE-A-ME</t>
        </is>
      </c>
      <c r="D1750" s="7" t="n">
        <v>2773</v>
      </c>
      <c r="E1750" s="8" t="inlineStr">
        <is>
          <t xml:space="preserve">TE-A-ME LOOSE ENV WELLNESS INFUSIONS TULSI GREEN TEA DC SF HS ENV TBGS
</t>
        </is>
      </c>
      <c r="F1750" s="7" t="n">
        <v>8</v>
      </c>
      <c r="G1750" s="7" t="inlineStr">
        <is>
          <t>ENV</t>
        </is>
      </c>
      <c r="H1750" t="inlineStr">
        <is>
          <t>BLEND TEAME GREEN TEA TULSI</t>
        </is>
      </c>
    </row>
    <row r="1751" ht="14.25" customHeight="1" s="5">
      <c r="A1751" s="7" t="n">
        <v>36830</v>
      </c>
      <c r="B1751" s="7" t="inlineStr">
        <is>
          <t>TE-A-ME ASSORTED GREEN TEAS HEALTH PACK 24/20 DC HS SF ENV TBGS</t>
        </is>
      </c>
      <c r="C1751" s="7" t="inlineStr">
        <is>
          <t>TE-A-ME</t>
        </is>
      </c>
      <c r="D1751" s="7" t="n">
        <v>36690</v>
      </c>
      <c r="E1751" s="7" t="inlineStr">
        <is>
          <t>TE-A-ME ASSORTED GREEN TEAS HEALTH PACK 20 DC HS SF ENV TBGS</t>
        </is>
      </c>
      <c r="F1751" s="7" t="n">
        <v>24</v>
      </c>
      <c r="G1751" s="7" t="inlineStr">
        <is>
          <t>CTN</t>
        </is>
      </c>
      <c r="H1751" t="inlineStr">
        <is>
          <t>BLEND KASHMIRI KAHWA TB</t>
        </is>
      </c>
    </row>
    <row r="1752" ht="14.25" customHeight="1" s="5">
      <c r="A1752" s="7" t="n">
        <v>33272</v>
      </c>
      <c r="B1752" s="7" t="inlineStr">
        <is>
          <t>TE-A-ME BARISTA ASSAM TEA 36/100 DC HS SF TAG TBGS</t>
        </is>
      </c>
      <c r="C1752" s="7" t="inlineStr">
        <is>
          <t>TE-A-ME</t>
        </is>
      </c>
      <c r="D1752" s="7" t="n">
        <v>33005</v>
      </c>
      <c r="E1752" s="7" t="inlineStr">
        <is>
          <t>TE-A-ME BARISTA ASSAM TEA 100 DC HS SF TAG TBGS</t>
        </is>
      </c>
      <c r="F1752" s="7" t="n">
        <v>36</v>
      </c>
      <c r="G1752" s="7" t="inlineStr">
        <is>
          <t>CTN</t>
        </is>
      </c>
      <c r="H1752" t="inlineStr">
        <is>
          <t>BLEND PL R</t>
        </is>
      </c>
    </row>
    <row r="1753" ht="14.25" customHeight="1" s="5">
      <c r="A1753" s="7" t="n">
        <v>33297</v>
      </c>
      <c r="B1753" s="7" t="inlineStr">
        <is>
          <t>TE-A-ME BARISTA CARDAMOM TEA 36/100 DC HS SF TAG TBGS</t>
        </is>
      </c>
      <c r="C1753" s="7" t="inlineStr">
        <is>
          <t>TE-A-ME</t>
        </is>
      </c>
      <c r="D1753" s="7" t="n">
        <v>33268</v>
      </c>
      <c r="E1753" s="7" t="inlineStr">
        <is>
          <t>TE-A-ME BARISTA CARDAMOM TEA 100 DC HS SF TAG TBGS</t>
        </is>
      </c>
      <c r="F1753" s="7" t="n">
        <v>36</v>
      </c>
      <c r="G1753" s="7" t="inlineStr">
        <is>
          <t>CTN</t>
        </is>
      </c>
      <c r="H1753" t="inlineStr">
        <is>
          <t>BLEND BLACK TEA CARDAMOM FLV TBC</t>
        </is>
      </c>
    </row>
    <row r="1754" ht="14.25" customHeight="1" s="5">
      <c r="A1754" s="7" t="n">
        <v>33273</v>
      </c>
      <c r="B1754" s="7" t="inlineStr">
        <is>
          <t>TE-A-ME BARISTA GINGER TEA 36/100 DC HS SF TAG TBGS</t>
        </is>
      </c>
      <c r="C1754" s="7" t="inlineStr">
        <is>
          <t>TE-A-ME</t>
        </is>
      </c>
      <c r="D1754" s="7" t="n">
        <v>33249</v>
      </c>
      <c r="E1754" s="7" t="inlineStr">
        <is>
          <t>TE-A-ME BARISTA GINGER TEA 100 DC HS SF TAG TBGS</t>
        </is>
      </c>
      <c r="F1754" s="7" t="n">
        <v>36</v>
      </c>
      <c r="G1754" s="7" t="inlineStr">
        <is>
          <t>CTN</t>
        </is>
      </c>
      <c r="H1754" t="inlineStr">
        <is>
          <t>BLEND BLACK TEA GINGER FLVR TBC</t>
        </is>
      </c>
    </row>
    <row r="1755" ht="14.25" customHeight="1" s="5">
      <c r="A1755" s="7" t="n">
        <v>33300</v>
      </c>
      <c r="B1755" s="7" t="inlineStr">
        <is>
          <t>TE-A-ME BARISTA GREEN TEA 36/100 DC HS SF TAG TBGS</t>
        </is>
      </c>
      <c r="C1755" s="7" t="inlineStr">
        <is>
          <t>TE-A-ME</t>
        </is>
      </c>
      <c r="D1755" s="7" t="n">
        <v>33270</v>
      </c>
      <c r="E1755" s="7" t="inlineStr">
        <is>
          <t>TE-A-ME BARISTA GREEN TEA 100 DC HS SF TAG TBGS</t>
        </is>
      </c>
      <c r="F1755" s="7" t="n">
        <v>36</v>
      </c>
      <c r="G1755" s="7" t="inlineStr">
        <is>
          <t>CTN</t>
        </is>
      </c>
      <c r="H1755" t="inlineStr">
        <is>
          <t>BLEND GREEN PL</t>
        </is>
      </c>
    </row>
    <row r="1756" ht="14.25" customHeight="1" s="5">
      <c r="A1756" s="7" t="n">
        <v>33301</v>
      </c>
      <c r="B1756" s="7" t="inlineStr">
        <is>
          <t>TE-A-ME BARISTA LEMON TEA 36/100 DC HS SF TAG TBGS</t>
        </is>
      </c>
      <c r="C1756" s="7" t="inlineStr">
        <is>
          <t>TE-A-ME</t>
        </is>
      </c>
      <c r="D1756" s="7" t="n">
        <v>33271</v>
      </c>
      <c r="E1756" s="7" t="inlineStr">
        <is>
          <t>TE-A-ME BARISTA LEMON TEA 100 DC HS SF TAG TBGS</t>
        </is>
      </c>
      <c r="F1756" s="7" t="n">
        <v>36</v>
      </c>
      <c r="G1756" s="7" t="inlineStr">
        <is>
          <t>CTN</t>
        </is>
      </c>
      <c r="H1756" t="inlineStr">
        <is>
          <t>BLEND CCD LEMON</t>
        </is>
      </c>
    </row>
    <row r="1757" ht="14.25" customHeight="1" s="5">
      <c r="A1757" s="7" t="n">
        <v>33299</v>
      </c>
      <c r="B1757" s="7" t="inlineStr">
        <is>
          <t>TE-A-ME BARISTA MASALA TEA 36/100 DC HS SF TAG TBGS</t>
        </is>
      </c>
      <c r="C1757" s="7" t="inlineStr">
        <is>
          <t>TE-A-ME</t>
        </is>
      </c>
      <c r="D1757" s="7" t="n">
        <v>33269</v>
      </c>
      <c r="E1757" s="7" t="inlineStr">
        <is>
          <t>TE-A-ME BARISTA MASALA TEA 100 DC HS SF TAG TBGS</t>
        </is>
      </c>
      <c r="F1757" s="7" t="n">
        <v>36</v>
      </c>
      <c r="G1757" s="7" t="inlineStr">
        <is>
          <t>CTN</t>
        </is>
      </c>
      <c r="H1757" t="inlineStr">
        <is>
          <t>BLEND BLACK TEA MASALA TBC</t>
        </is>
      </c>
    </row>
    <row r="1758" ht="14.25" customHeight="1" s="5">
      <c r="A1758" s="7" t="n">
        <v>34662</v>
      </c>
      <c r="B1758" s="7" t="inlineStr">
        <is>
          <t>TE-A-ME BERRY MATCHA 24/50GMS PKT TEA</t>
        </is>
      </c>
      <c r="C1758" s="7" t="inlineStr">
        <is>
          <t>TE-A-ME</t>
        </is>
      </c>
      <c r="D1758" s="7" t="n">
        <v>34437</v>
      </c>
      <c r="E1758" s="7" t="inlineStr">
        <is>
          <t>TE-A-ME BERRY MATCHA 50GMS PKT TEA</t>
        </is>
      </c>
      <c r="F1758" s="7" t="n">
        <v>24</v>
      </c>
      <c r="G1758" s="7" t="inlineStr">
        <is>
          <t>CTN</t>
        </is>
      </c>
      <c r="H1758" t="inlineStr">
        <is>
          <t>BLEND BERRY MATCHA POWER</t>
        </is>
      </c>
    </row>
    <row r="1759" ht="14.25" customHeight="1" s="5">
      <c r="A1759" s="7" t="n">
        <v>33643</v>
      </c>
      <c r="B1759" s="7" t="inlineStr">
        <is>
          <t>TE-A-ME BLACK TEA MASALA HORECA PKT LEAF [24 X 500 GM LAMINATE POUCH] CFC</t>
        </is>
      </c>
      <c r="C1759" s="7" t="inlineStr">
        <is>
          <t>TE-A-ME</t>
        </is>
      </c>
      <c r="D1759" s="7" t="n">
        <v>31973</v>
      </c>
      <c r="E1759" s="8" t="inlineStr">
        <is>
          <t xml:space="preserve">TE-A-ME MASALA HORECA PKT LEAF 500 GM POUCH
</t>
        </is>
      </c>
      <c r="F1759" s="7" t="n">
        <v>24</v>
      </c>
      <c r="G1759" s="7" t="inlineStr">
        <is>
          <t>POUCH</t>
        </is>
      </c>
      <c r="H1759" t="inlineStr">
        <is>
          <t>BLEND BLACK TEA MASALA HORECA PKT</t>
        </is>
      </c>
    </row>
    <row r="1760" ht="14.25" customHeight="1" s="5">
      <c r="A1760" s="7" t="n">
        <v>32024</v>
      </c>
      <c r="B1760" s="7" t="inlineStr">
        <is>
          <t>TE-A-ME BLACK TEAS ASSAM EXCLUSIVE 36/100 DC HS SF TAG TBGS</t>
        </is>
      </c>
      <c r="C1760" s="7" t="inlineStr">
        <is>
          <t>TE-A-ME</t>
        </is>
      </c>
      <c r="D1760" s="7" t="n">
        <v>32014</v>
      </c>
      <c r="E1760" s="7" t="inlineStr">
        <is>
          <t>TE-A-ME BLACK TEAS ASSAM EXCLUSIVE 100 DC HS STAPLE FREE TAG TBGS</t>
        </is>
      </c>
      <c r="F1760" s="7" t="n">
        <v>36</v>
      </c>
      <c r="G1760" s="7" t="inlineStr">
        <is>
          <t>CTN</t>
        </is>
      </c>
      <c r="H1760" t="inlineStr">
        <is>
          <t>BLEND 909</t>
        </is>
      </c>
    </row>
    <row r="1761" ht="14.25" customHeight="1" s="5">
      <c r="A1761" s="7" t="n">
        <v>22761</v>
      </c>
      <c r="B1761" s="7" t="inlineStr">
        <is>
          <t>TE-A-ME BLACK TEAS ASSAM EXCLUSIVE 36/100 DC TAG TBGS(INS)</t>
        </is>
      </c>
      <c r="C1761" s="7" t="inlineStr">
        <is>
          <t>TE-A-ME</t>
        </is>
      </c>
      <c r="D1761" s="7" t="n">
        <v>22759</v>
      </c>
      <c r="E1761" s="7" t="inlineStr">
        <is>
          <t>TE-A-ME BLACK TEAS ASSAM EXCLUSIVE 100 DC TAG TBGS (INS)</t>
        </is>
      </c>
      <c r="F1761" s="7" t="n">
        <v>36</v>
      </c>
      <c r="G1761" s="7" t="inlineStr">
        <is>
          <t>CTN</t>
        </is>
      </c>
      <c r="H1761" t="inlineStr">
        <is>
          <t>BLEND 909</t>
        </is>
      </c>
    </row>
    <row r="1762" ht="14.25" customHeight="1" s="5">
      <c r="A1762" s="7" t="n">
        <v>20941</v>
      </c>
      <c r="B1762" s="7" t="inlineStr">
        <is>
          <t>TE-A-ME BLACK TEAS ASSAM GOLD 36/100 DC HS STAPLE FREE TBGS(INS)</t>
        </is>
      </c>
      <c r="C1762" s="7" t="inlineStr">
        <is>
          <t>TE-A-ME</t>
        </is>
      </c>
      <c r="D1762" s="7" t="n">
        <v>20940</v>
      </c>
      <c r="E1762" s="7" t="inlineStr">
        <is>
          <t>TE-A-ME BLACK TEAS ASSAM GOLD 100 DC HS STAPLE FREE TBGS(INS)</t>
        </is>
      </c>
      <c r="F1762" s="7" t="n">
        <v>36</v>
      </c>
      <c r="G1762" s="7" t="inlineStr">
        <is>
          <t>CTN</t>
        </is>
      </c>
      <c r="H1762" t="inlineStr">
        <is>
          <t>BLEND PL R</t>
        </is>
      </c>
    </row>
    <row r="1763" ht="14.25" customHeight="1" s="5">
      <c r="A1763" s="7" t="n">
        <v>20982</v>
      </c>
      <c r="B1763" s="7" t="inlineStr">
        <is>
          <t>TE-A-ME BLACK TEAS CLASSIC ASSAM 36/100 DC HS STAPLE FREE TBGS(VALUE PACK)</t>
        </is>
      </c>
      <c r="C1763" s="7" t="inlineStr">
        <is>
          <t>TE-A-ME</t>
        </is>
      </c>
      <c r="D1763" s="7" t="n">
        <v>20981</v>
      </c>
      <c r="E1763" s="7" t="inlineStr">
        <is>
          <t>TE-A-ME BLACK TEAS CLASSIC ASSAM 100 DC HS STAPLE FREE TBGS(VALUE PACK)</t>
        </is>
      </c>
      <c r="F1763" s="7" t="n">
        <v>36</v>
      </c>
      <c r="G1763" s="7" t="inlineStr">
        <is>
          <t>CTN</t>
        </is>
      </c>
      <c r="H1763" t="inlineStr">
        <is>
          <t>BLEND PL R</t>
        </is>
      </c>
    </row>
    <row r="1764" ht="14.25" customHeight="1" s="5">
      <c r="A1764" s="7" t="n">
        <v>3413</v>
      </c>
      <c r="B1764" s="7" t="inlineStr">
        <is>
          <t>TE-A-ME BONETUF CQ ASSORTED GIFT BOX 48 DC HS ENV TBGS</t>
        </is>
      </c>
      <c r="C1764" s="7" t="inlineStr">
        <is>
          <t>TE-A-ME</t>
        </is>
      </c>
      <c r="D1764" s="7" t="n">
        <v>3415</v>
      </c>
      <c r="E1764" s="7" t="inlineStr">
        <is>
          <t>TE-A-ME LOOSE TBGS NATURAL GREEN TEAS GREEN DC HS ENV</t>
        </is>
      </c>
      <c r="F1764" s="7" t="n">
        <v>8</v>
      </c>
      <c r="G1764" s="7" t="inlineStr">
        <is>
          <t>TBGS</t>
        </is>
      </c>
      <c r="H1764">
        <f>#N/A</f>
        <v/>
      </c>
    </row>
    <row r="1765" ht="14.25" customHeight="1" s="5">
      <c r="A1765" s="7" t="n">
        <v>3413</v>
      </c>
      <c r="B1765" s="7" t="inlineStr">
        <is>
          <t>TE-A-ME BONETUF CQ ASSORTED GIFT BOX 48 DC HS ENV TBGS</t>
        </is>
      </c>
      <c r="C1765" s="7" t="inlineStr">
        <is>
          <t>TE-A-ME</t>
        </is>
      </c>
      <c r="D1765" s="7" t="n">
        <v>3416</v>
      </c>
      <c r="E1765" s="7" t="inlineStr">
        <is>
          <t>TE-A-ME LOOSE TBGS NATURAL GREEN TEAS JASMINE GREEN DC HS ENV</t>
        </is>
      </c>
      <c r="F1765" s="7" t="n">
        <v>8</v>
      </c>
      <c r="G1765" s="7" t="inlineStr">
        <is>
          <t>TBGS</t>
        </is>
      </c>
      <c r="H1765">
        <f>#N/A</f>
        <v/>
      </c>
    </row>
    <row r="1766" ht="14.25" customHeight="1" s="5">
      <c r="A1766" s="7" t="n">
        <v>3413</v>
      </c>
      <c r="B1766" s="7" t="inlineStr">
        <is>
          <t>TE-A-ME BONETUF CQ ASSORTED GIFT BOX 48 DC HS ENV TBGS</t>
        </is>
      </c>
      <c r="C1766" s="7" t="inlineStr">
        <is>
          <t>TE-A-ME</t>
        </is>
      </c>
      <c r="D1766" s="7" t="n">
        <v>3417</v>
      </c>
      <c r="E1766" s="7" t="inlineStr">
        <is>
          <t>TE-A-ME LOOSE TBGS NATURAL GREEN TEAS KASHMIRI KAHWA TEA DC HS ENV</t>
        </is>
      </c>
      <c r="F1766" s="7" t="n">
        <v>8</v>
      </c>
      <c r="G1766" s="7" t="inlineStr">
        <is>
          <t>TBGS</t>
        </is>
      </c>
      <c r="H1766">
        <f>#N/A</f>
        <v/>
      </c>
    </row>
    <row r="1767" ht="14.25" customHeight="1" s="5">
      <c r="A1767" s="7" t="n">
        <v>3413</v>
      </c>
      <c r="B1767" s="7" t="inlineStr">
        <is>
          <t>TE-A-ME BONETUF CQ ASSORTED GIFT BOX 48 DC HS ENV TBGS</t>
        </is>
      </c>
      <c r="C1767" s="7" t="inlineStr">
        <is>
          <t>TE-A-ME</t>
        </is>
      </c>
      <c r="D1767" s="7" t="n">
        <v>3418</v>
      </c>
      <c r="E1767" s="7" t="inlineStr">
        <is>
          <t>TE-A-ME LOOSE TBGS NATURAL GREEN TEAS MINT GREEN TEA DC HS ENV</t>
        </is>
      </c>
      <c r="F1767" s="7" t="n">
        <v>8</v>
      </c>
      <c r="G1767" s="7" t="inlineStr">
        <is>
          <t>TBGS</t>
        </is>
      </c>
      <c r="H1767">
        <f>#N/A</f>
        <v/>
      </c>
    </row>
    <row r="1768" ht="14.25" customHeight="1" s="5">
      <c r="A1768" s="7" t="n">
        <v>3413</v>
      </c>
      <c r="B1768" s="7" t="inlineStr">
        <is>
          <t>TE-A-ME BONETUF CQ ASSORTED GIFT BOX 48 DC HS ENV TBGS</t>
        </is>
      </c>
      <c r="C1768" s="7" t="inlineStr">
        <is>
          <t>TE-A-ME</t>
        </is>
      </c>
      <c r="D1768" s="7" t="n">
        <v>3419</v>
      </c>
      <c r="E1768" s="7" t="inlineStr">
        <is>
          <t>TE-A-ME LOOSE TBGS SIGNATURE BLACK TEAS DARJEELING DC HS ENV</t>
        </is>
      </c>
      <c r="F1768" s="7" t="n">
        <v>8</v>
      </c>
      <c r="G1768" s="7" t="inlineStr">
        <is>
          <t>TBGS</t>
        </is>
      </c>
      <c r="H1768">
        <f>#N/A</f>
        <v/>
      </c>
    </row>
    <row r="1769" ht="14.25" customHeight="1" s="5">
      <c r="A1769" s="7" t="n">
        <v>3413</v>
      </c>
      <c r="B1769" s="7" t="inlineStr">
        <is>
          <t>TE-A-ME BONETUF CQ ASSORTED GIFT BOX 48 DC HS ENV TBGS</t>
        </is>
      </c>
      <c r="C1769" s="7" t="inlineStr">
        <is>
          <t>TE-A-ME</t>
        </is>
      </c>
      <c r="D1769" s="7" t="n">
        <v>3420</v>
      </c>
      <c r="E1769" s="7" t="inlineStr">
        <is>
          <t>TE-A-ME LOOSE TBGS WELLNESS INFUSIONS TULSI GREEN DC HS ENV</t>
        </is>
      </c>
      <c r="F1769" s="7" t="n">
        <v>8</v>
      </c>
      <c r="G1769" s="7" t="inlineStr">
        <is>
          <t>TBGS</t>
        </is>
      </c>
      <c r="H1769">
        <f>#N/A</f>
        <v/>
      </c>
    </row>
    <row r="1770" ht="14.25" customHeight="1" s="5">
      <c r="A1770" s="7" t="n">
        <v>3426</v>
      </c>
      <c r="B1770" s="7" t="inlineStr">
        <is>
          <t>TE-A-ME CARDAMOM TEA 18/100 DC SF HS ENV TBGS (INSTITUTIONAL)</t>
        </is>
      </c>
      <c r="C1770" s="7" t="inlineStr">
        <is>
          <t>TE-A-ME</t>
        </is>
      </c>
      <c r="D1770" s="7" t="n">
        <v>3427</v>
      </c>
      <c r="E1770" s="7" t="inlineStr">
        <is>
          <t>TE-A-ME CARDAMOM TEA 100 DC SF HS ENV TBGS (INSTITUTIONAL)</t>
        </is>
      </c>
      <c r="F1770" s="7" t="n">
        <v>18</v>
      </c>
      <c r="G1770" s="7" t="inlineStr">
        <is>
          <t>CTN</t>
        </is>
      </c>
      <c r="H1770" t="inlineStr">
        <is>
          <t>BLEND BLACK TEA CARDAMOM FLV TBC</t>
        </is>
      </c>
    </row>
    <row r="1771" ht="14.25" customHeight="1" s="5">
      <c r="A1771" s="7" t="n">
        <v>34860</v>
      </c>
      <c r="B1771" s="7" t="inlineStr">
        <is>
          <t>TE-A-ME CARDAMOM TEA 18/100 DC SF HS ENV TBGS-HUL</t>
        </is>
      </c>
      <c r="C1771" s="7" t="inlineStr">
        <is>
          <t>TE-A-ME</t>
        </is>
      </c>
      <c r="D1771" s="7" t="n">
        <v>34830</v>
      </c>
      <c r="E1771" s="7" t="inlineStr">
        <is>
          <t>TE-A-ME CARDAMOM TEA 100 DC SF HS ENV TBGS-XS</t>
        </is>
      </c>
      <c r="F1771" s="7" t="n">
        <v>18</v>
      </c>
      <c r="G1771" s="7" t="inlineStr">
        <is>
          <t>CTN</t>
        </is>
      </c>
      <c r="H1771" t="inlineStr">
        <is>
          <t>BLEND BLACK TEA CARDAMOM XS HUL TB</t>
        </is>
      </c>
    </row>
    <row r="1772" ht="14.25" customHeight="1" s="5">
      <c r="A1772" s="7" t="n">
        <v>34605</v>
      </c>
      <c r="B1772" s="7" t="inlineStr">
        <is>
          <t>TE-A-ME CARDAMOM TEA 24/25 DC HS STAPLE FREE ENV TBGS</t>
        </is>
      </c>
      <c r="C1772" s="7" t="inlineStr">
        <is>
          <t>TE-A-ME</t>
        </is>
      </c>
      <c r="D1772" s="7" t="n">
        <v>34589</v>
      </c>
      <c r="E1772" s="7" t="inlineStr">
        <is>
          <t>TE-A-ME CARDAMOM TEA 25 DC HS STAPLE GREE ENV TBGS</t>
        </is>
      </c>
      <c r="F1772" s="7" t="n">
        <v>24</v>
      </c>
      <c r="G1772" s="7" t="inlineStr">
        <is>
          <t>CTN</t>
        </is>
      </c>
      <c r="H1772" t="inlineStr">
        <is>
          <t>BLEND BLACK TEA CARDAMOM FLV TBC</t>
        </is>
      </c>
    </row>
    <row r="1773" ht="14.25" customHeight="1" s="5">
      <c r="A1773" s="7" t="n">
        <v>19372</v>
      </c>
      <c r="B1773" s="7" t="inlineStr">
        <is>
          <t>TE-A-ME CARDAMOM TURMERIC 18/100 DC SF HS ENV TBGS (INSTITUTIONAL)</t>
        </is>
      </c>
      <c r="C1773" s="7" t="inlineStr">
        <is>
          <t>TE-A-ME</t>
        </is>
      </c>
      <c r="D1773" s="7" t="n">
        <v>19373</v>
      </c>
      <c r="E1773" s="7" t="inlineStr">
        <is>
          <t>TE-A-ME CARDAMOM TURMERIC 100 DC SF HS ENV TBGS (INSTITUTIONAL)</t>
        </is>
      </c>
      <c r="F1773" s="7" t="n">
        <v>18</v>
      </c>
      <c r="G1773" s="7" t="inlineStr">
        <is>
          <t>CTN</t>
        </is>
      </c>
      <c r="H1773" t="inlineStr">
        <is>
          <t>BLEND CARDAMOM TURMERIC GINGER TB</t>
        </is>
      </c>
    </row>
    <row r="1774" ht="14.25" customHeight="1" s="5">
      <c r="A1774" s="7" t="n">
        <v>34659</v>
      </c>
      <c r="B1774" s="7" t="inlineStr">
        <is>
          <t>TE-A-ME CEREMONIAL MATCHA 24/50 GMS PKT TEA</t>
        </is>
      </c>
      <c r="C1774" s="7" t="inlineStr">
        <is>
          <t>TE-A-ME</t>
        </is>
      </c>
      <c r="D1774" s="7" t="n">
        <v>34434</v>
      </c>
      <c r="E1774" s="7" t="inlineStr">
        <is>
          <t>TE-A-ME CEREMONIAL MATCHA 50 GMS PKT TEA</t>
        </is>
      </c>
      <c r="F1774" s="7" t="n">
        <v>24</v>
      </c>
      <c r="G1774" s="7" t="inlineStr">
        <is>
          <t>CTN</t>
        </is>
      </c>
      <c r="H1774" t="inlineStr">
        <is>
          <t>BLEND INSTANT CEREMONIAL MATCHA POWER</t>
        </is>
      </c>
    </row>
    <row r="1775" ht="14.25" customHeight="1" s="5">
      <c r="A1775" s="7" t="n">
        <v>22440</v>
      </c>
      <c r="B1775" s="7" t="inlineStr">
        <is>
          <t>TE-A-ME CHAI CARDAMOM 36/100 DC STAPLE FREE TBGS</t>
        </is>
      </c>
      <c r="C1775" s="7" t="inlineStr">
        <is>
          <t>TE-A-ME</t>
        </is>
      </c>
      <c r="D1775" s="7" t="n">
        <v>22437</v>
      </c>
      <c r="E1775" s="7" t="inlineStr">
        <is>
          <t>TE-A-ME CHAI CARDAMOM 100 DC STAPLE FREE TBGS</t>
        </is>
      </c>
      <c r="F1775" s="7" t="n">
        <v>36</v>
      </c>
      <c r="G1775" s="7" t="inlineStr">
        <is>
          <t>CTN</t>
        </is>
      </c>
      <c r="H1775" t="inlineStr">
        <is>
          <t>BLEND BLACK TEA CARDAMOM FLV TBC</t>
        </is>
      </c>
    </row>
    <row r="1776" ht="14.25" customHeight="1" s="5">
      <c r="A1776" s="7" t="n">
        <v>34864</v>
      </c>
      <c r="B1776" s="7" t="inlineStr">
        <is>
          <t>TE-A-ME CHAI CARDAMOM 36/100 DC STAPLE FREE TBGS-HUL</t>
        </is>
      </c>
      <c r="C1776" s="7" t="inlineStr">
        <is>
          <t>TE-A-ME</t>
        </is>
      </c>
      <c r="D1776" s="7" t="n">
        <v>34824</v>
      </c>
      <c r="E1776" s="7" t="inlineStr">
        <is>
          <t>TE-A-ME CHAI CARDAMOM 100 DC STAPLE FREE TBGS-XS</t>
        </is>
      </c>
      <c r="F1776" s="7" t="n">
        <v>36</v>
      </c>
      <c r="G1776" s="7" t="inlineStr">
        <is>
          <t>CTN</t>
        </is>
      </c>
      <c r="H1776" t="inlineStr">
        <is>
          <t>BLEND BLACK TEA CARDAMOM XS HUL TB</t>
        </is>
      </c>
    </row>
    <row r="1777" ht="14.25" customHeight="1" s="5">
      <c r="A1777" s="7" t="n">
        <v>22441</v>
      </c>
      <c r="B1777" s="7" t="inlineStr">
        <is>
          <t>TE-A-ME CHAI GINGER 36/100 DC STAPLE FREE TBGS</t>
        </is>
      </c>
      <c r="C1777" s="7" t="inlineStr">
        <is>
          <t>TE-A-ME</t>
        </is>
      </c>
      <c r="D1777" s="7" t="n">
        <v>22438</v>
      </c>
      <c r="E1777" s="7" t="inlineStr">
        <is>
          <t>TE-A-ME CHAI GINGER 100 DC STAPLE FREE TBGS</t>
        </is>
      </c>
      <c r="F1777" s="7" t="n">
        <v>36</v>
      </c>
      <c r="G1777" s="7" t="inlineStr">
        <is>
          <t>CTN</t>
        </is>
      </c>
      <c r="H1777" t="inlineStr">
        <is>
          <t>BLEND BLACK TEA GINGER FLVR TBC</t>
        </is>
      </c>
    </row>
    <row r="1778" ht="14.25" customHeight="1" s="5">
      <c r="A1778" s="7" t="n">
        <v>34862</v>
      </c>
      <c r="B1778" s="7" t="inlineStr">
        <is>
          <t>TE-A-ME CHAI GINGER 36/100 DC STAPLE FREE TBGS-HUL</t>
        </is>
      </c>
      <c r="C1778" s="7" t="inlineStr">
        <is>
          <t>TE-A-ME</t>
        </is>
      </c>
      <c r="D1778" s="7" t="n">
        <v>34831</v>
      </c>
      <c r="E1778" s="8" t="inlineStr">
        <is>
          <t xml:space="preserve">
TE-A-ME CHAI GINGER 100 DC STAPLE FREE TBGS-XS</t>
        </is>
      </c>
      <c r="F1778" s="7" t="n">
        <v>36</v>
      </c>
      <c r="G1778" s="7" t="inlineStr">
        <is>
          <t>CTN</t>
        </is>
      </c>
      <c r="H1778" t="inlineStr">
        <is>
          <t>BLEND BLACK TEA GINGER XS HUL TB</t>
        </is>
      </c>
    </row>
    <row r="1779" ht="14.25" customHeight="1" s="5">
      <c r="A1779" s="7" t="n">
        <v>18660</v>
      </c>
      <c r="B1779" s="7" t="inlineStr">
        <is>
          <t>TE-A-ME CHAI GINGER TEA INSTITUTIONAL 12/1 KG PKT TEA</t>
        </is>
      </c>
      <c r="C1779" s="7" t="inlineStr">
        <is>
          <t>TE-A-ME</t>
        </is>
      </c>
      <c r="D1779" s="7" t="n">
        <v>18659</v>
      </c>
      <c r="E1779" s="7" t="inlineStr">
        <is>
          <t>TE-A-ME CHAI GINGER TEA INSTITUTIONAL 1 KG PKT TEA</t>
        </is>
      </c>
      <c r="F1779" s="7" t="n">
        <v>12</v>
      </c>
      <c r="G1779" s="7" t="inlineStr">
        <is>
          <t>PKT</t>
        </is>
      </c>
      <c r="H1779" t="inlineStr">
        <is>
          <t>BLEND BLACK TEA GINGER TBC</t>
        </is>
      </c>
    </row>
    <row r="1780" ht="14.25" customHeight="1" s="5">
      <c r="A1780" s="7" t="n">
        <v>22442</v>
      </c>
      <c r="B1780" s="7" t="inlineStr">
        <is>
          <t>TE-A-ME CHAI MASALA 36/100 DC STAPLE FREE TBGS</t>
        </is>
      </c>
      <c r="C1780" s="7" t="inlineStr">
        <is>
          <t>TE-A-ME</t>
        </is>
      </c>
      <c r="D1780" s="7" t="n">
        <v>22439</v>
      </c>
      <c r="E1780" s="7" t="inlineStr">
        <is>
          <t>TE-A-ME CHAI MASALA 100 DC STAPLE FREE TBGS</t>
        </is>
      </c>
      <c r="F1780" s="7" t="n">
        <v>36</v>
      </c>
      <c r="G1780" s="7" t="inlineStr">
        <is>
          <t>CTN</t>
        </is>
      </c>
      <c r="H1780" t="inlineStr">
        <is>
          <t>BLEND BLACK TEA MASALA TBC</t>
        </is>
      </c>
    </row>
    <row r="1781" ht="14.25" customHeight="1" s="5">
      <c r="A1781" s="7" t="n">
        <v>34863</v>
      </c>
      <c r="B1781" s="7" t="inlineStr">
        <is>
          <t>TE-A-ME CHAI MASALA 36/100 DC STAPLE FREE TBGS-HUL</t>
        </is>
      </c>
      <c r="C1781" s="7" t="inlineStr">
        <is>
          <t>TE-A-ME</t>
        </is>
      </c>
      <c r="D1781" s="7" t="n">
        <v>34833</v>
      </c>
      <c r="E1781" s="7" t="inlineStr">
        <is>
          <t>TE-A-ME CHAI MASALA 100 DC STAPLE FREE TBGS-XS</t>
        </is>
      </c>
      <c r="F1781" s="7" t="n">
        <v>36</v>
      </c>
      <c r="G1781" s="7" t="inlineStr">
        <is>
          <t>CTN</t>
        </is>
      </c>
      <c r="H1781" t="inlineStr">
        <is>
          <t>BLEND BLACK TEA MASALA XS HUL TB</t>
        </is>
      </c>
    </row>
    <row r="1782" ht="14.25" customHeight="1" s="5">
      <c r="A1782" s="7" t="n">
        <v>21796</v>
      </c>
      <c r="B1782" s="7" t="inlineStr">
        <is>
          <t>TE-A-ME CHAMOMILE TEA 18/100 DC SF HS ENV TBGS</t>
        </is>
      </c>
      <c r="C1782" s="7" t="inlineStr">
        <is>
          <t>TE-A-ME</t>
        </is>
      </c>
      <c r="D1782" s="7" t="n">
        <v>21795</v>
      </c>
      <c r="E1782" s="7" t="inlineStr">
        <is>
          <t>TE-A-ME CHAMOMILE TEA 100 DC SF HS ENV TBGS</t>
        </is>
      </c>
      <c r="F1782" s="7" t="n">
        <v>18</v>
      </c>
      <c r="G1782" s="7" t="inlineStr">
        <is>
          <t>CTN</t>
        </is>
      </c>
      <c r="H1782" t="inlineStr">
        <is>
          <t>BLEND CHAMOMILE TBC</t>
        </is>
      </c>
    </row>
    <row r="1783" ht="14.25" customHeight="1" s="5">
      <c r="A1783" s="7" t="n">
        <v>3443</v>
      </c>
      <c r="B1783" s="7" t="inlineStr">
        <is>
          <t>TE-A-ME CHAMOMILE TEA 18/100 DC SF HS ENV TBGS (INSTITUTIONAL)</t>
        </is>
      </c>
      <c r="C1783" s="7" t="inlineStr">
        <is>
          <t>TE-A-ME</t>
        </is>
      </c>
      <c r="D1783" s="7" t="n">
        <v>3444</v>
      </c>
      <c r="E1783" s="7" t="inlineStr">
        <is>
          <t>TE-A-ME CHAMOMILE TEA 100 DC SF HS ENV TBGS (INSTITUTIONAL)</t>
        </is>
      </c>
      <c r="F1783" s="7" t="n">
        <v>18</v>
      </c>
      <c r="G1783" s="7" t="inlineStr">
        <is>
          <t>CTN</t>
        </is>
      </c>
      <c r="H1783" t="inlineStr">
        <is>
          <t>BLEND CHAMOMILE TBC</t>
        </is>
      </c>
    </row>
    <row r="1784" ht="14.25" customHeight="1" s="5">
      <c r="A1784" s="7" t="n">
        <v>36833</v>
      </c>
      <c r="B1784" s="7" t="inlineStr">
        <is>
          <t>TE-A-ME CLASSIC ASSAM TEA 24/25 DC STAPLE FREE TAG TBGS</t>
        </is>
      </c>
      <c r="C1784" s="7" t="inlineStr">
        <is>
          <t>TE-A-ME</t>
        </is>
      </c>
      <c r="D1784" s="7" t="n">
        <v>36689</v>
      </c>
      <c r="E1784" s="7" t="inlineStr">
        <is>
          <t>TE-A-ME CLASSIC ASSAM TEA 25 DC STAPLE FREE TAG TBGS</t>
        </is>
      </c>
      <c r="F1784" s="7" t="n">
        <v>24</v>
      </c>
      <c r="G1784" s="7" t="inlineStr">
        <is>
          <t>CTN</t>
        </is>
      </c>
      <c r="H1784" t="inlineStr">
        <is>
          <t>BLEND PL R</t>
        </is>
      </c>
    </row>
    <row r="1785" ht="14.25" customHeight="1" s="5">
      <c r="A1785" s="7" t="n">
        <v>3449</v>
      </c>
      <c r="B1785" s="7" t="inlineStr">
        <is>
          <t>TE-A-ME CLASSIC ASSAM TEA 36/100 DC TAG TBGS(VALUE PACK)</t>
        </is>
      </c>
      <c r="C1785" s="7" t="inlineStr">
        <is>
          <t>TE-A-ME</t>
        </is>
      </c>
      <c r="D1785" s="7" t="n">
        <v>3450</v>
      </c>
      <c r="E1785" s="7" t="inlineStr">
        <is>
          <t>TE-A-ME CLASSIC ASSAM TEA 100 DC TAG TBGS(VALUE PACK)</t>
        </is>
      </c>
      <c r="F1785" s="7" t="n">
        <v>36</v>
      </c>
      <c r="G1785" s="7" t="inlineStr">
        <is>
          <t>CTN</t>
        </is>
      </c>
      <c r="H1785">
        <f>#N/A</f>
        <v/>
      </c>
    </row>
    <row r="1786" ht="14.25" customHeight="1" s="5">
      <c r="A1786" s="7" t="n">
        <v>3455</v>
      </c>
      <c r="B1786" s="7" t="inlineStr">
        <is>
          <t>TE-A-ME CTC TEA INSTITUTION 24/500 GMS PKT TEA</t>
        </is>
      </c>
      <c r="C1786" s="7" t="inlineStr">
        <is>
          <t>TE-A-ME</t>
        </is>
      </c>
      <c r="D1786" s="7" t="n">
        <v>3456</v>
      </c>
      <c r="E1786" s="7" t="inlineStr">
        <is>
          <t>TE-A-ME CTC TEA INSTITUTION 500 GMS PKT TEA</t>
        </is>
      </c>
      <c r="F1786" s="7" t="n">
        <v>24</v>
      </c>
      <c r="G1786" s="7" t="inlineStr">
        <is>
          <t>CTN</t>
        </is>
      </c>
      <c r="H1786" t="inlineStr">
        <is>
          <t>BLEND MVC</t>
        </is>
      </c>
    </row>
    <row r="1787" ht="14.25" customHeight="1" s="5">
      <c r="A1787" s="7" t="n">
        <v>3458</v>
      </c>
      <c r="B1787" s="7" t="inlineStr">
        <is>
          <t>TE-A-ME CTC TEA INSTITUTIONAL 12/1 KG PKT TEA</t>
        </is>
      </c>
      <c r="C1787" s="7" t="inlineStr">
        <is>
          <t>TE-A-ME</t>
        </is>
      </c>
      <c r="D1787" s="7" t="n">
        <v>3459</v>
      </c>
      <c r="E1787" s="7" t="inlineStr">
        <is>
          <t>TE-A-ME CTC TEA INSTITUTIONAL 1 KG PKT TEA</t>
        </is>
      </c>
      <c r="F1787" s="7" t="n">
        <v>12</v>
      </c>
      <c r="G1787" s="7" t="inlineStr">
        <is>
          <t>CTN</t>
        </is>
      </c>
      <c r="H1787" t="inlineStr">
        <is>
          <t>BLEND MVC</t>
        </is>
      </c>
    </row>
    <row r="1788" ht="14.25" customHeight="1" s="5">
      <c r="A1788" s="7" t="n">
        <v>34660</v>
      </c>
      <c r="B1788" s="7" t="inlineStr">
        <is>
          <t>TE-A-ME CUSTOM CEREMONIAL MATCHA 24/50 GMS PKT TEA</t>
        </is>
      </c>
      <c r="C1788" s="7" t="inlineStr">
        <is>
          <t>TE-A-ME</t>
        </is>
      </c>
      <c r="D1788" s="7" t="n">
        <v>34435</v>
      </c>
      <c r="E1788" s="7" t="inlineStr">
        <is>
          <t>TE-A-ME CUSTOM CEREMONIAL MATCHA 50 GMS PKT TEA</t>
        </is>
      </c>
      <c r="F1788" s="7" t="n">
        <v>24</v>
      </c>
      <c r="G1788" s="7" t="inlineStr">
        <is>
          <t>CTN</t>
        </is>
      </c>
      <c r="H1788" t="inlineStr">
        <is>
          <t>BLEND INSTANT CUSTOM GRADE MATCHA POWER</t>
        </is>
      </c>
    </row>
    <row r="1789" ht="14.25" customHeight="1" s="5">
      <c r="A1789" s="7" t="n">
        <v>3461</v>
      </c>
      <c r="B1789" s="7" t="inlineStr">
        <is>
          <t>TE-A-ME DARJEELING TEA 18/100 DC HS ENV TBGS (INSTITUTIONAL)</t>
        </is>
      </c>
      <c r="C1789" s="7" t="inlineStr">
        <is>
          <t>TE-A-ME</t>
        </is>
      </c>
      <c r="D1789" s="7" t="n">
        <v>3462</v>
      </c>
      <c r="E1789" s="7" t="inlineStr">
        <is>
          <t>TE-A-ME DARJEELING TEA 100 DC HS ENV TBGS (INSTITUTIONAL)</t>
        </is>
      </c>
      <c r="F1789" s="7" t="n">
        <v>18</v>
      </c>
      <c r="G1789" s="7" t="inlineStr">
        <is>
          <t>CTN</t>
        </is>
      </c>
      <c r="H1789">
        <f>#N/A</f>
        <v/>
      </c>
    </row>
    <row r="1790" ht="14.25" customHeight="1" s="5">
      <c r="A1790" s="7" t="n">
        <v>3466</v>
      </c>
      <c r="B1790" s="7" t="inlineStr">
        <is>
          <t>TE-A-ME DARJEELING TEA 18/100 DC SF HS ENV TBGS (INSTITUTIONAL)</t>
        </is>
      </c>
      <c r="C1790" s="7" t="inlineStr">
        <is>
          <t>TE-A-ME</t>
        </is>
      </c>
      <c r="D1790" s="7" t="n">
        <v>3467</v>
      </c>
      <c r="E1790" s="7" t="inlineStr">
        <is>
          <t>TE-A-ME DARJEELING TEA 100 DC SF HS ENV TBGS (INSTITUTIONAL)</t>
        </is>
      </c>
      <c r="F1790" s="7" t="n">
        <v>18</v>
      </c>
      <c r="G1790" s="7" t="inlineStr">
        <is>
          <t>CTN</t>
        </is>
      </c>
      <c r="H1790" t="inlineStr">
        <is>
          <t>BLEND DJ (LOCAL)</t>
        </is>
      </c>
    </row>
    <row r="1791" ht="14.25" customHeight="1" s="5">
      <c r="A1791" s="7" t="n">
        <v>34093</v>
      </c>
      <c r="B1791" s="7" t="inlineStr">
        <is>
          <t>TE-A-ME DUST TEA INST PACK TEAME GINGER [12 X 1 KG LAMINATE POUCH] CFC</t>
        </is>
      </c>
      <c r="C1791" s="7" t="inlineStr">
        <is>
          <t>TE-A-ME</t>
        </is>
      </c>
      <c r="D1791" s="7" t="n">
        <v>34089</v>
      </c>
      <c r="E1791" s="7" t="inlineStr">
        <is>
          <t>TE-A-ME DUST TEA INST PACK TEAME GINGER 1 KG POUCH</t>
        </is>
      </c>
      <c r="F1791" s="7" t="n">
        <v>12</v>
      </c>
      <c r="G1791" s="7" t="inlineStr">
        <is>
          <t>POUCH</t>
        </is>
      </c>
      <c r="H1791" t="inlineStr">
        <is>
          <t>BLEND Teame Ginger 1Kg TBC</t>
        </is>
      </c>
    </row>
    <row r="1792" ht="14.25" customHeight="1" s="5">
      <c r="A1792" s="7" t="n">
        <v>34096</v>
      </c>
      <c r="B1792" s="7" t="inlineStr">
        <is>
          <t>TE-A-ME DUST TEA INST PACK TEAME MASALA [12 X 1 KG LAMINATE POUCH] CFC</t>
        </is>
      </c>
      <c r="C1792" s="7" t="inlineStr">
        <is>
          <t>TE-A-ME</t>
        </is>
      </c>
      <c r="D1792" s="7" t="n">
        <v>34090</v>
      </c>
      <c r="E1792" s="7" t="inlineStr">
        <is>
          <t>TE-A-ME DUST TEA INST PACK TEAME MASALA 1 KG POUCH</t>
        </is>
      </c>
      <c r="F1792" s="7" t="n">
        <v>12</v>
      </c>
      <c r="G1792" s="7" t="inlineStr">
        <is>
          <t>POUCH</t>
        </is>
      </c>
      <c r="H1792" t="inlineStr">
        <is>
          <t>BLEND Teame Masala 1 Kg TBC</t>
        </is>
      </c>
    </row>
    <row r="1793" ht="14.25" customHeight="1" s="5">
      <c r="A1793" s="7" t="n">
        <v>34098</v>
      </c>
      <c r="B1793" s="7" t="inlineStr">
        <is>
          <t>TE-A-ME DUST TEA INST PACK TEAME PREMIUM MASALA [12 X 1 KG LAMINATE POUCH] CFC</t>
        </is>
      </c>
      <c r="C1793" s="7" t="inlineStr">
        <is>
          <t>TE-A-ME</t>
        </is>
      </c>
      <c r="D1793" s="7" t="n">
        <v>34091</v>
      </c>
      <c r="E1793" s="7" t="inlineStr">
        <is>
          <t>TE-A-ME DUST TEA INST PACK TEAME PREMIUM MASALA 1 KG POUCH</t>
        </is>
      </c>
      <c r="F1793" s="7" t="n">
        <v>12</v>
      </c>
      <c r="G1793" s="7" t="inlineStr">
        <is>
          <t>POUCH</t>
        </is>
      </c>
      <c r="H1793" t="inlineStr">
        <is>
          <t>BLEND Teame Premium Masala 1 Kg TBC</t>
        </is>
      </c>
    </row>
    <row r="1794" ht="14.25" customHeight="1" s="5">
      <c r="A1794" s="7" t="n">
        <v>28633</v>
      </c>
      <c r="B1794" s="7" t="inlineStr">
        <is>
          <t>TE-A-ME DUST TEA INSTITUTIONAL 48/250 GM PKT TEA</t>
        </is>
      </c>
      <c r="C1794" s="7" t="inlineStr">
        <is>
          <t>TE-A-ME</t>
        </is>
      </c>
      <c r="D1794" s="7" t="n">
        <v>32692</v>
      </c>
      <c r="E1794" s="7" t="inlineStr">
        <is>
          <t>TE-A-ME DUST TEA INSTITUTIONAL 250 GM PKT TEA</t>
        </is>
      </c>
      <c r="F1794" s="7" t="n">
        <v>48</v>
      </c>
      <c r="G1794" s="7" t="inlineStr">
        <is>
          <t>POUCH</t>
        </is>
      </c>
      <c r="H1794" t="inlineStr">
        <is>
          <t>BLEND XTC</t>
        </is>
      </c>
    </row>
    <row r="1795" ht="14.25" customHeight="1" s="5">
      <c r="A1795" s="7" t="n">
        <v>3469</v>
      </c>
      <c r="B1795" s="7" t="inlineStr">
        <is>
          <t>TE-A-ME EARL GREY  TEA 18/100 DC SF HS ENV TBGS (INSTITUTIONAL)</t>
        </is>
      </c>
      <c r="C1795" s="7" t="inlineStr">
        <is>
          <t>TE-A-ME</t>
        </is>
      </c>
      <c r="D1795" s="7" t="n">
        <v>3470</v>
      </c>
      <c r="E1795" s="7" t="inlineStr">
        <is>
          <t>TE-A-ME EARL GREY  TEA 100 DC SF HS ENV TBGS (INSTITUTIONAL)</t>
        </is>
      </c>
      <c r="F1795" s="7" t="n">
        <v>18</v>
      </c>
      <c r="G1795" s="7" t="inlineStr">
        <is>
          <t>CTN</t>
        </is>
      </c>
      <c r="H1795" t="inlineStr">
        <is>
          <t>BLEND BLACK TEA EARL GREY TBC</t>
        </is>
      </c>
    </row>
    <row r="1796" ht="14.25" customHeight="1" s="5">
      <c r="A1796" s="7" t="n">
        <v>3474</v>
      </c>
      <c r="B1796" s="7" t="inlineStr">
        <is>
          <t>TE-A-ME EARL GREY TEA 18/100 DC HS ENV TBGS (INSTITUTIONAL)</t>
        </is>
      </c>
      <c r="C1796" s="7" t="inlineStr">
        <is>
          <t>TE-A-ME</t>
        </is>
      </c>
      <c r="D1796" s="7" t="n">
        <v>3475</v>
      </c>
      <c r="E1796" s="7" t="inlineStr">
        <is>
          <t>TE-A-ME EARL GREY TEA 100 DC HS ENV TBGS (INSTITUTIONAL)</t>
        </is>
      </c>
      <c r="F1796" s="7" t="n">
        <v>18</v>
      </c>
      <c r="G1796" s="7" t="inlineStr">
        <is>
          <t>CTN</t>
        </is>
      </c>
      <c r="H1796">
        <f>#N/A</f>
        <v/>
      </c>
    </row>
    <row r="1797" ht="14.25" customHeight="1" s="5">
      <c r="A1797" s="7" t="n">
        <v>3483</v>
      </c>
      <c r="B1797" s="7" t="inlineStr">
        <is>
          <t>TE-A-ME ENGLISH BREAK FAST 18/100 DC HS ENV TBGS (INSTITUTIONAL)-EB</t>
        </is>
      </c>
      <c r="C1797" s="7" t="inlineStr">
        <is>
          <t>TE-A-ME</t>
        </is>
      </c>
      <c r="D1797" s="7" t="n">
        <v>3484</v>
      </c>
      <c r="E1797" s="7" t="inlineStr">
        <is>
          <t>TE-A-ME ENGLISH BREAK FAST 100 DC HS ENV TBGS (INSTITUTIONAL)-EB</t>
        </is>
      </c>
      <c r="F1797" s="7" t="n">
        <v>18</v>
      </c>
      <c r="G1797" s="7" t="inlineStr">
        <is>
          <t>CTN</t>
        </is>
      </c>
      <c r="H1797">
        <f>#N/A</f>
        <v/>
      </c>
    </row>
    <row r="1798" ht="14.25" customHeight="1" s="5">
      <c r="A1798" s="7" t="n">
        <v>3487</v>
      </c>
      <c r="B1798" s="7" t="inlineStr">
        <is>
          <t>TE-A-ME ENGLISH BREAK FAST TEA 18/100 DC SF HS ENV TBGS</t>
        </is>
      </c>
      <c r="C1798" s="7" t="inlineStr">
        <is>
          <t>TE-A-ME</t>
        </is>
      </c>
      <c r="D1798" s="7" t="n">
        <v>3488</v>
      </c>
      <c r="E1798" s="7" t="inlineStr">
        <is>
          <t>TE-A-ME ENGLISH BREAK FAST TEA 100 DC SF HS ENV TBGS</t>
        </is>
      </c>
      <c r="F1798" s="7" t="n">
        <v>18</v>
      </c>
      <c r="G1798" s="7" t="inlineStr">
        <is>
          <t>CTN</t>
        </is>
      </c>
      <c r="H1798" t="inlineStr">
        <is>
          <t>BLEND TEAME 909</t>
        </is>
      </c>
    </row>
    <row r="1799" ht="14.25" customHeight="1" s="5">
      <c r="A1799" s="7" t="n">
        <v>18373</v>
      </c>
      <c r="B1799" s="7" t="inlineStr">
        <is>
          <t>TE-A-ME ENGLISH BREAKFAST TEA FOR AIR INDIA 24/25 DC SF HS ENV TBGS</t>
        </is>
      </c>
      <c r="C1799" s="7" t="inlineStr">
        <is>
          <t>TE-A-ME</t>
        </is>
      </c>
      <c r="D1799" s="7" t="n">
        <v>18374</v>
      </c>
      <c r="E1799" s="7" t="inlineStr">
        <is>
          <t>TE-A-ME ENGLISH BREAKFAST TEA FOR AIR INDIA 25 DC SF HS ENV TBGS</t>
        </is>
      </c>
      <c r="F1799" s="7" t="n">
        <v>24</v>
      </c>
      <c r="G1799" s="7" t="inlineStr">
        <is>
          <t>CTN</t>
        </is>
      </c>
      <c r="H1799" t="inlineStr">
        <is>
          <t>BLEND 909</t>
        </is>
      </c>
    </row>
    <row r="1800" ht="14.25" customHeight="1" s="5">
      <c r="A1800" s="7" t="n">
        <v>20324</v>
      </c>
      <c r="B1800" s="7" t="inlineStr">
        <is>
          <t>TE-A-ME EXCLUSIVE GREEN TEA HEALTH PACK 18/40 DC SF HS ENV TBGS</t>
        </is>
      </c>
      <c r="C1800" s="7" t="inlineStr">
        <is>
          <t>TE-A-ME</t>
        </is>
      </c>
      <c r="D1800" s="7" t="n">
        <v>3999</v>
      </c>
      <c r="E1800" s="7" t="inlineStr">
        <is>
          <t>TE-A-ME WELLNESS INFUSIONS TULSI GREEN TEA 10 DC SF HS ENV TBGS</t>
        </is>
      </c>
      <c r="F1800" s="7" t="n">
        <v>18</v>
      </c>
      <c r="G1800" s="7" t="inlineStr">
        <is>
          <t>CTN</t>
        </is>
      </c>
      <c r="H1800" t="inlineStr">
        <is>
          <t>BLEND TEAME GREEN TEA TULSI</t>
        </is>
      </c>
    </row>
    <row r="1801" ht="14.25" customHeight="1" s="5">
      <c r="A1801" s="7" t="n">
        <v>20324</v>
      </c>
      <c r="B1801" s="7" t="inlineStr">
        <is>
          <t>TE-A-ME EXCLUSIVE GREEN TEA HEALTH PACK 18/40 DC SF HS ENV TBGS</t>
        </is>
      </c>
      <c r="C1801" s="7" t="inlineStr">
        <is>
          <t>TE-A-ME</t>
        </is>
      </c>
      <c r="D1801" s="7" t="n">
        <v>3784</v>
      </c>
      <c r="E1801" s="7" t="inlineStr">
        <is>
          <t>TE-A-ME NATURAL GREEN TEAS GREEN TEA 10 DC SF HS ENV TBGS</t>
        </is>
      </c>
      <c r="F1801" s="7" t="n">
        <v>18</v>
      </c>
      <c r="G1801" s="7" t="inlineStr">
        <is>
          <t>CTN</t>
        </is>
      </c>
      <c r="H1801" t="inlineStr">
        <is>
          <t>BLEND TEAME GREEN</t>
        </is>
      </c>
    </row>
    <row r="1802" ht="14.25" customHeight="1" s="5">
      <c r="A1802" s="7" t="n">
        <v>20324</v>
      </c>
      <c r="B1802" s="7" t="inlineStr">
        <is>
          <t>TE-A-ME EXCLUSIVE GREEN TEA HEALTH PACK 18/40 DC SF HS ENV TBGS</t>
        </is>
      </c>
      <c r="C1802" s="7" t="inlineStr">
        <is>
          <t>TE-A-ME</t>
        </is>
      </c>
      <c r="D1802" s="7" t="n">
        <v>3792</v>
      </c>
      <c r="E1802" s="7" t="inlineStr">
        <is>
          <t>TE-A-ME NATURAL GREEN TEAS HONEY LEMON GREEN TEA 10 DC SF HS ENV TBGS</t>
        </is>
      </c>
      <c r="F1802" s="7" t="n">
        <v>18</v>
      </c>
      <c r="G1802" s="7" t="inlineStr">
        <is>
          <t>CTN</t>
        </is>
      </c>
      <c r="H1802" t="inlineStr">
        <is>
          <t>BLEND TE-A-ME GREEN TEA HONEY LEMON</t>
        </is>
      </c>
    </row>
    <row r="1803" ht="14.25" customHeight="1" s="5">
      <c r="A1803" s="7" t="n">
        <v>20324</v>
      </c>
      <c r="B1803" s="7" t="inlineStr">
        <is>
          <t>TE-A-ME EXCLUSIVE GREEN TEA HEALTH PACK 18/40 DC SF HS ENV TBGS</t>
        </is>
      </c>
      <c r="C1803" s="7" t="inlineStr">
        <is>
          <t>TE-A-ME</t>
        </is>
      </c>
      <c r="D1803" s="7" t="n">
        <v>20325</v>
      </c>
      <c r="E1803" s="7" t="inlineStr">
        <is>
          <t>TE-A-ME NATURAL GREEN TEAS KASHMIRI KAHWA TEA 10 DC SF HS ENV TBGS(1.5g)</t>
        </is>
      </c>
      <c r="F1803" s="7" t="n">
        <v>18</v>
      </c>
      <c r="G1803" s="7" t="inlineStr">
        <is>
          <t>CTN</t>
        </is>
      </c>
      <c r="H1803" t="inlineStr">
        <is>
          <t>BLEND KASHMIRI KAHWA TB</t>
        </is>
      </c>
    </row>
    <row r="1804" ht="14.25" customHeight="1" s="5">
      <c r="A1804" s="7" t="n">
        <v>20323</v>
      </c>
      <c r="B1804" s="7" t="inlineStr">
        <is>
          <t>TE-A-ME EXCLUSIVE GREEN TEA HEALTH PACK 40 DC SF HS ENV TBGS</t>
        </is>
      </c>
      <c r="C1804" s="7" t="inlineStr">
        <is>
          <t>TE-A-ME</t>
        </is>
      </c>
      <c r="D1804" s="7" t="n">
        <v>3999</v>
      </c>
      <c r="E1804" s="7" t="inlineStr">
        <is>
          <t>TE-A-ME WELLNESS INFUSIONS TULSI GREEN TEA 10 DC SF HS ENV TBGS</t>
        </is>
      </c>
      <c r="F1804" s="7" t="n">
        <v>1</v>
      </c>
      <c r="G1804" s="7" t="inlineStr">
        <is>
          <t>CTN</t>
        </is>
      </c>
      <c r="H1804" t="inlineStr">
        <is>
          <t>BLEND TEAME GREEN TEA TULSI</t>
        </is>
      </c>
    </row>
    <row r="1805" ht="14.25" customHeight="1" s="5">
      <c r="A1805" s="7" t="n">
        <v>20323</v>
      </c>
      <c r="B1805" s="7" t="inlineStr">
        <is>
          <t>TE-A-ME EXCLUSIVE GREEN TEA HEALTH PACK 40 DC SF HS ENV TBGS</t>
        </is>
      </c>
      <c r="C1805" s="7" t="inlineStr">
        <is>
          <t>TE-A-ME</t>
        </is>
      </c>
      <c r="D1805" s="7" t="n">
        <v>3784</v>
      </c>
      <c r="E1805" s="7" t="inlineStr">
        <is>
          <t>TE-A-ME NATURAL GREEN TEAS GREEN TEA 10 DC SF HS ENV TBGS</t>
        </is>
      </c>
      <c r="F1805" s="7" t="n">
        <v>1</v>
      </c>
      <c r="G1805" s="7" t="inlineStr">
        <is>
          <t>CTN</t>
        </is>
      </c>
      <c r="H1805" t="inlineStr">
        <is>
          <t>BLEND TEAME GREEN</t>
        </is>
      </c>
    </row>
    <row r="1806" ht="14.25" customHeight="1" s="5">
      <c r="A1806" s="7" t="n">
        <v>20323</v>
      </c>
      <c r="B1806" s="7" t="inlineStr">
        <is>
          <t>TE-A-ME EXCLUSIVE GREEN TEA HEALTH PACK 40 DC SF HS ENV TBGS</t>
        </is>
      </c>
      <c r="C1806" s="7" t="inlineStr">
        <is>
          <t>TE-A-ME</t>
        </is>
      </c>
      <c r="D1806" s="7" t="n">
        <v>3792</v>
      </c>
      <c r="E1806" s="7" t="inlineStr">
        <is>
          <t>TE-A-ME NATURAL GREEN TEAS HONEY LEMON GREEN TEA 10 DC SF HS ENV TBGS</t>
        </is>
      </c>
      <c r="F1806" s="7" t="n">
        <v>1</v>
      </c>
      <c r="G1806" s="7" t="inlineStr">
        <is>
          <t>CTN</t>
        </is>
      </c>
      <c r="H1806" t="inlineStr">
        <is>
          <t>BLEND TE-A-ME GREEN TEA HONEY LEMON</t>
        </is>
      </c>
    </row>
    <row r="1807" ht="14.25" customHeight="1" s="5">
      <c r="A1807" s="7" t="n">
        <v>20323</v>
      </c>
      <c r="B1807" s="7" t="inlineStr">
        <is>
          <t>TE-A-ME EXCLUSIVE GREEN TEA HEALTH PACK 40 DC SF HS ENV TBGS</t>
        </is>
      </c>
      <c r="C1807" s="7" t="inlineStr">
        <is>
          <t>TE-A-ME</t>
        </is>
      </c>
      <c r="D1807" s="7" t="n">
        <v>20325</v>
      </c>
      <c r="E1807" s="7" t="inlineStr">
        <is>
          <t>TE-A-ME NATURAL GREEN TEAS KASHMIRI KAHWA TEA 10 DC SF HS ENV TBGS(1.5g)</t>
        </is>
      </c>
      <c r="F1807" s="7" t="n">
        <v>1</v>
      </c>
      <c r="G1807" s="7" t="inlineStr">
        <is>
          <t>CTN</t>
        </is>
      </c>
      <c r="H1807" t="inlineStr">
        <is>
          <t>BLEND KASHMIRI KAHWA TB</t>
        </is>
      </c>
    </row>
    <row r="1808" ht="14.25" customHeight="1" s="5">
      <c r="A1808" s="7" t="n">
        <v>33564</v>
      </c>
      <c r="B1808" s="7" t="inlineStr">
        <is>
          <t>TE-A-ME EXCLUSIVE GREEN TEA HONEY LEMON+KASHMIRI KAHWA+MORINGA 40 DC SF HS ENV TBGS</t>
        </is>
      </c>
      <c r="C1808" s="7" t="inlineStr">
        <is>
          <t>TE-A-ME</t>
        </is>
      </c>
      <c r="D1808" s="7" t="n">
        <v>20325</v>
      </c>
      <c r="E1808" s="7" t="inlineStr">
        <is>
          <t>TE-A-ME NATURAL GREEN TEAS KASHMIRI KAHWA TEA 10 DC SF HS ENV TBGS(1.5g)</t>
        </is>
      </c>
      <c r="F1808" s="7" t="n">
        <v>1</v>
      </c>
      <c r="G1808" s="7" t="inlineStr">
        <is>
          <t>CTN</t>
        </is>
      </c>
      <c r="H1808" t="inlineStr">
        <is>
          <t>BLEND KASHMIRI KAHWA TB</t>
        </is>
      </c>
    </row>
    <row r="1809" ht="14.25" customHeight="1" s="5">
      <c r="A1809" s="7" t="n">
        <v>33564</v>
      </c>
      <c r="B1809" s="7" t="inlineStr">
        <is>
          <t>TE-A-ME EXCLUSIVE GREEN TEA HONEY LEMON+KASHMIRI KAHWA+MORINGA 40 DC SF HS ENV TBGS</t>
        </is>
      </c>
      <c r="C1809" s="7" t="inlineStr">
        <is>
          <t>TE-A-ME</t>
        </is>
      </c>
      <c r="D1809" s="7" t="n">
        <v>22819</v>
      </c>
      <c r="E1809" s="7" t="inlineStr">
        <is>
          <t>TE-A-ME MORINGA GREEN TEA 10 DC SF HS ENV TEA BAGS</t>
        </is>
      </c>
      <c r="F1809" s="7" t="n">
        <v>2</v>
      </c>
      <c r="G1809" s="7" t="inlineStr">
        <is>
          <t>CTN</t>
        </is>
      </c>
      <c r="H1809" t="inlineStr">
        <is>
          <t>BLEND GREEN TEA MORINGA TBC</t>
        </is>
      </c>
    </row>
    <row r="1810" ht="14.25" customHeight="1" s="5">
      <c r="A1810" s="7" t="n">
        <v>33564</v>
      </c>
      <c r="B1810" s="7" t="inlineStr">
        <is>
          <t>TE-A-ME EXCLUSIVE GREEN TEA HONEY LEMON+KASHMIRI KAHWA+MORINGA 40 DC SF HS ENV TBGS</t>
        </is>
      </c>
      <c r="C1810" s="7" t="inlineStr">
        <is>
          <t>TE-A-ME</t>
        </is>
      </c>
      <c r="D1810" s="7" t="n">
        <v>3792</v>
      </c>
      <c r="E1810" s="7" t="inlineStr">
        <is>
          <t>TE-A-ME NATURAL GREEN TEAS HONEY LEMON GREEN TEA 10 DC SF HS ENV TBGS</t>
        </is>
      </c>
      <c r="F1810" s="7" t="n">
        <v>1</v>
      </c>
      <c r="G1810" s="7" t="inlineStr">
        <is>
          <t>CTN</t>
        </is>
      </c>
      <c r="H1810" t="inlineStr">
        <is>
          <t>BLEND TE-A-ME GREEN TEA HONEY LEMON</t>
        </is>
      </c>
    </row>
    <row r="1811" ht="14.25" customHeight="1" s="5">
      <c r="A1811" s="7" t="n">
        <v>3490</v>
      </c>
      <c r="B1811" s="7" t="inlineStr">
        <is>
          <t>TE-A-ME EXOTIC BREWS 12 PYRAMID SIX IN ONE TEABAGS</t>
        </is>
      </c>
      <c r="C1811" s="7" t="inlineStr">
        <is>
          <t>TE-A-ME</t>
        </is>
      </c>
      <c r="D1811" s="7" t="n">
        <v>3491</v>
      </c>
      <c r="E1811" s="7" t="inlineStr">
        <is>
          <t>TE-A-ME LOOSE TBGS EXOTIC BREWS ROOIBOS ORANGE &amp; CINNAMON PYRAMID ENV TEABAGS</t>
        </is>
      </c>
      <c r="F1811" s="7" t="n">
        <v>2</v>
      </c>
      <c r="G1811" s="7" t="inlineStr">
        <is>
          <t>TBGS</t>
        </is>
      </c>
      <c r="H1811" t="inlineStr">
        <is>
          <t>BLEND ROOIBOS ORANGE &amp; CINNAMON CC EXOTIC</t>
        </is>
      </c>
    </row>
    <row r="1812" ht="14.25" customHeight="1" s="5">
      <c r="A1812" s="7" t="n">
        <v>3490</v>
      </c>
      <c r="B1812" s="7" t="inlineStr">
        <is>
          <t>TE-A-ME EXOTIC BREWS 12 PYRAMID SIX IN ONE TEABAGS</t>
        </is>
      </c>
      <c r="C1812" s="7" t="inlineStr">
        <is>
          <t>TE-A-ME</t>
        </is>
      </c>
      <c r="D1812" s="7" t="n">
        <v>3492</v>
      </c>
      <c r="E1812" s="7" t="inlineStr">
        <is>
          <t>TE-A-ME LOOSE TBGS EXOTIC BREWS GREEN TEA KASHMIRI KAHWA PYRAMID ENV TEABAGS</t>
        </is>
      </c>
      <c r="F1812" s="7" t="n">
        <v>2</v>
      </c>
      <c r="G1812" s="7" t="inlineStr">
        <is>
          <t>TBGS</t>
        </is>
      </c>
      <c r="H1812" t="inlineStr">
        <is>
          <t>BLEND GREEN TEA KASHMIRI KAHWA CC EXOTIC</t>
        </is>
      </c>
    </row>
    <row r="1813" ht="14.25" customHeight="1" s="5">
      <c r="A1813" s="7" t="n">
        <v>3490</v>
      </c>
      <c r="B1813" s="7" t="inlineStr">
        <is>
          <t>TE-A-ME EXOTIC BREWS 12 PYRAMID SIX IN ONE TEABAGS</t>
        </is>
      </c>
      <c r="C1813" s="7" t="inlineStr">
        <is>
          <t>TE-A-ME</t>
        </is>
      </c>
      <c r="D1813" s="7" t="n">
        <v>3493</v>
      </c>
      <c r="E1813" s="7" t="inlineStr">
        <is>
          <t>TE-A-ME LOOSE TBGS EXOTIC BREWS GREEN LAVENDER ROSE MINT TEA PYRAMID ENV TEABAGS</t>
        </is>
      </c>
      <c r="F1813" s="7" t="n">
        <v>2</v>
      </c>
      <c r="G1813" s="7" t="inlineStr">
        <is>
          <t>TBGS</t>
        </is>
      </c>
      <c r="H1813" t="inlineStr">
        <is>
          <t>BLEND GREEN TEA LAVENDER ROSE MINT CC EXOTIC</t>
        </is>
      </c>
    </row>
    <row r="1814" ht="14.25" customHeight="1" s="5">
      <c r="A1814" s="7" t="n">
        <v>3490</v>
      </c>
      <c r="B1814" s="7" t="inlineStr">
        <is>
          <t>TE-A-ME EXOTIC BREWS 12 PYRAMID SIX IN ONE TEABAGS</t>
        </is>
      </c>
      <c r="C1814" s="7" t="inlineStr">
        <is>
          <t>TE-A-ME</t>
        </is>
      </c>
      <c r="D1814" s="7" t="n">
        <v>3494</v>
      </c>
      <c r="E1814" s="7" t="inlineStr">
        <is>
          <t>TE-A-ME LOOSE TBGS EXOTIC BREWS CHAMOMILE TEA PYRAMID ENV TEABAGS</t>
        </is>
      </c>
      <c r="F1814" s="7" t="n">
        <v>2</v>
      </c>
      <c r="G1814" s="7" t="inlineStr">
        <is>
          <t>TBGS</t>
        </is>
      </c>
      <c r="H1814" t="inlineStr">
        <is>
          <t>BLEND CHAMOMILE CC EXOTIC</t>
        </is>
      </c>
    </row>
    <row r="1815" ht="14.25" customHeight="1" s="5">
      <c r="A1815" s="7" t="n">
        <v>3490</v>
      </c>
      <c r="B1815" s="7" t="inlineStr">
        <is>
          <t>TE-A-ME EXOTIC BREWS 12 PYRAMID SIX IN ONE TEABAGS</t>
        </is>
      </c>
      <c r="C1815" s="7" t="inlineStr">
        <is>
          <t>TE-A-ME</t>
        </is>
      </c>
      <c r="D1815" s="7" t="n">
        <v>3495</v>
      </c>
      <c r="E1815" s="7" t="inlineStr">
        <is>
          <t>TE-A-ME LOOSE TBGS EXOTIC BREWS EARL GREY TEA PYRAMID ENV TEABAGS</t>
        </is>
      </c>
      <c r="F1815" s="7" t="n">
        <v>2</v>
      </c>
      <c r="G1815" s="7" t="inlineStr">
        <is>
          <t>TBGS</t>
        </is>
      </c>
      <c r="H1815" t="inlineStr">
        <is>
          <t>BLEND BLACK TEA EARL GREY CC EXOTIC</t>
        </is>
      </c>
    </row>
    <row r="1816" ht="14.25" customHeight="1" s="5">
      <c r="A1816" s="7" t="n">
        <v>3490</v>
      </c>
      <c r="B1816" s="7" t="inlineStr">
        <is>
          <t>TE-A-ME EXOTIC BREWS 12 PYRAMID SIX IN ONE TEABAGS</t>
        </is>
      </c>
      <c r="C1816" s="7" t="inlineStr">
        <is>
          <t>TE-A-ME</t>
        </is>
      </c>
      <c r="D1816" s="7" t="n">
        <v>3496</v>
      </c>
      <c r="E1816" s="7" t="inlineStr">
        <is>
          <t>TE-A-ME LOOSE TBGS EXOTIC BREWS GREEN TEA PYRAMID ENV TEABAGS</t>
        </is>
      </c>
      <c r="F1816" s="7" t="n">
        <v>2</v>
      </c>
      <c r="G1816" s="7" t="inlineStr">
        <is>
          <t>TBGS</t>
        </is>
      </c>
      <c r="H1816" t="inlineStr">
        <is>
          <t>BLEND GREEN TEA-SP</t>
        </is>
      </c>
    </row>
    <row r="1817" ht="14.25" customHeight="1" s="5">
      <c r="A1817" s="7" t="n">
        <v>18661</v>
      </c>
      <c r="B1817" s="7" t="inlineStr">
        <is>
          <t>TE-A-ME EXOTIC BREWS 20/12 PYRAMID SIX IN ONE TEABAGS</t>
        </is>
      </c>
      <c r="C1817" s="7" t="inlineStr">
        <is>
          <t>TE-A-ME</t>
        </is>
      </c>
      <c r="D1817" s="7" t="n">
        <v>3490</v>
      </c>
      <c r="E1817" s="7" t="inlineStr">
        <is>
          <t>TE-A-ME EXOTIC BREWS 12 PYRAMID SIX IN ONE TEABAGS</t>
        </is>
      </c>
      <c r="F1817" s="7" t="n">
        <v>20</v>
      </c>
      <c r="G1817" s="7" t="inlineStr">
        <is>
          <t>CTN</t>
        </is>
      </c>
      <c r="H1817">
        <f>#N/A</f>
        <v/>
      </c>
    </row>
    <row r="1818" ht="14.25" customHeight="1" s="5">
      <c r="A1818" s="7" t="n">
        <v>3498</v>
      </c>
      <c r="B1818" s="7" t="inlineStr">
        <is>
          <t>TE-A-ME EXOTIC BREWS ASSAM TEA 20/15 PYRAMID ENV TEABAGS</t>
        </is>
      </c>
      <c r="C1818" s="7" t="inlineStr">
        <is>
          <t>TE-A-ME</t>
        </is>
      </c>
      <c r="D1818" s="7" t="n">
        <v>3499</v>
      </c>
      <c r="E1818" s="7" t="inlineStr">
        <is>
          <t>TE-A-ME EXOTIC BREWS ASSAM TEA 15 PYRAMID ENV TEABAGS</t>
        </is>
      </c>
      <c r="F1818" s="7" t="n">
        <v>20</v>
      </c>
      <c r="G1818" s="7" t="inlineStr">
        <is>
          <t>CTN</t>
        </is>
      </c>
      <c r="H1818" t="inlineStr">
        <is>
          <t>BLEND AXOP-S-RFA</t>
        </is>
      </c>
    </row>
    <row r="1819" ht="14.25" customHeight="1" s="5">
      <c r="A1819" s="7" t="n">
        <v>3508</v>
      </c>
      <c r="B1819" s="7" t="inlineStr">
        <is>
          <t>TE-A-ME EXOTIC BREWS CHAMOMILE TEA 20/15 PYRAMID ENV TEABAGS</t>
        </is>
      </c>
      <c r="C1819" s="7" t="inlineStr">
        <is>
          <t>TE-A-ME</t>
        </is>
      </c>
      <c r="D1819" s="7" t="n">
        <v>3509</v>
      </c>
      <c r="E1819" s="7" t="inlineStr">
        <is>
          <t>TE-A-ME EXOTIC BREWS CHAMOMILE TEA 15 PYRAMID ENV TEABAGS</t>
        </is>
      </c>
      <c r="F1819" s="7" t="n">
        <v>20</v>
      </c>
      <c r="G1819" s="7" t="inlineStr">
        <is>
          <t>CTN</t>
        </is>
      </c>
      <c r="H1819" t="inlineStr">
        <is>
          <t>BLEND CHAMOMILE CC EXOTIC</t>
        </is>
      </c>
    </row>
    <row r="1820" ht="14.25" customHeight="1" s="5">
      <c r="A1820" s="7" t="n">
        <v>3512</v>
      </c>
      <c r="B1820" s="7" t="inlineStr">
        <is>
          <t>TE-A-ME EXOTIC BREWS DARJEELING TEA 20/15 PYRAMID ENV TEABAGS</t>
        </is>
      </c>
      <c r="C1820" s="7" t="inlineStr">
        <is>
          <t>TE-A-ME</t>
        </is>
      </c>
      <c r="D1820" s="7" t="n">
        <v>3513</v>
      </c>
      <c r="E1820" s="7" t="inlineStr">
        <is>
          <t>TE-A-ME EXOTIC BREWS DARJEELING TEA 15 PYRAMID ENV TEABAGS</t>
        </is>
      </c>
      <c r="F1820" s="7" t="n">
        <v>20</v>
      </c>
      <c r="G1820" s="7" t="inlineStr">
        <is>
          <t>CTN</t>
        </is>
      </c>
      <c r="H1820" t="inlineStr">
        <is>
          <t>BLEND DARJEELING- SP</t>
        </is>
      </c>
    </row>
    <row r="1821" ht="14.25" customHeight="1" s="5">
      <c r="A1821" s="7" t="n">
        <v>3516</v>
      </c>
      <c r="B1821" s="7" t="inlineStr">
        <is>
          <t>TE-A-ME EXOTIC BREWS EARL GREY TEA 20/15 PYRAMID ENV TEABAGS</t>
        </is>
      </c>
      <c r="C1821" s="7" t="inlineStr">
        <is>
          <t>TE-A-ME</t>
        </is>
      </c>
      <c r="D1821" s="7" t="n">
        <v>3517</v>
      </c>
      <c r="E1821" s="7" t="inlineStr">
        <is>
          <t>TE-A-ME EXOTIC BREWS EARL GREY TEA 15 PYRAMID ENV TEABAGS</t>
        </is>
      </c>
      <c r="F1821" s="7" t="n">
        <v>20</v>
      </c>
      <c r="G1821" s="7" t="inlineStr">
        <is>
          <t>CTN</t>
        </is>
      </c>
      <c r="H1821" t="inlineStr">
        <is>
          <t>BLEND BLACK TEA EARL GREY CC EXOTIC</t>
        </is>
      </c>
    </row>
    <row r="1822" ht="14.25" customHeight="1" s="5">
      <c r="A1822" s="7" t="n">
        <v>3519</v>
      </c>
      <c r="B1822" s="7" t="inlineStr">
        <is>
          <t>TE-A-ME EXOTIC BREWS ENGLISH BREAK FAST TEA 20/15 PYRAMID ENV TEABAGS</t>
        </is>
      </c>
      <c r="C1822" s="7" t="inlineStr">
        <is>
          <t>TE-A-ME</t>
        </is>
      </c>
      <c r="D1822" s="7" t="n">
        <v>3520</v>
      </c>
      <c r="E1822" s="7" t="inlineStr">
        <is>
          <t>TE-A-ME EXOTIC BREWS ENGLISH BREAK FAST TEA 15 PYRAMID ENV TEABAGS</t>
        </is>
      </c>
      <c r="F1822" s="7" t="n">
        <v>20</v>
      </c>
      <c r="G1822" s="7" t="inlineStr">
        <is>
          <t>CTN</t>
        </is>
      </c>
      <c r="H1822" t="inlineStr">
        <is>
          <t>BLEND AXOP-S-RFA</t>
        </is>
      </c>
    </row>
    <row r="1823" ht="14.25" customHeight="1" s="5">
      <c r="A1823" s="7" t="n">
        <v>3523</v>
      </c>
      <c r="B1823" s="7" t="inlineStr">
        <is>
          <t>TE-A-ME EXOTIC BREWS GREEN LAVENDER ROSE MINT TEA 20/15 PYRAMID ENV TEABAGS</t>
        </is>
      </c>
      <c r="C1823" s="7" t="inlineStr">
        <is>
          <t>TE-A-ME</t>
        </is>
      </c>
      <c r="D1823" s="7" t="n">
        <v>3524</v>
      </c>
      <c r="E1823" s="7" t="inlineStr">
        <is>
          <t>TE-A-ME EXOTIC BREWS GREEN LAVENDER ROSE MINT TEA 15 PYRAMID ENV TEABAGS</t>
        </is>
      </c>
      <c r="F1823" s="7" t="n">
        <v>20</v>
      </c>
      <c r="G1823" s="7" t="inlineStr">
        <is>
          <t>CTN</t>
        </is>
      </c>
      <c r="H1823" t="inlineStr">
        <is>
          <t>BLEND GREEN TEA LAVENDER ROSE MINT CC EXOTIC</t>
        </is>
      </c>
    </row>
    <row r="1824" ht="14.25" customHeight="1" s="5">
      <c r="A1824" s="7" t="n">
        <v>3527</v>
      </c>
      <c r="B1824" s="7" t="inlineStr">
        <is>
          <t>TE-A-ME EXOTIC BREWS GREEN TEA 20/15 PYRAMID ENV TEABAGS</t>
        </is>
      </c>
      <c r="C1824" s="7" t="inlineStr">
        <is>
          <t>TE-A-ME</t>
        </is>
      </c>
      <c r="D1824" s="7" t="n">
        <v>3528</v>
      </c>
      <c r="E1824" s="7" t="inlineStr">
        <is>
          <t>TE-A-ME EXOTIC BREWS GREEN TEA 15 PYRAMID ENV TEABAGS</t>
        </is>
      </c>
      <c r="F1824" s="7" t="n">
        <v>20</v>
      </c>
      <c r="G1824" s="7" t="inlineStr">
        <is>
          <t>CTN</t>
        </is>
      </c>
      <c r="H1824" t="inlineStr">
        <is>
          <t>BLEND STD-MJM2</t>
        </is>
      </c>
    </row>
    <row r="1825" ht="14.25" customHeight="1" s="5">
      <c r="A1825" s="7" t="n">
        <v>3531</v>
      </c>
      <c r="B1825" s="7" t="inlineStr">
        <is>
          <t>TE-A-ME EXOTIC BREWS GREEN TEA KASHMIRI KAHWA 20/15 PYRAMID ENV TEABAGS</t>
        </is>
      </c>
      <c r="C1825" s="7" t="inlineStr">
        <is>
          <t>TE-A-ME</t>
        </is>
      </c>
      <c r="D1825" s="7" t="n">
        <v>3532</v>
      </c>
      <c r="E1825" s="7" t="inlineStr">
        <is>
          <t>TE-A-ME EXOTIC BREWS GREEN TEA KASHMIRI KAHWA 15 PYRAMID ENV TEABAGS</t>
        </is>
      </c>
      <c r="F1825" s="7" t="n">
        <v>20</v>
      </c>
      <c r="G1825" s="7" t="inlineStr">
        <is>
          <t>CTN</t>
        </is>
      </c>
      <c r="H1825" t="inlineStr">
        <is>
          <t>BLEND GREEN TEA KASHMIRI KAHWA CC EXOTIC</t>
        </is>
      </c>
    </row>
    <row r="1826" ht="14.25" customHeight="1" s="5">
      <c r="A1826" s="7" t="n">
        <v>3534</v>
      </c>
      <c r="B1826" s="7" t="inlineStr">
        <is>
          <t>TE-A-ME EXOTIC BREWS JASMINE GREEN TEA 20/15 PYRAMID ENV TEABAGS</t>
        </is>
      </c>
      <c r="C1826" s="7" t="inlineStr">
        <is>
          <t>TE-A-ME</t>
        </is>
      </c>
      <c r="D1826" s="7" t="n">
        <v>3535</v>
      </c>
      <c r="E1826" s="7" t="inlineStr">
        <is>
          <t>TE-A-ME EXOTIC BREWS JASMINE GREEN TEA 15 PYRAMID ENV TEABAGS</t>
        </is>
      </c>
      <c r="F1826" s="7" t="n">
        <v>20</v>
      </c>
      <c r="G1826" s="7" t="inlineStr">
        <is>
          <t>CTN</t>
        </is>
      </c>
      <c r="H1826" t="inlineStr">
        <is>
          <t>BLEND JASMINE GREEN TEA CC EXOTIC</t>
        </is>
      </c>
    </row>
    <row r="1827" ht="14.25" customHeight="1" s="5">
      <c r="A1827" s="7" t="n">
        <v>3537</v>
      </c>
      <c r="B1827" s="7" t="inlineStr">
        <is>
          <t>TE-A-ME EXOTIC BREWS MASALA TEA 20/15 PYRAMID ENV TEABAGS</t>
        </is>
      </c>
      <c r="C1827" s="7" t="inlineStr">
        <is>
          <t>TE-A-ME</t>
        </is>
      </c>
      <c r="D1827" s="7" t="n">
        <v>3538</v>
      </c>
      <c r="E1827" s="7" t="inlineStr">
        <is>
          <t>TE-A-ME EXOTIC BREWS MASALA TEA 15 PYRAMID ENV TEABAGS</t>
        </is>
      </c>
      <c r="F1827" s="7" t="n">
        <v>20</v>
      </c>
      <c r="G1827" s="7" t="inlineStr">
        <is>
          <t>CTN</t>
        </is>
      </c>
      <c r="H1827" t="inlineStr">
        <is>
          <t>BLEND BLACK TEA MASALA CC EXOTIC</t>
        </is>
      </c>
    </row>
    <row r="1828" ht="14.25" customHeight="1" s="5">
      <c r="A1828" s="7" t="n">
        <v>3540</v>
      </c>
      <c r="B1828" s="7" t="inlineStr">
        <is>
          <t>TE-A-ME EXOTIC BREWS PEPPERMINT TEA 20/15 PYRAMID ENV TEABAGS</t>
        </is>
      </c>
      <c r="C1828" s="7" t="inlineStr">
        <is>
          <t>TE-A-ME</t>
        </is>
      </c>
      <c r="D1828" s="7" t="n">
        <v>3541</v>
      </c>
      <c r="E1828" s="7" t="inlineStr">
        <is>
          <t>TE-A-ME EXOTIC BREWS PEPPERMINT TEA 15 PYRAMID ENV TEABAGS</t>
        </is>
      </c>
      <c r="F1828" s="7" t="n">
        <v>20</v>
      </c>
      <c r="G1828" s="7" t="inlineStr">
        <is>
          <t>CTN</t>
        </is>
      </c>
      <c r="H1828" t="inlineStr">
        <is>
          <t>BLEND PEPPERMINT CC EXOTIC</t>
        </is>
      </c>
    </row>
    <row r="1829" ht="14.25" customHeight="1" s="5">
      <c r="A1829" s="7" t="n">
        <v>3544</v>
      </c>
      <c r="B1829" s="7" t="inlineStr">
        <is>
          <t>TE-A-ME EXOTIC BREWS ROOIBOS ORANGE &amp; CINNAMON 20/15 PYRAMID ENV TEABAGS</t>
        </is>
      </c>
      <c r="C1829" s="7" t="inlineStr">
        <is>
          <t>TE-A-ME</t>
        </is>
      </c>
      <c r="D1829" s="7" t="n">
        <v>3545</v>
      </c>
      <c r="E1829" s="7" t="inlineStr">
        <is>
          <t>TE-A-ME EXOTIC BREWS ROOIBOS ORANGE &amp; CINNAMON 15 PYRAMID ENV TEABAGS</t>
        </is>
      </c>
      <c r="F1829" s="7" t="n">
        <v>20</v>
      </c>
      <c r="G1829" s="7" t="inlineStr">
        <is>
          <t>CTN</t>
        </is>
      </c>
      <c r="H1829" t="inlineStr">
        <is>
          <t>BLEND ROOIBOS ORANGE &amp; CINNAMON CC EXOTIC</t>
        </is>
      </c>
    </row>
    <row r="1830" ht="14.25" customHeight="1" s="5">
      <c r="A1830" s="7" t="n">
        <v>3547</v>
      </c>
      <c r="B1830" s="7" t="inlineStr">
        <is>
          <t>TE-A-ME EXOTIC BREWS SENCHA GREEN TEA 20/15 PYRAMID ENV TEABAGS</t>
        </is>
      </c>
      <c r="C1830" s="7" t="inlineStr">
        <is>
          <t>TE-A-ME</t>
        </is>
      </c>
      <c r="D1830" s="7" t="n">
        <v>3548</v>
      </c>
      <c r="E1830" s="7" t="inlineStr">
        <is>
          <t>TE-A-ME EXOTIC BREWS SENCHA GREEN TEA 15 PYRAMID ENV TEABAGS</t>
        </is>
      </c>
      <c r="F1830" s="7" t="n">
        <v>20</v>
      </c>
      <c r="G1830" s="7" t="inlineStr">
        <is>
          <t>CTN</t>
        </is>
      </c>
      <c r="H1830" t="inlineStr">
        <is>
          <t>BLEND SENCHA GREEN TEA CC EXOTIC</t>
        </is>
      </c>
    </row>
    <row r="1831" ht="14.25" customHeight="1" s="5">
      <c r="A1831" s="7" t="n">
        <v>32960</v>
      </c>
      <c r="B1831" s="7" t="inlineStr">
        <is>
          <t>TE-A-ME EXOTIC BREWS SPEARMINT 24/40 GMS PKT TEA</t>
        </is>
      </c>
      <c r="C1831" s="7" t="inlineStr">
        <is>
          <t>TE-A-ME</t>
        </is>
      </c>
      <c r="D1831" s="7" t="n">
        <v>32858</v>
      </c>
      <c r="E1831" s="7" t="inlineStr">
        <is>
          <t>TEAME EXOTIC BREWS SPEARMINT 40 GMS PKT TEA</t>
        </is>
      </c>
      <c r="F1831" s="7" t="n">
        <v>24</v>
      </c>
      <c r="G1831" s="7" t="inlineStr">
        <is>
          <t>CTN</t>
        </is>
      </c>
      <c r="H1831" t="inlineStr">
        <is>
          <t>BLEND HERBAL SPEARMINT PKT</t>
        </is>
      </c>
    </row>
    <row r="1832" ht="14.25" customHeight="1" s="5">
      <c r="A1832" s="7" t="n">
        <v>34943</v>
      </c>
      <c r="B1832" s="7" t="inlineStr">
        <is>
          <t>TE-A-ME EXOTIC BREWS SPEARMINT 24/50 GMS PKT TEA</t>
        </is>
      </c>
      <c r="C1832" s="7" t="inlineStr">
        <is>
          <t>TE-A-ME</t>
        </is>
      </c>
      <c r="D1832" s="7" t="n">
        <v>34802</v>
      </c>
      <c r="E1832" s="7" t="inlineStr">
        <is>
          <t>TEAME EXOTIC BREWS SPEARMINT 50 GMS PKT TEA</t>
        </is>
      </c>
      <c r="F1832" s="7" t="n">
        <v>24</v>
      </c>
      <c r="G1832" s="7" t="inlineStr">
        <is>
          <t>CTN</t>
        </is>
      </c>
      <c r="H1832" t="inlineStr">
        <is>
          <t>BLEND HERBAL SPEARMINT PKT</t>
        </is>
      </c>
    </row>
    <row r="1833" ht="14.25" customHeight="1" s="5">
      <c r="A1833" s="7" t="n">
        <v>28382</v>
      </c>
      <c r="B1833" s="7" t="inlineStr">
        <is>
          <t>TE-A-ME FERN ASSAM TEA 18/100 DC SF HS ENV TBGS</t>
        </is>
      </c>
      <c r="C1833" s="7" t="inlineStr">
        <is>
          <t>TE-A-ME</t>
        </is>
      </c>
      <c r="D1833" s="7" t="n">
        <v>28381</v>
      </c>
      <c r="E1833" s="7" t="inlineStr">
        <is>
          <t>TE-A-ME FERN ASSAM TEA 100 DC SF HS ENV TBGS</t>
        </is>
      </c>
      <c r="F1833" s="7" t="n">
        <v>18</v>
      </c>
      <c r="G1833" s="7" t="inlineStr">
        <is>
          <t>PKT</t>
        </is>
      </c>
      <c r="H1833" t="inlineStr">
        <is>
          <t>BLEND TEAME 909</t>
        </is>
      </c>
    </row>
    <row r="1834" ht="14.25" customHeight="1" s="5">
      <c r="A1834" s="7" t="n">
        <v>28394</v>
      </c>
      <c r="B1834" s="7" t="inlineStr">
        <is>
          <t>TE-A-ME FERN ENGLISH BREAK FAST TEA 18/100 DC SF HS ENV TBGS</t>
        </is>
      </c>
      <c r="C1834" s="7" t="inlineStr">
        <is>
          <t>TE-A-ME</t>
        </is>
      </c>
      <c r="D1834" s="7" t="n">
        <v>28393</v>
      </c>
      <c r="E1834" s="7" t="inlineStr">
        <is>
          <t>TE-A-ME FERN ENGLISH BREAK FAST TEA 100 DC SF HS ENV TBGS</t>
        </is>
      </c>
      <c r="F1834" s="7" t="n">
        <v>18</v>
      </c>
      <c r="G1834" s="7" t="inlineStr">
        <is>
          <t>PKT</t>
        </is>
      </c>
      <c r="H1834" t="inlineStr">
        <is>
          <t>BLEND TEAME 909</t>
        </is>
      </c>
    </row>
    <row r="1835" ht="14.25" customHeight="1" s="5">
      <c r="A1835" s="7" t="n">
        <v>28396</v>
      </c>
      <c r="B1835" s="7" t="inlineStr">
        <is>
          <t>TE-A-ME FERN GREEN 18/100 DC SF HS ENV TBGS</t>
        </is>
      </c>
      <c r="C1835" s="7" t="inlineStr">
        <is>
          <t>TE-A-ME</t>
        </is>
      </c>
      <c r="D1835" s="7" t="n">
        <v>28395</v>
      </c>
      <c r="E1835" s="7" t="inlineStr">
        <is>
          <t>TE-A-ME FERN GREEN 100 DC SF HS ENV TBGS</t>
        </is>
      </c>
      <c r="F1835" s="7" t="n">
        <v>18</v>
      </c>
      <c r="G1835" s="7" t="inlineStr">
        <is>
          <t>PKT</t>
        </is>
      </c>
      <c r="H1835" t="inlineStr">
        <is>
          <t>BLEND TEAME GREEN</t>
        </is>
      </c>
    </row>
    <row r="1836" ht="14.25" customHeight="1" s="5">
      <c r="A1836" s="7" t="n">
        <v>27894</v>
      </c>
      <c r="B1836" s="7" t="inlineStr">
        <is>
          <t>TE-A-ME FOPYMIN ACT ASSORTED GIFT BOX 48 DC HS ENV TBGS</t>
        </is>
      </c>
      <c r="C1836" s="7" t="inlineStr">
        <is>
          <t>TE-A-ME</t>
        </is>
      </c>
      <c r="D1836" s="7" t="n">
        <v>3377</v>
      </c>
      <c r="E1836" s="8" t="inlineStr">
        <is>
          <t xml:space="preserve">TE-A-ME LOOSE ENV NATURAL GREEN TEAS MINT LEMON GINGER TEA DC SF HS ENV TBGS
</t>
        </is>
      </c>
      <c r="F1836" s="7" t="n">
        <v>8</v>
      </c>
      <c r="G1836" s="7" t="inlineStr">
        <is>
          <t>ENV</t>
        </is>
      </c>
      <c r="H1836" t="inlineStr">
        <is>
          <t>BLEND GREEN TEA GINGER MINT LEMON TB</t>
        </is>
      </c>
    </row>
    <row r="1837" ht="14.25" customHeight="1" s="5">
      <c r="A1837" s="7" t="n">
        <v>27894</v>
      </c>
      <c r="B1837" s="7" t="inlineStr">
        <is>
          <t>TE-A-ME FOPYMIN ACT ASSORTED GIFT BOX 48 DC HS ENV TBGS</t>
        </is>
      </c>
      <c r="C1837" s="7" t="inlineStr">
        <is>
          <t>TE-A-ME</t>
        </is>
      </c>
      <c r="D1837" s="7" t="n">
        <v>2773</v>
      </c>
      <c r="E1837" s="8" t="inlineStr">
        <is>
          <t xml:space="preserve">TE-A-ME LOOSE ENV WELLNESS INFUSIONS TULSI GREEN TEA DC SF HS ENV TBGS
</t>
        </is>
      </c>
      <c r="F1837" s="7" t="n">
        <v>8</v>
      </c>
      <c r="G1837" s="7" t="inlineStr">
        <is>
          <t>ENV</t>
        </is>
      </c>
      <c r="H1837" t="inlineStr">
        <is>
          <t>BLEND TEAME GREEN TEA TULSI</t>
        </is>
      </c>
    </row>
    <row r="1838" ht="14.25" customHeight="1" s="5">
      <c r="A1838" s="7" t="n">
        <v>27894</v>
      </c>
      <c r="B1838" s="7" t="inlineStr">
        <is>
          <t>TE-A-ME FOPYMIN ACT ASSORTED GIFT BOX 48 DC HS ENV TBGS</t>
        </is>
      </c>
      <c r="C1838" s="7" t="inlineStr">
        <is>
          <t>TE-A-ME</t>
        </is>
      </c>
      <c r="D1838" s="7" t="n">
        <v>2777</v>
      </c>
      <c r="E1838" s="8" t="inlineStr">
        <is>
          <t xml:space="preserve">TE-A-ME LOOSE ENV NATURAL GREEN TEAS GREEN TEA DC SF HS ENV TBGS
</t>
        </is>
      </c>
      <c r="F1838" s="7" t="n">
        <v>8</v>
      </c>
      <c r="G1838" s="7" t="inlineStr">
        <is>
          <t>ENV</t>
        </is>
      </c>
      <c r="H1838" t="inlineStr">
        <is>
          <t>BLEND TEAME GREEN</t>
        </is>
      </c>
    </row>
    <row r="1839" ht="14.25" customHeight="1" s="5">
      <c r="A1839" s="7" t="n">
        <v>27894</v>
      </c>
      <c r="B1839" s="7" t="inlineStr">
        <is>
          <t>TE-A-ME FOPYMIN ACT ASSORTED GIFT BOX 48 DC HS ENV TBGS</t>
        </is>
      </c>
      <c r="C1839" s="7" t="inlineStr">
        <is>
          <t>TE-A-ME</t>
        </is>
      </c>
      <c r="D1839" s="7" t="n">
        <v>5638</v>
      </c>
      <c r="E1839" s="7" t="inlineStr">
        <is>
          <t>TE-A-ME LOOSE ENV SIGNATURE BLACK TEAS DARJEELING TEA DC SF HS ENV TBGS</t>
        </is>
      </c>
      <c r="F1839" s="7" t="n">
        <v>8</v>
      </c>
      <c r="G1839" s="7" t="inlineStr">
        <is>
          <t>TBGS</t>
        </is>
      </c>
      <c r="H1839" t="inlineStr">
        <is>
          <t>BLEND DJ (LOCAL)</t>
        </is>
      </c>
    </row>
    <row r="1840" ht="14.25" customHeight="1" s="5">
      <c r="A1840" s="7" t="n">
        <v>27894</v>
      </c>
      <c r="B1840" s="7" t="inlineStr">
        <is>
          <t>TE-A-ME FOPYMIN ACT ASSORTED GIFT BOX 48 DC HS ENV TBGS</t>
        </is>
      </c>
      <c r="C1840" s="7" t="inlineStr">
        <is>
          <t>TE-A-ME</t>
        </is>
      </c>
      <c r="D1840" s="7" t="n">
        <v>5642</v>
      </c>
      <c r="E1840" s="7" t="inlineStr">
        <is>
          <t>TE-A-ME LOOSE ENV NATURAL GREEN TEAS JASMINE LEMONGRASS TEA DC SF HS ENV TBGS</t>
        </is>
      </c>
      <c r="F1840" s="7" t="n">
        <v>8</v>
      </c>
      <c r="G1840" s="7" t="inlineStr">
        <is>
          <t>ENV</t>
        </is>
      </c>
      <c r="H1840" t="inlineStr">
        <is>
          <t>BLEND GREEN TEA JASMINE LEMON GRASS TB</t>
        </is>
      </c>
    </row>
    <row r="1841" ht="14.25" customHeight="1" s="5">
      <c r="A1841" s="7" t="n">
        <v>27894</v>
      </c>
      <c r="B1841" s="7" t="inlineStr">
        <is>
          <t>TE-A-ME FOPYMIN ACT ASSORTED GIFT BOX 48 DC HS ENV TBGS</t>
        </is>
      </c>
      <c r="C1841" s="7" t="inlineStr">
        <is>
          <t>TE-A-ME</t>
        </is>
      </c>
      <c r="D1841" s="7" t="n">
        <v>2771</v>
      </c>
      <c r="E1841" s="8" t="inlineStr">
        <is>
          <t xml:space="preserve">TE-A-ME LOOSE ENV NATURAL GREEN TEAS KASHMIRI KAHWA TEA DC SF HS ENV TBGS
</t>
        </is>
      </c>
      <c r="F1841" s="7" t="n">
        <v>8</v>
      </c>
      <c r="G1841" s="7" t="inlineStr">
        <is>
          <t>ENV</t>
        </is>
      </c>
      <c r="H1841" t="inlineStr">
        <is>
          <t>BLEND KASHMIRI KAHWA TB</t>
        </is>
      </c>
    </row>
    <row r="1842" ht="14.25" customHeight="1" s="5">
      <c r="A1842" s="7" t="n">
        <v>3556</v>
      </c>
      <c r="B1842" s="7" t="inlineStr">
        <is>
          <t>TE-A-ME FRUIT &amp; FLOWER INFUSIONS APPLE CINNAMON 24/25 DC HS ENV TBGS</t>
        </is>
      </c>
      <c r="C1842" s="7" t="inlineStr">
        <is>
          <t>TE-A-ME</t>
        </is>
      </c>
      <c r="D1842" s="7" t="n">
        <v>3557</v>
      </c>
      <c r="E1842" s="7" t="inlineStr">
        <is>
          <t>TE-A-ME FRUIT &amp; FLOWER INFUSIONS APPLE CINNAMON 25 DC HS ENV TBGS</t>
        </is>
      </c>
      <c r="F1842" s="7" t="n">
        <v>24</v>
      </c>
      <c r="G1842" s="7" t="inlineStr">
        <is>
          <t>CTN</t>
        </is>
      </c>
      <c r="H1842">
        <f>#N/A</f>
        <v/>
      </c>
    </row>
    <row r="1843" ht="14.25" customHeight="1" s="5">
      <c r="A1843" s="7" t="n">
        <v>3556</v>
      </c>
      <c r="B1843" s="7" t="inlineStr">
        <is>
          <t>TE-A-ME FRUIT &amp; FLOWER INFUSIONS APPLE CINNAMON 24/25 DC HS ENV TBGS</t>
        </is>
      </c>
      <c r="C1843" s="7" t="inlineStr">
        <is>
          <t>TE-A-ME</t>
        </is>
      </c>
      <c r="D1843" s="7" t="n">
        <v>3337</v>
      </c>
      <c r="E1843" s="7" t="inlineStr">
        <is>
          <t>TE-A-ME SACHET 1/3 DC HS ENV TBGS</t>
        </is>
      </c>
      <c r="F1843" s="7" t="n">
        <v>24</v>
      </c>
      <c r="G1843" s="7" t="inlineStr">
        <is>
          <t>CFC</t>
        </is>
      </c>
      <c r="H1843">
        <f>#N/A</f>
        <v/>
      </c>
    </row>
    <row r="1844" ht="14.25" customHeight="1" s="5">
      <c r="A1844" s="7" t="n">
        <v>3560</v>
      </c>
      <c r="B1844" s="7" t="inlineStr">
        <is>
          <t>TE-A-ME FRUIT &amp; FLOWER INFUSIONS APPLE CINNAMON 24/25 DC SF HS ENV TBGS</t>
        </is>
      </c>
      <c r="C1844" s="7" t="inlineStr">
        <is>
          <t>TE-A-ME</t>
        </is>
      </c>
      <c r="D1844" s="7" t="n">
        <v>3561</v>
      </c>
      <c r="E1844" s="7" t="inlineStr">
        <is>
          <t>TE-A-ME FRUIT &amp; FLOWER INFUSIONS APPLE CINNAMON 25 DC SF HS ENV TBGS</t>
        </is>
      </c>
      <c r="F1844" s="7" t="n">
        <v>24</v>
      </c>
      <c r="G1844" s="7" t="inlineStr">
        <is>
          <t>CTN</t>
        </is>
      </c>
      <c r="H1844" t="inlineStr">
        <is>
          <t>BLEND FRUITY CINNAMON APPLE TBC</t>
        </is>
      </c>
    </row>
    <row r="1845" ht="14.25" customHeight="1" s="5">
      <c r="A1845" s="7" t="n">
        <v>25941</v>
      </c>
      <c r="B1845" s="7" t="inlineStr">
        <is>
          <t>TE-A-ME FRUIT &amp; FLOWER INFUSIONS CHAMOMILE 24/20 DC SF HS ENV TBGS</t>
        </is>
      </c>
      <c r="C1845" s="7" t="inlineStr">
        <is>
          <t>TE-A-ME</t>
        </is>
      </c>
      <c r="D1845" s="7" t="n">
        <v>25940</v>
      </c>
      <c r="E1845" s="7" t="inlineStr">
        <is>
          <t>TE-A-ME FRUIT &amp; FLOWER INFUSIONS CHAMOMILE 20 DC SF HS ENV TBGS</t>
        </is>
      </c>
      <c r="F1845" s="7" t="n">
        <v>24</v>
      </c>
      <c r="G1845" s="7" t="inlineStr">
        <is>
          <t>CTN</t>
        </is>
      </c>
      <c r="H1845" t="inlineStr">
        <is>
          <t>BLEND CHAMOMILE TBC</t>
        </is>
      </c>
    </row>
    <row r="1846" ht="14.25" customHeight="1" s="5">
      <c r="A1846" s="7" t="n">
        <v>3563</v>
      </c>
      <c r="B1846" s="7" t="inlineStr">
        <is>
          <t>TE-A-ME FRUIT &amp; FLOWER INFUSIONS CHAMOMILE 24/25 DC HS ENV TBGS</t>
        </is>
      </c>
      <c r="C1846" s="7" t="inlineStr">
        <is>
          <t>TE-A-ME</t>
        </is>
      </c>
      <c r="D1846" s="7" t="n">
        <v>3564</v>
      </c>
      <c r="E1846" s="7" t="inlineStr">
        <is>
          <t>TE-A-ME FRUIT &amp; FLOWER INFUSIONS CHAMOMILE 25 DC HS ENV TBGS</t>
        </is>
      </c>
      <c r="F1846" s="7" t="n">
        <v>24</v>
      </c>
      <c r="G1846" s="7" t="inlineStr">
        <is>
          <t>CTN</t>
        </is>
      </c>
      <c r="H1846">
        <f>#N/A</f>
        <v/>
      </c>
    </row>
    <row r="1847" ht="14.25" customHeight="1" s="5">
      <c r="A1847" s="7" t="n">
        <v>3563</v>
      </c>
      <c r="B1847" s="7" t="inlineStr">
        <is>
          <t>TE-A-ME FRUIT &amp; FLOWER INFUSIONS CHAMOMILE 24/25 DC HS ENV TBGS</t>
        </is>
      </c>
      <c r="C1847" s="7" t="inlineStr">
        <is>
          <t>TE-A-ME</t>
        </is>
      </c>
      <c r="D1847" s="7" t="n">
        <v>3337</v>
      </c>
      <c r="E1847" s="7" t="inlineStr">
        <is>
          <t>TE-A-ME SACHET 1/3 DC HS ENV TBGS</t>
        </is>
      </c>
      <c r="F1847" s="7" t="n">
        <v>24</v>
      </c>
      <c r="G1847" s="7" t="inlineStr">
        <is>
          <t>CFC</t>
        </is>
      </c>
      <c r="H1847">
        <f>#N/A</f>
        <v/>
      </c>
    </row>
    <row r="1848" ht="14.25" customHeight="1" s="5">
      <c r="A1848" s="7" t="n">
        <v>3566</v>
      </c>
      <c r="B1848" s="7" t="inlineStr">
        <is>
          <t>TE-A-ME FRUIT &amp; FLOWER INFUSIONS CHAMOMILE 24/25 DC SF HS ENV TBGS</t>
        </is>
      </c>
      <c r="C1848" s="7" t="inlineStr">
        <is>
          <t>TE-A-ME</t>
        </is>
      </c>
      <c r="D1848" s="7" t="n">
        <v>3567</v>
      </c>
      <c r="E1848" s="7" t="inlineStr">
        <is>
          <t>TE-A-ME FRUIT &amp; FLOWER INFUSIONS CHAMOMILE 25 DC SF HS ENV TBGS</t>
        </is>
      </c>
      <c r="F1848" s="7" t="n">
        <v>24</v>
      </c>
      <c r="G1848" s="7" t="inlineStr">
        <is>
          <t>CTN</t>
        </is>
      </c>
      <c r="H1848" t="inlineStr">
        <is>
          <t>BLEND CHAMOMILE TBC</t>
        </is>
      </c>
    </row>
    <row r="1849" ht="14.25" customHeight="1" s="5">
      <c r="A1849" s="7" t="n">
        <v>3568</v>
      </c>
      <c r="B1849" s="7" t="inlineStr">
        <is>
          <t>TE-A-ME FRUIT &amp; FLOWER INFUSIONS CRANBERRY APPLE 24/25 DC HS ENV TBGS</t>
        </is>
      </c>
      <c r="C1849" s="7" t="inlineStr">
        <is>
          <t>TE-A-ME</t>
        </is>
      </c>
      <c r="D1849" s="7" t="n">
        <v>3569</v>
      </c>
      <c r="E1849" s="7" t="inlineStr">
        <is>
          <t>TE-A-ME FRUIT &amp; FLOWER INFUSIONS CRANBERRY APPLE 25 DC HS ENV TBGS</t>
        </is>
      </c>
      <c r="F1849" s="7" t="n">
        <v>24</v>
      </c>
      <c r="G1849" s="7" t="inlineStr">
        <is>
          <t>CTN</t>
        </is>
      </c>
      <c r="H1849">
        <f>#N/A</f>
        <v/>
      </c>
    </row>
    <row r="1850" ht="14.25" customHeight="1" s="5">
      <c r="A1850" s="7" t="n">
        <v>3568</v>
      </c>
      <c r="B1850" s="7" t="inlineStr">
        <is>
          <t>TE-A-ME FRUIT &amp; FLOWER INFUSIONS CRANBERRY APPLE 24/25 DC HS ENV TBGS</t>
        </is>
      </c>
      <c r="C1850" s="7" t="inlineStr">
        <is>
          <t>TE-A-ME</t>
        </is>
      </c>
      <c r="D1850" s="7" t="n">
        <v>3337</v>
      </c>
      <c r="E1850" s="7" t="inlineStr">
        <is>
          <t>TE-A-ME SACHET 1/3 DC HS ENV TBGS</t>
        </is>
      </c>
      <c r="F1850" s="7" t="n">
        <v>24</v>
      </c>
      <c r="G1850" s="7" t="inlineStr">
        <is>
          <t>CFC</t>
        </is>
      </c>
      <c r="H1850">
        <f>#N/A</f>
        <v/>
      </c>
    </row>
    <row r="1851" ht="14.25" customHeight="1" s="5">
      <c r="A1851" s="7" t="n">
        <v>3572</v>
      </c>
      <c r="B1851" s="7" t="inlineStr">
        <is>
          <t>TE-A-ME FRUIT &amp; FLOWER INFUSIONS CRANBERRY APPLE 24/25 DC SF HS ENV TBGS</t>
        </is>
      </c>
      <c r="C1851" s="7" t="inlineStr">
        <is>
          <t>TE-A-ME</t>
        </is>
      </c>
      <c r="D1851" s="7" t="n">
        <v>3573</v>
      </c>
      <c r="E1851" s="7" t="inlineStr">
        <is>
          <t>TE-A-ME FRUIT &amp; FLOWER INFUSIONS CRANBERRY APPLE 25 DC SF HS ENV TBGS</t>
        </is>
      </c>
      <c r="F1851" s="7" t="n">
        <v>24</v>
      </c>
      <c r="G1851" s="7" t="inlineStr">
        <is>
          <t>CTN</t>
        </is>
      </c>
      <c r="H1851" t="inlineStr">
        <is>
          <t>BLEND FRUITY CRANBERRY APPLE TBC</t>
        </is>
      </c>
    </row>
    <row r="1852" ht="14.25" customHeight="1" s="5">
      <c r="A1852" s="7" t="n">
        <v>3575</v>
      </c>
      <c r="B1852" s="7" t="inlineStr">
        <is>
          <t>TE-A-ME FRUIT &amp; FLOWER INFUSIONS ORANGE GINGER 24/25 DC HS ENV TBGS</t>
        </is>
      </c>
      <c r="C1852" s="7" t="inlineStr">
        <is>
          <t>TE-A-ME</t>
        </is>
      </c>
      <c r="D1852" s="7" t="n">
        <v>3576</v>
      </c>
      <c r="E1852" s="7" t="inlineStr">
        <is>
          <t>TE-A-ME FRUIT &amp; FLOWER INFUSIONS ORANGE GINGER 25 DC HS ENV TBGS</t>
        </is>
      </c>
      <c r="F1852" s="7" t="n">
        <v>24</v>
      </c>
      <c r="G1852" s="7" t="inlineStr">
        <is>
          <t>CTN</t>
        </is>
      </c>
      <c r="H1852">
        <f>#N/A</f>
        <v/>
      </c>
    </row>
    <row r="1853" ht="14.25" customHeight="1" s="5">
      <c r="A1853" s="7" t="n">
        <v>3575</v>
      </c>
      <c r="B1853" s="7" t="inlineStr">
        <is>
          <t>TE-A-ME FRUIT &amp; FLOWER INFUSIONS ORANGE GINGER 24/25 DC HS ENV TBGS</t>
        </is>
      </c>
      <c r="C1853" s="7" t="inlineStr">
        <is>
          <t>TE-A-ME</t>
        </is>
      </c>
      <c r="D1853" s="7" t="n">
        <v>3337</v>
      </c>
      <c r="E1853" s="7" t="inlineStr">
        <is>
          <t>TE-A-ME SACHET 1/3 DC HS ENV TBGS</t>
        </is>
      </c>
      <c r="F1853" s="7" t="n">
        <v>24</v>
      </c>
      <c r="G1853" s="7" t="inlineStr">
        <is>
          <t>CFC</t>
        </is>
      </c>
      <c r="H1853">
        <f>#N/A</f>
        <v/>
      </c>
    </row>
    <row r="1854" ht="14.25" customHeight="1" s="5">
      <c r="A1854" s="7" t="n">
        <v>3579</v>
      </c>
      <c r="B1854" s="7" t="inlineStr">
        <is>
          <t>TE-A-ME FRUIT &amp; FLOWER INFUSIONS ORANGE GINGER 24/25 DC SF HS ENV TBGS</t>
        </is>
      </c>
      <c r="C1854" s="7" t="inlineStr">
        <is>
          <t>TE-A-ME</t>
        </is>
      </c>
      <c r="D1854" s="7" t="n">
        <v>3580</v>
      </c>
      <c r="E1854" s="7" t="inlineStr">
        <is>
          <t>TE-A-ME FRUIT &amp; FLOWER INFUSIONS ORANGE GINGER 25 DC SF HS ENV TBGS</t>
        </is>
      </c>
      <c r="F1854" s="7" t="n">
        <v>24</v>
      </c>
      <c r="G1854" s="7" t="inlineStr">
        <is>
          <t>CTN</t>
        </is>
      </c>
      <c r="H1854" t="inlineStr">
        <is>
          <t>BLEND ORANGE SPICE TBC</t>
        </is>
      </c>
    </row>
    <row r="1855" ht="14.25" customHeight="1" s="5">
      <c r="A1855" s="7" t="n">
        <v>22643</v>
      </c>
      <c r="B1855" s="7" t="inlineStr">
        <is>
          <t>TE-A-ME FRUIT &amp; FLOWER INFUSIONS ORANGE GINGER1/2500 DC SF HS ENV TBGS</t>
        </is>
      </c>
      <c r="C1855" s="7" t="inlineStr">
        <is>
          <t>TE-A-ME</t>
        </is>
      </c>
      <c r="D1855" s="7" t="n">
        <v>2772</v>
      </c>
      <c r="E1855" s="7" t="inlineStr">
        <is>
          <t>TE-A-ME LOOSE ENV FRUIT &amp; FLOWER INFUSIONS ORANGE GINGER DC SF HS ENV TBGS</t>
        </is>
      </c>
      <c r="F1855" s="7" t="n">
        <v>2500</v>
      </c>
      <c r="G1855" s="7" t="inlineStr">
        <is>
          <t>ENV</t>
        </is>
      </c>
      <c r="H1855" t="inlineStr">
        <is>
          <t>BLEND ORANGE SPICE TBC</t>
        </is>
      </c>
    </row>
    <row r="1856" ht="14.25" customHeight="1" s="5">
      <c r="A1856" s="7" t="n">
        <v>3582</v>
      </c>
      <c r="B1856" s="7" t="inlineStr">
        <is>
          <t>TE-A-ME FRUIT &amp; FLOWER INFUSIONS PEPPERMINT 24/25 DC HS ENV TBGS</t>
        </is>
      </c>
      <c r="C1856" s="7" t="inlineStr">
        <is>
          <t>TE-A-ME</t>
        </is>
      </c>
      <c r="D1856" s="7" t="n">
        <v>3583</v>
      </c>
      <c r="E1856" s="7" t="inlineStr">
        <is>
          <t>TE-A-ME FRUIT &amp; FLOWER INFUSIONS PEPPERMINT 25 DC HS ENV TBGS</t>
        </is>
      </c>
      <c r="F1856" s="7" t="n">
        <v>24</v>
      </c>
      <c r="G1856" s="7" t="inlineStr">
        <is>
          <t>CTN</t>
        </is>
      </c>
      <c r="H1856">
        <f>#N/A</f>
        <v/>
      </c>
    </row>
    <row r="1857" ht="14.25" customHeight="1" s="5">
      <c r="A1857" s="7" t="n">
        <v>3582</v>
      </c>
      <c r="B1857" s="7" t="inlineStr">
        <is>
          <t>TE-A-ME FRUIT &amp; FLOWER INFUSIONS PEPPERMINT 24/25 DC HS ENV TBGS</t>
        </is>
      </c>
      <c r="C1857" s="7" t="inlineStr">
        <is>
          <t>TE-A-ME</t>
        </is>
      </c>
      <c r="D1857" s="7" t="n">
        <v>3337</v>
      </c>
      <c r="E1857" s="7" t="inlineStr">
        <is>
          <t>TE-A-ME SACHET 1/3 DC HS ENV TBGS</t>
        </is>
      </c>
      <c r="F1857" s="7" t="n">
        <v>24</v>
      </c>
      <c r="G1857" s="7" t="inlineStr">
        <is>
          <t>CFC</t>
        </is>
      </c>
      <c r="H1857">
        <f>#N/A</f>
        <v/>
      </c>
    </row>
    <row r="1858" ht="14.25" customHeight="1" s="5">
      <c r="A1858" s="7" t="n">
        <v>3586</v>
      </c>
      <c r="B1858" s="7" t="inlineStr">
        <is>
          <t>TE-A-ME FRUIT &amp; FLOWER INFUSIONS PEPPERMINT 24/25 DC SF HS ENV TBGS</t>
        </is>
      </c>
      <c r="C1858" s="7" t="inlineStr">
        <is>
          <t>TE-A-ME</t>
        </is>
      </c>
      <c r="D1858" s="7" t="n">
        <v>3587</v>
      </c>
      <c r="E1858" s="7" t="inlineStr">
        <is>
          <t>TE-A-ME FRUIT &amp; FLOWER INFUSIONS PEPPERMINT 25 DC SF HS ENV TBGS</t>
        </is>
      </c>
      <c r="F1858" s="7" t="n">
        <v>24</v>
      </c>
      <c r="G1858" s="7" t="inlineStr">
        <is>
          <t>CTN</t>
        </is>
      </c>
      <c r="H1858" t="inlineStr">
        <is>
          <t>BLEND PEPPERMINT LICORICE TBC</t>
        </is>
      </c>
    </row>
    <row r="1859" ht="14.25" customHeight="1" s="5">
      <c r="A1859" s="7" t="n">
        <v>3589</v>
      </c>
      <c r="B1859" s="7" t="inlineStr">
        <is>
          <t>TE-A-ME FRUIT &amp; FLOWER INFUSIONS STRAWBERRY CREAM 24/25 DC HS ENV TBGS</t>
        </is>
      </c>
      <c r="C1859" s="7" t="inlineStr">
        <is>
          <t>TE-A-ME</t>
        </is>
      </c>
      <c r="D1859" s="7" t="n">
        <v>3590</v>
      </c>
      <c r="E1859" s="7" t="inlineStr">
        <is>
          <t>TE-A-ME FRUIT &amp; FLOWER INFUSIONS STRAWBERRY CREAM 25 DC HS ENV TBGS</t>
        </is>
      </c>
      <c r="F1859" s="7" t="n">
        <v>24</v>
      </c>
      <c r="G1859" s="7" t="inlineStr">
        <is>
          <t>CTN</t>
        </is>
      </c>
      <c r="H1859">
        <f>#N/A</f>
        <v/>
      </c>
    </row>
    <row r="1860" ht="14.25" customHeight="1" s="5">
      <c r="A1860" s="7" t="n">
        <v>3589</v>
      </c>
      <c r="B1860" s="7" t="inlineStr">
        <is>
          <t>TE-A-ME FRUIT &amp; FLOWER INFUSIONS STRAWBERRY CREAM 24/25 DC HS ENV TBGS</t>
        </is>
      </c>
      <c r="C1860" s="7" t="inlineStr">
        <is>
          <t>TE-A-ME</t>
        </is>
      </c>
      <c r="D1860" s="7" t="n">
        <v>3337</v>
      </c>
      <c r="E1860" s="7" t="inlineStr">
        <is>
          <t>TE-A-ME SACHET 1/3 DC HS ENV TBGS</t>
        </is>
      </c>
      <c r="F1860" s="7" t="n">
        <v>24</v>
      </c>
      <c r="G1860" s="7" t="inlineStr">
        <is>
          <t>CFC</t>
        </is>
      </c>
      <c r="H1860">
        <f>#N/A</f>
        <v/>
      </c>
    </row>
    <row r="1861" ht="14.25" customHeight="1" s="5">
      <c r="A1861" s="7" t="n">
        <v>3593</v>
      </c>
      <c r="B1861" s="7" t="inlineStr">
        <is>
          <t>TE-A-ME FRUIT &amp; FLOWER INFUSIONS STRAWBERRY CREAM 24/25 DC SF HS ENV TBGS</t>
        </is>
      </c>
      <c r="C1861" s="7" t="inlineStr">
        <is>
          <t>TE-A-ME</t>
        </is>
      </c>
      <c r="D1861" s="7" t="n">
        <v>3594</v>
      </c>
      <c r="E1861" s="7" t="inlineStr">
        <is>
          <t>TE-A-ME FRUIT &amp; FLOWER INFUSIONS STRAWBERRY CREAM 25 DC SF HS ENV TBGS</t>
        </is>
      </c>
      <c r="F1861" s="7" t="n">
        <v>24</v>
      </c>
      <c r="G1861" s="7" t="inlineStr">
        <is>
          <t>CTN</t>
        </is>
      </c>
      <c r="H1861" t="inlineStr">
        <is>
          <t>BLEND FRUITY STRAWBERRY CREAM TBC</t>
        </is>
      </c>
    </row>
    <row r="1862" ht="14.25" customHeight="1" s="5">
      <c r="A1862" s="7" t="n">
        <v>3600</v>
      </c>
      <c r="B1862" s="7" t="inlineStr">
        <is>
          <t>TE-A-ME GINGER TEA 18/100 DC HS ENV TBGS (INSTITUTIONAL)</t>
        </is>
      </c>
      <c r="C1862" s="7" t="inlineStr">
        <is>
          <t>TE-A-ME</t>
        </is>
      </c>
      <c r="D1862" s="7" t="n">
        <v>3601</v>
      </c>
      <c r="E1862" s="7" t="inlineStr">
        <is>
          <t>TE-A-ME GINGER TEA 100 DC HS ENV TBGS (INSTITUTIONAL)</t>
        </is>
      </c>
      <c r="F1862" s="7" t="n">
        <v>18</v>
      </c>
      <c r="G1862" s="7" t="inlineStr">
        <is>
          <t>CTN</t>
        </is>
      </c>
      <c r="H1862">
        <f>#N/A</f>
        <v/>
      </c>
    </row>
    <row r="1863" ht="14.25" customHeight="1" s="5">
      <c r="A1863" s="7" t="n">
        <v>3604</v>
      </c>
      <c r="B1863" s="7" t="inlineStr">
        <is>
          <t>TE-A-ME GINGER TEA 18/100 DC SF HS ENV TBGS (INSTITUTIONAL)</t>
        </is>
      </c>
      <c r="C1863" s="7" t="inlineStr">
        <is>
          <t>TE-A-ME</t>
        </is>
      </c>
      <c r="D1863" s="7" t="n">
        <v>3605</v>
      </c>
      <c r="E1863" s="7" t="inlineStr">
        <is>
          <t>TE-A-ME GINGER TEA 100 DC SF HS ENV TBGS (INSTITUTIONAL)</t>
        </is>
      </c>
      <c r="F1863" s="7" t="n">
        <v>18</v>
      </c>
      <c r="G1863" s="7" t="inlineStr">
        <is>
          <t>CTN</t>
        </is>
      </c>
      <c r="H1863" t="inlineStr">
        <is>
          <t>BLEND BLACK TEA GINGER FLVR TBC</t>
        </is>
      </c>
    </row>
    <row r="1864" ht="14.25" customHeight="1" s="5">
      <c r="A1864" s="7" t="n">
        <v>34861</v>
      </c>
      <c r="B1864" s="7" t="inlineStr">
        <is>
          <t>TE-A-ME GINGER TEA 18/100 DC SF HS ENV TBGS-HUL</t>
        </is>
      </c>
      <c r="C1864" s="7" t="inlineStr">
        <is>
          <t>TE-A-ME</t>
        </is>
      </c>
      <c r="D1864" s="7" t="n">
        <v>34832</v>
      </c>
      <c r="E1864" s="7" t="inlineStr">
        <is>
          <t>TE-A-ME GINGER TEA 100 DC SF HS ENV TBGS-XS</t>
        </is>
      </c>
      <c r="F1864" s="7" t="n">
        <v>18</v>
      </c>
      <c r="G1864" s="7" t="inlineStr">
        <is>
          <t>CTN</t>
        </is>
      </c>
      <c r="H1864" t="inlineStr">
        <is>
          <t>BLEND BLACK TEA GINGER XS HUL TB</t>
        </is>
      </c>
    </row>
    <row r="1865" ht="14.25" customHeight="1" s="5">
      <c r="A1865" s="7" t="n">
        <v>34606</v>
      </c>
      <c r="B1865" s="7" t="inlineStr">
        <is>
          <t>TE-A-ME GINGER TEA 24/25 DC HS STAPLE FREE ENV TBGS</t>
        </is>
      </c>
      <c r="C1865" s="7" t="inlineStr">
        <is>
          <t>TE-A-ME</t>
        </is>
      </c>
      <c r="D1865" s="7" t="n">
        <v>34593</v>
      </c>
      <c r="E1865" s="7" t="inlineStr">
        <is>
          <t>TE-A-ME GINGER TEA 25 DC HS STAPLE FREE ENV TBGS</t>
        </is>
      </c>
      <c r="F1865" s="7" t="n">
        <v>24</v>
      </c>
      <c r="G1865" s="7" t="inlineStr">
        <is>
          <t>CTN</t>
        </is>
      </c>
      <c r="H1865" t="inlineStr">
        <is>
          <t>BLEND BLACK TEA GINGER FLVR TBC</t>
        </is>
      </c>
    </row>
    <row r="1866" ht="14.25" customHeight="1" s="5">
      <c r="A1866" s="7" t="n">
        <v>19378</v>
      </c>
      <c r="B1866" s="7" t="inlineStr">
        <is>
          <t>TE-A-ME GINGER TULSI HONEY 18/100 DC SF HS ENV TBGS (INSTITUTIONAL)</t>
        </is>
      </c>
      <c r="C1866" s="7" t="inlineStr">
        <is>
          <t>TE-A-ME</t>
        </is>
      </c>
      <c r="D1866" s="7" t="n">
        <v>19379</v>
      </c>
      <c r="E1866" s="7" t="inlineStr">
        <is>
          <t>TE-A-ME GINGER TULSI HONEY 100 DC SF HS ENV TBGS (INSTITUTIONAL)</t>
        </is>
      </c>
      <c r="F1866" s="7" t="n">
        <v>18</v>
      </c>
      <c r="G1866" s="7" t="inlineStr">
        <is>
          <t>CTN</t>
        </is>
      </c>
      <c r="H1866" t="inlineStr">
        <is>
          <t>BLEND TULSI GINGER HONEY TBC</t>
        </is>
      </c>
    </row>
    <row r="1867" ht="14.25" customHeight="1" s="5">
      <c r="A1867" s="7" t="n">
        <v>3607</v>
      </c>
      <c r="B1867" s="7" t="inlineStr">
        <is>
          <t>TE-A-ME GREEN 18/100 DC HS ENV TBGS (INSTITUTIONAL)</t>
        </is>
      </c>
      <c r="C1867" s="7" t="inlineStr">
        <is>
          <t>TE-A-ME</t>
        </is>
      </c>
      <c r="D1867" s="7" t="n">
        <v>3608</v>
      </c>
      <c r="E1867" s="7" t="inlineStr">
        <is>
          <t>TE-A-ME GREEN 100 DC HS ENV TBGS (INSTITUTIONAL)</t>
        </is>
      </c>
      <c r="F1867" s="7" t="n">
        <v>18</v>
      </c>
      <c r="G1867" s="7" t="inlineStr">
        <is>
          <t>CTN</t>
        </is>
      </c>
      <c r="H1867">
        <f>#N/A</f>
        <v/>
      </c>
    </row>
    <row r="1868" ht="14.25" customHeight="1" s="5">
      <c r="A1868" s="7" t="n">
        <v>3607</v>
      </c>
      <c r="B1868" s="7" t="inlineStr">
        <is>
          <t>TE-A-ME GREEN 18/100 DC HS ENV TBGS (INSTITUTIONAL)</t>
        </is>
      </c>
      <c r="C1868" s="7" t="inlineStr">
        <is>
          <t>TE-A-ME</t>
        </is>
      </c>
      <c r="D1868" s="7" t="n">
        <v>3337</v>
      </c>
      <c r="E1868" s="7" t="inlineStr">
        <is>
          <t>TE-A-ME SACHET 1/3 DC HS ENV TBGS</t>
        </is>
      </c>
      <c r="F1868" s="7" t="n">
        <v>18</v>
      </c>
      <c r="G1868" s="7" t="inlineStr">
        <is>
          <t>CFC</t>
        </is>
      </c>
      <c r="H1868">
        <f>#N/A</f>
        <v/>
      </c>
    </row>
    <row r="1869" ht="14.25" customHeight="1" s="5">
      <c r="A1869" s="7" t="n">
        <v>5662</v>
      </c>
      <c r="B1869" s="7" t="inlineStr">
        <is>
          <t>TE-A-ME GREEN 18/100 DC SF HS ENV TBGS (INSTITUTIONAL)</t>
        </is>
      </c>
      <c r="C1869" s="7" t="inlineStr">
        <is>
          <t>TE-A-ME</t>
        </is>
      </c>
      <c r="D1869" s="7" t="n">
        <v>3612</v>
      </c>
      <c r="E1869" s="7" t="inlineStr">
        <is>
          <t>TE-A-ME GREEN 100 DC SF HS ENV TBGS (INSTITUTIONAL)</t>
        </is>
      </c>
      <c r="F1869" s="7" t="n">
        <v>18</v>
      </c>
      <c r="G1869" s="7" t="inlineStr">
        <is>
          <t>CTN</t>
        </is>
      </c>
      <c r="H1869" t="inlineStr">
        <is>
          <t>BLEND TEAME GREEN</t>
        </is>
      </c>
    </row>
    <row r="1870" ht="14.25" customHeight="1" s="5">
      <c r="A1870" s="7" t="n">
        <v>3614</v>
      </c>
      <c r="B1870" s="7" t="inlineStr">
        <is>
          <t>TE-A-ME GREEN 36/100 DC TAG TBGS (INSTITUTIONAL)</t>
        </is>
      </c>
      <c r="C1870" s="7" t="inlineStr">
        <is>
          <t>TE-A-ME</t>
        </is>
      </c>
      <c r="D1870" s="7" t="n">
        <v>3615</v>
      </c>
      <c r="E1870" s="7" t="inlineStr">
        <is>
          <t>TE-A-ME GREEN 100 DC TAG TBGS (INSTITUTIONAL)</t>
        </is>
      </c>
      <c r="F1870" s="7" t="n">
        <v>36</v>
      </c>
      <c r="G1870" s="7" t="inlineStr">
        <is>
          <t>CTN</t>
        </is>
      </c>
      <c r="H1870" t="inlineStr">
        <is>
          <t>BLEND GREEN PL</t>
        </is>
      </c>
    </row>
    <row r="1871" ht="14.25" customHeight="1" s="5">
      <c r="A1871" s="7" t="n">
        <v>3617</v>
      </c>
      <c r="B1871" s="7" t="inlineStr">
        <is>
          <t>TE-A-ME GREEN PROMO (Rs. 150/- OFF) 18/100 DC SF HS ENV TBGS</t>
        </is>
      </c>
      <c r="C1871" s="7" t="inlineStr">
        <is>
          <t>TE-A-ME</t>
        </is>
      </c>
      <c r="D1871" s="7" t="n">
        <v>3612</v>
      </c>
      <c r="E1871" s="7" t="inlineStr">
        <is>
          <t>TE-A-ME GREEN 100 DC SF HS ENV TBGS (INSTITUTIONAL)</t>
        </is>
      </c>
      <c r="F1871" s="7" t="n">
        <v>18</v>
      </c>
      <c r="G1871" s="7" t="inlineStr">
        <is>
          <t>CTN</t>
        </is>
      </c>
      <c r="H1871" t="inlineStr">
        <is>
          <t>BLEND TEAME GREEN</t>
        </is>
      </c>
    </row>
    <row r="1872" ht="14.25" customHeight="1" s="5">
      <c r="A1872" s="7" t="n">
        <v>19093</v>
      </c>
      <c r="B1872" s="7" t="inlineStr">
        <is>
          <t>TE-A-ME GREEN PROMO (Rs. 200/- OFF) 18/100 DC SF HS ENV TBGS</t>
        </is>
      </c>
      <c r="C1872" s="7" t="inlineStr">
        <is>
          <t>TE-A-ME</t>
        </is>
      </c>
      <c r="D1872" s="7" t="n">
        <v>19092</v>
      </c>
      <c r="E1872" s="7" t="inlineStr">
        <is>
          <t>TE-A-ME GREEN PROMO (Rs. 200/- OFF) 100 DC SF HS ENV TBGS</t>
        </is>
      </c>
      <c r="F1872" s="7" t="n">
        <v>18</v>
      </c>
      <c r="G1872" s="7" t="inlineStr">
        <is>
          <t>CTN</t>
        </is>
      </c>
      <c r="H1872" t="inlineStr">
        <is>
          <t>BLEND TEAME GREEN</t>
        </is>
      </c>
    </row>
    <row r="1873" ht="14.25" customHeight="1" s="5">
      <c r="A1873" s="7" t="n">
        <v>3621</v>
      </c>
      <c r="B1873" s="7" t="inlineStr">
        <is>
          <t>TE-A-ME GREEN TEAS MINT LEMON GINGER TEA18/100 DC SF HS ENV TBGS (INSTITUTIONAL)</t>
        </is>
      </c>
      <c r="C1873" s="7" t="inlineStr">
        <is>
          <t>TE-A-ME</t>
        </is>
      </c>
      <c r="D1873" s="7" t="n">
        <v>3622</v>
      </c>
      <c r="E1873" s="7" t="inlineStr">
        <is>
          <t>TE-A-ME GREEN TEAS MINT LEMON GINGER TEA100 DC SF HS ENV TBGS (INSTITUTIONAL)</t>
        </is>
      </c>
      <c r="F1873" s="7" t="n">
        <v>18</v>
      </c>
      <c r="G1873" s="7" t="inlineStr">
        <is>
          <t>CTN</t>
        </is>
      </c>
      <c r="H1873" t="inlineStr">
        <is>
          <t>BLEND GREEN TEA GINGER MINT LEMON TB</t>
        </is>
      </c>
    </row>
    <row r="1874" ht="14.25" customHeight="1" s="5">
      <c r="A1874" s="7" t="n">
        <v>22814</v>
      </c>
      <c r="B1874" s="7" t="inlineStr">
        <is>
          <t>TE-A-ME GREEN TEAS SURAKSHA PACK 18/40 TBGS</t>
        </is>
      </c>
      <c r="C1874" s="7" t="inlineStr">
        <is>
          <t>TE-A-ME</t>
        </is>
      </c>
      <c r="D1874" s="7" t="n">
        <v>22813</v>
      </c>
      <c r="E1874" s="7" t="inlineStr">
        <is>
          <t>TE-A-ME GREEN TEAS SURAKSHA PACK 40 TBGS</t>
        </is>
      </c>
      <c r="F1874" s="7" t="n">
        <v>18</v>
      </c>
      <c r="G1874" s="7" t="inlineStr">
        <is>
          <t>CTN</t>
        </is>
      </c>
      <c r="H1874">
        <f>#N/A</f>
        <v/>
      </c>
    </row>
    <row r="1875" ht="14.25" customHeight="1" s="5">
      <c r="A1875" s="7" t="n">
        <v>22813</v>
      </c>
      <c r="B1875" s="7" t="inlineStr">
        <is>
          <t>TE-A-ME GREEN TEAS SURAKSHA PACK 40 TBGS</t>
        </is>
      </c>
      <c r="C1875" s="7" t="inlineStr">
        <is>
          <t>TE-A-ME</t>
        </is>
      </c>
      <c r="D1875" s="7" t="n">
        <v>3999</v>
      </c>
      <c r="E1875" s="7" t="inlineStr">
        <is>
          <t>TE-A-ME WELLNESS INFUSIONS TULSI GREEN TEA 10 DC SF HS ENV TBGS</t>
        </is>
      </c>
      <c r="F1875" s="7" t="n">
        <v>1</v>
      </c>
      <c r="G1875" s="7" t="inlineStr">
        <is>
          <t>CTN</t>
        </is>
      </c>
      <c r="H1875" t="inlineStr">
        <is>
          <t>BLEND TEAME GREEN TEA TULSI</t>
        </is>
      </c>
    </row>
    <row r="1876" ht="14.25" customHeight="1" s="5">
      <c r="A1876" s="7" t="n">
        <v>22813</v>
      </c>
      <c r="B1876" s="7" t="inlineStr">
        <is>
          <t>TE-A-ME GREEN TEAS SURAKSHA PACK 40 TBGS</t>
        </is>
      </c>
      <c r="C1876" s="7" t="inlineStr">
        <is>
          <t>TE-A-ME</t>
        </is>
      </c>
      <c r="D1876" s="7" t="n">
        <v>34326</v>
      </c>
      <c r="E1876" s="7" t="inlineStr">
        <is>
          <t>TE-A-ME KADHA GREEN TEA 10 DC SF HS ENV TBGS</t>
        </is>
      </c>
      <c r="F1876" s="7" t="n">
        <v>1</v>
      </c>
      <c r="G1876" s="7" t="inlineStr">
        <is>
          <t>CTN</t>
        </is>
      </c>
      <c r="H1876" t="inlineStr">
        <is>
          <t>BLEND GREEN TEA KADHA TBC</t>
        </is>
      </c>
    </row>
    <row r="1877" ht="14.25" customHeight="1" s="5">
      <c r="A1877" s="7" t="n">
        <v>22813</v>
      </c>
      <c r="B1877" s="7" t="inlineStr">
        <is>
          <t>TE-A-ME GREEN TEAS SURAKSHA PACK 40 TBGS</t>
        </is>
      </c>
      <c r="C1877" s="7" t="inlineStr">
        <is>
          <t>TE-A-ME</t>
        </is>
      </c>
      <c r="D1877" s="7" t="n">
        <v>22819</v>
      </c>
      <c r="E1877" s="7" t="inlineStr">
        <is>
          <t>TE-A-ME MORINGA GREEN TEA 10 DC SF HS ENV TEA BAGS</t>
        </is>
      </c>
      <c r="F1877" s="7" t="n">
        <v>1</v>
      </c>
      <c r="G1877" s="7" t="inlineStr">
        <is>
          <t>CTN</t>
        </is>
      </c>
      <c r="H1877" t="inlineStr">
        <is>
          <t>BLEND GREEN TEA MORINGA TBC</t>
        </is>
      </c>
    </row>
    <row r="1878" ht="14.25" customHeight="1" s="5">
      <c r="A1878" s="7" t="n">
        <v>22813</v>
      </c>
      <c r="B1878" s="7" t="inlineStr">
        <is>
          <t>TE-A-ME GREEN TEAS SURAKSHA PACK 40 TBGS</t>
        </is>
      </c>
      <c r="C1878" s="7" t="inlineStr">
        <is>
          <t>TE-A-ME</t>
        </is>
      </c>
      <c r="D1878" s="7" t="n">
        <v>22818</v>
      </c>
      <c r="E1878" s="7" t="inlineStr">
        <is>
          <t>TE-A-ME ASHWAGANDHA GREEN TEA 10 DC SF HS ENV TBGS</t>
        </is>
      </c>
      <c r="F1878" s="7" t="n">
        <v>1</v>
      </c>
      <c r="G1878" s="7" t="inlineStr">
        <is>
          <t>CTN</t>
        </is>
      </c>
      <c r="H1878" t="inlineStr">
        <is>
          <t>BLEND GREEN TEA ASHWAGANDHA TBC</t>
        </is>
      </c>
    </row>
    <row r="1879" ht="14.25" customHeight="1" s="5">
      <c r="A1879" s="7" t="n">
        <v>32959</v>
      </c>
      <c r="B1879" s="7" t="inlineStr">
        <is>
          <t>TE-A-ME HEMP CHAMOMILE 24/25 DC HS SF ENV TBGS</t>
        </is>
      </c>
      <c r="C1879" s="7" t="inlineStr">
        <is>
          <t>TE-A-ME</t>
        </is>
      </c>
      <c r="D1879" s="7" t="n">
        <v>32846</v>
      </c>
      <c r="E1879" s="7" t="inlineStr">
        <is>
          <t>TE-A-ME HEMP CHAMOMILE 25 DC HS SF ENV TBGS</t>
        </is>
      </c>
      <c r="F1879" s="7" t="n">
        <v>24</v>
      </c>
      <c r="G1879" s="7" t="inlineStr">
        <is>
          <t>CTN</t>
        </is>
      </c>
      <c r="H1879" t="inlineStr">
        <is>
          <t>BLEND HEMP CHAMOMILE TB</t>
        </is>
      </c>
    </row>
    <row r="1880" ht="14.25" customHeight="1" s="5">
      <c r="A1880" s="7" t="n">
        <v>3631</v>
      </c>
      <c r="B1880" s="7" t="inlineStr">
        <is>
          <t>TE-A-ME HONEY LEMON GREEN 36/100 DC TAG TBGS (INSTITUTIONAL)</t>
        </is>
      </c>
      <c r="C1880" s="7" t="inlineStr">
        <is>
          <t>TE-A-ME</t>
        </is>
      </c>
      <c r="D1880" s="7" t="n">
        <v>3632</v>
      </c>
      <c r="E1880" s="7" t="inlineStr">
        <is>
          <t>TE-A-ME HONEY LEMON GREEN 100 DC TAG TBGS (INSTITUTIONAL)</t>
        </is>
      </c>
      <c r="F1880" s="7" t="n">
        <v>36</v>
      </c>
      <c r="G1880" s="7" t="inlineStr">
        <is>
          <t>CTN</t>
        </is>
      </c>
      <c r="H1880" t="inlineStr">
        <is>
          <t>BLEND TE-A-ME GREEN TEA HONEY LEMON</t>
        </is>
      </c>
    </row>
    <row r="1881" ht="14.25" customHeight="1" s="5">
      <c r="A1881" s="7" t="n">
        <v>3634</v>
      </c>
      <c r="B1881" s="7" t="inlineStr">
        <is>
          <t>TE-A-ME HONEY LEMON GREEN PROMO (Rs. 100/- OFF) 18/100 DC SF HS ENV TBGS</t>
        </is>
      </c>
      <c r="C1881" s="7" t="inlineStr">
        <is>
          <t>TE-A-ME</t>
        </is>
      </c>
      <c r="D1881" s="7" t="n">
        <v>3635</v>
      </c>
      <c r="E1881" s="7" t="inlineStr">
        <is>
          <t>TE-A-ME HONEY LEMON GREEN PROMO (Rs. 100/- OFF) 100 DC SF HS ENV TBGS</t>
        </is>
      </c>
      <c r="F1881" s="7" t="n">
        <v>18</v>
      </c>
      <c r="G1881" s="7" t="inlineStr">
        <is>
          <t>CTN</t>
        </is>
      </c>
      <c r="H1881" t="inlineStr">
        <is>
          <t>BLEND TE-A-ME GREEN TEA HONEY LEMON</t>
        </is>
      </c>
    </row>
    <row r="1882" ht="14.25" customHeight="1" s="5">
      <c r="A1882" s="7" t="n">
        <v>19095</v>
      </c>
      <c r="B1882" s="7" t="inlineStr">
        <is>
          <t>TE-A-ME HONEY LEMON GREEN PROMO (Rs. 150/- OFF) 18/100 DC SF HS ENV TBGS</t>
        </is>
      </c>
      <c r="C1882" s="7" t="inlineStr">
        <is>
          <t>TE-A-ME</t>
        </is>
      </c>
      <c r="D1882" s="7" t="n">
        <v>19094</v>
      </c>
      <c r="E1882" s="7" t="inlineStr">
        <is>
          <t>TE-A-ME HONEY LEMON GREEN PROMO (Rs. 150/- OFF) 100 DC SF HS ENV TBGS</t>
        </is>
      </c>
      <c r="F1882" s="7" t="n">
        <v>18</v>
      </c>
      <c r="G1882" s="7" t="inlineStr">
        <is>
          <t>CTN</t>
        </is>
      </c>
      <c r="H1882" t="inlineStr">
        <is>
          <t>BLEND TE-A-ME GREEN TEA HONEY LEMON</t>
        </is>
      </c>
    </row>
    <row r="1883" ht="14.25" customHeight="1" s="5">
      <c r="A1883" s="7" t="n">
        <v>3638</v>
      </c>
      <c r="B1883" s="7" t="inlineStr">
        <is>
          <t>TE-A-ME HONEY LEMON GREEN TEA 18/100 DC HS ENV TBGS (INSTITUTIONAL)</t>
        </is>
      </c>
      <c r="C1883" s="7" t="inlineStr">
        <is>
          <t>TE-A-ME</t>
        </is>
      </c>
      <c r="D1883" s="7" t="n">
        <v>3639</v>
      </c>
      <c r="E1883" s="7" t="inlineStr">
        <is>
          <t>TE-A-ME HONEY LEMON GREEN TEA 100 DC HS ENV TBGS (INSTITUTIONAL)</t>
        </is>
      </c>
      <c r="F1883" s="7" t="n">
        <v>18</v>
      </c>
      <c r="G1883" s="7" t="inlineStr">
        <is>
          <t>CTN</t>
        </is>
      </c>
      <c r="H1883">
        <f>#N/A</f>
        <v/>
      </c>
    </row>
    <row r="1884" ht="14.25" customHeight="1" s="5">
      <c r="A1884" s="7" t="n">
        <v>3643</v>
      </c>
      <c r="B1884" s="7" t="inlineStr">
        <is>
          <t>TE-A-ME HONEY LEMON GREEN TEA 18/100 DC SF HS ENV TBGS</t>
        </is>
      </c>
      <c r="C1884" s="7" t="inlineStr">
        <is>
          <t>TE-A-ME</t>
        </is>
      </c>
      <c r="D1884" s="7" t="n">
        <v>3644</v>
      </c>
      <c r="E1884" s="7" t="inlineStr">
        <is>
          <t>TE-A-ME HONEY LEMON GREEN TEA 100 DC SF HS ENV TBGS</t>
        </is>
      </c>
      <c r="F1884" s="7" t="n">
        <v>18</v>
      </c>
      <c r="G1884" s="7" t="inlineStr">
        <is>
          <t>CTN</t>
        </is>
      </c>
      <c r="H1884" t="inlineStr">
        <is>
          <t>BLEND TE-A-ME GREEN TEA HONEY LEMON</t>
        </is>
      </c>
    </row>
    <row r="1885" ht="14.25" customHeight="1" s="5">
      <c r="A1885" s="7" t="n">
        <v>3645</v>
      </c>
      <c r="B1885" s="7" t="inlineStr">
        <is>
          <t>TE-A-ME HONEY LEMON GREEN TEA 18/100 DC SF HS ENV TBGS (INSTITUTIONAL)</t>
        </is>
      </c>
      <c r="C1885" s="7" t="inlineStr">
        <is>
          <t>TE-A-ME</t>
        </is>
      </c>
      <c r="D1885" s="7" t="n">
        <v>3646</v>
      </c>
      <c r="E1885" s="7" t="inlineStr">
        <is>
          <t>TE-A-ME HONEY LEMON GREEN TEA 100 DC SF HS ENV TBGS (INSTITUTIONAL)</t>
        </is>
      </c>
      <c r="F1885" s="7" t="n">
        <v>18</v>
      </c>
      <c r="G1885" s="7" t="inlineStr">
        <is>
          <t>CTN</t>
        </is>
      </c>
      <c r="H1885" t="inlineStr">
        <is>
          <t>BLEND TE-A-ME GREEN TEA HONEY LEMON</t>
        </is>
      </c>
    </row>
    <row r="1886" ht="14.25" customHeight="1" s="5">
      <c r="A1886" s="7" t="n">
        <v>23379</v>
      </c>
      <c r="B1886" s="7" t="inlineStr">
        <is>
          <t>TE-A-ME HORECA EXOTIC BLUE BUTTERFLY PEA FLOWER 6/24 SACHETS</t>
        </is>
      </c>
      <c r="C1886" s="7" t="inlineStr">
        <is>
          <t>TE-A-ME</t>
        </is>
      </c>
      <c r="D1886" s="7" t="n">
        <v>23378</v>
      </c>
      <c r="E1886" s="7" t="inlineStr">
        <is>
          <t>TE-A-ME HORECA EXOTIC BLUE BUTTERFLY PEA FLOWER 24 SACHETS</t>
        </is>
      </c>
      <c r="F1886" s="7" t="n">
        <v>6</v>
      </c>
      <c r="G1886" s="7" t="inlineStr">
        <is>
          <t>POUCH</t>
        </is>
      </c>
      <c r="H1886" t="inlineStr">
        <is>
          <t>BLEND HIMALAYAN BUTTERFLY BLUE PEA FLOWER</t>
        </is>
      </c>
    </row>
    <row r="1887" ht="14.25" customHeight="1" s="5">
      <c r="A1887" s="7" t="n">
        <v>23381</v>
      </c>
      <c r="B1887" s="7" t="inlineStr">
        <is>
          <t>TE-A-ME HORECA EXOTIC HIBISCUS FLOWER 6/24 SACHETS</t>
        </is>
      </c>
      <c r="C1887" s="7" t="inlineStr">
        <is>
          <t>TE-A-ME</t>
        </is>
      </c>
      <c r="D1887" s="7" t="n">
        <v>23380</v>
      </c>
      <c r="E1887" s="7" t="inlineStr">
        <is>
          <t>TE-A-ME HORECA EXOTIC HIBISCUS FLOWER 24 SACHETS</t>
        </is>
      </c>
      <c r="F1887" s="7" t="n">
        <v>6</v>
      </c>
      <c r="G1887" s="7" t="inlineStr">
        <is>
          <t>POUCH</t>
        </is>
      </c>
      <c r="H1887" t="inlineStr">
        <is>
          <t>BLEND HIBISCUS FLOWER</t>
        </is>
      </c>
    </row>
    <row r="1888" ht="14.25" customHeight="1" s="5">
      <c r="A1888" s="7" t="n">
        <v>23375</v>
      </c>
      <c r="B1888" s="7" t="inlineStr">
        <is>
          <t>TE-A-ME HORECA EXOTIC HIGH MOUNTAIN OOLONG TEA 6/24 SACHETS</t>
        </is>
      </c>
      <c r="C1888" s="7" t="inlineStr">
        <is>
          <t>TE-A-ME</t>
        </is>
      </c>
      <c r="D1888" s="7" t="n">
        <v>23374</v>
      </c>
      <c r="E1888" s="7" t="inlineStr">
        <is>
          <t>TE-A-ME HORECA EXOTIC HIGH MOUNTAIN OOLONG TEA 24 SACHETS</t>
        </is>
      </c>
      <c r="F1888" s="7" t="n">
        <v>6</v>
      </c>
      <c r="G1888" s="7" t="inlineStr">
        <is>
          <t>POUCH</t>
        </is>
      </c>
      <c r="H1888" t="inlineStr">
        <is>
          <t>BLEND HIGH MOUNTAIN DARJEELING OOLONG TEA</t>
        </is>
      </c>
    </row>
    <row r="1889" ht="14.25" customHeight="1" s="5">
      <c r="A1889" s="7" t="n">
        <v>26038</v>
      </c>
      <c r="B1889" s="7" t="inlineStr">
        <is>
          <t>TE-A-ME HORECA EXOTIC RANGE BLOOMING FLOWER TEA 6/12 SACHETS</t>
        </is>
      </c>
      <c r="C1889" s="7" t="inlineStr">
        <is>
          <t>TE-A-ME</t>
        </is>
      </c>
      <c r="D1889" s="7" t="n">
        <v>26037</v>
      </c>
      <c r="E1889" s="7" t="inlineStr">
        <is>
          <t>TE-A-ME HORECA EXOTIC RANGE BLOOMING FLOWER TEA 12 SACHETS</t>
        </is>
      </c>
      <c r="F1889" s="7" t="n">
        <v>1</v>
      </c>
      <c r="G1889" s="7" t="inlineStr">
        <is>
          <t>CTN</t>
        </is>
      </c>
      <c r="H1889" t="inlineStr">
        <is>
          <t>BLEND BLOOM FLOWERING TEA</t>
        </is>
      </c>
    </row>
    <row r="1890" ht="14.25" customHeight="1" s="5">
      <c r="A1890" s="7" t="n">
        <v>23371</v>
      </c>
      <c r="B1890" s="7" t="inlineStr">
        <is>
          <t>TE-A-ME HORECA EXOTIC RANGE BLOOMING FLOWER TEA 6/24 SACHETS</t>
        </is>
      </c>
      <c r="C1890" s="7" t="inlineStr">
        <is>
          <t>TE-A-ME</t>
        </is>
      </c>
      <c r="D1890" s="7" t="n">
        <v>23370</v>
      </c>
      <c r="E1890" s="7" t="inlineStr">
        <is>
          <t>TE-A-ME HORECA EXOTIC RANGE BLOOMING FLOWER TEA 24 SACHETS</t>
        </is>
      </c>
      <c r="F1890" s="7" t="n">
        <v>6</v>
      </c>
      <c r="G1890" s="7" t="inlineStr">
        <is>
          <t>PKT</t>
        </is>
      </c>
      <c r="H1890" t="inlineStr">
        <is>
          <t>BLEND BLOOM FLOWERING TEA</t>
        </is>
      </c>
    </row>
    <row r="1891" ht="14.25" customHeight="1" s="5">
      <c r="A1891" s="7" t="n">
        <v>28164</v>
      </c>
      <c r="B1891" s="7" t="inlineStr">
        <is>
          <t>TE-A-ME HORECA EXOTIC RANGE GREEN MOROCON MINT TEA 24 SACHETS</t>
        </is>
      </c>
      <c r="C1891" s="7" t="inlineStr">
        <is>
          <t>TE-A-ME</t>
        </is>
      </c>
      <c r="D1891" s="7" t="n">
        <v>28166</v>
      </c>
      <c r="E1891" s="7" t="inlineStr">
        <is>
          <t>TE-A-ME HORECA EXOTIC RANGE GREEN MOROCON MINT TEA SACHETS</t>
        </is>
      </c>
      <c r="F1891" s="7" t="n">
        <v>24</v>
      </c>
      <c r="G1891" s="7" t="inlineStr">
        <is>
          <t>PCS</t>
        </is>
      </c>
      <c r="H1891" t="inlineStr">
        <is>
          <t>BLEND GREEN TEA MOROCON MINT CC EXOTIC</t>
        </is>
      </c>
    </row>
    <row r="1892" ht="14.25" customHeight="1" s="5">
      <c r="A1892" s="7" t="n">
        <v>28167</v>
      </c>
      <c r="B1892" s="7" t="inlineStr">
        <is>
          <t>TE-A-ME HORECA EXOTIC RANGE GREEN MOROCON MINT TEA 6/24 SACHETS</t>
        </is>
      </c>
      <c r="C1892" s="7" t="inlineStr">
        <is>
          <t>TE-A-ME</t>
        </is>
      </c>
      <c r="D1892" s="7" t="n">
        <v>28164</v>
      </c>
      <c r="E1892" s="7" t="inlineStr">
        <is>
          <t>TE-A-ME HORECA EXOTIC RANGE GREEN MOROCON MINT TEA 24 SACHETS</t>
        </is>
      </c>
      <c r="F1892" s="7" t="n">
        <v>6</v>
      </c>
      <c r="G1892" s="7" t="inlineStr">
        <is>
          <t>PCS</t>
        </is>
      </c>
      <c r="H1892">
        <f>#N/A</f>
        <v/>
      </c>
    </row>
    <row r="1893" ht="14.25" customHeight="1" s="5">
      <c r="A1893" s="7" t="n">
        <v>23377</v>
      </c>
      <c r="B1893" s="7" t="inlineStr">
        <is>
          <t>TE-A-ME HORECA EXOTIC RANGE LAVENDER WHITE TEA 6/24 SACHETS</t>
        </is>
      </c>
      <c r="C1893" s="7" t="inlineStr">
        <is>
          <t>TE-A-ME</t>
        </is>
      </c>
      <c r="D1893" s="7" t="n">
        <v>23376</v>
      </c>
      <c r="E1893" s="7" t="inlineStr">
        <is>
          <t>TE-A-ME HORECA EXOTIC RANGE LAVENDER WHITE TEA 24 SACHETS</t>
        </is>
      </c>
      <c r="F1893" s="7" t="n">
        <v>6</v>
      </c>
      <c r="G1893" s="7" t="inlineStr">
        <is>
          <t>POUCH</t>
        </is>
      </c>
      <c r="H1893" t="inlineStr">
        <is>
          <t>BLEND LAVENDER WHITE TEA</t>
        </is>
      </c>
    </row>
    <row r="1894" ht="14.25" customHeight="1" s="5">
      <c r="A1894" s="7" t="n">
        <v>23373</v>
      </c>
      <c r="B1894" s="7" t="inlineStr">
        <is>
          <t>TE-A-ME HORECA EXOTIC RANGE SILVER NEEDLE WHITE TEA 6/24 SACHETS</t>
        </is>
      </c>
      <c r="C1894" s="7" t="inlineStr">
        <is>
          <t>TE-A-ME</t>
        </is>
      </c>
      <c r="D1894" s="7" t="n">
        <v>23372</v>
      </c>
      <c r="E1894" s="7" t="inlineStr">
        <is>
          <t>TE-A-ME HORECA EXOTIC RANGE SILVER NEEDLE WHITE TEA 24 SACHETS</t>
        </is>
      </c>
      <c r="F1894" s="7" t="n">
        <v>6</v>
      </c>
      <c r="G1894" s="7" t="inlineStr">
        <is>
          <t>POUCH</t>
        </is>
      </c>
      <c r="H1894" t="inlineStr">
        <is>
          <t>BLEND WHITE TEA CC</t>
        </is>
      </c>
    </row>
    <row r="1895" ht="14.25" customHeight="1" s="5">
      <c r="A1895" s="7" t="n">
        <v>3647</v>
      </c>
      <c r="B1895" s="7" t="inlineStr">
        <is>
          <t>TE-A-ME ICE BREWS FIVE DELICIOUS FLV. WITH SIPPER 12/20  PYRAMID ENV TEABAGS</t>
        </is>
      </c>
      <c r="C1895" s="7" t="inlineStr">
        <is>
          <t>TE-A-ME</t>
        </is>
      </c>
      <c r="D1895" s="7" t="n">
        <v>3656</v>
      </c>
      <c r="E1895" s="7" t="inlineStr">
        <is>
          <t>TE-A-ME ICE BREWS FIVE DELICIOUS FLV. WITH SIPPER 20  PYRAMID ENV TEABAGS</t>
        </is>
      </c>
      <c r="F1895" s="7" t="n">
        <v>12</v>
      </c>
      <c r="G1895" s="7" t="inlineStr">
        <is>
          <t>CTN</t>
        </is>
      </c>
      <c r="H1895">
        <f>#N/A</f>
        <v/>
      </c>
    </row>
    <row r="1896" ht="14.25" customHeight="1" s="5">
      <c r="A1896" s="7" t="n">
        <v>3656</v>
      </c>
      <c r="B1896" s="7" t="inlineStr">
        <is>
          <t>TE-A-ME ICE BREWS FIVE DELICIOUS FLV. WITH SIPPER 20  PYRAMID ENV TEABAGS</t>
        </is>
      </c>
      <c r="C1896" s="7" t="inlineStr">
        <is>
          <t>TE-A-ME</t>
        </is>
      </c>
      <c r="D1896" s="7" t="n">
        <v>3648</v>
      </c>
      <c r="E1896" s="7" t="inlineStr">
        <is>
          <t>TE-A-ME LOOSE TBGS ICE BREWS WILD BERRY PYRAMID</t>
        </is>
      </c>
      <c r="F1896" s="7" t="n">
        <v>4</v>
      </c>
      <c r="G1896" s="7" t="inlineStr">
        <is>
          <t>TBGS</t>
        </is>
      </c>
      <c r="H1896" t="inlineStr">
        <is>
          <t>BLEND COLD BREW FRUITY WILD BERRY TB</t>
        </is>
      </c>
    </row>
    <row r="1897" ht="14.25" customHeight="1" s="5">
      <c r="A1897" s="7" t="n">
        <v>3656</v>
      </c>
      <c r="B1897" s="7" t="inlineStr">
        <is>
          <t>TE-A-ME ICE BREWS FIVE DELICIOUS FLV. WITH SIPPER 20  PYRAMID ENV TEABAGS</t>
        </is>
      </c>
      <c r="C1897" s="7" t="inlineStr">
        <is>
          <t>TE-A-ME</t>
        </is>
      </c>
      <c r="D1897" s="7" t="n">
        <v>3649</v>
      </c>
      <c r="E1897" s="7" t="inlineStr">
        <is>
          <t>TE-A-ME LOOSE TBGS ICE BREWS PEACH PYRAMID</t>
        </is>
      </c>
      <c r="F1897" s="7" t="n">
        <v>4</v>
      </c>
      <c r="G1897" s="7" t="inlineStr">
        <is>
          <t>TBGS</t>
        </is>
      </c>
      <c r="H1897" t="inlineStr">
        <is>
          <t>BLEND COLD BREW BLACK TEA PEACH TB</t>
        </is>
      </c>
    </row>
    <row r="1898" ht="14.25" customHeight="1" s="5">
      <c r="A1898" s="7" t="n">
        <v>3656</v>
      </c>
      <c r="B1898" s="7" t="inlineStr">
        <is>
          <t>TE-A-ME ICE BREWS FIVE DELICIOUS FLV. WITH SIPPER 20  PYRAMID ENV TEABAGS</t>
        </is>
      </c>
      <c r="C1898" s="7" t="inlineStr">
        <is>
          <t>TE-A-ME</t>
        </is>
      </c>
      <c r="D1898" s="7" t="n">
        <v>3650</v>
      </c>
      <c r="E1898" s="7" t="inlineStr">
        <is>
          <t>TE-A-ME LOOSE TBGS ICE BREWS MINT GREEN PYRAMID</t>
        </is>
      </c>
      <c r="F1898" s="7" t="n">
        <v>4</v>
      </c>
      <c r="G1898" s="7" t="inlineStr">
        <is>
          <t>TBGS</t>
        </is>
      </c>
      <c r="H1898" t="inlineStr">
        <is>
          <t>BLEND COLD BREW GREEN TEA MINT TB</t>
        </is>
      </c>
    </row>
    <row r="1899" ht="14.25" customHeight="1" s="5">
      <c r="A1899" s="7" t="n">
        <v>3656</v>
      </c>
      <c r="B1899" s="7" t="inlineStr">
        <is>
          <t>TE-A-ME ICE BREWS FIVE DELICIOUS FLV. WITH SIPPER 20  PYRAMID ENV TEABAGS</t>
        </is>
      </c>
      <c r="C1899" s="7" t="inlineStr">
        <is>
          <t>TE-A-ME</t>
        </is>
      </c>
      <c r="D1899" s="7" t="n">
        <v>3651</v>
      </c>
      <c r="E1899" s="7" t="inlineStr">
        <is>
          <t>TE-A-ME LOOSE TBGS ICE BREWS LYCHEE PYRAMID</t>
        </is>
      </c>
      <c r="F1899" s="7" t="n">
        <v>4</v>
      </c>
      <c r="G1899" s="7" t="inlineStr">
        <is>
          <t>TBGS</t>
        </is>
      </c>
      <c r="H1899" t="inlineStr">
        <is>
          <t>BLEND COLD BREW FRUITY LYCHEE TB</t>
        </is>
      </c>
    </row>
    <row r="1900" ht="14.25" customHeight="1" s="5">
      <c r="A1900" s="7" t="n">
        <v>3656</v>
      </c>
      <c r="B1900" s="7" t="inlineStr">
        <is>
          <t>TE-A-ME ICE BREWS FIVE DELICIOUS FLV. WITH SIPPER 20  PYRAMID ENV TEABAGS</t>
        </is>
      </c>
      <c r="C1900" s="7" t="inlineStr">
        <is>
          <t>TE-A-ME</t>
        </is>
      </c>
      <c r="D1900" s="7" t="n">
        <v>3652</v>
      </c>
      <c r="E1900" s="7" t="inlineStr">
        <is>
          <t>TE-A-ME LOOSE TBGS ICE BREWS LEMON PYRAMID</t>
        </is>
      </c>
      <c r="F1900" s="7" t="n">
        <v>4</v>
      </c>
      <c r="G1900" s="7" t="inlineStr">
        <is>
          <t>TBGS</t>
        </is>
      </c>
      <c r="H1900" t="inlineStr">
        <is>
          <t>BLEND COLD BREW BLACK TEA LEMON TB</t>
        </is>
      </c>
    </row>
    <row r="1901" ht="14.25" customHeight="1" s="5">
      <c r="A1901" s="7" t="n">
        <v>18270</v>
      </c>
      <c r="B1901" s="7" t="inlineStr">
        <is>
          <t>TE-A-ME ICE BREWS FIVE IN ONE 24/15 PYRAMID ENV TEABAGS</t>
        </is>
      </c>
      <c r="C1901" s="7" t="inlineStr">
        <is>
          <t>TE-A-ME</t>
        </is>
      </c>
      <c r="D1901" s="7" t="n">
        <v>18269</v>
      </c>
      <c r="E1901" s="7" t="inlineStr">
        <is>
          <t>TE-A-ME ICE BREWS FIVE IN ONE 15 PYRAMID ENV TEABAGS</t>
        </is>
      </c>
      <c r="F1901" s="7" t="n">
        <v>24</v>
      </c>
      <c r="G1901" s="7" t="inlineStr">
        <is>
          <t>CTN</t>
        </is>
      </c>
      <c r="H1901" t="inlineStr">
        <is>
          <t>BLEND COLD BREW BLACK TEA LEMON TB</t>
        </is>
      </c>
    </row>
    <row r="1902" ht="14.25" customHeight="1" s="5">
      <c r="A1902" s="7" t="n">
        <v>3658</v>
      </c>
      <c r="B1902" s="7" t="inlineStr">
        <is>
          <t>TE-A-ME ICE BREWS LEMON 18 PYRAMID ENV TEABAGS</t>
        </is>
      </c>
      <c r="C1902" s="7" t="inlineStr">
        <is>
          <t>TE-A-ME</t>
        </is>
      </c>
      <c r="D1902" s="7" t="n">
        <v>5641</v>
      </c>
      <c r="E1902" s="7" t="inlineStr">
        <is>
          <t>TE-A-ME LOOSE  ENV  ICE BREWS LEMON PYRAMID ENV POUCH</t>
        </is>
      </c>
      <c r="F1902" s="7" t="n">
        <v>18</v>
      </c>
      <c r="G1902" s="7" t="inlineStr">
        <is>
          <t>ENV</t>
        </is>
      </c>
      <c r="H1902">
        <f>#N/A</f>
        <v/>
      </c>
    </row>
    <row r="1903" ht="14.25" customHeight="1" s="5">
      <c r="A1903" s="7" t="n">
        <v>3657</v>
      </c>
      <c r="B1903" s="7" t="inlineStr">
        <is>
          <t>TE-A-ME ICE BREWS LEMON 24/18 PYRAMID ENV TEABAGS</t>
        </is>
      </c>
      <c r="C1903" s="7" t="inlineStr">
        <is>
          <t>TE-A-ME</t>
        </is>
      </c>
      <c r="D1903" s="7" t="n">
        <v>3658</v>
      </c>
      <c r="E1903" s="7" t="inlineStr">
        <is>
          <t>TE-A-ME ICE BREWS LEMON 18 PYRAMID ENV TEABAGS</t>
        </is>
      </c>
      <c r="F1903" s="7" t="n">
        <v>24</v>
      </c>
      <c r="G1903" s="7" t="inlineStr">
        <is>
          <t>CTN</t>
        </is>
      </c>
      <c r="H1903" t="inlineStr">
        <is>
          <t>BLEND COLD BREW BLACK TEA LEMON TB</t>
        </is>
      </c>
    </row>
    <row r="1904" ht="14.25" customHeight="1" s="5">
      <c r="A1904" s="7" t="n">
        <v>3665</v>
      </c>
      <c r="B1904" s="7" t="inlineStr">
        <is>
          <t>TE-A-ME ICE BREWS LYCHEE 18 PYRAMID ENV TEABAGS</t>
        </is>
      </c>
      <c r="C1904" s="7" t="inlineStr">
        <is>
          <t>TE-A-ME</t>
        </is>
      </c>
      <c r="D1904" s="7" t="n">
        <v>5643</v>
      </c>
      <c r="E1904" s="7" t="inlineStr">
        <is>
          <t>TE-A-ME LOOSE  ENV  ICE BREWS LYCHEE PYRAMID ENV POUCH</t>
        </is>
      </c>
      <c r="F1904" s="7" t="n">
        <v>18</v>
      </c>
      <c r="G1904" s="7" t="inlineStr">
        <is>
          <t>ENV</t>
        </is>
      </c>
      <c r="H1904">
        <f>#N/A</f>
        <v/>
      </c>
    </row>
    <row r="1905" ht="14.25" customHeight="1" s="5">
      <c r="A1905" s="7" t="n">
        <v>3664</v>
      </c>
      <c r="B1905" s="7" t="inlineStr">
        <is>
          <t>TE-A-ME ICE BREWS LYCHEE 24/18 PYRAMID ENV TEABAGS</t>
        </is>
      </c>
      <c r="C1905" s="7" t="inlineStr">
        <is>
          <t>TE-A-ME</t>
        </is>
      </c>
      <c r="D1905" s="7" t="n">
        <v>3665</v>
      </c>
      <c r="E1905" s="7" t="inlineStr">
        <is>
          <t>TE-A-ME ICE BREWS LYCHEE 18 PYRAMID ENV TEABAGS</t>
        </is>
      </c>
      <c r="F1905" s="7" t="n">
        <v>24</v>
      </c>
      <c r="G1905" s="7" t="inlineStr">
        <is>
          <t>CTN</t>
        </is>
      </c>
      <c r="H1905" t="inlineStr">
        <is>
          <t>BLEND COLD BREW FRUITY LYCHEE TB</t>
        </is>
      </c>
    </row>
    <row r="1906" ht="14.25" customHeight="1" s="5">
      <c r="A1906" s="7" t="n">
        <v>3670</v>
      </c>
      <c r="B1906" s="7" t="inlineStr">
        <is>
          <t>TE-A-ME ICE BREWS MINT GREEN 18 PYRAMID ENV TEABAGS</t>
        </is>
      </c>
      <c r="C1906" s="7" t="inlineStr">
        <is>
          <t>TE-A-ME</t>
        </is>
      </c>
      <c r="D1906" s="7" t="n">
        <v>5645</v>
      </c>
      <c r="E1906" s="7" t="inlineStr">
        <is>
          <t>TE-A-ME LOOSE  ENV  ICE BREWS MINT GREEN PYRAMID ENV POUCH</t>
        </is>
      </c>
      <c r="F1906" s="7" t="n">
        <v>18</v>
      </c>
      <c r="G1906" s="7" t="inlineStr">
        <is>
          <t>ENV</t>
        </is>
      </c>
      <c r="H1906">
        <f>#N/A</f>
        <v/>
      </c>
    </row>
    <row r="1907" ht="14.25" customHeight="1" s="5">
      <c r="A1907" s="7" t="n">
        <v>3669</v>
      </c>
      <c r="B1907" s="7" t="inlineStr">
        <is>
          <t>TE-A-ME ICE BREWS MINT GREEN 24/18 PYRAMID ENV TEABAGS</t>
        </is>
      </c>
      <c r="C1907" s="7" t="inlineStr">
        <is>
          <t>TE-A-ME</t>
        </is>
      </c>
      <c r="D1907" s="7" t="n">
        <v>3670</v>
      </c>
      <c r="E1907" s="7" t="inlineStr">
        <is>
          <t>TE-A-ME ICE BREWS MINT GREEN 18 PYRAMID ENV TEABAGS</t>
        </is>
      </c>
      <c r="F1907" s="7" t="n">
        <v>24</v>
      </c>
      <c r="G1907" s="7" t="inlineStr">
        <is>
          <t>CTN</t>
        </is>
      </c>
      <c r="H1907" t="inlineStr">
        <is>
          <t>BLEND COLD BREW GREEN TEA MINT TB</t>
        </is>
      </c>
    </row>
    <row r="1908" ht="14.25" customHeight="1" s="5">
      <c r="A1908" s="7" t="n">
        <v>3675</v>
      </c>
      <c r="B1908" s="7" t="inlineStr">
        <is>
          <t>TE-A-ME ICE BREWS PEACH 18 PYRAMID ENV TEABAGS</t>
        </is>
      </c>
      <c r="C1908" s="7" t="inlineStr">
        <is>
          <t>TE-A-ME</t>
        </is>
      </c>
      <c r="D1908" s="7" t="n">
        <v>5646</v>
      </c>
      <c r="E1908" s="7" t="inlineStr">
        <is>
          <t>TE-A-ME LOOSE  ENV  ICE BREWS PEACH PYRAMID ENV POUCH</t>
        </is>
      </c>
      <c r="F1908" s="7" t="n">
        <v>18</v>
      </c>
      <c r="G1908" s="7" t="inlineStr">
        <is>
          <t>KGS</t>
        </is>
      </c>
      <c r="H1908">
        <f>#N/A</f>
        <v/>
      </c>
    </row>
    <row r="1909" ht="14.25" customHeight="1" s="5">
      <c r="A1909" s="7" t="n">
        <v>3674</v>
      </c>
      <c r="B1909" s="7" t="inlineStr">
        <is>
          <t>TE-A-ME ICE BREWS PEACH 24/18 PYRAMID ENV TEABAGS</t>
        </is>
      </c>
      <c r="C1909" s="7" t="inlineStr">
        <is>
          <t>TE-A-ME</t>
        </is>
      </c>
      <c r="D1909" s="7" t="n">
        <v>3675</v>
      </c>
      <c r="E1909" s="7" t="inlineStr">
        <is>
          <t>TE-A-ME ICE BREWS PEACH 18 PYRAMID ENV TEABAGS</t>
        </is>
      </c>
      <c r="F1909" s="7" t="n">
        <v>24</v>
      </c>
      <c r="G1909" s="7" t="inlineStr">
        <is>
          <t>CTN</t>
        </is>
      </c>
      <c r="H1909" t="inlineStr">
        <is>
          <t>BLEND COLD BREW BLACK TEA PEACH TB</t>
        </is>
      </c>
    </row>
    <row r="1910" ht="14.25" customHeight="1" s="5">
      <c r="A1910" s="7" t="n">
        <v>3680</v>
      </c>
      <c r="B1910" s="7" t="inlineStr">
        <is>
          <t>TE-A-ME ICE BREWS WILD BERRY 18 PYRAMID ENV TEABAGS</t>
        </is>
      </c>
      <c r="C1910" s="7" t="inlineStr">
        <is>
          <t>TE-A-ME</t>
        </is>
      </c>
      <c r="D1910" s="7" t="n">
        <v>5648</v>
      </c>
      <c r="E1910" s="7" t="inlineStr">
        <is>
          <t>TE-A-ME LOOSE  ENV  ICE BREWS WILD BERRY PYRAMID ENV POUCH</t>
        </is>
      </c>
      <c r="F1910" s="7" t="n">
        <v>18</v>
      </c>
      <c r="G1910" s="7" t="inlineStr">
        <is>
          <t>ENV</t>
        </is>
      </c>
      <c r="H1910">
        <f>#N/A</f>
        <v/>
      </c>
    </row>
    <row r="1911" ht="14.25" customHeight="1" s="5">
      <c r="A1911" s="7" t="n">
        <v>3679</v>
      </c>
      <c r="B1911" s="7" t="inlineStr">
        <is>
          <t>TE-A-ME ICE BREWS WILD BERRY 24/18 PYRAMID ENV TEABAGS</t>
        </is>
      </c>
      <c r="C1911" s="7" t="inlineStr">
        <is>
          <t>TE-A-ME</t>
        </is>
      </c>
      <c r="D1911" s="7" t="n">
        <v>3680</v>
      </c>
      <c r="E1911" s="7" t="inlineStr">
        <is>
          <t>TE-A-ME ICE BREWS WILD BERRY 18 PYRAMID ENV TEABAGS</t>
        </is>
      </c>
      <c r="F1911" s="7" t="n">
        <v>24</v>
      </c>
      <c r="G1911" s="7" t="inlineStr">
        <is>
          <t>CTN</t>
        </is>
      </c>
      <c r="H1911" t="inlineStr">
        <is>
          <t>BLEND COLD BREW FRUITY WILD BERRY TB</t>
        </is>
      </c>
    </row>
    <row r="1912" ht="14.25" customHeight="1" s="5">
      <c r="A1912" s="7" t="n">
        <v>17757</v>
      </c>
      <c r="B1912" s="7" t="inlineStr">
        <is>
          <t>TE-A-ME ICE LEMON 6/18 PYRAMID ENV TBGS</t>
        </is>
      </c>
      <c r="C1912" s="7" t="inlineStr">
        <is>
          <t>TE-A-ME</t>
        </is>
      </c>
      <c r="D1912" s="7" t="n">
        <v>17758</v>
      </c>
      <c r="E1912" s="7" t="inlineStr">
        <is>
          <t>TE-A-ME ICE BREWS LEMON 18 PYRAMID ENV TEABAGS-EOU</t>
        </is>
      </c>
      <c r="F1912" s="7" t="n">
        <v>6</v>
      </c>
      <c r="G1912" s="7" t="inlineStr">
        <is>
          <t>CTN</t>
        </is>
      </c>
      <c r="H1912">
        <f>#N/A</f>
        <v/>
      </c>
    </row>
    <row r="1913" ht="14.25" customHeight="1" s="5">
      <c r="A1913" s="7" t="n">
        <v>17765</v>
      </c>
      <c r="B1913" s="7" t="inlineStr">
        <is>
          <t>TE-A-ME ICE PEACH 6/18 PYRAMID ENV TBGS</t>
        </is>
      </c>
      <c r="C1913" s="7" t="inlineStr">
        <is>
          <t>TE-A-ME</t>
        </is>
      </c>
      <c r="D1913" s="7" t="n">
        <v>17764</v>
      </c>
      <c r="E1913" s="7" t="inlineStr">
        <is>
          <t>TE-A-ME ICE BREWS PEACH 18 PYRAMID ENV TEABAGS-EOU</t>
        </is>
      </c>
      <c r="F1913" s="7" t="n">
        <v>6</v>
      </c>
      <c r="G1913" s="7" t="inlineStr">
        <is>
          <t>CTN</t>
        </is>
      </c>
      <c r="H1913">
        <f>#N/A</f>
        <v/>
      </c>
    </row>
    <row r="1914" ht="14.25" customHeight="1" s="5">
      <c r="A1914" s="7" t="n">
        <v>32000</v>
      </c>
      <c r="B1914" s="8" t="inlineStr">
        <is>
          <t xml:space="preserve">TE-A-ME MASALA HORECA PKT LEAF [24 X 500 GM LAMINATE POUCH] 12 KG CFC
</t>
        </is>
      </c>
      <c r="C1914" s="7" t="inlineStr">
        <is>
          <t>TE-A-ME</t>
        </is>
      </c>
      <c r="D1914" s="7" t="n">
        <v>31973</v>
      </c>
      <c r="E1914" s="8" t="inlineStr">
        <is>
          <t xml:space="preserve">TE-A-ME MASALA HORECA PKT LEAF 500 GM POUCH
</t>
        </is>
      </c>
      <c r="F1914" s="7" t="n">
        <v>24</v>
      </c>
      <c r="G1914" s="7" t="inlineStr">
        <is>
          <t>POUCH</t>
        </is>
      </c>
      <c r="H1914" t="inlineStr">
        <is>
          <t>BLEND BLACK TEA MASALA HORECA PKT</t>
        </is>
      </c>
    </row>
    <row r="1915" ht="14.25" customHeight="1" s="5">
      <c r="A1915" s="7" t="n">
        <v>3689</v>
      </c>
      <c r="B1915" s="7" t="inlineStr">
        <is>
          <t>TE-A-ME JASMINE GREEN TEA 18/100 DC HS ENV TBGS (INSTITUTIONAL)</t>
        </is>
      </c>
      <c r="C1915" s="7" t="inlineStr">
        <is>
          <t>TE-A-ME</t>
        </is>
      </c>
      <c r="D1915" s="7" t="n">
        <v>3690</v>
      </c>
      <c r="E1915" s="7" t="inlineStr">
        <is>
          <t>TE-A-ME JASMINE GREEN TEA 100 DC HS ENV TBGS (INSTITUTIONAL)</t>
        </is>
      </c>
      <c r="F1915" s="7" t="n">
        <v>18</v>
      </c>
      <c r="G1915" s="7" t="inlineStr">
        <is>
          <t>CTN</t>
        </is>
      </c>
      <c r="H1915">
        <f>#N/A</f>
        <v/>
      </c>
    </row>
    <row r="1916" ht="14.25" customHeight="1" s="5">
      <c r="A1916" s="7" t="n">
        <v>3694</v>
      </c>
      <c r="B1916" s="7" t="inlineStr">
        <is>
          <t>TE-A-ME JASMINE GREEN TEA 18/100 DC SF HS ENV TBGS (INSTITUTIONAL)</t>
        </is>
      </c>
      <c r="C1916" s="7" t="inlineStr">
        <is>
          <t>TE-A-ME</t>
        </is>
      </c>
      <c r="D1916" s="7" t="n">
        <v>3695</v>
      </c>
      <c r="E1916" s="7" t="inlineStr">
        <is>
          <t>TE-A-ME JASMINE GREEN TEA 100 DC SF HS ENV TBGS (INSTITUTIONAL)</t>
        </is>
      </c>
      <c r="F1916" s="7" t="n">
        <v>18</v>
      </c>
      <c r="G1916" s="7" t="inlineStr">
        <is>
          <t>CTN</t>
        </is>
      </c>
      <c r="H1916" t="inlineStr">
        <is>
          <t>BLEND TEAME GREEN TEA JASMINE</t>
        </is>
      </c>
    </row>
    <row r="1917" ht="14.25" customHeight="1" s="5">
      <c r="A1917" s="7" t="n">
        <v>3697</v>
      </c>
      <c r="B1917" s="7" t="inlineStr">
        <is>
          <t>TE-A-ME JET CHAMOMILE 24/25 DC HS ENV TBGS</t>
        </is>
      </c>
      <c r="C1917" s="7" t="inlineStr">
        <is>
          <t>TE-A-ME</t>
        </is>
      </c>
      <c r="D1917" s="7" t="n">
        <v>3698</v>
      </c>
      <c r="E1917" s="7" t="inlineStr">
        <is>
          <t>TE-A-ME JET CHAMOMILE 25 DC HS ENV TBGS</t>
        </is>
      </c>
      <c r="F1917" s="7" t="n">
        <v>24</v>
      </c>
      <c r="G1917" s="7" t="inlineStr">
        <is>
          <t>CTN</t>
        </is>
      </c>
      <c r="H1917">
        <f>#N/A</f>
        <v/>
      </c>
    </row>
    <row r="1918" ht="14.25" customHeight="1" s="5">
      <c r="A1918" s="7" t="n">
        <v>3697</v>
      </c>
      <c r="B1918" s="7" t="inlineStr">
        <is>
          <t>TE-A-ME JET CHAMOMILE 24/25 DC HS ENV TBGS</t>
        </is>
      </c>
      <c r="C1918" s="7" t="inlineStr">
        <is>
          <t>TE-A-ME</t>
        </is>
      </c>
      <c r="D1918" s="7" t="n">
        <v>3337</v>
      </c>
      <c r="E1918" s="7" t="inlineStr">
        <is>
          <t>TE-A-ME SACHET 1/3 DC HS ENV TBGS</t>
        </is>
      </c>
      <c r="F1918" s="7" t="n">
        <v>24</v>
      </c>
      <c r="G1918" s="7" t="inlineStr">
        <is>
          <t>CFC</t>
        </is>
      </c>
      <c r="H1918">
        <f>#N/A</f>
        <v/>
      </c>
    </row>
    <row r="1919" ht="14.25" customHeight="1" s="5">
      <c r="A1919" s="7" t="n">
        <v>3699</v>
      </c>
      <c r="B1919" s="7" t="inlineStr">
        <is>
          <t>TE-A-ME JET CHAMOMILE 24/25 DC SF HS ENV TBGS</t>
        </is>
      </c>
      <c r="C1919" s="7" t="inlineStr">
        <is>
          <t>TE-A-ME</t>
        </is>
      </c>
      <c r="D1919" s="7" t="n">
        <v>3700</v>
      </c>
      <c r="E1919" s="7" t="inlineStr">
        <is>
          <t>TE-A-ME JET CHAMOMILE 25 DC SF HS ENV TBGS</t>
        </is>
      </c>
      <c r="F1919" s="7" t="n">
        <v>24</v>
      </c>
      <c r="G1919" s="7" t="inlineStr">
        <is>
          <t>CTN</t>
        </is>
      </c>
      <c r="H1919" t="inlineStr">
        <is>
          <t>BLEND CHAMOMILE TBC</t>
        </is>
      </c>
    </row>
    <row r="1920" ht="14.25" customHeight="1" s="5">
      <c r="A1920" s="7" t="n">
        <v>3699</v>
      </c>
      <c r="B1920" s="7" t="inlineStr">
        <is>
          <t>TE-A-ME JET CHAMOMILE 24/25 DC SF HS ENV TBGS</t>
        </is>
      </c>
      <c r="C1920" s="7" t="inlineStr">
        <is>
          <t>TE-A-ME</t>
        </is>
      </c>
      <c r="D1920" s="7" t="n">
        <v>3337</v>
      </c>
      <c r="E1920" s="7" t="inlineStr">
        <is>
          <t>TE-A-ME SACHET 1/3 DC HS ENV TBGS</t>
        </is>
      </c>
      <c r="F1920" s="7" t="n">
        <v>24</v>
      </c>
      <c r="G1920" s="7" t="inlineStr">
        <is>
          <t>CFC</t>
        </is>
      </c>
      <c r="H1920">
        <f>#N/A</f>
        <v/>
      </c>
    </row>
    <row r="1921" ht="14.25" customHeight="1" s="5">
      <c r="A1921" s="7" t="n">
        <v>22124</v>
      </c>
      <c r="B1921" s="7" t="inlineStr">
        <is>
          <t>TE-A-ME KADHA GREEN 18/100 DC SF HS ENV TBGS</t>
        </is>
      </c>
      <c r="C1921" s="7" t="inlineStr">
        <is>
          <t>TE-A-ME</t>
        </is>
      </c>
      <c r="D1921" s="7" t="n">
        <v>32305</v>
      </c>
      <c r="E1921" s="7" t="inlineStr">
        <is>
          <t>TE-A-ME KADHA GREEN TEA 100 TBGS DC SF HS ENV</t>
        </is>
      </c>
      <c r="F1921" s="7" t="n">
        <v>18</v>
      </c>
      <c r="G1921" s="7" t="inlineStr">
        <is>
          <t>CTN</t>
        </is>
      </c>
      <c r="H1921" t="inlineStr">
        <is>
          <t>BLEND GREEN TEA KADHA TBC</t>
        </is>
      </c>
    </row>
    <row r="1922" ht="14.25" customHeight="1" s="5">
      <c r="A1922" s="7" t="n">
        <v>22584</v>
      </c>
      <c r="B1922" s="7" t="inlineStr">
        <is>
          <t>TE-A-ME KADHA GREEN 18/100 SC HS ENV TBGS</t>
        </is>
      </c>
      <c r="C1922" s="7" t="inlineStr">
        <is>
          <t>TE-A-ME</t>
        </is>
      </c>
      <c r="D1922" s="7" t="n">
        <v>22588</v>
      </c>
      <c r="E1922" s="7" t="inlineStr">
        <is>
          <t>TE-A-ME KADHA GREEN 100 SC HS ENV TBGS</t>
        </is>
      </c>
      <c r="F1922" s="7" t="n">
        <v>18</v>
      </c>
      <c r="G1922" s="7" t="inlineStr">
        <is>
          <t>CTN</t>
        </is>
      </c>
      <c r="H1922" t="inlineStr">
        <is>
          <t>BLEND GREEN TEA KADHA TBC</t>
        </is>
      </c>
    </row>
    <row r="1923" ht="14.25" customHeight="1" s="5">
      <c r="A1923" s="7" t="n">
        <v>22589</v>
      </c>
      <c r="B1923" s="7" t="inlineStr">
        <is>
          <t>TE-A-ME KADHA GREEN 25 SC HS ENV TBGS</t>
        </is>
      </c>
      <c r="C1923" s="7" t="inlineStr">
        <is>
          <t>TE-A-ME</t>
        </is>
      </c>
      <c r="D1923" s="7" t="n">
        <v>32799</v>
      </c>
      <c r="E1923" s="7" t="inlineStr">
        <is>
          <t>TE-A-ME KADHA GREEN TEA 25 DC SF HS ENV TEABAGS</t>
        </is>
      </c>
      <c r="F1923" s="7" t="n">
        <v>1</v>
      </c>
      <c r="G1923" s="7" t="inlineStr">
        <is>
          <t>CTN</t>
        </is>
      </c>
      <c r="H1923" t="inlineStr">
        <is>
          <t>BLEND GREEN TEA KADHA TBC</t>
        </is>
      </c>
    </row>
    <row r="1924" ht="14.25" customHeight="1" s="5">
      <c r="A1924" s="7" t="n">
        <v>22507</v>
      </c>
      <c r="B1924" s="7" t="inlineStr">
        <is>
          <t>TE-A-ME KADHA GREEN TEA 24/25 DC SF HS ENV TBGS</t>
        </is>
      </c>
      <c r="C1924" s="7" t="inlineStr">
        <is>
          <t>TE-A-ME</t>
        </is>
      </c>
      <c r="D1924" s="7" t="n">
        <v>32799</v>
      </c>
      <c r="E1924" s="7" t="inlineStr">
        <is>
          <t>TE-A-ME KADHA GREEN TEA 25 DC SF HS ENV TEABAGS</t>
        </is>
      </c>
      <c r="F1924" s="7" t="n">
        <v>24</v>
      </c>
      <c r="G1924" s="7" t="inlineStr">
        <is>
          <t>CTN</t>
        </is>
      </c>
      <c r="H1924" t="inlineStr">
        <is>
          <t>BLEND GREEN TEA KADHA TBC</t>
        </is>
      </c>
    </row>
    <row r="1925" ht="14.25" customHeight="1" s="5">
      <c r="A1925" s="7" t="n">
        <v>22585</v>
      </c>
      <c r="B1925" s="7" t="inlineStr">
        <is>
          <t>TE-A-ME KADHA GREEN TEA 24/25 SC HS ENV TBGS</t>
        </is>
      </c>
      <c r="C1925" s="7" t="inlineStr">
        <is>
          <t>TE-A-ME</t>
        </is>
      </c>
      <c r="D1925" s="7" t="n">
        <v>22589</v>
      </c>
      <c r="E1925" s="7" t="inlineStr">
        <is>
          <t>TE-A-ME KADHA GREEN 25 SC HS ENV TBGS</t>
        </is>
      </c>
      <c r="F1925" s="7" t="n">
        <v>24</v>
      </c>
      <c r="G1925" s="7" t="inlineStr">
        <is>
          <t>CTN</t>
        </is>
      </c>
      <c r="H1925" t="inlineStr">
        <is>
          <t>BLEND GREEN TEA KADHA TBC</t>
        </is>
      </c>
    </row>
    <row r="1926" ht="14.25" customHeight="1" s="5">
      <c r="A1926" s="7" t="n">
        <v>22586</v>
      </c>
      <c r="B1926" s="7" t="inlineStr">
        <is>
          <t>TE-A-ME KADHA GREEN TEA 72/10  SC HS ENV TBGS</t>
        </is>
      </c>
      <c r="C1926" s="7" t="inlineStr">
        <is>
          <t>TE-A-ME</t>
        </is>
      </c>
      <c r="D1926" s="7" t="n">
        <v>22590</v>
      </c>
      <c r="E1926" s="7" t="inlineStr">
        <is>
          <t>TE-A-ME KADHA GREEN TEA 10  SC HS ENV TBGS</t>
        </is>
      </c>
      <c r="F1926" s="7" t="n">
        <v>72</v>
      </c>
      <c r="G1926" s="7" t="inlineStr">
        <is>
          <t>CTN</t>
        </is>
      </c>
      <c r="H1926" t="inlineStr">
        <is>
          <t>BLEND GREEN TEA KADHA TBC</t>
        </is>
      </c>
    </row>
    <row r="1927" ht="14.25" customHeight="1" s="5">
      <c r="A1927" s="7" t="n">
        <v>3701</v>
      </c>
      <c r="B1927" s="7" t="inlineStr">
        <is>
          <t>TE-A-ME KASHMIRI KAHWA TEA 18/100 DC HS ENV TBGS (INSTITUTIONAL)</t>
        </is>
      </c>
      <c r="C1927" s="7" t="inlineStr">
        <is>
          <t>TE-A-ME</t>
        </is>
      </c>
      <c r="D1927" s="7" t="n">
        <v>3702</v>
      </c>
      <c r="E1927" s="7" t="inlineStr">
        <is>
          <t>TE-A-ME KASHMIRI KAHWA TEA 100 DC HS ENV TBGS (INSTITUTIONAL)</t>
        </is>
      </c>
      <c r="F1927" s="7" t="n">
        <v>18</v>
      </c>
      <c r="G1927" s="7" t="inlineStr">
        <is>
          <t>CTN</t>
        </is>
      </c>
      <c r="H1927">
        <f>#N/A</f>
        <v/>
      </c>
    </row>
    <row r="1928" ht="14.25" customHeight="1" s="5">
      <c r="A1928" s="7" t="n">
        <v>3704</v>
      </c>
      <c r="B1928" s="7" t="inlineStr">
        <is>
          <t>TE-A-ME LEMON  36/100 DC TAG TBGS (INSTITUTIONAL)</t>
        </is>
      </c>
      <c r="C1928" s="7" t="inlineStr">
        <is>
          <t>TE-A-ME</t>
        </is>
      </c>
      <c r="D1928" s="7" t="n">
        <v>3705</v>
      </c>
      <c r="E1928" s="7" t="inlineStr">
        <is>
          <t>TE-A-ME LEMON  100 DC TAG TBGS (INSTITUTIONAL)</t>
        </is>
      </c>
      <c r="F1928" s="7" t="n">
        <v>36</v>
      </c>
      <c r="G1928" s="7" t="inlineStr">
        <is>
          <t>CTN</t>
        </is>
      </c>
      <c r="H1928" t="inlineStr">
        <is>
          <t>BLEND CCD LEMON</t>
        </is>
      </c>
    </row>
    <row r="1929" ht="14.25" customHeight="1" s="5">
      <c r="A1929" s="7" t="n">
        <v>34865</v>
      </c>
      <c r="B1929" s="7" t="inlineStr">
        <is>
          <t>TE-A-ME LEMON 36/100 DC STAPLE FREE TBGS-HUL</t>
        </is>
      </c>
      <c r="C1929" s="7" t="inlineStr">
        <is>
          <t>TE-A-ME</t>
        </is>
      </c>
      <c r="D1929" s="7" t="n">
        <v>34825</v>
      </c>
      <c r="E1929" s="7" t="inlineStr">
        <is>
          <t>TE-A-ME LEMON 100 DC STAPLE FREE TBGS-XS</t>
        </is>
      </c>
      <c r="F1929" s="7" t="n">
        <v>36</v>
      </c>
      <c r="G1929" s="7" t="inlineStr">
        <is>
          <t>CTN</t>
        </is>
      </c>
      <c r="H1929" t="inlineStr">
        <is>
          <t>BLEND BLACK TEA LEMON XS HUL TB</t>
        </is>
      </c>
    </row>
    <row r="1930" ht="14.25" customHeight="1" s="5">
      <c r="A1930" s="7" t="n">
        <v>36947</v>
      </c>
      <c r="B1930" s="7" t="inlineStr">
        <is>
          <t>TE-A-ME LEMON GINGER 24/25 DC HS SF ENV TBGS</t>
        </is>
      </c>
      <c r="C1930" s="7" t="inlineStr">
        <is>
          <t>TE-A-ME</t>
        </is>
      </c>
      <c r="D1930" s="7" t="n">
        <v>36693</v>
      </c>
      <c r="E1930" s="7" t="inlineStr">
        <is>
          <t>TE-A-ME LEMON GINGER 25 DC HS SF ENV TBGS</t>
        </is>
      </c>
      <c r="F1930" s="7" t="n">
        <v>24</v>
      </c>
      <c r="G1930" s="7" t="inlineStr">
        <is>
          <t>CTN</t>
        </is>
      </c>
      <c r="H1930" t="inlineStr">
        <is>
          <t>BLEND LEMON GINGER HERBAL TB</t>
        </is>
      </c>
    </row>
    <row r="1931" ht="14.25" customHeight="1" s="5">
      <c r="A1931" s="7" t="n">
        <v>3707</v>
      </c>
      <c r="B1931" s="7" t="inlineStr">
        <is>
          <t>TE-A-ME LEMON TEA 18/100 DC HS ENV TBGS (INSTITUTIONAL)</t>
        </is>
      </c>
      <c r="C1931" s="7" t="inlineStr">
        <is>
          <t>TE-A-ME</t>
        </is>
      </c>
      <c r="D1931" s="7" t="n">
        <v>3708</v>
      </c>
      <c r="E1931" s="7" t="inlineStr">
        <is>
          <t>TE-A-ME LEMON TEA 100 DC HS ENV TBGS (INSTITUTIONAL)</t>
        </is>
      </c>
      <c r="F1931" s="7" t="n">
        <v>18</v>
      </c>
      <c r="G1931" s="7" t="inlineStr">
        <is>
          <t>CTN</t>
        </is>
      </c>
      <c r="H1931">
        <f>#N/A</f>
        <v/>
      </c>
    </row>
    <row r="1932" ht="14.25" customHeight="1" s="5">
      <c r="A1932" s="7" t="n">
        <v>3712</v>
      </c>
      <c r="B1932" s="7" t="inlineStr">
        <is>
          <t>TE-A-ME LEMON TEA 18/100 DC SF HS ENV TBGS (INSTITUTIONAL)</t>
        </is>
      </c>
      <c r="C1932" s="7" t="inlineStr">
        <is>
          <t>TE-A-ME</t>
        </is>
      </c>
      <c r="D1932" s="7" t="n">
        <v>3713</v>
      </c>
      <c r="E1932" s="7" t="inlineStr">
        <is>
          <t>TE-A-ME LEMON TEA 100 DC SF HS ENV TBGS (INSTITUTIONAL)</t>
        </is>
      </c>
      <c r="F1932" s="7" t="n">
        <v>18</v>
      </c>
      <c r="G1932" s="7" t="inlineStr">
        <is>
          <t>CTN</t>
        </is>
      </c>
      <c r="H1932" t="inlineStr">
        <is>
          <t>BLEND CCD LEMON</t>
        </is>
      </c>
    </row>
    <row r="1933" ht="14.25" customHeight="1" s="5">
      <c r="A1933" s="7" t="n">
        <v>34858</v>
      </c>
      <c r="B1933" s="7" t="inlineStr">
        <is>
          <t>TE-A-ME LEMON TEA 18/100 DC SF HS ENV TBGS-HUL</t>
        </is>
      </c>
      <c r="C1933" s="7" t="inlineStr">
        <is>
          <t>TE-A-ME</t>
        </is>
      </c>
      <c r="D1933" s="7" t="n">
        <v>34826</v>
      </c>
      <c r="E1933" s="7" t="inlineStr">
        <is>
          <t>TE-A-ME LEMON TEA 100 DC SF HS ENV TBGS-XS</t>
        </is>
      </c>
      <c r="F1933" s="7" t="n">
        <v>18</v>
      </c>
      <c r="G1933" s="7" t="inlineStr">
        <is>
          <t>CTN</t>
        </is>
      </c>
      <c r="H1933" t="inlineStr">
        <is>
          <t>BLEND BLACK TEA LEMON XS HUL TB</t>
        </is>
      </c>
    </row>
    <row r="1934" ht="14.25" customHeight="1" s="5">
      <c r="A1934" s="7" t="n">
        <v>36946</v>
      </c>
      <c r="B1934" s="7" t="inlineStr">
        <is>
          <t>TE-A-ME LEMONGRASS GINGER GREEN TEA 24/25 DC HS SF ENV TBGS</t>
        </is>
      </c>
      <c r="C1934" s="7" t="inlineStr">
        <is>
          <t>TE-A-ME</t>
        </is>
      </c>
      <c r="D1934" s="7" t="n">
        <v>36692</v>
      </c>
      <c r="E1934" s="7" t="inlineStr">
        <is>
          <t>TE-A-ME LEMONGRASS GINGER GREEN TEA 25 DC HS SF ENV TBGS</t>
        </is>
      </c>
      <c r="F1934" s="7" t="n">
        <v>24</v>
      </c>
      <c r="G1934" s="7" t="inlineStr">
        <is>
          <t>CTN</t>
        </is>
      </c>
      <c r="H1934" t="inlineStr">
        <is>
          <t>BLEND GREEN TEA LEMONGRASS GINGER TBC</t>
        </is>
      </c>
    </row>
    <row r="1935" ht="14.25" customHeight="1" s="5">
      <c r="A1935" s="7" t="n">
        <v>3715</v>
      </c>
      <c r="B1935" s="7" t="inlineStr">
        <is>
          <t>TE-A-ME LETOZIS ASSORTED GIFT BOX 48 DC HS ENV TBGS</t>
        </is>
      </c>
      <c r="C1935" s="7" t="inlineStr">
        <is>
          <t>TE-A-ME</t>
        </is>
      </c>
      <c r="D1935" s="7" t="n">
        <v>3417</v>
      </c>
      <c r="E1935" s="7" t="inlineStr">
        <is>
          <t>TE-A-ME LOOSE TBGS NATURAL GREEN TEAS KASHMIRI KAHWA TEA DC HS ENV</t>
        </is>
      </c>
      <c r="F1935" s="7" t="n">
        <v>8</v>
      </c>
      <c r="G1935" s="7" t="inlineStr">
        <is>
          <t>TBGS</t>
        </is>
      </c>
      <c r="H1935">
        <f>#N/A</f>
        <v/>
      </c>
    </row>
    <row r="1936" ht="14.25" customHeight="1" s="5">
      <c r="A1936" s="7" t="n">
        <v>3715</v>
      </c>
      <c r="B1936" s="7" t="inlineStr">
        <is>
          <t>TE-A-ME LETOZIS ASSORTED GIFT BOX 48 DC HS ENV TBGS</t>
        </is>
      </c>
      <c r="C1936" s="7" t="inlineStr">
        <is>
          <t>TE-A-ME</t>
        </is>
      </c>
      <c r="D1936" s="7" t="n">
        <v>3420</v>
      </c>
      <c r="E1936" s="7" t="inlineStr">
        <is>
          <t>TE-A-ME LOOSE TBGS WELLNESS INFUSIONS TULSI GREEN DC HS ENV</t>
        </is>
      </c>
      <c r="F1936" s="7" t="n">
        <v>8</v>
      </c>
      <c r="G1936" s="7" t="inlineStr">
        <is>
          <t>TBGS</t>
        </is>
      </c>
      <c r="H1936">
        <f>#N/A</f>
        <v/>
      </c>
    </row>
    <row r="1937" ht="14.25" customHeight="1" s="5">
      <c r="A1937" s="7" t="n">
        <v>3715</v>
      </c>
      <c r="B1937" s="7" t="inlineStr">
        <is>
          <t>TE-A-ME LETOZIS ASSORTED GIFT BOX 48 DC HS ENV TBGS</t>
        </is>
      </c>
      <c r="C1937" s="7" t="inlineStr">
        <is>
          <t>TE-A-ME</t>
        </is>
      </c>
      <c r="D1937" s="7" t="n">
        <v>3416</v>
      </c>
      <c r="E1937" s="7" t="inlineStr">
        <is>
          <t>TE-A-ME LOOSE TBGS NATURAL GREEN TEAS JASMINE GREEN DC HS ENV</t>
        </is>
      </c>
      <c r="F1937" s="7" t="n">
        <v>8</v>
      </c>
      <c r="G1937" s="7" t="inlineStr">
        <is>
          <t>TBGS</t>
        </is>
      </c>
      <c r="H1937">
        <f>#N/A</f>
        <v/>
      </c>
    </row>
    <row r="1938" ht="14.25" customHeight="1" s="5">
      <c r="A1938" s="7" t="n">
        <v>3715</v>
      </c>
      <c r="B1938" s="7" t="inlineStr">
        <is>
          <t>TE-A-ME LETOZIS ASSORTED GIFT BOX 48 DC HS ENV TBGS</t>
        </is>
      </c>
      <c r="C1938" s="7" t="inlineStr">
        <is>
          <t>TE-A-ME</t>
        </is>
      </c>
      <c r="D1938" s="7" t="n">
        <v>3419</v>
      </c>
      <c r="E1938" s="7" t="inlineStr">
        <is>
          <t>TE-A-ME LOOSE TBGS SIGNATURE BLACK TEAS DARJEELING DC HS ENV</t>
        </is>
      </c>
      <c r="F1938" s="7" t="n">
        <v>8</v>
      </c>
      <c r="G1938" s="7" t="inlineStr">
        <is>
          <t>TBGS</t>
        </is>
      </c>
      <c r="H1938">
        <f>#N/A</f>
        <v/>
      </c>
    </row>
    <row r="1939" ht="14.25" customHeight="1" s="5">
      <c r="A1939" s="7" t="n">
        <v>3715</v>
      </c>
      <c r="B1939" s="7" t="inlineStr">
        <is>
          <t>TE-A-ME LETOZIS ASSORTED GIFT BOX 48 DC HS ENV TBGS</t>
        </is>
      </c>
      <c r="C1939" s="7" t="inlineStr">
        <is>
          <t>TE-A-ME</t>
        </is>
      </c>
      <c r="D1939" s="7" t="n">
        <v>3415</v>
      </c>
      <c r="E1939" s="7" t="inlineStr">
        <is>
          <t>TE-A-ME LOOSE TBGS NATURAL GREEN TEAS GREEN DC HS ENV</t>
        </is>
      </c>
      <c r="F1939" s="7" t="n">
        <v>8</v>
      </c>
      <c r="G1939" s="7" t="inlineStr">
        <is>
          <t>TBGS</t>
        </is>
      </c>
      <c r="H1939">
        <f>#N/A</f>
        <v/>
      </c>
    </row>
    <row r="1940" ht="14.25" customHeight="1" s="5">
      <c r="A1940" s="7" t="n">
        <v>3715</v>
      </c>
      <c r="B1940" s="7" t="inlineStr">
        <is>
          <t>TE-A-ME LETOZIS ASSORTED GIFT BOX 48 DC HS ENV TBGS</t>
        </is>
      </c>
      <c r="C1940" s="7" t="inlineStr">
        <is>
          <t>TE-A-ME</t>
        </is>
      </c>
      <c r="D1940" s="7" t="n">
        <v>3418</v>
      </c>
      <c r="E1940" s="7" t="inlineStr">
        <is>
          <t>TE-A-ME LOOSE TBGS NATURAL GREEN TEAS MINT GREEN TEA DC HS ENV</t>
        </is>
      </c>
      <c r="F1940" s="7" t="n">
        <v>8</v>
      </c>
      <c r="G1940" s="7" t="inlineStr">
        <is>
          <t>TBGS</t>
        </is>
      </c>
      <c r="H1940">
        <f>#N/A</f>
        <v/>
      </c>
    </row>
    <row r="1941" ht="14.25" customHeight="1" s="5">
      <c r="A1941" s="7" t="n">
        <v>31593</v>
      </c>
      <c r="B1941" s="7" t="inlineStr">
        <is>
          <t>TE-A-ME LONG LEAF GREEN 24/500 GMS PKT TEA</t>
        </is>
      </c>
      <c r="C1941" s="7" t="inlineStr">
        <is>
          <t>TE-A-ME</t>
        </is>
      </c>
      <c r="D1941" s="7" t="n">
        <v>31591</v>
      </c>
      <c r="E1941" s="7" t="inlineStr">
        <is>
          <t>TE-A-ME LONG LEAF GREEN 500 GMS PKT TEA</t>
        </is>
      </c>
      <c r="F1941" s="7" t="n">
        <v>24</v>
      </c>
      <c r="G1941" s="7" t="inlineStr">
        <is>
          <t>CTN</t>
        </is>
      </c>
      <c r="H1941" t="inlineStr">
        <is>
          <t>BLEND STD-MJM2</t>
        </is>
      </c>
    </row>
    <row r="1942" ht="14.25" customHeight="1" s="5">
      <c r="A1942" s="7" t="n">
        <v>5641</v>
      </c>
      <c r="B1942" s="7" t="inlineStr">
        <is>
          <t>TE-A-ME LOOSE  ENV  ICE BREWS LEMON PYRAMID ENV POUCH</t>
        </is>
      </c>
      <c r="C1942" s="7" t="inlineStr">
        <is>
          <t>TE-A-ME</t>
        </is>
      </c>
      <c r="D1942" s="7" t="n">
        <v>3652</v>
      </c>
      <c r="E1942" s="7" t="inlineStr">
        <is>
          <t>TE-A-ME LOOSE TBGS ICE BREWS LEMON PYRAMID</t>
        </is>
      </c>
      <c r="F1942" s="7" t="n">
        <v>1</v>
      </c>
      <c r="G1942" s="7" t="inlineStr">
        <is>
          <t>TBGS</t>
        </is>
      </c>
      <c r="H1942" t="inlineStr">
        <is>
          <t>BLEND COLD BREW BLACK TEA LEMON TB</t>
        </is>
      </c>
    </row>
    <row r="1943" ht="14.25" customHeight="1" s="5">
      <c r="A1943" s="7" t="n">
        <v>5643</v>
      </c>
      <c r="B1943" s="7" t="inlineStr">
        <is>
          <t>TE-A-ME LOOSE  ENV  ICE BREWS LYCHEE PYRAMID ENV POUCH</t>
        </is>
      </c>
      <c r="C1943" s="7" t="inlineStr">
        <is>
          <t>TE-A-ME</t>
        </is>
      </c>
      <c r="D1943" s="7" t="n">
        <v>3651</v>
      </c>
      <c r="E1943" s="7" t="inlineStr">
        <is>
          <t>TE-A-ME LOOSE TBGS ICE BREWS LYCHEE PYRAMID</t>
        </is>
      </c>
      <c r="F1943" s="7" t="n">
        <v>1</v>
      </c>
      <c r="G1943" s="7" t="inlineStr">
        <is>
          <t>TBGS</t>
        </is>
      </c>
      <c r="H1943" t="inlineStr">
        <is>
          <t>BLEND COLD BREW FRUITY LYCHEE TB</t>
        </is>
      </c>
    </row>
    <row r="1944" ht="14.25" customHeight="1" s="5">
      <c r="A1944" s="7" t="n">
        <v>5645</v>
      </c>
      <c r="B1944" s="7" t="inlineStr">
        <is>
          <t>TE-A-ME LOOSE  ENV  ICE BREWS MINT GREEN PYRAMID ENV POUCH</t>
        </is>
      </c>
      <c r="C1944" s="7" t="inlineStr">
        <is>
          <t>TE-A-ME</t>
        </is>
      </c>
      <c r="D1944" s="7" t="n">
        <v>3650</v>
      </c>
      <c r="E1944" s="7" t="inlineStr">
        <is>
          <t>TE-A-ME LOOSE TBGS ICE BREWS MINT GREEN PYRAMID</t>
        </is>
      </c>
      <c r="F1944" s="7" t="n">
        <v>1</v>
      </c>
      <c r="G1944" s="7" t="inlineStr">
        <is>
          <t>TBGS</t>
        </is>
      </c>
      <c r="H1944" t="inlineStr">
        <is>
          <t>BLEND COLD BREW GREEN TEA MINT TB</t>
        </is>
      </c>
    </row>
    <row r="1945" ht="14.25" customHeight="1" s="5">
      <c r="A1945" s="7" t="n">
        <v>5646</v>
      </c>
      <c r="B1945" s="7" t="inlineStr">
        <is>
          <t>TE-A-ME LOOSE  ENV  ICE BREWS PEACH PYRAMID ENV POUCH</t>
        </is>
      </c>
      <c r="C1945" s="7" t="inlineStr">
        <is>
          <t>TE-A-ME</t>
        </is>
      </c>
      <c r="D1945" s="7" t="n">
        <v>3649</v>
      </c>
      <c r="E1945" s="7" t="inlineStr">
        <is>
          <t>TE-A-ME LOOSE TBGS ICE BREWS PEACH PYRAMID</t>
        </is>
      </c>
      <c r="F1945" s="7" t="n">
        <v>1</v>
      </c>
      <c r="G1945" s="7" t="inlineStr">
        <is>
          <t>TBGS</t>
        </is>
      </c>
      <c r="H1945" t="inlineStr">
        <is>
          <t>BLEND COLD BREW BLACK TEA PEACH TB</t>
        </is>
      </c>
    </row>
    <row r="1946" ht="14.25" customHeight="1" s="5">
      <c r="A1946" s="7" t="n">
        <v>5648</v>
      </c>
      <c r="B1946" s="7" t="inlineStr">
        <is>
          <t>TE-A-ME LOOSE  ENV  ICE BREWS WILD BERRY PYRAMID ENV POUCH</t>
        </is>
      </c>
      <c r="C1946" s="7" t="inlineStr">
        <is>
          <t>TE-A-ME</t>
        </is>
      </c>
      <c r="D1946" s="7" t="n">
        <v>3648</v>
      </c>
      <c r="E1946" s="7" t="inlineStr">
        <is>
          <t>TE-A-ME LOOSE TBGS ICE BREWS WILD BERRY PYRAMID</t>
        </is>
      </c>
      <c r="F1946" s="7" t="n">
        <v>1</v>
      </c>
      <c r="G1946" s="7" t="inlineStr">
        <is>
          <t>TBGS</t>
        </is>
      </c>
      <c r="H1946" t="inlineStr">
        <is>
          <t>BLEND COLD BREW FRUITY WILD BERRY TB</t>
        </is>
      </c>
    </row>
    <row r="1947" ht="14.25" customHeight="1" s="5">
      <c r="A1947" s="7" t="n">
        <v>17756</v>
      </c>
      <c r="B1947" s="7" t="inlineStr">
        <is>
          <t>TE-A-ME LOOSE  ENV ICE BREWS LEMON PYRAMID ENV POUCH-EOU</t>
        </is>
      </c>
      <c r="C1947" s="7" t="inlineStr">
        <is>
          <t>TE-A-ME</t>
        </is>
      </c>
      <c r="D1947" s="7" t="n">
        <v>17752</v>
      </c>
      <c r="E1947" s="7" t="inlineStr">
        <is>
          <t>TE-A-ME LOOSE TBGS ICE BREWS LEMON PYRAMID-EOU</t>
        </is>
      </c>
      <c r="F1947" s="7" t="n">
        <v>1</v>
      </c>
      <c r="G1947" s="7" t="inlineStr">
        <is>
          <t>TBGS</t>
        </is>
      </c>
      <c r="H1947" t="inlineStr">
        <is>
          <t>BLEND COLD BREW BLACK TEA LEMON TB - EOU</t>
        </is>
      </c>
    </row>
    <row r="1948" ht="14.25" customHeight="1" s="5">
      <c r="A1948" s="7" t="n">
        <v>17762</v>
      </c>
      <c r="B1948" s="7" t="inlineStr">
        <is>
          <t>TE-A-ME LOOSE  ENV ICE BREWS PEACH PYRAMID ENV POUCH-EOU</t>
        </is>
      </c>
      <c r="C1948" s="7" t="inlineStr">
        <is>
          <t>TE-A-ME</t>
        </is>
      </c>
      <c r="D1948" s="7" t="n">
        <v>17759</v>
      </c>
      <c r="E1948" s="7" t="inlineStr">
        <is>
          <t>TE-A-ME LOOSE TBGS ICE BREWS PEACH PYRAMID-EOU</t>
        </is>
      </c>
      <c r="F1948" s="7" t="n">
        <v>1</v>
      </c>
      <c r="G1948" s="7" t="inlineStr">
        <is>
          <t>TBGS</t>
        </is>
      </c>
      <c r="H1948" t="inlineStr">
        <is>
          <t>BLEND COLD BREW BLACK TEA PEACH TB - EOU</t>
        </is>
      </c>
    </row>
    <row r="1949" ht="14.25" customHeight="1" s="5">
      <c r="A1949" s="7" t="n">
        <v>3739</v>
      </c>
      <c r="B1949" s="7" t="inlineStr">
        <is>
          <t>TE-A-ME LOOSE TEA INSTITUTIONAL 48/250 GMS PKT TEA</t>
        </is>
      </c>
      <c r="C1949" s="7" t="inlineStr">
        <is>
          <t>TE-A-ME</t>
        </is>
      </c>
      <c r="D1949" s="7" t="n">
        <v>3740</v>
      </c>
      <c r="E1949" s="7" t="inlineStr">
        <is>
          <t>TE-A-ME LOOSE TEA INSTITUTIONAL 250 GMS PKT TEA</t>
        </is>
      </c>
      <c r="F1949" s="7" t="n">
        <v>48</v>
      </c>
      <c r="G1949" s="7" t="inlineStr">
        <is>
          <t>CTN</t>
        </is>
      </c>
      <c r="H1949" t="inlineStr">
        <is>
          <t>BLEND TV</t>
        </is>
      </c>
    </row>
    <row r="1950" ht="14.25" customHeight="1" s="5">
      <c r="A1950" s="7" t="n">
        <v>3752</v>
      </c>
      <c r="B1950" s="7" t="inlineStr">
        <is>
          <t>TE-A-ME MASALA TEA 18/100 DC HS ENV TBGS (INSTITUTIONAL)</t>
        </is>
      </c>
      <c r="C1950" s="7" t="inlineStr">
        <is>
          <t>TE-A-ME</t>
        </is>
      </c>
      <c r="D1950" s="7" t="n">
        <v>3753</v>
      </c>
      <c r="E1950" s="7" t="inlineStr">
        <is>
          <t>TE-A-ME MASALA TEA 100 DC HS ENV TBGS (INSTITUTIONAL)</t>
        </is>
      </c>
      <c r="F1950" s="7" t="n">
        <v>18</v>
      </c>
      <c r="G1950" s="7" t="inlineStr">
        <is>
          <t>CTN</t>
        </is>
      </c>
      <c r="H1950">
        <f>#N/A</f>
        <v/>
      </c>
    </row>
    <row r="1951" ht="14.25" customHeight="1" s="5">
      <c r="A1951" s="7" t="n">
        <v>3756</v>
      </c>
      <c r="B1951" s="7" t="inlineStr">
        <is>
          <t>TE-A-ME MASALA TEA 18/100 DC SF HS ENV TBGS (INSTITUTIONAL)</t>
        </is>
      </c>
      <c r="C1951" s="7" t="inlineStr">
        <is>
          <t>TE-A-ME</t>
        </is>
      </c>
      <c r="D1951" s="7" t="n">
        <v>3757</v>
      </c>
      <c r="E1951" s="7" t="inlineStr">
        <is>
          <t>TE-A-ME MASALA TEA 100 DC SF HS ENV TBGS (INSTITUTIONAL)</t>
        </is>
      </c>
      <c r="F1951" s="7" t="n">
        <v>18</v>
      </c>
      <c r="G1951" s="7" t="inlineStr">
        <is>
          <t>CTN</t>
        </is>
      </c>
      <c r="H1951" t="inlineStr">
        <is>
          <t>BLEND BLACK TEA MASALA TBC</t>
        </is>
      </c>
    </row>
    <row r="1952" ht="14.25" customHeight="1" s="5">
      <c r="A1952" s="7" t="n">
        <v>34859</v>
      </c>
      <c r="B1952" s="7" t="inlineStr">
        <is>
          <t>TE-A-ME MASALA TEA 18/100 DC SF HS ENV TBGS-HUL</t>
        </is>
      </c>
      <c r="C1952" s="7" t="inlineStr">
        <is>
          <t>TE-A-ME</t>
        </is>
      </c>
      <c r="D1952" s="7" t="n">
        <v>34834</v>
      </c>
      <c r="E1952" s="7" t="inlineStr">
        <is>
          <t>TE-A-ME MASALA TEA 100 DC SF HS ENV TBGS-XS</t>
        </is>
      </c>
      <c r="F1952" s="7" t="n">
        <v>18</v>
      </c>
      <c r="G1952" s="7" t="inlineStr">
        <is>
          <t>CTN</t>
        </is>
      </c>
      <c r="H1952" t="inlineStr">
        <is>
          <t>BLEND BLACK TEA MASALA XS HUL TB</t>
        </is>
      </c>
    </row>
    <row r="1953" ht="14.25" customHeight="1" s="5">
      <c r="A1953" s="7" t="n">
        <v>17877</v>
      </c>
      <c r="B1953" s="7" t="inlineStr">
        <is>
          <t>TE-A-ME MASALA TEA INSTITUTIONAL 12/1 KG PKT TEA</t>
        </is>
      </c>
      <c r="C1953" s="7" t="inlineStr">
        <is>
          <t>TE-A-ME</t>
        </is>
      </c>
      <c r="D1953" s="7" t="n">
        <v>17876</v>
      </c>
      <c r="E1953" s="7" t="inlineStr">
        <is>
          <t>TE-A-ME MASALA TEA INSTITUTIONAL 1 KG PKT TEA</t>
        </is>
      </c>
      <c r="F1953" s="7" t="n">
        <v>12</v>
      </c>
      <c r="G1953" s="7" t="inlineStr">
        <is>
          <t>CTN</t>
        </is>
      </c>
      <c r="H1953" t="inlineStr">
        <is>
          <t>BLEND CHAI PATTY</t>
        </is>
      </c>
    </row>
    <row r="1954" ht="14.25" customHeight="1" s="5">
      <c r="A1954" s="7" t="n">
        <v>28523</v>
      </c>
      <c r="B1954" s="7" t="inlineStr">
        <is>
          <t>TE-A-ME MATCHA GREEN TEA  24/50 GMS PKT</t>
        </is>
      </c>
      <c r="C1954" s="7" t="inlineStr">
        <is>
          <t>TE-A-ME</t>
        </is>
      </c>
      <c r="D1954" s="7" t="n">
        <v>28494</v>
      </c>
      <c r="E1954" s="7" t="inlineStr">
        <is>
          <t>TE-A-ME MATCHA GREEN TEA 50 GMS PKT TEA</t>
        </is>
      </c>
      <c r="F1954" s="7" t="n">
        <v>24</v>
      </c>
      <c r="G1954" s="7" t="inlineStr">
        <is>
          <t>CTN</t>
        </is>
      </c>
      <c r="H1954" t="inlineStr">
        <is>
          <t>BLENDED MATCHA GREEN TEA</t>
        </is>
      </c>
    </row>
    <row r="1955" ht="14.25" customHeight="1" s="5">
      <c r="A1955" s="7" t="n">
        <v>28634</v>
      </c>
      <c r="B1955" s="7" t="inlineStr">
        <is>
          <t>TE-A-ME MATCHA GREEN TEA 24/50 GMS PKT</t>
        </is>
      </c>
      <c r="C1955" s="7" t="inlineStr">
        <is>
          <t>TE-A-ME</t>
        </is>
      </c>
      <c r="D1955" s="7" t="n">
        <v>28494</v>
      </c>
      <c r="E1955" s="7" t="inlineStr">
        <is>
          <t>TE-A-ME MATCHA GREEN TEA 50 GMS PKT TEA</t>
        </is>
      </c>
      <c r="F1955" s="7" t="n">
        <v>24</v>
      </c>
      <c r="G1955" s="7" t="inlineStr">
        <is>
          <t>CTN</t>
        </is>
      </c>
      <c r="H1955" t="inlineStr">
        <is>
          <t>BLENDED MATCHA GREEN TEA</t>
        </is>
      </c>
    </row>
    <row r="1956" ht="14.25" customHeight="1" s="5">
      <c r="A1956" s="7" t="n">
        <v>27892</v>
      </c>
      <c r="B1956" s="7" t="inlineStr">
        <is>
          <t>TE-A-ME MECOBLEND TAB ASSORTED GIFT BOX 48 ENV TBGS</t>
        </is>
      </c>
      <c r="C1956" s="7" t="inlineStr">
        <is>
          <t>TE-A-ME</t>
        </is>
      </c>
      <c r="D1956" s="7" t="n">
        <v>2777</v>
      </c>
      <c r="E1956" s="8" t="inlineStr">
        <is>
          <t xml:space="preserve">TE-A-ME LOOSE ENV NATURAL GREEN TEAS GREEN TEA DC SF HS ENV TBGS
</t>
        </is>
      </c>
      <c r="F1956" s="7" t="n">
        <v>8</v>
      </c>
      <c r="G1956" s="7" t="inlineStr">
        <is>
          <t>ENV</t>
        </is>
      </c>
      <c r="H1956" t="inlineStr">
        <is>
          <t>BLEND TEAME GREEN</t>
        </is>
      </c>
    </row>
    <row r="1957" ht="14.25" customHeight="1" s="5">
      <c r="A1957" s="7" t="n">
        <v>27892</v>
      </c>
      <c r="B1957" s="7" t="inlineStr">
        <is>
          <t>TE-A-ME MECOBLEND TAB ASSORTED GIFT BOX 48 ENV TBGS</t>
        </is>
      </c>
      <c r="C1957" s="7" t="inlineStr">
        <is>
          <t>TE-A-ME</t>
        </is>
      </c>
      <c r="D1957" s="7" t="n">
        <v>5638</v>
      </c>
      <c r="E1957" s="7" t="inlineStr">
        <is>
          <t>TE-A-ME LOOSE ENV SIGNATURE BLACK TEAS DARJEELING TEA DC SF HS ENV TBGS</t>
        </is>
      </c>
      <c r="F1957" s="7" t="n">
        <v>8</v>
      </c>
      <c r="G1957" s="7" t="inlineStr">
        <is>
          <t>TBGS</t>
        </is>
      </c>
      <c r="H1957" t="inlineStr">
        <is>
          <t>BLEND DJ (LOCAL)</t>
        </is>
      </c>
    </row>
    <row r="1958" ht="14.25" customHeight="1" s="5">
      <c r="A1958" s="7" t="n">
        <v>27892</v>
      </c>
      <c r="B1958" s="7" t="inlineStr">
        <is>
          <t>TE-A-ME MECOBLEND TAB ASSORTED GIFT BOX 48 ENV TBGS</t>
        </is>
      </c>
      <c r="C1958" s="7" t="inlineStr">
        <is>
          <t>TE-A-ME</t>
        </is>
      </c>
      <c r="D1958" s="7" t="n">
        <v>5642</v>
      </c>
      <c r="E1958" s="7" t="inlineStr">
        <is>
          <t>TE-A-ME LOOSE ENV NATURAL GREEN TEAS JASMINE LEMONGRASS TEA DC SF HS ENV TBGS</t>
        </is>
      </c>
      <c r="F1958" s="7" t="n">
        <v>8</v>
      </c>
      <c r="G1958" s="7" t="inlineStr">
        <is>
          <t>ENV</t>
        </is>
      </c>
      <c r="H1958" t="inlineStr">
        <is>
          <t>BLEND GREEN TEA JASMINE LEMON GRASS TB</t>
        </is>
      </c>
    </row>
    <row r="1959" ht="14.25" customHeight="1" s="5">
      <c r="A1959" s="7" t="n">
        <v>27892</v>
      </c>
      <c r="B1959" s="7" t="inlineStr">
        <is>
          <t>TE-A-ME MECOBLEND TAB ASSORTED GIFT BOX 48 ENV TBGS</t>
        </is>
      </c>
      <c r="C1959" s="7" t="inlineStr">
        <is>
          <t>TE-A-ME</t>
        </is>
      </c>
      <c r="D1959" s="7" t="n">
        <v>2771</v>
      </c>
      <c r="E1959" s="8" t="inlineStr">
        <is>
          <t xml:space="preserve">TE-A-ME LOOSE ENV NATURAL GREEN TEAS KASHMIRI KAHWA TEA DC SF HS ENV TBGS
</t>
        </is>
      </c>
      <c r="F1959" s="7" t="n">
        <v>8</v>
      </c>
      <c r="G1959" s="7" t="inlineStr">
        <is>
          <t>ENV</t>
        </is>
      </c>
      <c r="H1959" t="inlineStr">
        <is>
          <t>BLEND KASHMIRI KAHWA TB</t>
        </is>
      </c>
    </row>
    <row r="1960" ht="14.25" customHeight="1" s="5">
      <c r="A1960" s="7" t="n">
        <v>27892</v>
      </c>
      <c r="B1960" s="7" t="inlineStr">
        <is>
          <t>TE-A-ME MECOBLEND TAB ASSORTED GIFT BOX 48 ENV TBGS</t>
        </is>
      </c>
      <c r="C1960" s="7" t="inlineStr">
        <is>
          <t>TE-A-ME</t>
        </is>
      </c>
      <c r="D1960" s="7" t="n">
        <v>3377</v>
      </c>
      <c r="E1960" s="8" t="inlineStr">
        <is>
          <t xml:space="preserve">TE-A-ME LOOSE ENV NATURAL GREEN TEAS MINT LEMON GINGER TEA DC SF HS ENV TBGS
</t>
        </is>
      </c>
      <c r="F1960" s="7" t="n">
        <v>8</v>
      </c>
      <c r="G1960" s="7" t="inlineStr">
        <is>
          <t>ENV</t>
        </is>
      </c>
      <c r="H1960" t="inlineStr">
        <is>
          <t>BLEND GREEN TEA GINGER MINT LEMON TB</t>
        </is>
      </c>
    </row>
    <row r="1961" ht="14.25" customHeight="1" s="5">
      <c r="A1961" s="7" t="n">
        <v>27892</v>
      </c>
      <c r="B1961" s="7" t="inlineStr">
        <is>
          <t>TE-A-ME MECOBLEND TAB ASSORTED GIFT BOX 48 ENV TBGS</t>
        </is>
      </c>
      <c r="C1961" s="7" t="inlineStr">
        <is>
          <t>TE-A-ME</t>
        </is>
      </c>
      <c r="D1961" s="7" t="n">
        <v>2773</v>
      </c>
      <c r="E1961" s="8" t="inlineStr">
        <is>
          <t xml:space="preserve">TE-A-ME LOOSE ENV WELLNESS INFUSIONS TULSI GREEN TEA DC SF HS ENV TBGS
</t>
        </is>
      </c>
      <c r="F1961" s="7" t="n">
        <v>8</v>
      </c>
      <c r="G1961" s="7" t="inlineStr">
        <is>
          <t>ENV</t>
        </is>
      </c>
      <c r="H1961" t="inlineStr">
        <is>
          <t>BLEND TEAME GREEN TEA TULSI</t>
        </is>
      </c>
    </row>
    <row r="1962" ht="14.25" customHeight="1" s="5">
      <c r="A1962" s="7" t="n">
        <v>32958</v>
      </c>
      <c r="B1962" s="7" t="inlineStr">
        <is>
          <t>TE-A-ME MELATONIN CHAMOMILE 24/25 DC HS SF ENV TBGS</t>
        </is>
      </c>
      <c r="C1962" s="7" t="inlineStr">
        <is>
          <t>TE-A-ME</t>
        </is>
      </c>
      <c r="D1962" s="7" t="n">
        <v>32844</v>
      </c>
      <c r="E1962" s="7" t="inlineStr">
        <is>
          <t>TE-A-ME MELATONIN CHAMOMILE 25 DC HS SF ENV TBGS</t>
        </is>
      </c>
      <c r="F1962" s="7" t="n">
        <v>24</v>
      </c>
      <c r="G1962" s="7" t="inlineStr">
        <is>
          <t>CTN</t>
        </is>
      </c>
      <c r="H1962" t="inlineStr">
        <is>
          <t>BLEND MELATONIN CHAMOMILE TB</t>
        </is>
      </c>
    </row>
    <row r="1963" ht="14.25" customHeight="1" s="5">
      <c r="A1963" s="7" t="n">
        <v>3758</v>
      </c>
      <c r="B1963" s="7" t="inlineStr">
        <is>
          <t>TE-A-ME METRO EXCLUSIVE GREEN TEA PACK 18/40 DC SF HS ENV TBGS</t>
        </is>
      </c>
      <c r="C1963" s="7" t="inlineStr">
        <is>
          <t>TE-A-ME</t>
        </is>
      </c>
      <c r="D1963" s="7" t="n">
        <v>3784</v>
      </c>
      <c r="E1963" s="7" t="inlineStr">
        <is>
          <t>TE-A-ME NATURAL GREEN TEAS GREEN TEA 10 DC SF HS ENV TBGS</t>
        </is>
      </c>
      <c r="F1963" s="7" t="n">
        <v>36</v>
      </c>
      <c r="G1963" s="7" t="inlineStr">
        <is>
          <t>CTN</t>
        </is>
      </c>
      <c r="H1963" t="inlineStr">
        <is>
          <t>BLEND TEAME GREEN</t>
        </is>
      </c>
    </row>
    <row r="1964" ht="14.25" customHeight="1" s="5">
      <c r="A1964" s="7" t="n">
        <v>3758</v>
      </c>
      <c r="B1964" s="7" t="inlineStr">
        <is>
          <t>TE-A-ME METRO EXCLUSIVE GREEN TEA PACK 18/40 DC SF HS ENV TBGS</t>
        </is>
      </c>
      <c r="C1964" s="7" t="inlineStr">
        <is>
          <t>TE-A-ME</t>
        </is>
      </c>
      <c r="D1964" s="7" t="n">
        <v>3792</v>
      </c>
      <c r="E1964" s="7" t="inlineStr">
        <is>
          <t>TE-A-ME NATURAL GREEN TEAS HONEY LEMON GREEN TEA 10 DC SF HS ENV TBGS</t>
        </is>
      </c>
      <c r="F1964" s="7" t="n">
        <v>18</v>
      </c>
      <c r="G1964" s="7" t="inlineStr">
        <is>
          <t>CTN</t>
        </is>
      </c>
      <c r="H1964" t="inlineStr">
        <is>
          <t>BLEND TE-A-ME GREEN TEA HONEY LEMON</t>
        </is>
      </c>
    </row>
    <row r="1965" ht="14.25" customHeight="1" s="5">
      <c r="A1965" s="7" t="n">
        <v>3758</v>
      </c>
      <c r="B1965" s="7" t="inlineStr">
        <is>
          <t>TE-A-ME METRO EXCLUSIVE GREEN TEA PACK 18/40 DC SF HS ENV TBGS</t>
        </is>
      </c>
      <c r="C1965" s="7" t="inlineStr">
        <is>
          <t>TE-A-ME</t>
        </is>
      </c>
      <c r="D1965" s="7" t="n">
        <v>3821</v>
      </c>
      <c r="E1965" s="7" t="inlineStr">
        <is>
          <t>TE-A-ME NATURAL GREEN TEAS KASHMIRI KAHWA TEA 10 DC SF HS ENV TBGS</t>
        </is>
      </c>
      <c r="F1965" s="7" t="n">
        <v>18</v>
      </c>
      <c r="G1965" s="7" t="inlineStr">
        <is>
          <t>CTN</t>
        </is>
      </c>
      <c r="H1965" t="inlineStr">
        <is>
          <t>BLEND KASHMIRI KAHWA TB</t>
        </is>
      </c>
    </row>
    <row r="1966" ht="14.25" customHeight="1" s="5">
      <c r="A1966" s="7" t="n">
        <v>3761</v>
      </c>
      <c r="B1966" s="7" t="inlineStr">
        <is>
          <t>TE-A-ME MINT GREEN 36/100 DC TAG TBGS (INSTITUTIONAL)</t>
        </is>
      </c>
      <c r="C1966" s="7" t="inlineStr">
        <is>
          <t>TE-A-ME</t>
        </is>
      </c>
      <c r="D1966" s="7" t="n">
        <v>3762</v>
      </c>
      <c r="E1966" s="7" t="inlineStr">
        <is>
          <t>TE-A-ME MINT GREEN 100 DC TAG TBGS (INSTITUTIONAL)</t>
        </is>
      </c>
      <c r="F1966" s="7" t="n">
        <v>36</v>
      </c>
      <c r="G1966" s="7" t="inlineStr">
        <is>
          <t>CTN</t>
        </is>
      </c>
      <c r="H1966" t="inlineStr">
        <is>
          <t>BLEND TE-A-ME GREEN TEA MINT</t>
        </is>
      </c>
    </row>
    <row r="1967" ht="14.25" customHeight="1" s="5">
      <c r="A1967" s="7" t="n">
        <v>3764</v>
      </c>
      <c r="B1967" s="7" t="inlineStr">
        <is>
          <t>TE-A-ME MINT GREEN TEA 18/100 DC HS ENV TBGS (INSTITUTIONAL)</t>
        </is>
      </c>
      <c r="C1967" s="7" t="inlineStr">
        <is>
          <t>TE-A-ME</t>
        </is>
      </c>
      <c r="D1967" s="7" t="n">
        <v>3765</v>
      </c>
      <c r="E1967" s="7" t="inlineStr">
        <is>
          <t>TE-A-ME MINT GREEN TEA 100 DC HS ENV TBGS (INSTITUTIONAL)</t>
        </is>
      </c>
      <c r="F1967" s="7" t="n">
        <v>18</v>
      </c>
      <c r="G1967" s="7" t="inlineStr">
        <is>
          <t>CTN</t>
        </is>
      </c>
      <c r="H1967">
        <f>#N/A</f>
        <v/>
      </c>
    </row>
    <row r="1968" ht="14.25" customHeight="1" s="5">
      <c r="A1968" s="7" t="n">
        <v>3769</v>
      </c>
      <c r="B1968" s="7" t="inlineStr">
        <is>
          <t>TE-A-ME MINT GREEN TEA 18/100 DC SF HS ENV TBGS (INSTITUTIONAL)</t>
        </is>
      </c>
      <c r="C1968" s="7" t="inlineStr">
        <is>
          <t>TE-A-ME</t>
        </is>
      </c>
      <c r="D1968" s="7" t="n">
        <v>3770</v>
      </c>
      <c r="E1968" s="7" t="inlineStr">
        <is>
          <t>TE-A-ME MINT GREEN TEA 100 DC SF HS ENV TBGS (INSTITUTIONAL)</t>
        </is>
      </c>
      <c r="F1968" s="7" t="n">
        <v>18</v>
      </c>
      <c r="G1968" s="7" t="inlineStr">
        <is>
          <t>CTN</t>
        </is>
      </c>
      <c r="H1968" t="inlineStr">
        <is>
          <t>BLEND TE-A-ME GREEN TEA MINT</t>
        </is>
      </c>
    </row>
    <row r="1969" ht="14.25" customHeight="1" s="5">
      <c r="A1969" s="7" t="n">
        <v>33641</v>
      </c>
      <c r="B1969" s="7" t="inlineStr">
        <is>
          <t>TE-A-ME MINT LEMON GINGER GREEN TEA 18/100 DC SF HS ENV TBGS</t>
        </is>
      </c>
      <c r="C1969" s="7" t="inlineStr">
        <is>
          <t>TE-A-ME</t>
        </is>
      </c>
      <c r="D1969" s="7" t="n">
        <v>33632</v>
      </c>
      <c r="E1969" s="7" t="inlineStr">
        <is>
          <t>TE-A-ME MINT LEMON GINGER GREEN TEA 100 DC SF HS ENV TBGS</t>
        </is>
      </c>
      <c r="F1969" s="7" t="n">
        <v>18</v>
      </c>
      <c r="G1969" s="7" t="inlineStr">
        <is>
          <t>CTN</t>
        </is>
      </c>
      <c r="H1969" t="inlineStr">
        <is>
          <t>BLEND GREEN TEA GINGER MINT LEMON TB</t>
        </is>
      </c>
    </row>
    <row r="1970" ht="14.25" customHeight="1" s="5">
      <c r="A1970" s="7" t="n">
        <v>22122</v>
      </c>
      <c r="B1970" s="7" t="inlineStr">
        <is>
          <t>TE-A-ME MORINGA GREEN TEA 18/100 DC SF HS ENV TBGS</t>
        </is>
      </c>
      <c r="C1970" s="7" t="inlineStr">
        <is>
          <t>TE-A-ME</t>
        </is>
      </c>
      <c r="D1970" s="7" t="n">
        <v>22131</v>
      </c>
      <c r="E1970" s="7" t="inlineStr">
        <is>
          <t>TE-A-ME MORINGA GREEN TEA 100 DC SF HS ENV TBGS</t>
        </is>
      </c>
      <c r="F1970" s="7" t="n">
        <v>18</v>
      </c>
      <c r="G1970" s="7" t="inlineStr">
        <is>
          <t>CTN</t>
        </is>
      </c>
      <c r="H1970" t="inlineStr">
        <is>
          <t>BLEND GREEN TEA MORINGA TBC</t>
        </is>
      </c>
    </row>
    <row r="1971" ht="14.25" customHeight="1" s="5">
      <c r="A1971" s="7" t="n">
        <v>22509</v>
      </c>
      <c r="B1971" s="7" t="inlineStr">
        <is>
          <t>TE-A-ME MORINGA GREEN TEA 24/25 DC SF HS ENV TBGS</t>
        </is>
      </c>
      <c r="C1971" s="7" t="inlineStr">
        <is>
          <t>TE-A-ME</t>
        </is>
      </c>
      <c r="D1971" s="7" t="n">
        <v>22508</v>
      </c>
      <c r="E1971" s="7" t="inlineStr">
        <is>
          <t>TE-A-ME MORINGA GREEN TEA 25 DC SF HS ENV TBGS</t>
        </is>
      </c>
      <c r="F1971" s="7" t="n">
        <v>24</v>
      </c>
      <c r="G1971" s="7" t="inlineStr">
        <is>
          <t>CTN</t>
        </is>
      </c>
      <c r="H1971" t="inlineStr">
        <is>
          <t>BLEND GREEN TEA MORINGA TBC</t>
        </is>
      </c>
    </row>
    <row r="1972" ht="14.25" customHeight="1" s="5">
      <c r="A1972" s="7" t="n">
        <v>3772</v>
      </c>
      <c r="B1972" s="7" t="inlineStr">
        <is>
          <t>TE-A-ME NATURAL GREEN TEAS COLLECTION 30/26 DC HS ENV TBGS</t>
        </is>
      </c>
      <c r="C1972" s="7" t="inlineStr">
        <is>
          <t>TE-A-ME</t>
        </is>
      </c>
      <c r="D1972" s="7" t="n">
        <v>3415</v>
      </c>
      <c r="E1972" s="7" t="inlineStr">
        <is>
          <t>TE-A-ME LOOSE TBGS NATURAL GREEN TEAS GREEN DC HS ENV</t>
        </is>
      </c>
      <c r="F1972" s="7" t="n">
        <v>6</v>
      </c>
      <c r="G1972" s="7" t="inlineStr">
        <is>
          <t>TBGS</t>
        </is>
      </c>
      <c r="H1972">
        <f>#N/A</f>
        <v/>
      </c>
    </row>
    <row r="1973" ht="14.25" customHeight="1" s="5">
      <c r="A1973" s="7" t="n">
        <v>3772</v>
      </c>
      <c r="B1973" s="7" t="inlineStr">
        <is>
          <t>TE-A-ME NATURAL GREEN TEAS COLLECTION 30/26 DC HS ENV TBGS</t>
        </is>
      </c>
      <c r="C1973" s="7" t="inlineStr">
        <is>
          <t>TE-A-ME</t>
        </is>
      </c>
      <c r="D1973" s="7" t="n">
        <v>3417</v>
      </c>
      <c r="E1973" s="7" t="inlineStr">
        <is>
          <t>TE-A-ME LOOSE TBGS NATURAL GREEN TEAS KASHMIRI KAHWA TEA DC HS ENV</t>
        </is>
      </c>
      <c r="F1973" s="7" t="n">
        <v>5</v>
      </c>
      <c r="G1973" s="7" t="inlineStr">
        <is>
          <t>TBGS</t>
        </is>
      </c>
      <c r="H1973">
        <f>#N/A</f>
        <v/>
      </c>
    </row>
    <row r="1974" ht="14.25" customHeight="1" s="5">
      <c r="A1974" s="7" t="n">
        <v>3772</v>
      </c>
      <c r="B1974" s="7" t="inlineStr">
        <is>
          <t>TE-A-ME NATURAL GREEN TEAS COLLECTION 30/26 DC HS ENV TBGS</t>
        </is>
      </c>
      <c r="C1974" s="7" t="inlineStr">
        <is>
          <t>TE-A-ME</t>
        </is>
      </c>
      <c r="D1974" s="7" t="n">
        <v>3420</v>
      </c>
      <c r="E1974" s="7" t="inlineStr">
        <is>
          <t>TE-A-ME LOOSE TBGS WELLNESS INFUSIONS TULSI GREEN DC HS ENV</t>
        </is>
      </c>
      <c r="F1974" s="7" t="n">
        <v>5</v>
      </c>
      <c r="G1974" s="7" t="inlineStr">
        <is>
          <t>TBGS</t>
        </is>
      </c>
      <c r="H1974">
        <f>#N/A</f>
        <v/>
      </c>
    </row>
    <row r="1975" ht="14.25" customHeight="1" s="5">
      <c r="A1975" s="7" t="n">
        <v>3772</v>
      </c>
      <c r="B1975" s="7" t="inlineStr">
        <is>
          <t>TE-A-ME NATURAL GREEN TEAS COLLECTION 30/26 DC HS ENV TBGS</t>
        </is>
      </c>
      <c r="C1975" s="7" t="inlineStr">
        <is>
          <t>TE-A-ME</t>
        </is>
      </c>
      <c r="D1975" s="7" t="n">
        <v>3628</v>
      </c>
      <c r="E1975" s="7" t="inlineStr">
        <is>
          <t>TE-A-ME LOOSE TBGS NATURAL GREEN TEAS HONEY LEMON GREEN DC HS ENV</t>
        </is>
      </c>
      <c r="F1975" s="7" t="n">
        <v>5</v>
      </c>
      <c r="G1975" s="7" t="inlineStr">
        <is>
          <t>TBGS</t>
        </is>
      </c>
      <c r="H1975">
        <f>#N/A</f>
        <v/>
      </c>
    </row>
    <row r="1976" ht="14.25" customHeight="1" s="5">
      <c r="A1976" s="7" t="n">
        <v>3772</v>
      </c>
      <c r="B1976" s="7" t="inlineStr">
        <is>
          <t>TE-A-ME NATURAL GREEN TEAS COLLECTION 30/26 DC HS ENV TBGS</t>
        </is>
      </c>
      <c r="C1976" s="7" t="inlineStr">
        <is>
          <t>TE-A-ME</t>
        </is>
      </c>
      <c r="D1976" s="7" t="n">
        <v>3416</v>
      </c>
      <c r="E1976" s="7" t="inlineStr">
        <is>
          <t>TE-A-ME LOOSE TBGS NATURAL GREEN TEAS JASMINE GREEN DC HS ENV</t>
        </is>
      </c>
      <c r="F1976" s="7" t="n">
        <v>5</v>
      </c>
      <c r="G1976" s="7" t="inlineStr">
        <is>
          <t>TBGS</t>
        </is>
      </c>
      <c r="H1976">
        <f>#N/A</f>
        <v/>
      </c>
    </row>
    <row r="1977" ht="14.25" customHeight="1" s="5">
      <c r="A1977" s="7" t="n">
        <v>3775</v>
      </c>
      <c r="B1977" s="7" t="inlineStr">
        <is>
          <t>TE-A-ME NATURAL GREEN TEAS GREEN TEA 24/25 DC SF HS ENV TBGS</t>
        </is>
      </c>
      <c r="C1977" s="7" t="inlineStr">
        <is>
          <t>TE-A-ME</t>
        </is>
      </c>
      <c r="D1977" s="7" t="n">
        <v>3776</v>
      </c>
      <c r="E1977" s="7" t="inlineStr">
        <is>
          <t>TE-A-ME NATURAL GREEN TEAS GREEN TEA 25 DC SF HS ENV TBGS</t>
        </is>
      </c>
      <c r="F1977" s="7" t="n">
        <v>24</v>
      </c>
      <c r="G1977" s="7" t="inlineStr">
        <is>
          <t>CTN</t>
        </is>
      </c>
      <c r="H1977" t="inlineStr">
        <is>
          <t>BLEND TEAME GREEN</t>
        </is>
      </c>
    </row>
    <row r="1978" ht="14.25" customHeight="1" s="5">
      <c r="A1978" s="7" t="n">
        <v>19652</v>
      </c>
      <c r="B1978" s="7" t="inlineStr">
        <is>
          <t>TE-A-ME NATURAL GREEN TEAS GREEN TEA 24/6 DC SF HS ENV TBGS</t>
        </is>
      </c>
      <c r="C1978" s="7" t="inlineStr">
        <is>
          <t>TE-A-ME</t>
        </is>
      </c>
      <c r="D1978" s="7" t="n">
        <v>2777</v>
      </c>
      <c r="E1978" s="8" t="inlineStr">
        <is>
          <t xml:space="preserve">TE-A-ME LOOSE ENV NATURAL GREEN TEAS GREEN TEA DC SF HS ENV TBGS
</t>
        </is>
      </c>
      <c r="F1978" s="7" t="n">
        <v>144</v>
      </c>
      <c r="G1978" s="7" t="inlineStr">
        <is>
          <t>ENV</t>
        </is>
      </c>
      <c r="H1978" t="inlineStr">
        <is>
          <t>BLEND TEAME GREEN</t>
        </is>
      </c>
    </row>
    <row r="1979" ht="14.25" customHeight="1" s="5">
      <c r="A1979" s="7" t="n">
        <v>19658</v>
      </c>
      <c r="B1979" s="7" t="inlineStr">
        <is>
          <t>TE-A-ME NATURAL GREEN TEAS GREEN TEA 36/6 DC SF HS ENV TBGS</t>
        </is>
      </c>
      <c r="C1979" s="7" t="inlineStr">
        <is>
          <t>TE-A-ME</t>
        </is>
      </c>
      <c r="D1979" s="7" t="n">
        <v>2777</v>
      </c>
      <c r="E1979" s="8" t="inlineStr">
        <is>
          <t xml:space="preserve">TE-A-ME LOOSE ENV NATURAL GREEN TEAS GREEN TEA DC SF HS ENV TBGS
</t>
        </is>
      </c>
      <c r="F1979" s="7" t="n">
        <v>216</v>
      </c>
      <c r="G1979" s="7" t="inlineStr">
        <is>
          <t>ENV</t>
        </is>
      </c>
      <c r="H1979" t="inlineStr">
        <is>
          <t>BLEND TEAME GREEN</t>
        </is>
      </c>
    </row>
    <row r="1980" ht="14.25" customHeight="1" s="5">
      <c r="A1980" s="7" t="n">
        <v>3778</v>
      </c>
      <c r="B1980" s="7" t="inlineStr">
        <is>
          <t>TE-A-ME NATURAL GREEN TEAS GREEN TEA 72/10 DC HS ENV TBGS</t>
        </is>
      </c>
      <c r="C1980" s="7" t="inlineStr">
        <is>
          <t>TE-A-ME</t>
        </is>
      </c>
      <c r="D1980" s="7" t="n">
        <v>3779</v>
      </c>
      <c r="E1980" s="7" t="inlineStr">
        <is>
          <t>TE-A-ME NATURAL GREEN TEAS GREEN TEA 10 DC HS ENV TBGS</t>
        </is>
      </c>
      <c r="F1980" s="7" t="n">
        <v>72</v>
      </c>
      <c r="G1980" s="7" t="inlineStr">
        <is>
          <t>CTN</t>
        </is>
      </c>
      <c r="H1980">
        <f>#N/A</f>
        <v/>
      </c>
    </row>
    <row r="1981" ht="14.25" customHeight="1" s="5">
      <c r="A1981" s="7" t="n">
        <v>3783</v>
      </c>
      <c r="B1981" s="7" t="inlineStr">
        <is>
          <t>TE-A-ME NATURAL GREEN TEAS GREEN TEA 72/10 DC SF HS ENV TBGS</t>
        </is>
      </c>
      <c r="C1981" s="7" t="inlineStr">
        <is>
          <t>TE-A-ME</t>
        </is>
      </c>
      <c r="D1981" s="7" t="n">
        <v>3784</v>
      </c>
      <c r="E1981" s="7" t="inlineStr">
        <is>
          <t>TE-A-ME NATURAL GREEN TEAS GREEN TEA 10 DC SF HS ENV TBGS</t>
        </is>
      </c>
      <c r="F1981" s="7" t="n">
        <v>72</v>
      </c>
      <c r="G1981" s="7" t="inlineStr">
        <is>
          <t>CTN</t>
        </is>
      </c>
      <c r="H1981" t="inlineStr">
        <is>
          <t>BLEND TEAME GREEN</t>
        </is>
      </c>
    </row>
    <row r="1982" ht="14.25" customHeight="1" s="5">
      <c r="A1982" s="7" t="n">
        <v>3785</v>
      </c>
      <c r="B1982" s="7" t="inlineStr">
        <is>
          <t>TE-A-ME NATURAL GREEN TEAS HONEY LEMON GREEN TEA 24/25 DC SF HS ENV TBGS</t>
        </is>
      </c>
      <c r="C1982" s="7" t="inlineStr">
        <is>
          <t>TE-A-ME</t>
        </is>
      </c>
      <c r="D1982" s="7" t="n">
        <v>3786</v>
      </c>
      <c r="E1982" s="7" t="inlineStr">
        <is>
          <t>TE-A-ME NATURAL GREEN TEAS HONEY LEMON GREEN TEA 25 DC SF HS ENV TBGS</t>
        </is>
      </c>
      <c r="F1982" s="7" t="n">
        <v>24</v>
      </c>
      <c r="G1982" s="7" t="inlineStr">
        <is>
          <t>CTN</t>
        </is>
      </c>
      <c r="H1982" t="inlineStr">
        <is>
          <t>BLEND TE-A-ME GREEN TEA HONEY LEMON</t>
        </is>
      </c>
    </row>
    <row r="1983" ht="14.25" customHeight="1" s="5">
      <c r="A1983" s="7" t="n">
        <v>19653</v>
      </c>
      <c r="B1983" s="7" t="inlineStr">
        <is>
          <t>TE-A-ME NATURAL GREEN TEAS HONEY LEMON GREEN TEA 24/6 DC SF HS ENV TBGS</t>
        </is>
      </c>
      <c r="C1983" s="7" t="inlineStr">
        <is>
          <t>TE-A-ME</t>
        </is>
      </c>
      <c r="D1983" s="7" t="n">
        <v>2778</v>
      </c>
      <c r="E1983" s="8" t="inlineStr">
        <is>
          <t xml:space="preserve">TE-A-ME LOOSE ENV NATURAL GREEN TEAS HONEY LEMON GREEN TEA DC SF HS ENV TBGS
</t>
        </is>
      </c>
      <c r="F1983" s="7" t="n">
        <v>144</v>
      </c>
      <c r="G1983" s="7" t="inlineStr">
        <is>
          <t>ENV</t>
        </is>
      </c>
      <c r="H1983" t="inlineStr">
        <is>
          <t>BLEND TE-A-ME GREEN TEA HONEY LEMON</t>
        </is>
      </c>
    </row>
    <row r="1984" ht="14.25" customHeight="1" s="5">
      <c r="A1984" s="7" t="n">
        <v>19659</v>
      </c>
      <c r="B1984" s="7" t="inlineStr">
        <is>
          <t>TE-A-ME NATURAL GREEN TEAS HONEY LEMON GREEN TEA 36/6 DC SF HS ENV TBGS</t>
        </is>
      </c>
      <c r="C1984" s="7" t="inlineStr">
        <is>
          <t>TE-A-ME</t>
        </is>
      </c>
      <c r="D1984" s="7" t="n">
        <v>2778</v>
      </c>
      <c r="E1984" s="8" t="inlineStr">
        <is>
          <t xml:space="preserve">TE-A-ME LOOSE ENV NATURAL GREEN TEAS HONEY LEMON GREEN TEA DC SF HS ENV TBGS
</t>
        </is>
      </c>
      <c r="F1984" s="7" t="n">
        <v>216</v>
      </c>
      <c r="G1984" s="7" t="inlineStr">
        <is>
          <t>ENV</t>
        </is>
      </c>
      <c r="H1984" t="inlineStr">
        <is>
          <t>BLEND TE-A-ME GREEN TEA HONEY LEMON</t>
        </is>
      </c>
    </row>
    <row r="1985" ht="14.25" customHeight="1" s="5">
      <c r="A1985" s="7" t="n">
        <v>3788</v>
      </c>
      <c r="B1985" s="7" t="inlineStr">
        <is>
          <t>TE-A-ME NATURAL GREEN TEAS HONEY LEMON GREEN TEA 72/10 DC HS ENV TBGS</t>
        </is>
      </c>
      <c r="C1985" s="7" t="inlineStr">
        <is>
          <t>TE-A-ME</t>
        </is>
      </c>
      <c r="D1985" s="7" t="n">
        <v>3789</v>
      </c>
      <c r="E1985" s="7" t="inlineStr">
        <is>
          <t>TE-A-ME NATURAL GREEN TEAS HONEY LEMON GREEN TEA 10 DC HS ENV TBGS</t>
        </is>
      </c>
      <c r="F1985" s="7" t="n">
        <v>72</v>
      </c>
      <c r="G1985" s="7" t="inlineStr">
        <is>
          <t>CTN</t>
        </is>
      </c>
      <c r="H1985">
        <f>#N/A</f>
        <v/>
      </c>
    </row>
    <row r="1986" ht="14.25" customHeight="1" s="5">
      <c r="A1986" s="7" t="n">
        <v>3791</v>
      </c>
      <c r="B1986" s="7" t="inlineStr">
        <is>
          <t>TE-A-ME NATURAL GREEN TEAS HONEY LEMON GREEN TEA 72/10 DC SF HS ENV TBGS</t>
        </is>
      </c>
      <c r="C1986" s="7" t="inlineStr">
        <is>
          <t>TE-A-ME</t>
        </is>
      </c>
      <c r="D1986" s="7" t="n">
        <v>3792</v>
      </c>
      <c r="E1986" s="7" t="inlineStr">
        <is>
          <t>TE-A-ME NATURAL GREEN TEAS HONEY LEMON GREEN TEA 10 DC SF HS ENV TBGS</t>
        </is>
      </c>
      <c r="F1986" s="7" t="n">
        <v>72</v>
      </c>
      <c r="G1986" s="7" t="inlineStr">
        <is>
          <t>CTN</t>
        </is>
      </c>
      <c r="H1986" t="inlineStr">
        <is>
          <t>BLEND TE-A-ME GREEN TEA HONEY LEMON</t>
        </is>
      </c>
    </row>
    <row r="1987" ht="14.25" customHeight="1" s="5">
      <c r="A1987" s="7" t="n">
        <v>19642</v>
      </c>
      <c r="B1987" s="7" t="inlineStr">
        <is>
          <t>TE-A-ME NATURAL GREEN TEAS HONEY LEMON GREEN TEA WITH 24/25 DC SF HS ENV TBGS WITH FREE BAGRRY`S</t>
        </is>
      </c>
      <c r="C1987" s="7" t="inlineStr">
        <is>
          <t>TE-A-ME</t>
        </is>
      </c>
      <c r="D1987" s="7" t="n">
        <v>19643</v>
      </c>
      <c r="E1987" s="7" t="inlineStr">
        <is>
          <t>TE-A-ME NATURAL GREEN TEAS HONEY LEMON GREEN TEA 25 DC SF HS ENV TBGS WITH FREE BAGRRY`S</t>
        </is>
      </c>
      <c r="F1987" s="7" t="n">
        <v>24</v>
      </c>
      <c r="G1987" s="7" t="inlineStr">
        <is>
          <t>CTN</t>
        </is>
      </c>
      <c r="H1987" t="inlineStr">
        <is>
          <t>BLEND TE-A-ME GREEN TEA HONEY LEMON</t>
        </is>
      </c>
    </row>
    <row r="1988" ht="14.25" customHeight="1" s="5">
      <c r="A1988" s="7" t="n">
        <v>3793</v>
      </c>
      <c r="B1988" s="7" t="inlineStr">
        <is>
          <t>TE-A-ME NATURAL GREEN TEAS JASMINE GREEN TEA 24/25 DC HS ENV TBGS</t>
        </is>
      </c>
      <c r="C1988" s="7" t="inlineStr">
        <is>
          <t>TE-A-ME</t>
        </is>
      </c>
      <c r="D1988" s="7" t="n">
        <v>3794</v>
      </c>
      <c r="E1988" s="7" t="inlineStr">
        <is>
          <t>TE-A-ME NATURAL GREEN TEAS JASMINE GREEN TEA 25 DC HS ENV TBGS</t>
        </is>
      </c>
      <c r="F1988" s="7" t="n">
        <v>24</v>
      </c>
      <c r="G1988" s="7" t="inlineStr">
        <is>
          <t>CTN</t>
        </is>
      </c>
      <c r="H1988">
        <f>#N/A</f>
        <v/>
      </c>
    </row>
    <row r="1989" ht="14.25" customHeight="1" s="5">
      <c r="A1989" s="7" t="n">
        <v>3793</v>
      </c>
      <c r="B1989" s="7" t="inlineStr">
        <is>
          <t>TE-A-ME NATURAL GREEN TEAS JASMINE GREEN TEA 24/25 DC HS ENV TBGS</t>
        </is>
      </c>
      <c r="C1989" s="7" t="inlineStr">
        <is>
          <t>TE-A-ME</t>
        </is>
      </c>
      <c r="D1989" s="7" t="n">
        <v>3337</v>
      </c>
      <c r="E1989" s="7" t="inlineStr">
        <is>
          <t>TE-A-ME SACHET 1/3 DC HS ENV TBGS</t>
        </is>
      </c>
      <c r="F1989" s="7" t="n">
        <v>24</v>
      </c>
      <c r="G1989" s="7" t="inlineStr">
        <is>
          <t>CFC</t>
        </is>
      </c>
      <c r="H1989">
        <f>#N/A</f>
        <v/>
      </c>
    </row>
    <row r="1990" ht="14.25" customHeight="1" s="5">
      <c r="A1990" s="7" t="n">
        <v>3796</v>
      </c>
      <c r="B1990" s="7" t="inlineStr">
        <is>
          <t>TE-A-ME NATURAL GREEN TEAS JASMINE GREEN TEA 72/10 DC HS ENV TBGS</t>
        </is>
      </c>
      <c r="C1990" s="7" t="inlineStr">
        <is>
          <t>TE-A-ME</t>
        </is>
      </c>
      <c r="D1990" s="7" t="n">
        <v>3797</v>
      </c>
      <c r="E1990" s="7" t="inlineStr">
        <is>
          <t>TE-A-ME NATURAL GREEN TEAS JASMINE GREEN TEA 10 DC HS ENV TBGS</t>
        </is>
      </c>
      <c r="F1990" s="7" t="n">
        <v>72</v>
      </c>
      <c r="G1990" s="7" t="inlineStr">
        <is>
          <t>CTN</t>
        </is>
      </c>
      <c r="H1990">
        <f>#N/A</f>
        <v/>
      </c>
    </row>
    <row r="1991" ht="14.25" customHeight="1" s="5">
      <c r="A1991" s="7" t="n">
        <v>3799</v>
      </c>
      <c r="B1991" s="7" t="inlineStr">
        <is>
          <t>TE-A-ME NATURAL GREEN TEAS JASMINE GREEN TEA 72/10 DC SF HS ENV TBGS</t>
        </is>
      </c>
      <c r="C1991" s="7" t="inlineStr">
        <is>
          <t>TE-A-ME</t>
        </is>
      </c>
      <c r="D1991" s="7" t="n">
        <v>3800</v>
      </c>
      <c r="E1991" s="7" t="inlineStr">
        <is>
          <t>TE-A-ME NATURAL GREEN TEAS JASMINE GREEN TEA 10 DC SF HS ENV TBGS</t>
        </is>
      </c>
      <c r="F1991" s="7" t="n">
        <v>72</v>
      </c>
      <c r="G1991" s="7" t="inlineStr">
        <is>
          <t>CTN</t>
        </is>
      </c>
      <c r="H1991" t="inlineStr">
        <is>
          <t>BLEND TEAME GREEN TEA JASMINE</t>
        </is>
      </c>
    </row>
    <row r="1992" ht="14.25" customHeight="1" s="5">
      <c r="A1992" s="7" t="n">
        <v>3801</v>
      </c>
      <c r="B1992" s="7" t="inlineStr">
        <is>
          <t>TE-A-ME NATURAL GREEN TEAS JASMINE LEMONGRASS TEA 24/25 DC SF HS ENV TBGS</t>
        </is>
      </c>
      <c r="C1992" s="7" t="inlineStr">
        <is>
          <t>TE-A-ME</t>
        </is>
      </c>
      <c r="D1992" s="7" t="n">
        <v>3802</v>
      </c>
      <c r="E1992" s="7" t="inlineStr">
        <is>
          <t>TE-A-ME NATURAL GREEN TEAS JASMINE LEMONGRASS TEA 25 DC SF HS ENV TBGS</t>
        </is>
      </c>
      <c r="F1992" s="7" t="n">
        <v>24</v>
      </c>
      <c r="G1992" s="7" t="inlineStr">
        <is>
          <t>CTN</t>
        </is>
      </c>
      <c r="H1992" t="inlineStr">
        <is>
          <t>BLEND GREEN TEA JASMINE LEMON GRASS TB</t>
        </is>
      </c>
    </row>
    <row r="1993" ht="14.25" customHeight="1" s="5">
      <c r="A1993" s="7" t="n">
        <v>3806</v>
      </c>
      <c r="B1993" s="7" t="inlineStr">
        <is>
          <t>TE-A-ME NATURAL GREEN TEAS KASHMIRI KAHWA TEA 24/25 DC HS ENV TBGS</t>
        </is>
      </c>
      <c r="C1993" s="7" t="inlineStr">
        <is>
          <t>TE-A-ME</t>
        </is>
      </c>
      <c r="D1993" s="7" t="n">
        <v>3807</v>
      </c>
      <c r="E1993" s="7" t="inlineStr">
        <is>
          <t>TE-A-ME NATURAL GREEN TEAS KASHMIRI KAHWA TEA 25 DC HS ENV TBGS</t>
        </is>
      </c>
      <c r="F1993" s="7" t="n">
        <v>24</v>
      </c>
      <c r="G1993" s="7" t="inlineStr">
        <is>
          <t>CTN</t>
        </is>
      </c>
      <c r="H1993">
        <f>#N/A</f>
        <v/>
      </c>
    </row>
    <row r="1994" ht="14.25" customHeight="1" s="5">
      <c r="A1994" s="7" t="n">
        <v>3806</v>
      </c>
      <c r="B1994" s="7" t="inlineStr">
        <is>
          <t>TE-A-ME NATURAL GREEN TEAS KASHMIRI KAHWA TEA 24/25 DC HS ENV TBGS</t>
        </is>
      </c>
      <c r="C1994" s="7" t="inlineStr">
        <is>
          <t>TE-A-ME</t>
        </is>
      </c>
      <c r="D1994" s="7" t="n">
        <v>3337</v>
      </c>
      <c r="E1994" s="7" t="inlineStr">
        <is>
          <t>TE-A-ME SACHET 1/3 DC HS ENV TBGS</t>
        </is>
      </c>
      <c r="F1994" s="7" t="n">
        <v>24</v>
      </c>
      <c r="G1994" s="7" t="inlineStr">
        <is>
          <t>CFC</t>
        </is>
      </c>
      <c r="H1994">
        <f>#N/A</f>
        <v/>
      </c>
    </row>
    <row r="1995" ht="14.25" customHeight="1" s="5">
      <c r="A1995" s="7" t="n">
        <v>3809</v>
      </c>
      <c r="B1995" s="7" t="inlineStr">
        <is>
          <t>TE-A-ME NATURAL GREEN TEAS KASHMIRI KAHWA TEA 24/25 DC SF HS ENV TBGS</t>
        </is>
      </c>
      <c r="C1995" s="7" t="inlineStr">
        <is>
          <t>TE-A-ME</t>
        </is>
      </c>
      <c r="D1995" s="7" t="n">
        <v>3810</v>
      </c>
      <c r="E1995" s="7" t="inlineStr">
        <is>
          <t>TE-A-ME NATURAL GREEN TEAS KASHMIRI KAHWA TEA 25 DC SF HS ENV TBGS</t>
        </is>
      </c>
      <c r="F1995" s="7" t="n">
        <v>24</v>
      </c>
      <c r="G1995" s="7" t="inlineStr">
        <is>
          <t>CTN</t>
        </is>
      </c>
      <c r="H1995" t="inlineStr">
        <is>
          <t>BLEND KASHMIRI KAHWA TB</t>
        </is>
      </c>
    </row>
    <row r="1996" ht="14.25" customHeight="1" s="5">
      <c r="A1996" s="7" t="n">
        <v>3811</v>
      </c>
      <c r="B1996" s="7" t="inlineStr">
        <is>
          <t>TE-A-ME NATURAL GREEN TEAS KASHMIRI KAHWA TEA 72/10 DC HS ENV TBGS</t>
        </is>
      </c>
      <c r="C1996" s="7" t="inlineStr">
        <is>
          <t>TE-A-ME</t>
        </is>
      </c>
      <c r="D1996" s="7" t="n">
        <v>3812</v>
      </c>
      <c r="E1996" s="7" t="inlineStr">
        <is>
          <t>TE-A-ME NATURAL GREEN TEAS KASHMIRI KAHWA TEA 10 DC HS ENV TBGS</t>
        </is>
      </c>
      <c r="F1996" s="7" t="n">
        <v>72</v>
      </c>
      <c r="G1996" s="7" t="inlineStr">
        <is>
          <t>CTN</t>
        </is>
      </c>
      <c r="H1996">
        <f>#N/A</f>
        <v/>
      </c>
    </row>
    <row r="1997" ht="14.25" customHeight="1" s="5">
      <c r="A1997" s="7" t="n">
        <v>3814</v>
      </c>
      <c r="B1997" s="7" t="inlineStr">
        <is>
          <t>TE-A-ME NATURAL GREEN TEAS KASHMIRI KAHWA TEA 72/10 DC HS ENV TBGS FOR AKESISS CLENOL - LB</t>
        </is>
      </c>
      <c r="C1997" s="7" t="inlineStr">
        <is>
          <t>TE-A-ME</t>
        </is>
      </c>
      <c r="D1997" s="7" t="n">
        <v>3815</v>
      </c>
      <c r="E1997" s="7" t="inlineStr">
        <is>
          <t>TE-A-ME NATURAL GREEN TEAS KASHMIRI KAHWA TEA 10 DC HS ENV TBGS FOR AKESISS CLENOL - LB</t>
        </is>
      </c>
      <c r="F1997" s="7" t="n">
        <v>72</v>
      </c>
      <c r="G1997" s="7" t="inlineStr">
        <is>
          <t>CTN</t>
        </is>
      </c>
      <c r="H1997">
        <f>#N/A</f>
        <v/>
      </c>
    </row>
    <row r="1998" ht="14.25" customHeight="1" s="5">
      <c r="A1998" s="7" t="n">
        <v>3817</v>
      </c>
      <c r="B1998" s="7" t="inlineStr">
        <is>
          <t>TE-A-ME NATURAL GREEN TEAS KASHMIRI KAHWA TEA 72/10 DC HS ENV TBGS FOR AKESISS ZEEZ-M</t>
        </is>
      </c>
      <c r="C1998" s="7" t="inlineStr">
        <is>
          <t>TE-A-ME</t>
        </is>
      </c>
      <c r="D1998" s="7" t="n">
        <v>3818</v>
      </c>
      <c r="E1998" s="7" t="inlineStr">
        <is>
          <t>TE-A-ME NATURAL GREEN TEAS KASHMIRI KAHWA TEA 10 DC HS ENV TBGS FOR AKESISS ZEEZ-M</t>
        </is>
      </c>
      <c r="F1998" s="7" t="n">
        <v>72</v>
      </c>
      <c r="G1998" s="7" t="inlineStr">
        <is>
          <t>CTN</t>
        </is>
      </c>
      <c r="H1998">
        <f>#N/A</f>
        <v/>
      </c>
    </row>
    <row r="1999" ht="14.25" customHeight="1" s="5">
      <c r="A1999" s="7" t="n">
        <v>3820</v>
      </c>
      <c r="B1999" s="7" t="inlineStr">
        <is>
          <t>TE-A-ME NATURAL GREEN TEAS KASHMIRI KAHWA TEA 72/10 DC SF HS ENV TBGS</t>
        </is>
      </c>
      <c r="C1999" s="7" t="inlineStr">
        <is>
          <t>TE-A-ME</t>
        </is>
      </c>
      <c r="D1999" s="7" t="n">
        <v>3821</v>
      </c>
      <c r="E1999" s="7" t="inlineStr">
        <is>
          <t>TE-A-ME NATURAL GREEN TEAS KASHMIRI KAHWA TEA 10 DC SF HS ENV TBGS</t>
        </is>
      </c>
      <c r="F1999" s="7" t="n">
        <v>72</v>
      </c>
      <c r="G1999" s="7" t="inlineStr">
        <is>
          <t>CTN</t>
        </is>
      </c>
      <c r="H1999" t="inlineStr">
        <is>
          <t>BLEND KASHMIRI KAHWA TB</t>
        </is>
      </c>
    </row>
    <row r="2000" ht="14.25" customHeight="1" s="5">
      <c r="A2000" s="7" t="n">
        <v>21067</v>
      </c>
      <c r="B2000" s="7" t="inlineStr">
        <is>
          <t>TE-A-ME NATURAL GREEN TEAS KASHMIRI KAHWA TEA 72/10 DC SF HS ENV TBGS-(1.08)</t>
        </is>
      </c>
      <c r="C2000" s="7" t="inlineStr">
        <is>
          <t>TE-A-ME</t>
        </is>
      </c>
      <c r="D2000" s="7" t="n">
        <v>20325</v>
      </c>
      <c r="E2000" s="7" t="inlineStr">
        <is>
          <t>TE-A-ME NATURAL GREEN TEAS KASHMIRI KAHWA TEA 10 DC SF HS ENV TBGS(1.5g)</t>
        </is>
      </c>
      <c r="F2000" s="7" t="n">
        <v>72</v>
      </c>
      <c r="G2000" s="7" t="inlineStr">
        <is>
          <t>CTN</t>
        </is>
      </c>
      <c r="H2000" t="inlineStr">
        <is>
          <t>BLEND KASHMIRI KAHWA TB</t>
        </is>
      </c>
    </row>
    <row r="2001" ht="14.25" customHeight="1" s="5">
      <c r="A2001" s="7" t="n">
        <v>3822</v>
      </c>
      <c r="B2001" s="7" t="inlineStr">
        <is>
          <t>TE-A-ME NATURAL GREEN TEAS KASHMIRI KAHWA TEA(AMIVAL) 84/10 DC HS ENV TBGS</t>
        </is>
      </c>
      <c r="C2001" s="7" t="inlineStr">
        <is>
          <t>TE-A-ME</t>
        </is>
      </c>
      <c r="D2001" s="7" t="n">
        <v>3823</v>
      </c>
      <c r="E2001" s="7" t="inlineStr">
        <is>
          <t>TE-A-ME NATURAL GREEN TEAS KASHMIRI KAHWA TEA(AMIVAL) 10 DC HS ENV TBGS</t>
        </is>
      </c>
      <c r="F2001" s="7" t="n">
        <v>84</v>
      </c>
      <c r="G2001" s="7" t="inlineStr">
        <is>
          <t>CTN</t>
        </is>
      </c>
      <c r="H2001">
        <f>#N/A</f>
        <v/>
      </c>
    </row>
    <row r="2002" ht="14.25" customHeight="1" s="5">
      <c r="A2002" s="7" t="n">
        <v>3825</v>
      </c>
      <c r="B2002" s="7" t="inlineStr">
        <is>
          <t>TE-A-ME NATURAL GREEN TEAS MINT GREEN TEA 24/25 DC HS ENV TBGS</t>
        </is>
      </c>
      <c r="C2002" s="7" t="inlineStr">
        <is>
          <t>TE-A-ME</t>
        </is>
      </c>
      <c r="D2002" s="7" t="n">
        <v>3826</v>
      </c>
      <c r="E2002" s="7" t="inlineStr">
        <is>
          <t>TE-A-ME NATURAL GREEN TEAS MINT GREEN TEA 25 DC HS ENV TBGS</t>
        </is>
      </c>
      <c r="F2002" s="7" t="n">
        <v>24</v>
      </c>
      <c r="G2002" s="7" t="inlineStr">
        <is>
          <t>CTN</t>
        </is>
      </c>
      <c r="H2002">
        <f>#N/A</f>
        <v/>
      </c>
    </row>
    <row r="2003" ht="14.25" customHeight="1" s="5">
      <c r="A2003" s="7" t="n">
        <v>3825</v>
      </c>
      <c r="B2003" s="7" t="inlineStr">
        <is>
          <t>TE-A-ME NATURAL GREEN TEAS MINT GREEN TEA 24/25 DC HS ENV TBGS</t>
        </is>
      </c>
      <c r="C2003" s="7" t="inlineStr">
        <is>
          <t>TE-A-ME</t>
        </is>
      </c>
      <c r="D2003" s="7" t="n">
        <v>3337</v>
      </c>
      <c r="E2003" s="7" t="inlineStr">
        <is>
          <t>TE-A-ME SACHET 1/3 DC HS ENV TBGS</t>
        </is>
      </c>
      <c r="F2003" s="7" t="n">
        <v>24</v>
      </c>
      <c r="G2003" s="7" t="inlineStr">
        <is>
          <t>CFC</t>
        </is>
      </c>
      <c r="H2003">
        <f>#N/A</f>
        <v/>
      </c>
    </row>
    <row r="2004" ht="14.25" customHeight="1" s="5">
      <c r="A2004" s="7" t="n">
        <v>3828</v>
      </c>
      <c r="B2004" s="7" t="inlineStr">
        <is>
          <t>TE-A-ME NATURAL GREEN TEAS MINT GREEN TEA 72/10 DC HS ENV TBGS</t>
        </is>
      </c>
      <c r="C2004" s="7" t="inlineStr">
        <is>
          <t>TE-A-ME</t>
        </is>
      </c>
      <c r="D2004" s="7" t="n">
        <v>3829</v>
      </c>
      <c r="E2004" s="7" t="inlineStr">
        <is>
          <t>TE-A-ME NATURAL GREEN TEAS MINT GREEN TEA 10 DC HS ENV TBGS</t>
        </is>
      </c>
      <c r="F2004" s="7" t="n">
        <v>72</v>
      </c>
      <c r="G2004" s="7" t="inlineStr">
        <is>
          <t>CTN</t>
        </is>
      </c>
      <c r="H2004">
        <f>#N/A</f>
        <v/>
      </c>
    </row>
    <row r="2005" ht="14.25" customHeight="1" s="5">
      <c r="A2005" s="7" t="n">
        <v>3831</v>
      </c>
      <c r="B2005" s="7" t="inlineStr">
        <is>
          <t>TE-A-ME NATURAL GREEN TEAS MINT GREEN TEA 72/10 DC SF HS ENV TBGS</t>
        </is>
      </c>
      <c r="C2005" s="7" t="inlineStr">
        <is>
          <t>TE-A-ME</t>
        </is>
      </c>
      <c r="D2005" s="7" t="n">
        <v>3832</v>
      </c>
      <c r="E2005" s="7" t="inlineStr">
        <is>
          <t>TE-A-ME NATURAL GREEN TEAS MINT GREEN TEA 10 DC SF HS ENV TBGS</t>
        </is>
      </c>
      <c r="F2005" s="7" t="n">
        <v>72</v>
      </c>
      <c r="G2005" s="7" t="inlineStr">
        <is>
          <t>CTN</t>
        </is>
      </c>
      <c r="H2005" t="inlineStr">
        <is>
          <t>BLEND TE-A-ME GREEN TEA MINT</t>
        </is>
      </c>
    </row>
    <row r="2006" ht="14.25" customHeight="1" s="5">
      <c r="A2006" s="7" t="n">
        <v>3833</v>
      </c>
      <c r="B2006" s="7" t="inlineStr">
        <is>
          <t>TE-A-ME NATURAL GREEN TEAS MINT LEMON GINGER TEA 24/25 DC SF HS ENV TBGS</t>
        </is>
      </c>
      <c r="C2006" s="7" t="inlineStr">
        <is>
          <t>TE-A-ME</t>
        </is>
      </c>
      <c r="D2006" s="7" t="n">
        <v>3834</v>
      </c>
      <c r="E2006" s="7" t="inlineStr">
        <is>
          <t>TE-A-ME NATURAL GREEN TEAS MINT LEMON GINGER TEA 25 DC SF HS ENV TBGS</t>
        </is>
      </c>
      <c r="F2006" s="7" t="n">
        <v>24</v>
      </c>
      <c r="G2006" s="7" t="inlineStr">
        <is>
          <t>CTN</t>
        </is>
      </c>
      <c r="H2006" t="inlineStr">
        <is>
          <t>BLEND GREEN TEA GINGER MINT LEMON TB</t>
        </is>
      </c>
    </row>
    <row r="2007" ht="14.25" customHeight="1" s="5">
      <c r="A2007" s="7" t="n">
        <v>3836</v>
      </c>
      <c r="B2007" s="7" t="inlineStr">
        <is>
          <t>TE-A-ME NATURAL LONG LEAF GREEN TEAS 24/100GMS PKT TEA</t>
        </is>
      </c>
      <c r="C2007" s="7" t="inlineStr">
        <is>
          <t>TE-A-ME</t>
        </is>
      </c>
      <c r="D2007" s="7" t="n">
        <v>3837</v>
      </c>
      <c r="E2007" s="7" t="inlineStr">
        <is>
          <t>TE-A-ME NATURAL LONG LEAF GREEN TEAS 100GMS PKT TEA</t>
        </is>
      </c>
      <c r="F2007" s="7" t="n">
        <v>24</v>
      </c>
      <c r="G2007" s="7" t="inlineStr">
        <is>
          <t>CTN</t>
        </is>
      </c>
      <c r="H2007" t="inlineStr">
        <is>
          <t>BLEND STD-MJM2</t>
        </is>
      </c>
    </row>
    <row r="2008" ht="14.25" customHeight="1" s="5">
      <c r="A2008" s="7" t="n">
        <v>3840</v>
      </c>
      <c r="B2008" s="7" t="inlineStr">
        <is>
          <t>TE-A-ME NATURAL LONG LEAF GREEN TEAS 24/200GMS PKT TEA</t>
        </is>
      </c>
      <c r="C2008" s="7" t="inlineStr">
        <is>
          <t>TE-A-ME</t>
        </is>
      </c>
      <c r="D2008" s="7" t="n">
        <v>3841</v>
      </c>
      <c r="E2008" s="7" t="inlineStr">
        <is>
          <t>TE-A-ME NATURAL LONG LEAF GREEN TEAS 200GMS PKT TEA</t>
        </is>
      </c>
      <c r="F2008" s="7" t="n">
        <v>24</v>
      </c>
      <c r="G2008" s="7" t="inlineStr">
        <is>
          <t>CTN</t>
        </is>
      </c>
      <c r="H2008" t="inlineStr">
        <is>
          <t>BLEND STD-MJM2</t>
        </is>
      </c>
    </row>
    <row r="2009" ht="14.25" customHeight="1" s="5">
      <c r="A2009" s="7" t="n">
        <v>27069</v>
      </c>
      <c r="B2009" s="7" t="inlineStr">
        <is>
          <t>TE-A-ME ORGANIC ASSAM  TEA 18/100 DC SF HS ENV TBGS</t>
        </is>
      </c>
      <c r="C2009" s="7" t="inlineStr">
        <is>
          <t>TE-A-ME</t>
        </is>
      </c>
      <c r="D2009" s="7" t="n">
        <v>27073</v>
      </c>
      <c r="E2009" s="7" t="inlineStr">
        <is>
          <t>TE-A-ME ORGANIC ASSAM  TEA 100 DC SF HS ENV TBGS</t>
        </is>
      </c>
      <c r="F2009" s="7" t="n">
        <v>18</v>
      </c>
      <c r="G2009" s="7" t="inlineStr">
        <is>
          <t>CTN</t>
        </is>
      </c>
      <c r="H2009" t="inlineStr">
        <is>
          <t>BLEND ASSAM ORGANIC(KOL)</t>
        </is>
      </c>
    </row>
    <row r="2010" ht="14.25" customHeight="1" s="5">
      <c r="A2010" s="7" t="n">
        <v>27071</v>
      </c>
      <c r="B2010" s="7" t="inlineStr">
        <is>
          <t>TE-A-ME ORGANIC EARL GREY TEA 18/100 DC SF HS ENV TBGS</t>
        </is>
      </c>
      <c r="C2010" s="7" t="inlineStr">
        <is>
          <t>TE-A-ME</t>
        </is>
      </c>
      <c r="D2010" s="7" t="n">
        <v>27075</v>
      </c>
      <c r="E2010" s="7" t="inlineStr">
        <is>
          <t>TE-A-ME ORGANIC EARL GREY TEA 100 DC SF HS ENV TBGS</t>
        </is>
      </c>
      <c r="F2010" s="7" t="n">
        <v>18</v>
      </c>
      <c r="G2010" s="7" t="inlineStr">
        <is>
          <t>CTN</t>
        </is>
      </c>
      <c r="H2010" t="inlineStr">
        <is>
          <t>BLEND BLACK TEA EARL GREY ORGANIC</t>
        </is>
      </c>
    </row>
    <row r="2011" ht="14.25" customHeight="1" s="5">
      <c r="A2011" s="7" t="n">
        <v>27070</v>
      </c>
      <c r="B2011" s="7" t="inlineStr">
        <is>
          <t>TE-A-ME ORGANIC ENGLISH BREAKFAST TEA 18/100 DC SF HS ENV TBGS</t>
        </is>
      </c>
      <c r="C2011" s="7" t="inlineStr">
        <is>
          <t>TE-A-ME</t>
        </is>
      </c>
      <c r="D2011" s="7" t="n">
        <v>27076</v>
      </c>
      <c r="E2011" s="7" t="inlineStr">
        <is>
          <t>TE-A-ME ORGANIC ENGLISH BREAKFAST TEA 100 DC SF HS ENV TBGS</t>
        </is>
      </c>
      <c r="F2011" s="7" t="n">
        <v>18</v>
      </c>
      <c r="G2011" s="7" t="inlineStr">
        <is>
          <t>CTN</t>
        </is>
      </c>
      <c r="H2011" t="inlineStr">
        <is>
          <t>BLEND ASSAM ORGANIC(KOL)</t>
        </is>
      </c>
    </row>
    <row r="2012" ht="14.25" customHeight="1" s="5">
      <c r="A2012" s="7" t="n">
        <v>27072</v>
      </c>
      <c r="B2012" s="7" t="inlineStr">
        <is>
          <t>TE-A-ME ORGANIC GREEN TEA 18/100 DC SF HS ENV TBGS</t>
        </is>
      </c>
      <c r="C2012" s="7" t="inlineStr">
        <is>
          <t>TE-A-ME</t>
        </is>
      </c>
      <c r="D2012" s="7" t="n">
        <v>27074</v>
      </c>
      <c r="E2012" s="7" t="inlineStr">
        <is>
          <t>TE-A-ME ORGANIC GREEN TEA 100 DC SF HS ENV TBGS</t>
        </is>
      </c>
      <c r="F2012" s="7" t="n">
        <v>18</v>
      </c>
      <c r="G2012" s="7" t="inlineStr">
        <is>
          <t>CTN</t>
        </is>
      </c>
      <c r="H2012" t="inlineStr">
        <is>
          <t>BLEND GREEN-ORGANIC(KOL)</t>
        </is>
      </c>
    </row>
    <row r="2013" ht="14.25" customHeight="1" s="5">
      <c r="A2013" s="7" t="n">
        <v>35817</v>
      </c>
      <c r="B2013" s="7" t="inlineStr">
        <is>
          <t>TE-A-ME PET JAR 12/100 GMS BLUE PEA LOOSE TEA</t>
        </is>
      </c>
      <c r="C2013" s="7" t="inlineStr">
        <is>
          <t>TE-A-ME</t>
        </is>
      </c>
      <c r="D2013" s="7" t="n">
        <v>34432</v>
      </c>
      <c r="E2013" s="7" t="inlineStr">
        <is>
          <t>TE-A-ME PET JAR 100 GMS BLUE PEA LOOSE TEA</t>
        </is>
      </c>
      <c r="F2013" s="7" t="n">
        <v>12</v>
      </c>
      <c r="G2013" s="7" t="inlineStr">
        <is>
          <t>CTN</t>
        </is>
      </c>
      <c r="H2013" t="inlineStr">
        <is>
          <t>BLEND HIMALAYAN BUTTERFLY BLUE PEA FLOWER</t>
        </is>
      </c>
    </row>
    <row r="2014" ht="14.25" customHeight="1" s="5">
      <c r="A2014" s="7" t="n">
        <v>35815</v>
      </c>
      <c r="B2014" s="7" t="inlineStr">
        <is>
          <t>TE-A-ME PET JAR 12/100 GMS CHAMOMILE LOOSE TEA</t>
        </is>
      </c>
      <c r="C2014" s="7" t="inlineStr">
        <is>
          <t>TE-A-ME</t>
        </is>
      </c>
      <c r="D2014" s="7" t="n">
        <v>34427</v>
      </c>
      <c r="E2014" s="7" t="inlineStr">
        <is>
          <t>TE-A-ME PET JAR 100 GMS CHAMOMILE LOOSE TEA</t>
        </is>
      </c>
      <c r="F2014" s="7" t="n">
        <v>12</v>
      </c>
      <c r="G2014" s="7" t="inlineStr">
        <is>
          <t>CTN</t>
        </is>
      </c>
      <c r="H2014" t="inlineStr">
        <is>
          <t>BLEND CHAMOMILE CC EXOTIC</t>
        </is>
      </c>
    </row>
    <row r="2015" ht="14.25" customHeight="1" s="5">
      <c r="A2015" s="7" t="n">
        <v>35818</v>
      </c>
      <c r="B2015" s="7" t="inlineStr">
        <is>
          <t>TE-A-ME PET JAR 12/100 GMS HIBISCUS LOOSE TEA</t>
        </is>
      </c>
      <c r="C2015" s="7" t="inlineStr">
        <is>
          <t>TE-A-ME</t>
        </is>
      </c>
      <c r="D2015" s="7" t="n">
        <v>34433</v>
      </c>
      <c r="E2015" s="7" t="inlineStr">
        <is>
          <t>TE-A-ME PET JAR 100 GMS HIBISCUS LOOSE TEA</t>
        </is>
      </c>
      <c r="F2015" s="7" t="n">
        <v>12</v>
      </c>
      <c r="G2015" s="7" t="inlineStr">
        <is>
          <t>CTN</t>
        </is>
      </c>
      <c r="H2015" t="inlineStr">
        <is>
          <t>BLEND HIBISCUS FLOWER</t>
        </is>
      </c>
    </row>
    <row r="2016" ht="14.25" customHeight="1" s="5">
      <c r="A2016" s="7" t="n">
        <v>35816</v>
      </c>
      <c r="B2016" s="7" t="inlineStr">
        <is>
          <t>TE-A-ME PET JAR 12/100 GMS SPEARMINT LOOSE TEA</t>
        </is>
      </c>
      <c r="C2016" s="7" t="inlineStr">
        <is>
          <t>TE-A-ME</t>
        </is>
      </c>
      <c r="D2016" s="7" t="n">
        <v>34431</v>
      </c>
      <c r="E2016" s="7" t="inlineStr">
        <is>
          <t>TE-A-ME PET JAR 100 GMS SPEARMINT LOOSE TEA</t>
        </is>
      </c>
      <c r="F2016" s="7" t="n">
        <v>12</v>
      </c>
      <c r="G2016" s="7" t="inlineStr">
        <is>
          <t>CTN</t>
        </is>
      </c>
      <c r="H2016" t="inlineStr">
        <is>
          <t>BLEND HERBAL SPEARMINT PKT</t>
        </is>
      </c>
    </row>
    <row r="2017" ht="14.25" customHeight="1" s="5">
      <c r="A2017" s="7" t="n">
        <v>32337</v>
      </c>
      <c r="B2017" s="7" t="inlineStr">
        <is>
          <t>TE-A-ME POLO ASSAM TEA 18/100 DC SF HS ENV TBGS</t>
        </is>
      </c>
      <c r="C2017" s="7" t="inlineStr">
        <is>
          <t>TE-A-ME</t>
        </is>
      </c>
      <c r="D2017" s="7" t="n">
        <v>32267</v>
      </c>
      <c r="E2017" s="7" t="inlineStr">
        <is>
          <t>TE-A-ME POLO ASSAM TEA 100 DC SF HS ENV TBGS</t>
        </is>
      </c>
      <c r="F2017" s="7" t="n">
        <v>18</v>
      </c>
      <c r="G2017" s="7" t="inlineStr">
        <is>
          <t>CTN</t>
        </is>
      </c>
      <c r="H2017" t="inlineStr">
        <is>
          <t>BLEND TEAME 909</t>
        </is>
      </c>
    </row>
    <row r="2018" ht="14.25" customHeight="1" s="5">
      <c r="A2018" s="7" t="n">
        <v>32338</v>
      </c>
      <c r="B2018" s="7" t="inlineStr">
        <is>
          <t>TE-A-ME POLO GREEN TEA 18/100 DC SF HS ENV TBGS</t>
        </is>
      </c>
      <c r="C2018" s="7" t="inlineStr">
        <is>
          <t>TE-A-ME</t>
        </is>
      </c>
      <c r="D2018" s="7" t="n">
        <v>32268</v>
      </c>
      <c r="E2018" s="7" t="inlineStr">
        <is>
          <t>TE-A-ME POLO GREEN TEA 100 DC SF HS ENV TBGS</t>
        </is>
      </c>
      <c r="F2018" s="7" t="n">
        <v>18</v>
      </c>
      <c r="G2018" s="7" t="inlineStr">
        <is>
          <t>CTN</t>
        </is>
      </c>
      <c r="H2018" t="inlineStr">
        <is>
          <t>BLEND TEAME GREEN</t>
        </is>
      </c>
    </row>
    <row r="2019" ht="14.25" customHeight="1" s="5">
      <c r="A2019" s="7" t="n">
        <v>32339</v>
      </c>
      <c r="B2019" s="7" t="inlineStr">
        <is>
          <t>TE-A-ME POLO LEMON TEA 18/100 DC SF HS ENV TBGS</t>
        </is>
      </c>
      <c r="C2019" s="7" t="inlineStr">
        <is>
          <t>TE-A-ME</t>
        </is>
      </c>
      <c r="D2019" s="7" t="n">
        <v>32269</v>
      </c>
      <c r="E2019" s="7" t="inlineStr">
        <is>
          <t>TE-A-ME POLO LEMON TEA 100 DC SF HS ENV TBGS</t>
        </is>
      </c>
      <c r="F2019" s="7" t="n">
        <v>18</v>
      </c>
      <c r="G2019" s="7" t="inlineStr">
        <is>
          <t>CTN</t>
        </is>
      </c>
      <c r="H2019" t="inlineStr">
        <is>
          <t>BLEND CCD LEMON</t>
        </is>
      </c>
    </row>
    <row r="2020" ht="14.25" customHeight="1" s="5">
      <c r="A2020" s="7" t="n">
        <v>32340</v>
      </c>
      <c r="B2020" s="7" t="inlineStr">
        <is>
          <t>TE-A-ME POLO MASALA TEA 18/100 DC SF HS ENV TBGS</t>
        </is>
      </c>
      <c r="C2020" s="7" t="inlineStr">
        <is>
          <t>TE-A-ME</t>
        </is>
      </c>
      <c r="D2020" s="7" t="n">
        <v>32270</v>
      </c>
      <c r="E2020" s="7" t="inlineStr">
        <is>
          <t>TE-A-ME POLO MASALA TEA 100 DC SF HS ENV TBGS</t>
        </is>
      </c>
      <c r="F2020" s="7" t="n">
        <v>18</v>
      </c>
      <c r="G2020" s="7" t="inlineStr">
        <is>
          <t>CTN</t>
        </is>
      </c>
      <c r="H2020" t="inlineStr">
        <is>
          <t>BLEND BLACK TEA MASALA TBC</t>
        </is>
      </c>
    </row>
    <row r="2021" ht="14.25" customHeight="1" s="5">
      <c r="A2021" s="7" t="n">
        <v>35106</v>
      </c>
      <c r="B2021" s="7" t="inlineStr">
        <is>
          <t>TE-A-ME PREMIUM DUST [72 X 250 GM CTN] CFC</t>
        </is>
      </c>
      <c r="C2021" s="7" t="inlineStr">
        <is>
          <t>TE-A-ME</t>
        </is>
      </c>
      <c r="D2021" s="7" t="n">
        <v>35104</v>
      </c>
      <c r="E2021" s="7" t="inlineStr">
        <is>
          <t>TE-A-ME PREMIUM DUST 250 GM CTN</t>
        </is>
      </c>
      <c r="F2021" s="7" t="n">
        <v>72</v>
      </c>
      <c r="G2021" s="7" t="inlineStr">
        <is>
          <t>CTN</t>
        </is>
      </c>
      <c r="H2021" t="inlineStr">
        <is>
          <t>BLEND TEAME PREMIUM DUST</t>
        </is>
      </c>
    </row>
    <row r="2022" ht="14.25" customHeight="1" s="5">
      <c r="A2022" s="7" t="n">
        <v>36298</v>
      </c>
      <c r="B2022" s="7" t="inlineStr">
        <is>
          <t>TE-A-ME PREMIUM DUST [72 X 250 GM CTN] CFC CP OFFER</t>
        </is>
      </c>
      <c r="C2022" s="7" t="inlineStr">
        <is>
          <t>TE-A-ME</t>
        </is>
      </c>
      <c r="D2022" s="7" t="n">
        <v>35104</v>
      </c>
      <c r="E2022" s="7" t="inlineStr">
        <is>
          <t>TE-A-ME PREMIUM DUST 250 GM CTN</t>
        </is>
      </c>
      <c r="F2022" s="7" t="n">
        <v>72</v>
      </c>
      <c r="G2022" s="7" t="inlineStr">
        <is>
          <t>CTN</t>
        </is>
      </c>
      <c r="H2022" t="inlineStr">
        <is>
          <t>BLEND TEAME PREMIUM DUST</t>
        </is>
      </c>
    </row>
    <row r="2023" ht="14.25" customHeight="1" s="5">
      <c r="A2023" s="7" t="n">
        <v>37790</v>
      </c>
      <c r="B2023" s="7" t="inlineStr">
        <is>
          <t>TE-A-ME PREMIUM FRESH BREW TEA DUST MWB2 [12 X 10 X 200 GM LAMINATE POUCH] PP BAG</t>
        </is>
      </c>
      <c r="C2023" s="7" t="inlineStr">
        <is>
          <t>TE-A-ME</t>
        </is>
      </c>
      <c r="D2023" s="7" t="n">
        <v>37789</v>
      </c>
      <c r="E2023" s="7" t="inlineStr">
        <is>
          <t>TE-A-ME PREMIUM FRESH BREW TEA DUST 200 GM POUCH</t>
        </is>
      </c>
      <c r="F2023" s="7" t="n">
        <v>120</v>
      </c>
      <c r="G2023" s="7" t="inlineStr">
        <is>
          <t>POUCH</t>
        </is>
      </c>
      <c r="H2023" t="inlineStr">
        <is>
          <t>BLEND MWB2</t>
        </is>
      </c>
    </row>
    <row r="2024" ht="14.25" customHeight="1" s="5">
      <c r="A2024" s="7" t="n">
        <v>35105</v>
      </c>
      <c r="B2024" s="7" t="inlineStr">
        <is>
          <t>TE-A-ME PREMIUM LEAF [72 X 250 GM CTN] CFC</t>
        </is>
      </c>
      <c r="C2024" s="7" t="inlineStr">
        <is>
          <t>TE-A-ME</t>
        </is>
      </c>
      <c r="D2024" s="7" t="n">
        <v>35103</v>
      </c>
      <c r="E2024" s="7" t="inlineStr">
        <is>
          <t>TE-A-ME PREMIUM LEAF 250 GM CTN</t>
        </is>
      </c>
      <c r="F2024" s="7" t="n">
        <v>72</v>
      </c>
      <c r="G2024" s="7" t="inlineStr">
        <is>
          <t>CTN</t>
        </is>
      </c>
      <c r="H2024" t="inlineStr">
        <is>
          <t>BLEND WB WEST</t>
        </is>
      </c>
    </row>
    <row r="2025" ht="14.25" customHeight="1" s="5">
      <c r="A2025" s="7" t="n">
        <v>37585</v>
      </c>
      <c r="B2025" s="7" t="inlineStr">
        <is>
          <t>TE-A-ME PREMIUM LEAF WB WEST [48 X 250 GM CTN] CFC CP OFFER</t>
        </is>
      </c>
      <c r="C2025" s="7" t="inlineStr">
        <is>
          <t>TE-A-ME</t>
        </is>
      </c>
      <c r="D2025" s="7" t="n">
        <v>35103</v>
      </c>
      <c r="E2025" s="7" t="inlineStr">
        <is>
          <t>TE-A-ME PREMIUM LEAF 250 GM CTN</t>
        </is>
      </c>
      <c r="F2025" s="7" t="n">
        <v>48</v>
      </c>
      <c r="G2025" s="7" t="inlineStr">
        <is>
          <t>CTN</t>
        </is>
      </c>
      <c r="H2025" t="inlineStr">
        <is>
          <t>BLEND WB WEST</t>
        </is>
      </c>
    </row>
    <row r="2026" ht="14.25" customHeight="1" s="5">
      <c r="A2026" s="7" t="n">
        <v>36578</v>
      </c>
      <c r="B2026" s="7" t="inlineStr">
        <is>
          <t>TE-A-ME PREMIUM LEAF WB WEST [72 X 250 GM CTN] CFC CP OFFER</t>
        </is>
      </c>
      <c r="C2026" s="7" t="inlineStr">
        <is>
          <t>TE-A-ME</t>
        </is>
      </c>
      <c r="D2026" s="7" t="n">
        <v>35103</v>
      </c>
      <c r="E2026" s="7" t="inlineStr">
        <is>
          <t>TE-A-ME PREMIUM LEAF 250 GM CTN</t>
        </is>
      </c>
      <c r="F2026" s="7" t="n">
        <v>72</v>
      </c>
      <c r="G2026" s="7" t="inlineStr">
        <is>
          <t>CTN</t>
        </is>
      </c>
      <c r="H2026" t="inlineStr">
        <is>
          <t>BLEND WB WEST</t>
        </is>
      </c>
    </row>
    <row r="2027" ht="14.25" customHeight="1" s="5">
      <c r="A2027" s="7" t="n">
        <v>36579</v>
      </c>
      <c r="B2027" s="7" t="inlineStr">
        <is>
          <t>TE-A-ME PREMIUM LEAF WB WEST [8 X 40 X 20 GM LAMINATE POUCH] CFC</t>
        </is>
      </c>
      <c r="C2027" s="7" t="inlineStr">
        <is>
          <t>TE-A-ME</t>
        </is>
      </c>
      <c r="D2027" s="7" t="n">
        <v>36577</v>
      </c>
      <c r="E2027" s="7" t="inlineStr">
        <is>
          <t>TE-A-ME PREMIUM LEAF WB WEST 20 GM POUCH</t>
        </is>
      </c>
      <c r="F2027" s="7" t="n">
        <v>320</v>
      </c>
      <c r="G2027" s="7" t="inlineStr">
        <is>
          <t>POUCH</t>
        </is>
      </c>
      <c r="H2027" t="inlineStr">
        <is>
          <t>BLEND WB WEST</t>
        </is>
      </c>
    </row>
    <row r="2028" ht="14.25" customHeight="1" s="5">
      <c r="A2028" s="7" t="n">
        <v>17768</v>
      </c>
      <c r="B2028" s="7" t="inlineStr">
        <is>
          <t>TE-A-ME PYRAMID ICE BREWS SAMPLE KIT TEA</t>
        </is>
      </c>
      <c r="C2028" s="7" t="inlineStr">
        <is>
          <t>TE-A-ME</t>
        </is>
      </c>
      <c r="D2028" s="7" t="n">
        <v>5641</v>
      </c>
      <c r="E2028" s="7" t="inlineStr">
        <is>
          <t>TE-A-ME LOOSE  ENV  ICE BREWS LEMON PYRAMID ENV POUCH</t>
        </is>
      </c>
      <c r="F2028" s="7" t="n">
        <v>1</v>
      </c>
      <c r="G2028" s="7" t="inlineStr">
        <is>
          <t>ENV</t>
        </is>
      </c>
      <c r="H2028">
        <f>#N/A</f>
        <v/>
      </c>
    </row>
    <row r="2029" ht="14.25" customHeight="1" s="5">
      <c r="A2029" s="7" t="n">
        <v>35897</v>
      </c>
      <c r="B2029" s="7" t="inlineStr">
        <is>
          <t>TE-A-ME RASPBERRY MINT GREEN TEA 18/50 DC HS ENV TBGS</t>
        </is>
      </c>
      <c r="C2029" s="7" t="inlineStr">
        <is>
          <t>TE-A-ME</t>
        </is>
      </c>
      <c r="D2029" s="7" t="n">
        <v>35886</v>
      </c>
      <c r="E2029" s="7" t="inlineStr">
        <is>
          <t>TE-A-ME RASPBERRY MINT GREEN TEA 50 DC HS ENV TBGS</t>
        </is>
      </c>
      <c r="F2029" s="7" t="n">
        <v>18</v>
      </c>
      <c r="G2029" s="7" t="inlineStr">
        <is>
          <t>CTN</t>
        </is>
      </c>
      <c r="H2029" t="inlineStr">
        <is>
          <t>BLENDED TEA GREEN TEA RASPBERRY MINT TB</t>
        </is>
      </c>
    </row>
    <row r="2030" ht="14.25" customHeight="1" s="5">
      <c r="A2030" s="7" t="n">
        <v>34866</v>
      </c>
      <c r="B2030" s="7" t="inlineStr">
        <is>
          <t>TE-A-ME RASPBERRY MINT GREEN TEA 24/25 DC HS ENV TBGS</t>
        </is>
      </c>
      <c r="C2030" s="7" t="inlineStr">
        <is>
          <t>TE-A-ME</t>
        </is>
      </c>
      <c r="D2030" s="7" t="n">
        <v>34837</v>
      </c>
      <c r="E2030" s="7" t="inlineStr">
        <is>
          <t>TE-A-ME RASPBERRY MINT GREEN TEA 25 DC HS ENV TBGS</t>
        </is>
      </c>
      <c r="F2030" s="7" t="n">
        <v>24</v>
      </c>
      <c r="G2030" s="7" t="inlineStr">
        <is>
          <t>CTN</t>
        </is>
      </c>
      <c r="H2030" t="inlineStr">
        <is>
          <t>BLENDED TEA GREEN TEA RASPBERRY MINT TB</t>
        </is>
      </c>
    </row>
    <row r="2031" ht="14.25" customHeight="1" s="5">
      <c r="A2031" s="7" t="n">
        <v>31191</v>
      </c>
      <c r="B2031" s="7" t="inlineStr">
        <is>
          <t>TE-A-ME RFA ASSAM TEA 18/100 DC SF HS ENV TBGS</t>
        </is>
      </c>
      <c r="C2031" s="7" t="inlineStr">
        <is>
          <t>TE-A-ME</t>
        </is>
      </c>
      <c r="D2031" s="7" t="n">
        <v>31180</v>
      </c>
      <c r="E2031" s="7" t="inlineStr">
        <is>
          <t>TE-A-ME RFA ASSAM TEA 100 DC SF HS ENV TBGS</t>
        </is>
      </c>
      <c r="F2031" s="7" t="n">
        <v>18</v>
      </c>
      <c r="G2031" s="7" t="inlineStr">
        <is>
          <t>CTN</t>
        </is>
      </c>
      <c r="H2031" t="inlineStr">
        <is>
          <t>BLEND A132 - 90% UTZ</t>
        </is>
      </c>
    </row>
    <row r="2032" ht="14.25" customHeight="1" s="5">
      <c r="A2032" s="7" t="n">
        <v>31193</v>
      </c>
      <c r="B2032" s="7" t="inlineStr">
        <is>
          <t>TE-A-ME RFA GREEN 18/100 DC SF HS ENV TBGS</t>
        </is>
      </c>
      <c r="C2032" s="7" t="inlineStr">
        <is>
          <t>TE-A-ME</t>
        </is>
      </c>
      <c r="D2032" s="7" t="n">
        <v>31183</v>
      </c>
      <c r="E2032" s="7" t="inlineStr">
        <is>
          <t>TE-A-ME RFA GREEN 100 DC SF HS ENV TBGS</t>
        </is>
      </c>
      <c r="F2032" s="7" t="n">
        <v>18</v>
      </c>
      <c r="G2032" s="7" t="inlineStr">
        <is>
          <t>CTN</t>
        </is>
      </c>
      <c r="H2032" t="inlineStr">
        <is>
          <t>BLEND 7434 GREEN - 90% UTZ</t>
        </is>
      </c>
    </row>
    <row r="2033" ht="14.25" customHeight="1" s="5">
      <c r="A2033" s="7" t="n">
        <v>31194</v>
      </c>
      <c r="B2033" s="7" t="inlineStr">
        <is>
          <t>TE-A-ME RFA HONEY LEMON GREEN TEA 18/100 DC SF HS ENV TBGS</t>
        </is>
      </c>
      <c r="C2033" s="7" t="inlineStr">
        <is>
          <t>TE-A-ME</t>
        </is>
      </c>
      <c r="D2033" s="7" t="n">
        <v>31184</v>
      </c>
      <c r="E2033" s="7" t="inlineStr">
        <is>
          <t>TE-A-ME RFA HONEY LEMON GREEN TEA 100 DC SF HS ENV TBGS</t>
        </is>
      </c>
      <c r="F2033" s="7" t="n">
        <v>18</v>
      </c>
      <c r="G2033" s="7" t="inlineStr">
        <is>
          <t>CTN</t>
        </is>
      </c>
      <c r="H2033" t="inlineStr">
        <is>
          <t>BLEND GREEN TEA HONEY LEMON TB 90% UTZ</t>
        </is>
      </c>
    </row>
    <row r="2034" ht="14.25" customHeight="1" s="5">
      <c r="A2034" s="7" t="n">
        <v>31192</v>
      </c>
      <c r="B2034" s="7" t="inlineStr">
        <is>
          <t>TE-A-ME RFA MASALA TEA 18/100 DC SF HS ENV TBGS</t>
        </is>
      </c>
      <c r="C2034" s="7" t="inlineStr">
        <is>
          <t>TE-A-ME</t>
        </is>
      </c>
      <c r="D2034" s="7" t="n">
        <v>31181</v>
      </c>
      <c r="E2034" s="7" t="inlineStr">
        <is>
          <t>TE-A-ME RFA MASALA TEA 100 DC SF HS ENV TBGS</t>
        </is>
      </c>
      <c r="F2034" s="7" t="n">
        <v>18</v>
      </c>
      <c r="G2034" s="7" t="inlineStr">
        <is>
          <t>CTN</t>
        </is>
      </c>
      <c r="H2034" t="inlineStr">
        <is>
          <t>BLEND BLACK TEA MASALA TB 70% UTZ</t>
        </is>
      </c>
    </row>
    <row r="2035" ht="14.25" customHeight="1" s="5">
      <c r="A2035" s="7" t="n">
        <v>18330</v>
      </c>
      <c r="B2035" s="7" t="inlineStr">
        <is>
          <t>TE-A-ME ROOIBOS HERBAL DRINK 45/200 GMS PKT TEA</t>
        </is>
      </c>
      <c r="C2035" s="7" t="inlineStr">
        <is>
          <t>TE-A-ME</t>
        </is>
      </c>
      <c r="D2035" s="7" t="n">
        <v>3852</v>
      </c>
      <c r="E2035" s="7" t="inlineStr">
        <is>
          <t>TE-A-ME ROOIBOS HERBAL DRINK 200 GMS PKT TEA</t>
        </is>
      </c>
      <c r="F2035" s="7" t="n">
        <v>45</v>
      </c>
      <c r="G2035" s="7" t="inlineStr">
        <is>
          <t>CTN</t>
        </is>
      </c>
      <c r="H2035">
        <f>#N/A</f>
        <v/>
      </c>
    </row>
    <row r="2036" ht="14.25" customHeight="1" s="5">
      <c r="A2036" s="7" t="n">
        <v>28219</v>
      </c>
      <c r="B2036" s="7" t="inlineStr">
        <is>
          <t>TE-A-ME ROOIBOS HERBAL DRINK 45/200 GMS PKT TEA (18%)</t>
        </is>
      </c>
      <c r="C2036" s="7" t="inlineStr">
        <is>
          <t>TE-A-ME</t>
        </is>
      </c>
      <c r="D2036" s="7" t="n">
        <v>28218</v>
      </c>
      <c r="E2036" s="7" t="inlineStr">
        <is>
          <t>TE-A-ME ROOIBOS HERBAL DRINK 200 GMS PKT TEA (18%)</t>
        </is>
      </c>
      <c r="F2036" s="7" t="n">
        <v>45</v>
      </c>
      <c r="G2036" s="7" t="inlineStr">
        <is>
          <t>CTN</t>
        </is>
      </c>
      <c r="H2036" t="inlineStr">
        <is>
          <t>BLEND ROOIBOS - ISKON</t>
        </is>
      </c>
    </row>
    <row r="2037" ht="14.25" customHeight="1" s="5">
      <c r="A2037" s="7" t="n">
        <v>18594</v>
      </c>
      <c r="B2037" s="7" t="inlineStr">
        <is>
          <t>TE-A-ME ROOIBOS TEA INSTITUTIONAL 12/1 KG PKT TEA</t>
        </is>
      </c>
      <c r="C2037" s="7" t="inlineStr">
        <is>
          <t>TE-A-ME</t>
        </is>
      </c>
      <c r="D2037" s="7" t="n">
        <v>18593</v>
      </c>
      <c r="E2037" s="7" t="inlineStr">
        <is>
          <t>TE-A-ME ROOIBOS TEA INSTITUTIONAL 1 KG PKT TEA</t>
        </is>
      </c>
      <c r="F2037" s="7" t="n">
        <v>12</v>
      </c>
      <c r="G2037" s="7" t="inlineStr">
        <is>
          <t>CTN</t>
        </is>
      </c>
      <c r="H2037" t="inlineStr">
        <is>
          <t>BLEND ROOIBOS - ISKON</t>
        </is>
      </c>
    </row>
    <row r="2038" ht="14.25" customHeight="1" s="5">
      <c r="A2038" s="7" t="n">
        <v>3854</v>
      </c>
      <c r="B2038" s="7" t="inlineStr">
        <is>
          <t>TE-A-ME ROYAL ASSAM TEA 18/100 SC HS ENV TBGS</t>
        </is>
      </c>
      <c r="C2038" s="7" t="inlineStr">
        <is>
          <t>TE-A-ME</t>
        </is>
      </c>
      <c r="D2038" s="7" t="n">
        <v>3855</v>
      </c>
      <c r="E2038" s="7" t="inlineStr">
        <is>
          <t>TE-A-ME ROYAL ASSAM TEA 100 SC HS ENV TBGS</t>
        </is>
      </c>
      <c r="F2038" s="7" t="n">
        <v>18</v>
      </c>
      <c r="G2038" s="7" t="inlineStr">
        <is>
          <t>CTN</t>
        </is>
      </c>
      <c r="H2038" t="inlineStr">
        <is>
          <t>BLEND TEAME 909</t>
        </is>
      </c>
    </row>
    <row r="2039" ht="14.25" customHeight="1" s="5">
      <c r="A2039" s="7" t="n">
        <v>22511</v>
      </c>
      <c r="B2039" s="7" t="inlineStr">
        <is>
          <t>TE-A-ME ROYAL DARJEELING TEA 18/100 SC HS ENV TBGS</t>
        </is>
      </c>
      <c r="C2039" s="7" t="inlineStr">
        <is>
          <t>TE-A-ME</t>
        </is>
      </c>
      <c r="D2039" s="7" t="n">
        <v>22510</v>
      </c>
      <c r="E2039" s="7" t="inlineStr">
        <is>
          <t>TE-A-ME ROYAL DARJEELING TEA 100 SC HS ENV TBGS</t>
        </is>
      </c>
      <c r="F2039" s="7" t="n">
        <v>18</v>
      </c>
      <c r="G2039" s="7" t="inlineStr">
        <is>
          <t>CTN</t>
        </is>
      </c>
      <c r="H2039" t="inlineStr">
        <is>
          <t>BLEND DJ (LOCAL)</t>
        </is>
      </c>
    </row>
    <row r="2040" ht="14.25" customHeight="1" s="5">
      <c r="A2040" s="7" t="n">
        <v>22513</v>
      </c>
      <c r="B2040" s="7" t="inlineStr">
        <is>
          <t>TE-A-ME ROYAL ENGLISH BREAK FAST TEA 18/100 SC HS ENV TBGS</t>
        </is>
      </c>
      <c r="C2040" s="7" t="inlineStr">
        <is>
          <t>TE-A-ME</t>
        </is>
      </c>
      <c r="D2040" s="7" t="n">
        <v>22512</v>
      </c>
      <c r="E2040" s="7" t="inlineStr">
        <is>
          <t>TE-A-ME ROYAL ENGLISH BREAK FAST TEA 100 SC HS ENV TBGS</t>
        </is>
      </c>
      <c r="F2040" s="7" t="n">
        <v>18</v>
      </c>
      <c r="G2040" s="7" t="inlineStr">
        <is>
          <t>CTN</t>
        </is>
      </c>
      <c r="H2040" t="inlineStr">
        <is>
          <t>BLEND TEAME 909</t>
        </is>
      </c>
    </row>
    <row r="2041" ht="14.25" customHeight="1" s="5">
      <c r="A2041" s="7" t="n">
        <v>22515</v>
      </c>
      <c r="B2041" s="7" t="inlineStr">
        <is>
          <t>TE-A-ME ROYAL GREEN TEA 18/100 SC HS ENV TBGS</t>
        </is>
      </c>
      <c r="C2041" s="7" t="inlineStr">
        <is>
          <t>TE-A-ME</t>
        </is>
      </c>
      <c r="D2041" s="7" t="n">
        <v>22514</v>
      </c>
      <c r="E2041" s="7" t="inlineStr">
        <is>
          <t>TE-A-ME ROYAL GREEN TEA 100 SC HS ENV TBGS</t>
        </is>
      </c>
      <c r="F2041" s="7" t="n">
        <v>18</v>
      </c>
      <c r="G2041" s="7" t="inlineStr">
        <is>
          <t>CTN</t>
        </is>
      </c>
      <c r="H2041" t="inlineStr">
        <is>
          <t>BLEND TEAME GREEN</t>
        </is>
      </c>
    </row>
    <row r="2042" ht="14.25" customHeight="1" s="5">
      <c r="A2042" s="7" t="n">
        <v>22517</v>
      </c>
      <c r="B2042" s="7" t="inlineStr">
        <is>
          <t>TE-A-ME ROYAL LEMON TEA 18/100 SC HS ENV TBGS</t>
        </is>
      </c>
      <c r="C2042" s="7" t="inlineStr">
        <is>
          <t>TE-A-ME</t>
        </is>
      </c>
      <c r="D2042" s="7" t="n">
        <v>22516</v>
      </c>
      <c r="E2042" s="7" t="inlineStr">
        <is>
          <t>TE-A-ME ROYAL LEMON TEA 100 SC HS ENV TBGS</t>
        </is>
      </c>
      <c r="F2042" s="7" t="n">
        <v>18</v>
      </c>
      <c r="G2042" s="7" t="inlineStr">
        <is>
          <t>CTN</t>
        </is>
      </c>
      <c r="H2042" t="inlineStr">
        <is>
          <t>BLEND CCD LEMON</t>
        </is>
      </c>
    </row>
    <row r="2043" ht="14.25" customHeight="1" s="5">
      <c r="A2043" s="7" t="n">
        <v>22519</v>
      </c>
      <c r="B2043" s="7" t="inlineStr">
        <is>
          <t>TE-A-ME ROYAL MASALA TEA 18/100 SC HS ENV TBGS</t>
        </is>
      </c>
      <c r="C2043" s="7" t="inlineStr">
        <is>
          <t>TE-A-ME</t>
        </is>
      </c>
      <c r="D2043" s="7" t="n">
        <v>22518</v>
      </c>
      <c r="E2043" s="7" t="inlineStr">
        <is>
          <t>TE-A-ME ROYAL MASALA TEA 100 SC HS ENV TBGS</t>
        </is>
      </c>
      <c r="F2043" s="7" t="n">
        <v>18</v>
      </c>
      <c r="G2043" s="7" t="inlineStr">
        <is>
          <t>CTN</t>
        </is>
      </c>
      <c r="H2043" t="inlineStr">
        <is>
          <t>BLEND BLACK TEA MASALA TBC</t>
        </is>
      </c>
    </row>
    <row r="2044" ht="14.25" customHeight="1" s="5">
      <c r="A2044" s="7" t="n">
        <v>18352</v>
      </c>
      <c r="B2044" s="7" t="inlineStr">
        <is>
          <t>TE-A-ME SACHET 1/2 DC HS ENV TBGS</t>
        </is>
      </c>
      <c r="C2044" s="7" t="inlineStr">
        <is>
          <t>TE-A-ME</t>
        </is>
      </c>
      <c r="D2044" s="7" t="n">
        <v>2777</v>
      </c>
      <c r="E2044" s="8" t="inlineStr">
        <is>
          <t xml:space="preserve">TE-A-ME LOOSE ENV NATURAL GREEN TEAS GREEN TEA DC SF HS ENV TBGS
</t>
        </is>
      </c>
      <c r="F2044" s="7" t="n">
        <v>1</v>
      </c>
      <c r="G2044" s="7" t="inlineStr">
        <is>
          <t>ENV</t>
        </is>
      </c>
      <c r="H2044" t="inlineStr">
        <is>
          <t>BLEND TEAME GREEN</t>
        </is>
      </c>
    </row>
    <row r="2045" ht="14.25" customHeight="1" s="5">
      <c r="A2045" s="7" t="n">
        <v>18352</v>
      </c>
      <c r="B2045" s="7" t="inlineStr">
        <is>
          <t>TE-A-ME SACHET 1/2 DC HS ENV TBGS</t>
        </is>
      </c>
      <c r="C2045" s="7" t="inlineStr">
        <is>
          <t>TE-A-ME</t>
        </is>
      </c>
      <c r="D2045" s="7" t="n">
        <v>2778</v>
      </c>
      <c r="E2045" s="8" t="inlineStr">
        <is>
          <t xml:space="preserve">TE-A-ME LOOSE ENV NATURAL GREEN TEAS HONEY LEMON GREEN TEA DC SF HS ENV TBGS
</t>
        </is>
      </c>
      <c r="F2045" s="7" t="n">
        <v>1</v>
      </c>
      <c r="G2045" s="7" t="inlineStr">
        <is>
          <t>ENV</t>
        </is>
      </c>
      <c r="H2045" t="inlineStr">
        <is>
          <t>BLEND TE-A-ME GREEN TEA HONEY LEMON</t>
        </is>
      </c>
    </row>
    <row r="2046" ht="14.25" customHeight="1" s="5">
      <c r="A2046" s="7" t="n">
        <v>3337</v>
      </c>
      <c r="B2046" s="7" t="inlineStr">
        <is>
          <t>TE-A-ME SACHET 1/3 DC HS ENV TBGS</t>
        </is>
      </c>
      <c r="C2046" s="7" t="inlineStr">
        <is>
          <t>TE-A-ME</t>
        </is>
      </c>
      <c r="D2046" s="7" t="n">
        <v>2774</v>
      </c>
      <c r="E2046" s="7" t="inlineStr">
        <is>
          <t>TE-A-ME LOOSE ENV FRUIT &amp; FLOWER INFUSIONS APPLE CINNAMON DC SF HS ENV TBGS</t>
        </is>
      </c>
      <c r="F2046" s="7" t="n">
        <v>1</v>
      </c>
      <c r="G2046" s="7" t="inlineStr">
        <is>
          <t>ENV</t>
        </is>
      </c>
      <c r="H2046" t="inlineStr">
        <is>
          <t>BLEND FRUITY CINNAMON APPLE TBC</t>
        </is>
      </c>
    </row>
    <row r="2047" ht="14.25" customHeight="1" s="5">
      <c r="A2047" s="7" t="n">
        <v>3337</v>
      </c>
      <c r="B2047" s="7" t="inlineStr">
        <is>
          <t>TE-A-ME SACHET 1/3 DC HS ENV TBGS</t>
        </is>
      </c>
      <c r="C2047" s="7" t="inlineStr">
        <is>
          <t>TE-A-ME</t>
        </is>
      </c>
      <c r="D2047" s="7" t="n">
        <v>2777</v>
      </c>
      <c r="E2047" s="8" t="inlineStr">
        <is>
          <t xml:space="preserve">TE-A-ME LOOSE ENV NATURAL GREEN TEAS GREEN TEA DC SF HS ENV TBGS
</t>
        </is>
      </c>
      <c r="F2047" s="7" t="n">
        <v>1</v>
      </c>
      <c r="G2047" s="7" t="inlineStr">
        <is>
          <t>ENV</t>
        </is>
      </c>
      <c r="H2047" t="inlineStr">
        <is>
          <t>BLEND TEAME GREEN</t>
        </is>
      </c>
    </row>
    <row r="2048" ht="14.25" customHeight="1" s="5">
      <c r="A2048" s="7" t="n">
        <v>3337</v>
      </c>
      <c r="B2048" s="7" t="inlineStr">
        <is>
          <t>TE-A-ME SACHET 1/3 DC HS ENV TBGS</t>
        </is>
      </c>
      <c r="C2048" s="7" t="inlineStr">
        <is>
          <t>TE-A-ME</t>
        </is>
      </c>
      <c r="D2048" s="7" t="n">
        <v>2778</v>
      </c>
      <c r="E2048" s="8" t="inlineStr">
        <is>
          <t xml:space="preserve">TE-A-ME LOOSE ENV NATURAL GREEN TEAS HONEY LEMON GREEN TEA DC SF HS ENV TBGS
</t>
        </is>
      </c>
      <c r="F2048" s="7" t="n">
        <v>1</v>
      </c>
      <c r="G2048" s="7" t="inlineStr">
        <is>
          <t>ENV</t>
        </is>
      </c>
      <c r="H2048" t="inlineStr">
        <is>
          <t>BLEND TE-A-ME GREEN TEA HONEY LEMON</t>
        </is>
      </c>
    </row>
    <row r="2049" ht="14.25" customHeight="1" s="5">
      <c r="A2049" s="7" t="n">
        <v>31167</v>
      </c>
      <c r="B2049" s="7" t="inlineStr">
        <is>
          <t>TE-A-ME SACHET FOR 10 TBGS</t>
        </is>
      </c>
      <c r="C2049" s="7" t="inlineStr">
        <is>
          <t>TE-A-ME</t>
        </is>
      </c>
      <c r="D2049" s="7" t="n">
        <v>27359</v>
      </c>
      <c r="E2049" s="7" t="inlineStr">
        <is>
          <t>TE-A-ME LOOSE TBGS  KADHA GREEN TEA SC HS ENV TBGS</t>
        </is>
      </c>
      <c r="F2049" s="7" t="n">
        <v>10</v>
      </c>
      <c r="G2049" s="7" t="inlineStr">
        <is>
          <t>PCS</t>
        </is>
      </c>
      <c r="H2049" t="inlineStr">
        <is>
          <t>BLEND GREEN TEA KADHA TBC</t>
        </is>
      </c>
    </row>
    <row r="2050" ht="14.25" customHeight="1" s="5">
      <c r="A2050" s="7" t="n">
        <v>37033</v>
      </c>
      <c r="B2050" s="7" t="inlineStr">
        <is>
          <t>TE-A-ME SENNA FENNEL PSYLLIUM HUSK 24/25 DC SF HS ENV TBGS</t>
        </is>
      </c>
      <c r="C2050" s="7" t="inlineStr">
        <is>
          <t>TE-A-ME</t>
        </is>
      </c>
      <c r="D2050" s="7" t="n">
        <v>36993</v>
      </c>
      <c r="E2050" s="7" t="inlineStr">
        <is>
          <t>TE-A-ME SENNA FENNEL PSYLLIUM HUSK 25 DC SF HS ENV TBGS</t>
        </is>
      </c>
      <c r="F2050" s="7" t="n">
        <v>24</v>
      </c>
      <c r="G2050" s="7" t="inlineStr">
        <is>
          <t>CTN</t>
        </is>
      </c>
      <c r="H2050" t="inlineStr">
        <is>
          <t>BLEND SEENA FENNEL SLIM WEIGHT LOSS TB</t>
        </is>
      </c>
    </row>
    <row r="2051" ht="14.25" customHeight="1" s="5">
      <c r="A2051" s="7" t="n">
        <v>3863</v>
      </c>
      <c r="B2051" s="7" t="inlineStr">
        <is>
          <t>TE-A-ME SIGNATURE BLACK TEAS ASSAM TEA 24/25 DC HS ENV TBGS</t>
        </is>
      </c>
      <c r="C2051" s="7" t="inlineStr">
        <is>
          <t>TE-A-ME</t>
        </is>
      </c>
      <c r="D2051" s="7" t="n">
        <v>3864</v>
      </c>
      <c r="E2051" s="7" t="inlineStr">
        <is>
          <t>TE-A-ME SIGNATURE BLACK TEAS ASSAM TEA 25 DC HS ENV TBGS</t>
        </is>
      </c>
      <c r="F2051" s="7" t="n">
        <v>24</v>
      </c>
      <c r="G2051" s="7" t="inlineStr">
        <is>
          <t>CTN</t>
        </is>
      </c>
      <c r="H2051">
        <f>#N/A</f>
        <v/>
      </c>
    </row>
    <row r="2052" ht="14.25" customHeight="1" s="5">
      <c r="A2052" s="7" t="n">
        <v>3863</v>
      </c>
      <c r="B2052" s="7" t="inlineStr">
        <is>
          <t>TE-A-ME SIGNATURE BLACK TEAS ASSAM TEA 24/25 DC HS ENV TBGS</t>
        </is>
      </c>
      <c r="C2052" s="7" t="inlineStr">
        <is>
          <t>TE-A-ME</t>
        </is>
      </c>
      <c r="D2052" s="7" t="n">
        <v>3337</v>
      </c>
      <c r="E2052" s="7" t="inlineStr">
        <is>
          <t>TE-A-ME SACHET 1/3 DC HS ENV TBGS</t>
        </is>
      </c>
      <c r="F2052" s="7" t="n">
        <v>24</v>
      </c>
      <c r="G2052" s="7" t="inlineStr">
        <is>
          <t>CFC</t>
        </is>
      </c>
      <c r="H2052">
        <f>#N/A</f>
        <v/>
      </c>
    </row>
    <row r="2053" ht="14.25" customHeight="1" s="5">
      <c r="A2053" s="7" t="n">
        <v>3866</v>
      </c>
      <c r="B2053" s="7" t="inlineStr">
        <is>
          <t>TE-A-ME SIGNATURE BLACK TEAS ASSAM TEA 24/25 DC HS ENV TBGS -OCA</t>
        </is>
      </c>
      <c r="C2053" s="7" t="inlineStr">
        <is>
          <t>TE-A-ME</t>
        </is>
      </c>
      <c r="D2053" s="7" t="n">
        <v>3867</v>
      </c>
      <c r="E2053" s="7" t="inlineStr">
        <is>
          <t>TE-A-ME SIGNATURE BLACK TEAS ASSAM TEA 25 DC HS ENV TBGS -OCA</t>
        </is>
      </c>
      <c r="F2053" s="7" t="n">
        <v>24</v>
      </c>
      <c r="G2053" s="7" t="inlineStr">
        <is>
          <t>CTN</t>
        </is>
      </c>
      <c r="H2053">
        <f>#N/A</f>
        <v/>
      </c>
    </row>
    <row r="2054" ht="14.25" customHeight="1" s="5">
      <c r="A2054" s="7" t="n">
        <v>3866</v>
      </c>
      <c r="B2054" s="7" t="inlineStr">
        <is>
          <t>TE-A-ME SIGNATURE BLACK TEAS ASSAM TEA 24/25 DC HS ENV TBGS -OCA</t>
        </is>
      </c>
      <c r="C2054" s="7" t="inlineStr">
        <is>
          <t>TE-A-ME</t>
        </is>
      </c>
      <c r="D2054" s="7" t="n">
        <v>3337</v>
      </c>
      <c r="E2054" s="7" t="inlineStr">
        <is>
          <t>TE-A-ME SACHET 1/3 DC HS ENV TBGS</t>
        </is>
      </c>
      <c r="F2054" s="7" t="n">
        <v>24</v>
      </c>
      <c r="G2054" s="7" t="inlineStr">
        <is>
          <t>CFC</t>
        </is>
      </c>
      <c r="H2054">
        <f>#N/A</f>
        <v/>
      </c>
    </row>
    <row r="2055" ht="14.25" customHeight="1" s="5">
      <c r="A2055" s="7" t="n">
        <v>3868</v>
      </c>
      <c r="B2055" s="7" t="inlineStr">
        <is>
          <t>TE-A-ME SIGNATURE BLACK TEAS ASSAM TEA 24/25 DC SF HS ENV TBGS -OCA</t>
        </is>
      </c>
      <c r="C2055" s="7" t="inlineStr">
        <is>
          <t>TE-A-ME</t>
        </is>
      </c>
      <c r="D2055" s="7" t="n">
        <v>3869</v>
      </c>
      <c r="E2055" s="7" t="inlineStr">
        <is>
          <t>TE-A-ME SIGNATURE BLACK TEAS ASSAM TEA 25 DC SF HS ENV TBGS -OCA</t>
        </is>
      </c>
      <c r="F2055" s="7" t="n">
        <v>24</v>
      </c>
      <c r="G2055" s="7" t="inlineStr">
        <is>
          <t>CTN</t>
        </is>
      </c>
      <c r="H2055" t="inlineStr">
        <is>
          <t>BLEND TEAME 909</t>
        </is>
      </c>
    </row>
    <row r="2056" ht="14.25" customHeight="1" s="5">
      <c r="A2056" s="7" t="n">
        <v>17968</v>
      </c>
      <c r="B2056" s="7" t="inlineStr">
        <is>
          <t>TE-A-ME SIGNATURE BLACK TEAS ASSAM TEA 4/100 JUMBO POT TEA BAGS</t>
        </is>
      </c>
      <c r="C2056" s="7" t="inlineStr">
        <is>
          <t>TE-A-ME</t>
        </is>
      </c>
      <c r="D2056" s="7" t="n">
        <v>3870</v>
      </c>
      <c r="E2056" s="7" t="inlineStr">
        <is>
          <t>TE-A-ME SIGNATURE BLACK TEAS ASSAM TEA 100 JUMBO POT TEA BAGS</t>
        </is>
      </c>
      <c r="F2056" s="7" t="n">
        <v>4</v>
      </c>
      <c r="G2056" s="7" t="inlineStr">
        <is>
          <t>CTN</t>
        </is>
      </c>
      <c r="H2056">
        <f>#N/A</f>
        <v/>
      </c>
    </row>
    <row r="2057" ht="14.25" customHeight="1" s="5">
      <c r="A2057" s="7" t="n">
        <v>3876</v>
      </c>
      <c r="B2057" s="7" t="inlineStr">
        <is>
          <t>TE-A-ME SIGNATURE BLACK TEAS ASSAM TEA(AIR INDIA) 50/25 DC TAG TBGS</t>
        </is>
      </c>
      <c r="C2057" s="7" t="inlineStr">
        <is>
          <t>TE-A-ME</t>
        </is>
      </c>
      <c r="D2057" s="7" t="n">
        <v>3877</v>
      </c>
      <c r="E2057" s="7" t="inlineStr">
        <is>
          <t>TE-A-ME SIGNATURE BLACK TEAS ASSAM TEA(AIR INDIA) 25 DC TAG TBGS</t>
        </is>
      </c>
      <c r="F2057" s="7" t="n">
        <v>50</v>
      </c>
      <c r="G2057" s="7" t="inlineStr">
        <is>
          <t>CTN</t>
        </is>
      </c>
      <c r="H2057">
        <f>#N/A</f>
        <v/>
      </c>
    </row>
    <row r="2058" ht="14.25" customHeight="1" s="5">
      <c r="A2058" s="7" t="n">
        <v>3880</v>
      </c>
      <c r="B2058" s="7" t="inlineStr">
        <is>
          <t>TE-A-ME SIGNATURE BLACK TEAS DARJEELING TEA 24/25 DC HS ENV TBGS</t>
        </is>
      </c>
      <c r="C2058" s="7" t="inlineStr">
        <is>
          <t>TE-A-ME</t>
        </is>
      </c>
      <c r="D2058" s="7" t="n">
        <v>3881</v>
      </c>
      <c r="E2058" s="7" t="inlineStr">
        <is>
          <t>TE-A-ME SIGNATURE BLACK TEAS DARJEELING TEA 25 DC HS ENV TBGS</t>
        </is>
      </c>
      <c r="F2058" s="7" t="n">
        <v>24</v>
      </c>
      <c r="G2058" s="7" t="inlineStr">
        <is>
          <t>CTN</t>
        </is>
      </c>
      <c r="H2058">
        <f>#N/A</f>
        <v/>
      </c>
    </row>
    <row r="2059" ht="14.25" customHeight="1" s="5">
      <c r="A2059" s="7" t="n">
        <v>3880</v>
      </c>
      <c r="B2059" s="7" t="inlineStr">
        <is>
          <t>TE-A-ME SIGNATURE BLACK TEAS DARJEELING TEA 24/25 DC HS ENV TBGS</t>
        </is>
      </c>
      <c r="C2059" s="7" t="inlineStr">
        <is>
          <t>TE-A-ME</t>
        </is>
      </c>
      <c r="D2059" s="7" t="n">
        <v>3337</v>
      </c>
      <c r="E2059" s="7" t="inlineStr">
        <is>
          <t>TE-A-ME SACHET 1/3 DC HS ENV TBGS</t>
        </is>
      </c>
      <c r="F2059" s="7" t="n">
        <v>24</v>
      </c>
      <c r="G2059" s="7" t="inlineStr">
        <is>
          <t>CFC</t>
        </is>
      </c>
      <c r="H2059">
        <f>#N/A</f>
        <v/>
      </c>
    </row>
    <row r="2060" ht="14.25" customHeight="1" s="5">
      <c r="A2060" s="7" t="n">
        <v>3883</v>
      </c>
      <c r="B2060" s="7" t="inlineStr">
        <is>
          <t>TE-A-ME SIGNATURE BLACK TEAS DARJEELING TEA 24/25 DC SF HS ENV TBGS</t>
        </is>
      </c>
      <c r="C2060" s="7" t="inlineStr">
        <is>
          <t>TE-A-ME</t>
        </is>
      </c>
      <c r="D2060" s="7" t="n">
        <v>3884</v>
      </c>
      <c r="E2060" s="7" t="inlineStr">
        <is>
          <t>TE-A-ME SIGNATURE BLACK TEAS DARJEELING TEA 25 DC SF HS ENV TBGS</t>
        </is>
      </c>
      <c r="F2060" s="7" t="n">
        <v>24</v>
      </c>
      <c r="G2060" s="7" t="inlineStr">
        <is>
          <t>CTN</t>
        </is>
      </c>
      <c r="H2060" t="inlineStr">
        <is>
          <t>BLEND DJ (LOCAL)</t>
        </is>
      </c>
    </row>
    <row r="2061" ht="14.25" customHeight="1" s="5">
      <c r="A2061" s="7" t="n">
        <v>3885</v>
      </c>
      <c r="B2061" s="7" t="inlineStr">
        <is>
          <t>TE-A-ME SIGNATURE BLACK TEAS EARL GREY TEA 24/25 DC HS ENV TBGS</t>
        </is>
      </c>
      <c r="C2061" s="7" t="inlineStr">
        <is>
          <t>TE-A-ME</t>
        </is>
      </c>
      <c r="D2061" s="7" t="n">
        <v>3886</v>
      </c>
      <c r="E2061" s="7" t="inlineStr">
        <is>
          <t>TE-A-ME SIGNATURE BLACK TEAS EARL GREY TEA 25 DC HS ENV TBGS</t>
        </is>
      </c>
      <c r="F2061" s="7" t="n">
        <v>24</v>
      </c>
      <c r="G2061" s="7" t="inlineStr">
        <is>
          <t>CTN</t>
        </is>
      </c>
      <c r="H2061">
        <f>#N/A</f>
        <v/>
      </c>
    </row>
    <row r="2062" ht="14.25" customHeight="1" s="5">
      <c r="A2062" s="7" t="n">
        <v>3885</v>
      </c>
      <c r="B2062" s="7" t="inlineStr">
        <is>
          <t>TE-A-ME SIGNATURE BLACK TEAS EARL GREY TEA 24/25 DC HS ENV TBGS</t>
        </is>
      </c>
      <c r="C2062" s="7" t="inlineStr">
        <is>
          <t>TE-A-ME</t>
        </is>
      </c>
      <c r="D2062" s="7" t="n">
        <v>3337</v>
      </c>
      <c r="E2062" s="7" t="inlineStr">
        <is>
          <t>TE-A-ME SACHET 1/3 DC HS ENV TBGS</t>
        </is>
      </c>
      <c r="F2062" s="7" t="n">
        <v>24</v>
      </c>
      <c r="G2062" s="7" t="inlineStr">
        <is>
          <t>CFC</t>
        </is>
      </c>
      <c r="H2062">
        <f>#N/A</f>
        <v/>
      </c>
    </row>
    <row r="2063" ht="14.25" customHeight="1" s="5">
      <c r="A2063" s="7" t="n">
        <v>3888</v>
      </c>
      <c r="B2063" s="7" t="inlineStr">
        <is>
          <t>TE-A-ME SIGNATURE BLACK TEAS EARL GREY TEA 24/25 DC SF HS ENV TBGS</t>
        </is>
      </c>
      <c r="C2063" s="7" t="inlineStr">
        <is>
          <t>TE-A-ME</t>
        </is>
      </c>
      <c r="D2063" s="7" t="n">
        <v>3889</v>
      </c>
      <c r="E2063" s="7" t="inlineStr">
        <is>
          <t>TE-A-ME SIGNATURE BLACK TEAS EARL GREY TEA 25 DC SF HS ENV TBGS</t>
        </is>
      </c>
      <c r="F2063" s="7" t="n">
        <v>24</v>
      </c>
      <c r="G2063" s="7" t="inlineStr">
        <is>
          <t>CTN</t>
        </is>
      </c>
      <c r="H2063" t="inlineStr">
        <is>
          <t>BLEND BLACK TEA EARL GREY TBC</t>
        </is>
      </c>
    </row>
    <row r="2064" ht="14.25" customHeight="1" s="5">
      <c r="A2064" s="7" t="n">
        <v>3890</v>
      </c>
      <c r="B2064" s="7" t="inlineStr">
        <is>
          <t>TE-A-ME SIGNATURE BLACK TEAS ENGLISH BREAKFAST TEA 24/25 DC HS ENV TBGS-EB</t>
        </is>
      </c>
      <c r="C2064" s="7" t="inlineStr">
        <is>
          <t>TE-A-ME</t>
        </is>
      </c>
      <c r="D2064" s="7" t="n">
        <v>3891</v>
      </c>
      <c r="E2064" s="7" t="inlineStr">
        <is>
          <t>TE-A-ME SIGNATURE BLACK TEAS ENGLISH BREAKFAST TEA 25 DC HS ENV TBGS-EB</t>
        </is>
      </c>
      <c r="F2064" s="7" t="n">
        <v>24</v>
      </c>
      <c r="G2064" s="7" t="inlineStr">
        <is>
          <t>CTN</t>
        </is>
      </c>
      <c r="H2064">
        <f>#N/A</f>
        <v/>
      </c>
    </row>
    <row r="2065" ht="14.25" customHeight="1" s="5">
      <c r="A2065" s="7" t="n">
        <v>3890</v>
      </c>
      <c r="B2065" s="7" t="inlineStr">
        <is>
          <t>TE-A-ME SIGNATURE BLACK TEAS ENGLISH BREAKFAST TEA 24/25 DC HS ENV TBGS-EB</t>
        </is>
      </c>
      <c r="C2065" s="7" t="inlineStr">
        <is>
          <t>TE-A-ME</t>
        </is>
      </c>
      <c r="D2065" s="7" t="n">
        <v>3337</v>
      </c>
      <c r="E2065" s="7" t="inlineStr">
        <is>
          <t>TE-A-ME SACHET 1/3 DC HS ENV TBGS</t>
        </is>
      </c>
      <c r="F2065" s="7" t="n">
        <v>24</v>
      </c>
      <c r="G2065" s="7" t="inlineStr">
        <is>
          <t>CFC</t>
        </is>
      </c>
      <c r="H2065">
        <f>#N/A</f>
        <v/>
      </c>
    </row>
    <row r="2066" ht="14.25" customHeight="1" s="5">
      <c r="A2066" s="7" t="n">
        <v>3893</v>
      </c>
      <c r="B2066" s="7" t="inlineStr">
        <is>
          <t>TE-A-ME SIGNATURE BLACK TEAS ENGLISH BREAKFAST TEA 24/25 DC SF HS ENV TBGS-EB</t>
        </is>
      </c>
      <c r="C2066" s="7" t="inlineStr">
        <is>
          <t>TE-A-ME</t>
        </is>
      </c>
      <c r="D2066" s="7" t="n">
        <v>3894</v>
      </c>
      <c r="E2066" s="7" t="inlineStr">
        <is>
          <t>TE-A-ME SIGNATURE BLACK TEAS ENGLISH BREAKFAST TEA 25 DC SF HS ENV TBGS-EB</t>
        </is>
      </c>
      <c r="F2066" s="7" t="n">
        <v>24</v>
      </c>
      <c r="G2066" s="7" t="inlineStr">
        <is>
          <t>CTN</t>
        </is>
      </c>
      <c r="H2066" t="inlineStr">
        <is>
          <t>BLEND TEAME 909</t>
        </is>
      </c>
    </row>
    <row r="2067" ht="14.25" customHeight="1" s="5">
      <c r="A2067" s="7" t="n">
        <v>3895</v>
      </c>
      <c r="B2067" s="7" t="inlineStr">
        <is>
          <t>TE-A-ME SIGNATURE BLACK TEAS LEMON TEA 24/25 DC HS ENV TBGS</t>
        </is>
      </c>
      <c r="C2067" s="7" t="inlineStr">
        <is>
          <t>TE-A-ME</t>
        </is>
      </c>
      <c r="D2067" s="7" t="n">
        <v>3896</v>
      </c>
      <c r="E2067" s="7" t="inlineStr">
        <is>
          <t>TE-A-ME SIGNATURE BLACK TEAS LEMON TEA 25 DC HS ENV TBGS</t>
        </is>
      </c>
      <c r="F2067" s="7" t="n">
        <v>24</v>
      </c>
      <c r="G2067" s="7" t="inlineStr">
        <is>
          <t>CTN</t>
        </is>
      </c>
      <c r="H2067">
        <f>#N/A</f>
        <v/>
      </c>
    </row>
    <row r="2068" ht="14.25" customHeight="1" s="5">
      <c r="A2068" s="7" t="n">
        <v>3895</v>
      </c>
      <c r="B2068" s="7" t="inlineStr">
        <is>
          <t>TE-A-ME SIGNATURE BLACK TEAS LEMON TEA 24/25 DC HS ENV TBGS</t>
        </is>
      </c>
      <c r="C2068" s="7" t="inlineStr">
        <is>
          <t>TE-A-ME</t>
        </is>
      </c>
      <c r="D2068" s="7" t="n">
        <v>3337</v>
      </c>
      <c r="E2068" s="7" t="inlineStr">
        <is>
          <t>TE-A-ME SACHET 1/3 DC HS ENV TBGS</t>
        </is>
      </c>
      <c r="F2068" s="7" t="n">
        <v>24</v>
      </c>
      <c r="G2068" s="7" t="inlineStr">
        <is>
          <t>CFC</t>
        </is>
      </c>
      <c r="H2068">
        <f>#N/A</f>
        <v/>
      </c>
    </row>
    <row r="2069" ht="14.25" customHeight="1" s="5">
      <c r="A2069" s="7" t="n">
        <v>3898</v>
      </c>
      <c r="B2069" s="7" t="inlineStr">
        <is>
          <t>TE-A-ME SIGNATURE BLACK TEAS LEMON TEA 24/25 DC SF HS ENV TBGS</t>
        </is>
      </c>
      <c r="C2069" s="7" t="inlineStr">
        <is>
          <t>TE-A-ME</t>
        </is>
      </c>
      <c r="D2069" s="7" t="n">
        <v>3899</v>
      </c>
      <c r="E2069" s="7" t="inlineStr">
        <is>
          <t>TE-A-ME SIGNATURE BLACK TEAS LEMON TEA 25 DC SF HS ENV TBGS</t>
        </is>
      </c>
      <c r="F2069" s="7" t="n">
        <v>24</v>
      </c>
      <c r="G2069" s="7" t="inlineStr">
        <is>
          <t>CTN</t>
        </is>
      </c>
      <c r="H2069" t="inlineStr">
        <is>
          <t>BLEND CCD LEMON</t>
        </is>
      </c>
    </row>
    <row r="2070" ht="14.25" customHeight="1" s="5">
      <c r="A2070" s="7" t="n">
        <v>36055</v>
      </c>
      <c r="B2070" s="7" t="inlineStr">
        <is>
          <t>TE-A-ME SUPER PREMIUM LEAF [48 X 250 GM CTN] CFC</t>
        </is>
      </c>
      <c r="C2070" s="7" t="inlineStr">
        <is>
          <t>TE-A-ME</t>
        </is>
      </c>
      <c r="D2070" s="7" t="n">
        <v>36369</v>
      </c>
      <c r="E2070" s="7" t="inlineStr">
        <is>
          <t>TE-A-ME SUPER PREMIUM UP LEAF 250 GM CTN</t>
        </is>
      </c>
      <c r="F2070" s="7" t="n">
        <v>48</v>
      </c>
      <c r="G2070" s="7" t="inlineStr">
        <is>
          <t>CTN</t>
        </is>
      </c>
      <c r="H2070" t="inlineStr">
        <is>
          <t>BLEND TEAME PREMIUM UP</t>
        </is>
      </c>
    </row>
    <row r="2071" ht="14.25" customHeight="1" s="5">
      <c r="A2071" s="7" t="n">
        <v>36163</v>
      </c>
      <c r="B2071" s="7" t="inlineStr">
        <is>
          <t>TE-A-ME SUPER PREMIUM LEAF [72 X 250 GM CTN] CFC CP OFFER</t>
        </is>
      </c>
      <c r="C2071" s="7" t="inlineStr">
        <is>
          <t>TE-A-ME</t>
        </is>
      </c>
      <c r="D2071" s="7" t="n">
        <v>36369</v>
      </c>
      <c r="E2071" s="7" t="inlineStr">
        <is>
          <t>TE-A-ME SUPER PREMIUM UP LEAF 250 GM CTN</t>
        </is>
      </c>
      <c r="F2071" s="7" t="n">
        <v>72</v>
      </c>
      <c r="G2071" s="7" t="inlineStr">
        <is>
          <t>CTN</t>
        </is>
      </c>
      <c r="H2071" t="inlineStr">
        <is>
          <t>BLEND TEAME PREMIUM UP</t>
        </is>
      </c>
    </row>
    <row r="2072" ht="14.25" customHeight="1" s="5">
      <c r="A2072" s="7" t="n">
        <v>37586</v>
      </c>
      <c r="B2072" s="7" t="inlineStr">
        <is>
          <t>TE-A-ME SUPER PREMIUM UP LEAF [48 X 250 GM CTN] CFC CP OFFER</t>
        </is>
      </c>
      <c r="C2072" s="7" t="inlineStr">
        <is>
          <t>TE-A-ME</t>
        </is>
      </c>
      <c r="D2072" s="7" t="n">
        <v>36369</v>
      </c>
      <c r="E2072" s="7" t="inlineStr">
        <is>
          <t>TE-A-ME SUPER PREMIUM UP LEAF 250 GM CTN</t>
        </is>
      </c>
      <c r="F2072" s="7" t="n">
        <v>48</v>
      </c>
      <c r="G2072" s="7" t="inlineStr">
        <is>
          <t>CTN</t>
        </is>
      </c>
      <c r="H2072" t="inlineStr">
        <is>
          <t>BLEND TEAME PREMIUM UP</t>
        </is>
      </c>
    </row>
    <row r="2073" ht="14.25" customHeight="1" s="5">
      <c r="A2073" s="7" t="n">
        <v>27259</v>
      </c>
      <c r="B2073" s="7" t="inlineStr">
        <is>
          <t>TE-A-ME TEATREATS 12/24 DC SF HS ENV TBGS (AF)</t>
        </is>
      </c>
      <c r="C2073" s="7" t="inlineStr">
        <is>
          <t>TE-A-ME</t>
        </is>
      </c>
      <c r="D2073" s="7" t="n">
        <v>27261</v>
      </c>
      <c r="E2073" s="7" t="inlineStr">
        <is>
          <t>TE-A-ME TEATREATS 24 DC SF HS ENV TBGS (AF)</t>
        </is>
      </c>
      <c r="F2073" s="7" t="n">
        <v>12</v>
      </c>
      <c r="G2073" s="7" t="inlineStr">
        <is>
          <t>CTN</t>
        </is>
      </c>
      <c r="H2073">
        <f>#N/A</f>
        <v/>
      </c>
    </row>
    <row r="2074" ht="14.25" customHeight="1" s="5">
      <c r="A2074" s="7" t="n">
        <v>27261</v>
      </c>
      <c r="B2074" s="7" t="inlineStr">
        <is>
          <t>TE-A-ME TEATREATS 24 DC SF HS ENV TBGS (AF)</t>
        </is>
      </c>
      <c r="C2074" s="7" t="inlineStr">
        <is>
          <t>TE-A-ME</t>
        </is>
      </c>
      <c r="D2074" s="7" t="n">
        <v>26345</v>
      </c>
      <c r="E2074" s="7" t="inlineStr">
        <is>
          <t>ALDI TE-A-ME LOOSE ENV GREEN TEA JASMINE DC SF HS ENV TBGS</t>
        </is>
      </c>
      <c r="F2074" s="7" t="n">
        <v>4</v>
      </c>
      <c r="G2074" s="7" t="inlineStr">
        <is>
          <t>ENV</t>
        </is>
      </c>
      <c r="H2074" t="inlineStr">
        <is>
          <t>BLEND GREEN TEA JASMINE PL TBC</t>
        </is>
      </c>
    </row>
    <row r="2075" ht="14.25" customHeight="1" s="5">
      <c r="A2075" s="7" t="n">
        <v>27261</v>
      </c>
      <c r="B2075" s="7" t="inlineStr">
        <is>
          <t>TE-A-ME TEATREATS 24 DC SF HS ENV TBGS (AF)</t>
        </is>
      </c>
      <c r="C2075" s="7" t="inlineStr">
        <is>
          <t>TE-A-ME</t>
        </is>
      </c>
      <c r="D2075" s="7" t="n">
        <v>26346</v>
      </c>
      <c r="E2075" s="7" t="inlineStr">
        <is>
          <t>ALDI TE-A-ME LOOSE ENV BLACK TEA CINNAMON DC SF HS ENV TBGS</t>
        </is>
      </c>
      <c r="F2075" s="7" t="n">
        <v>4</v>
      </c>
      <c r="G2075" s="7" t="inlineStr">
        <is>
          <t>ENV</t>
        </is>
      </c>
      <c r="H2075" t="inlineStr">
        <is>
          <t>BLEND BLACK TEA CINNAMON FLVR ALDI TBC</t>
        </is>
      </c>
    </row>
    <row r="2076" ht="14.25" customHeight="1" s="5">
      <c r="A2076" s="7" t="n">
        <v>27261</v>
      </c>
      <c r="B2076" s="7" t="inlineStr">
        <is>
          <t>TE-A-ME TEATREATS 24 DC SF HS ENV TBGS (AF)</t>
        </is>
      </c>
      <c r="C2076" s="7" t="inlineStr">
        <is>
          <t>TE-A-ME</t>
        </is>
      </c>
      <c r="D2076" s="7" t="n">
        <v>26347</v>
      </c>
      <c r="E2076" s="7" t="inlineStr">
        <is>
          <t>ALDI TE-A-ME LOOSE ENV GREEN TEA CHAI DC SF HS ENV TBGS</t>
        </is>
      </c>
      <c r="F2076" s="7" t="n">
        <v>4</v>
      </c>
      <c r="G2076" s="7" t="inlineStr">
        <is>
          <t>ENV</t>
        </is>
      </c>
      <c r="H2076" t="inlineStr">
        <is>
          <t>BLEND GREEN TEA CHAI ALDI TBC</t>
        </is>
      </c>
    </row>
    <row r="2077" ht="14.25" customHeight="1" s="5">
      <c r="A2077" s="7" t="n">
        <v>27261</v>
      </c>
      <c r="B2077" s="7" t="inlineStr">
        <is>
          <t>TE-A-ME TEATREATS 24 DC SF HS ENV TBGS (AF)</t>
        </is>
      </c>
      <c r="C2077" s="7" t="inlineStr">
        <is>
          <t>TE-A-ME</t>
        </is>
      </c>
      <c r="D2077" s="7" t="n">
        <v>26348</v>
      </c>
      <c r="E2077" s="7" t="inlineStr">
        <is>
          <t>ALDI TE-A-ME LOOSE ENV MINT DC SF HS ENV TBGS</t>
        </is>
      </c>
      <c r="F2077" s="7" t="n">
        <v>4</v>
      </c>
      <c r="G2077" s="7" t="inlineStr">
        <is>
          <t>ENV</t>
        </is>
      </c>
      <c r="H2077" t="inlineStr">
        <is>
          <t>BLEND MINT TBC 100% UTZ</t>
        </is>
      </c>
    </row>
    <row r="2078" ht="14.25" customHeight="1" s="5">
      <c r="A2078" s="7" t="n">
        <v>27261</v>
      </c>
      <c r="B2078" s="7" t="inlineStr">
        <is>
          <t>TE-A-ME TEATREATS 24 DC SF HS ENV TBGS (AF)</t>
        </is>
      </c>
      <c r="C2078" s="7" t="inlineStr">
        <is>
          <t>TE-A-ME</t>
        </is>
      </c>
      <c r="D2078" s="7" t="n">
        <v>26349</v>
      </c>
      <c r="E2078" s="7" t="inlineStr">
        <is>
          <t>ALDI TE-A-ME LOOSE ENV ROOIBOS LEMON GRASS DC SF HS ENV TBGS</t>
        </is>
      </c>
      <c r="F2078" s="7" t="n">
        <v>4</v>
      </c>
      <c r="G2078" s="7" t="inlineStr">
        <is>
          <t>ENV</t>
        </is>
      </c>
      <c r="H2078" t="inlineStr">
        <is>
          <t>BLEND AX-ROOIBOS TB 30% RFA</t>
        </is>
      </c>
    </row>
    <row r="2079" ht="14.25" customHeight="1" s="5">
      <c r="A2079" s="7" t="n">
        <v>27261</v>
      </c>
      <c r="B2079" s="7" t="inlineStr">
        <is>
          <t>TE-A-ME TEATREATS 24 DC SF HS ENV TBGS (AF)</t>
        </is>
      </c>
      <c r="C2079" s="7" t="inlineStr">
        <is>
          <t>TE-A-ME</t>
        </is>
      </c>
      <c r="D2079" s="7" t="n">
        <v>26343</v>
      </c>
      <c r="E2079" s="7" t="inlineStr">
        <is>
          <t>ALDI TE-A-ME LOOSE ENV ROOIBOS SPICE DC SF HS ENV TBGS</t>
        </is>
      </c>
      <c r="F2079" s="7" t="n">
        <v>4</v>
      </c>
      <c r="G2079" s="7" t="inlineStr">
        <is>
          <t>ENV</t>
        </is>
      </c>
      <c r="H2079" t="inlineStr">
        <is>
          <t>BLEND ROOIBOS SPICE JUMBO TBC</t>
        </is>
      </c>
    </row>
    <row r="2080" ht="14.25" customHeight="1" s="5">
      <c r="A2080" s="7" t="n">
        <v>3900</v>
      </c>
      <c r="B2080" s="7" t="inlineStr">
        <is>
          <t>TE-A-ME TELWAVE M ASSORTED GIFT BOX 48 DC HS ENV TBGS</t>
        </is>
      </c>
      <c r="C2080" s="7" t="inlineStr">
        <is>
          <t>TE-A-ME</t>
        </is>
      </c>
      <c r="D2080" s="7" t="n">
        <v>3417</v>
      </c>
      <c r="E2080" s="7" t="inlineStr">
        <is>
          <t>TE-A-ME LOOSE TBGS NATURAL GREEN TEAS KASHMIRI KAHWA TEA DC HS ENV</t>
        </is>
      </c>
      <c r="F2080" s="7" t="n">
        <v>8</v>
      </c>
      <c r="G2080" s="7" t="inlineStr">
        <is>
          <t>TBGS</t>
        </is>
      </c>
      <c r="H2080">
        <f>#N/A</f>
        <v/>
      </c>
    </row>
    <row r="2081" ht="14.25" customHeight="1" s="5">
      <c r="A2081" s="7" t="n">
        <v>3900</v>
      </c>
      <c r="B2081" s="7" t="inlineStr">
        <is>
          <t>TE-A-ME TELWAVE M ASSORTED GIFT BOX 48 DC HS ENV TBGS</t>
        </is>
      </c>
      <c r="C2081" s="7" t="inlineStr">
        <is>
          <t>TE-A-ME</t>
        </is>
      </c>
      <c r="D2081" s="7" t="n">
        <v>3420</v>
      </c>
      <c r="E2081" s="7" t="inlineStr">
        <is>
          <t>TE-A-ME LOOSE TBGS WELLNESS INFUSIONS TULSI GREEN DC HS ENV</t>
        </is>
      </c>
      <c r="F2081" s="7" t="n">
        <v>8</v>
      </c>
      <c r="G2081" s="7" t="inlineStr">
        <is>
          <t>TBGS</t>
        </is>
      </c>
      <c r="H2081">
        <f>#N/A</f>
        <v/>
      </c>
    </row>
    <row r="2082" ht="14.25" customHeight="1" s="5">
      <c r="A2082" s="7" t="n">
        <v>3900</v>
      </c>
      <c r="B2082" s="7" t="inlineStr">
        <is>
          <t>TE-A-ME TELWAVE M ASSORTED GIFT BOX 48 DC HS ENV TBGS</t>
        </is>
      </c>
      <c r="C2082" s="7" t="inlineStr">
        <is>
          <t>TE-A-ME</t>
        </is>
      </c>
      <c r="D2082" s="7" t="n">
        <v>3416</v>
      </c>
      <c r="E2082" s="7" t="inlineStr">
        <is>
          <t>TE-A-ME LOOSE TBGS NATURAL GREEN TEAS JASMINE GREEN DC HS ENV</t>
        </is>
      </c>
      <c r="F2082" s="7" t="n">
        <v>8</v>
      </c>
      <c r="G2082" s="7" t="inlineStr">
        <is>
          <t>TBGS</t>
        </is>
      </c>
      <c r="H2082">
        <f>#N/A</f>
        <v/>
      </c>
    </row>
    <row r="2083" ht="14.25" customHeight="1" s="5">
      <c r="A2083" s="7" t="n">
        <v>3900</v>
      </c>
      <c r="B2083" s="7" t="inlineStr">
        <is>
          <t>TE-A-ME TELWAVE M ASSORTED GIFT BOX 48 DC HS ENV TBGS</t>
        </is>
      </c>
      <c r="C2083" s="7" t="inlineStr">
        <is>
          <t>TE-A-ME</t>
        </is>
      </c>
      <c r="D2083" s="7" t="n">
        <v>3419</v>
      </c>
      <c r="E2083" s="7" t="inlineStr">
        <is>
          <t>TE-A-ME LOOSE TBGS SIGNATURE BLACK TEAS DARJEELING DC HS ENV</t>
        </is>
      </c>
      <c r="F2083" s="7" t="n">
        <v>8</v>
      </c>
      <c r="G2083" s="7" t="inlineStr">
        <is>
          <t>TBGS</t>
        </is>
      </c>
      <c r="H2083">
        <f>#N/A</f>
        <v/>
      </c>
    </row>
    <row r="2084" ht="14.25" customHeight="1" s="5">
      <c r="A2084" s="7" t="n">
        <v>3900</v>
      </c>
      <c r="B2084" s="7" t="inlineStr">
        <is>
          <t>TE-A-ME TELWAVE M ASSORTED GIFT BOX 48 DC HS ENV TBGS</t>
        </is>
      </c>
      <c r="C2084" s="7" t="inlineStr">
        <is>
          <t>TE-A-ME</t>
        </is>
      </c>
      <c r="D2084" s="7" t="n">
        <v>3415</v>
      </c>
      <c r="E2084" s="7" t="inlineStr">
        <is>
          <t>TE-A-ME LOOSE TBGS NATURAL GREEN TEAS GREEN DC HS ENV</t>
        </is>
      </c>
      <c r="F2084" s="7" t="n">
        <v>8</v>
      </c>
      <c r="G2084" s="7" t="inlineStr">
        <is>
          <t>TBGS</t>
        </is>
      </c>
      <c r="H2084">
        <f>#N/A</f>
        <v/>
      </c>
    </row>
    <row r="2085" ht="14.25" customHeight="1" s="5">
      <c r="A2085" s="7" t="n">
        <v>3900</v>
      </c>
      <c r="B2085" s="7" t="inlineStr">
        <is>
          <t>TE-A-ME TELWAVE M ASSORTED GIFT BOX 48 DC HS ENV TBGS</t>
        </is>
      </c>
      <c r="C2085" s="7" t="inlineStr">
        <is>
          <t>TE-A-ME</t>
        </is>
      </c>
      <c r="D2085" s="7" t="n">
        <v>3418</v>
      </c>
      <c r="E2085" s="7" t="inlineStr">
        <is>
          <t>TE-A-ME LOOSE TBGS NATURAL GREEN TEAS MINT GREEN TEA DC HS ENV</t>
        </is>
      </c>
      <c r="F2085" s="7" t="n">
        <v>8</v>
      </c>
      <c r="G2085" s="7" t="inlineStr">
        <is>
          <t>TBGS</t>
        </is>
      </c>
      <c r="H2085">
        <f>#N/A</f>
        <v/>
      </c>
    </row>
    <row r="2086" ht="14.25" customHeight="1" s="5">
      <c r="A2086" s="7" t="n">
        <v>35368</v>
      </c>
      <c r="B2086" s="7" t="inlineStr">
        <is>
          <t>TE-A-ME TINS - EXOTIC BREWS ASSAM TEA 12/100 G</t>
        </is>
      </c>
      <c r="C2086" s="7" t="inlineStr">
        <is>
          <t>TE-A-ME</t>
        </is>
      </c>
      <c r="D2086" s="7" t="n">
        <v>35356</v>
      </c>
      <c r="E2086" s="7" t="inlineStr">
        <is>
          <t>TE-A-ME TINS - EXOTIC BREWS ASSAM TEA 100 G</t>
        </is>
      </c>
      <c r="F2086" s="7" t="n">
        <v>12</v>
      </c>
      <c r="G2086" s="7" t="inlineStr">
        <is>
          <t>CTN</t>
        </is>
      </c>
      <c r="H2086" t="inlineStr">
        <is>
          <t>BLEND AXOP-S-RFA</t>
        </is>
      </c>
    </row>
    <row r="2087" ht="14.25" customHeight="1" s="5">
      <c r="A2087" s="7" t="n">
        <v>32476</v>
      </c>
      <c r="B2087" s="7" t="inlineStr">
        <is>
          <t>TE-A-ME TINS - EXOTIC BREWS ASSAM TEA 12/50G-NEW</t>
        </is>
      </c>
      <c r="C2087" s="7" t="inlineStr">
        <is>
          <t>TE-A-ME</t>
        </is>
      </c>
      <c r="D2087" s="7" t="n">
        <v>32452</v>
      </c>
      <c r="E2087" s="7" t="inlineStr">
        <is>
          <t>TE-A-ME TINS - EXOTIC BREWS ASSAM TEA 50G-NEW</t>
        </is>
      </c>
      <c r="F2087" s="7" t="n">
        <v>12</v>
      </c>
      <c r="G2087" s="7" t="inlineStr">
        <is>
          <t>CTN</t>
        </is>
      </c>
      <c r="H2087" t="inlineStr">
        <is>
          <t>BLEND AXOP-S-RFA</t>
        </is>
      </c>
    </row>
    <row r="2088" ht="14.25" customHeight="1" s="5">
      <c r="A2088" s="7" t="n">
        <v>32477</v>
      </c>
      <c r="B2088" s="7" t="inlineStr">
        <is>
          <t>TE-A-ME TINS - EXOTIC BREWS CHAMOMILE TEA 12/50G-NEW</t>
        </is>
      </c>
      <c r="C2088" s="7" t="inlineStr">
        <is>
          <t>TE-A-ME</t>
        </is>
      </c>
      <c r="D2088" s="7" t="n">
        <v>32453</v>
      </c>
      <c r="E2088" s="7" t="inlineStr">
        <is>
          <t>TE-A-ME TINS - EXOTIC BREWS CHAMOMILE TEA 50G-NEW</t>
        </is>
      </c>
      <c r="F2088" s="7" t="n">
        <v>12</v>
      </c>
      <c r="G2088" s="7" t="inlineStr">
        <is>
          <t>CTN</t>
        </is>
      </c>
      <c r="H2088" t="inlineStr">
        <is>
          <t>BLEND CHAMOMILE CC EXOTIC</t>
        </is>
      </c>
    </row>
    <row r="2089" ht="14.25" customHeight="1" s="5">
      <c r="A2089" s="7" t="n">
        <v>21698</v>
      </c>
      <c r="B2089" s="7" t="inlineStr">
        <is>
          <t>TE-A-ME TINS - EXOTIC BREWS DARJEELING TEA 12/50G</t>
        </is>
      </c>
      <c r="C2089" s="7" t="inlineStr">
        <is>
          <t>TE-A-ME</t>
        </is>
      </c>
      <c r="D2089" s="7" t="n">
        <v>3901</v>
      </c>
      <c r="E2089" s="7" t="inlineStr">
        <is>
          <t>TE-A-ME TINS - EXOTIC BREWS DARJEELING TEA 50G</t>
        </is>
      </c>
      <c r="F2089" s="7" t="n">
        <v>12</v>
      </c>
      <c r="G2089" s="7" t="inlineStr">
        <is>
          <t>CFC</t>
        </is>
      </c>
      <c r="H2089" t="inlineStr">
        <is>
          <t>BLEND DARJEELING- SP</t>
        </is>
      </c>
    </row>
    <row r="2090" ht="14.25" customHeight="1" s="5">
      <c r="A2090" s="7" t="n">
        <v>21700</v>
      </c>
      <c r="B2090" s="7" t="inlineStr">
        <is>
          <t>TE-A-ME TINS - EXOTIC BREWS EARL GREY TEA 12/50G</t>
        </is>
      </c>
      <c r="C2090" s="7" t="inlineStr">
        <is>
          <t>TE-A-ME</t>
        </is>
      </c>
      <c r="D2090" s="7" t="n">
        <v>3906</v>
      </c>
      <c r="E2090" s="7" t="inlineStr">
        <is>
          <t>TE-A-ME TINS - EXOTIC BREWS EARL GREY TEA 50G</t>
        </is>
      </c>
      <c r="F2090" s="7" t="n">
        <v>12</v>
      </c>
      <c r="G2090" s="7" t="inlineStr">
        <is>
          <t>CFC</t>
        </is>
      </c>
      <c r="H2090" t="inlineStr">
        <is>
          <t>BLEND BLACK TEA EARL GREY CC EXOTIC</t>
        </is>
      </c>
    </row>
    <row r="2091" ht="14.25" customHeight="1" s="5">
      <c r="A2091" s="7" t="n">
        <v>21702</v>
      </c>
      <c r="B2091" s="7" t="inlineStr">
        <is>
          <t>TE-A-ME TINS - EXOTIC BREWS GREEN KASHMIRI KAHWA TEA 12/50G</t>
        </is>
      </c>
      <c r="C2091" s="7" t="inlineStr">
        <is>
          <t>TE-A-ME</t>
        </is>
      </c>
      <c r="D2091" s="7" t="n">
        <v>3907</v>
      </c>
      <c r="E2091" s="7" t="inlineStr">
        <is>
          <t>TE-A-ME TINS - EXOTIC BREWS GREEN KASHMIRI KAHWA TEA 50G</t>
        </is>
      </c>
      <c r="F2091" s="7" t="n">
        <v>12</v>
      </c>
      <c r="G2091" s="7" t="inlineStr">
        <is>
          <t>CFC</t>
        </is>
      </c>
      <c r="H2091" t="inlineStr">
        <is>
          <t>BLEND GREEN TEA KASHMIRI KAHWA CC EXOTIC</t>
        </is>
      </c>
    </row>
    <row r="2092" ht="14.25" customHeight="1" s="5">
      <c r="A2092" s="7" t="n">
        <v>35369</v>
      </c>
      <c r="B2092" s="7" t="inlineStr">
        <is>
          <t>TE-A-ME TINS - EXOTIC BREWS GREEN TEA 12/100 G</t>
        </is>
      </c>
      <c r="C2092" s="7" t="inlineStr">
        <is>
          <t>TE-A-ME</t>
        </is>
      </c>
      <c r="D2092" s="7" t="n">
        <v>35357</v>
      </c>
      <c r="E2092" s="7" t="inlineStr">
        <is>
          <t>TE-A-ME TINS - EXOTIC BREWS GREEN TEA 100 G</t>
        </is>
      </c>
      <c r="F2092" s="7" t="n">
        <v>12</v>
      </c>
      <c r="G2092" s="7" t="inlineStr">
        <is>
          <t>CTN</t>
        </is>
      </c>
      <c r="H2092" t="inlineStr">
        <is>
          <t>BLEND STD-MJM2</t>
        </is>
      </c>
    </row>
    <row r="2093" ht="14.25" customHeight="1" s="5">
      <c r="A2093" s="7" t="n">
        <v>21703</v>
      </c>
      <c r="B2093" s="7" t="inlineStr">
        <is>
          <t>TE-A-ME TINS - EXOTIC BREWS GREEN TEA 12/50G</t>
        </is>
      </c>
      <c r="C2093" s="7" t="inlineStr">
        <is>
          <t>TE-A-ME</t>
        </is>
      </c>
      <c r="D2093" s="7" t="n">
        <v>3908</v>
      </c>
      <c r="E2093" s="7" t="inlineStr">
        <is>
          <t>TE-A-ME TINS - EXOTIC BREWS GREEN TEA 50G</t>
        </is>
      </c>
      <c r="F2093" s="7" t="n">
        <v>12</v>
      </c>
      <c r="G2093" s="7" t="inlineStr">
        <is>
          <t>CFC</t>
        </is>
      </c>
      <c r="H2093" t="inlineStr">
        <is>
          <t>BLEND STD-MJM2</t>
        </is>
      </c>
    </row>
    <row r="2094" ht="14.25" customHeight="1" s="5">
      <c r="A2094" s="7" t="n">
        <v>21704</v>
      </c>
      <c r="B2094" s="7" t="inlineStr">
        <is>
          <t>TE-A-ME TINS - EXOTIC BREWS JASMINE GREEN TEA 12/50G</t>
        </is>
      </c>
      <c r="C2094" s="7" t="inlineStr">
        <is>
          <t>TE-A-ME</t>
        </is>
      </c>
      <c r="D2094" s="7" t="n">
        <v>3909</v>
      </c>
      <c r="E2094" s="7" t="inlineStr">
        <is>
          <t>TE-A-ME TINS - EXOTIC BREWS JASMINE GREEN TEA 50G</t>
        </is>
      </c>
      <c r="F2094" s="7" t="n">
        <v>12</v>
      </c>
      <c r="G2094" s="7" t="inlineStr">
        <is>
          <t>CFC</t>
        </is>
      </c>
      <c r="H2094" t="inlineStr">
        <is>
          <t>BLEND JASMINE GREEN TEA CC EXOTIC</t>
        </is>
      </c>
    </row>
    <row r="2095" ht="14.25" customHeight="1" s="5">
      <c r="A2095" s="7" t="n">
        <v>21705</v>
      </c>
      <c r="B2095" s="7" t="inlineStr">
        <is>
          <t>TE-A-ME TINS - EXOTIC BREWS LEMON GINGER 12/50G</t>
        </is>
      </c>
      <c r="C2095" s="7" t="inlineStr">
        <is>
          <t>TE-A-ME</t>
        </is>
      </c>
      <c r="D2095" s="7" t="n">
        <v>3910</v>
      </c>
      <c r="E2095" s="7" t="inlineStr">
        <is>
          <t>TE-A-ME TINS - EXOTIC BREWS LEMON GINGER 50G</t>
        </is>
      </c>
      <c r="F2095" s="7" t="n">
        <v>12</v>
      </c>
      <c r="G2095" s="7" t="inlineStr">
        <is>
          <t>CFC</t>
        </is>
      </c>
      <c r="H2095" t="inlineStr">
        <is>
          <t>BLEND HERBAL LEMON GINGER CC EXOTIC</t>
        </is>
      </c>
    </row>
    <row r="2096" ht="14.25" customHeight="1" s="5">
      <c r="A2096" s="7" t="n">
        <v>32478</v>
      </c>
      <c r="B2096" s="7" t="inlineStr">
        <is>
          <t>TE-A-ME TINS - EXOTIC BREWS PEPPERMINT TEA 12/50G-NEW</t>
        </is>
      </c>
      <c r="C2096" s="7" t="inlineStr">
        <is>
          <t>TE-A-ME</t>
        </is>
      </c>
      <c r="D2096" s="7" t="n">
        <v>32454</v>
      </c>
      <c r="E2096" s="7" t="inlineStr">
        <is>
          <t>TE-A-ME TINS - EXOTIC BREWS PEPPERMINT TEA 50G-NEW</t>
        </is>
      </c>
      <c r="F2096" s="7" t="n">
        <v>12</v>
      </c>
      <c r="G2096" s="7" t="inlineStr">
        <is>
          <t>CTN</t>
        </is>
      </c>
      <c r="H2096" t="inlineStr">
        <is>
          <t>BLEND PEPPERMINT CC EXOTIC</t>
        </is>
      </c>
    </row>
    <row r="2097" ht="14.25" customHeight="1" s="5">
      <c r="A2097" s="7" t="n">
        <v>21706</v>
      </c>
      <c r="B2097" s="7" t="inlineStr">
        <is>
          <t>TE-A-ME TINS - EXOTIC BREWS ROOIBOS CREAMY VANILLA TEA 12/50G</t>
        </is>
      </c>
      <c r="C2097" s="7" t="inlineStr">
        <is>
          <t>TE-A-ME</t>
        </is>
      </c>
      <c r="D2097" s="7" t="n">
        <v>3912</v>
      </c>
      <c r="E2097" s="7" t="inlineStr">
        <is>
          <t>TE-A-ME TINS - EXOTIC BREWS ROOIBOS CREAMY VANILLA TEA 50G</t>
        </is>
      </c>
      <c r="F2097" s="7" t="n">
        <v>12</v>
      </c>
      <c r="G2097" s="7" t="inlineStr">
        <is>
          <t>CFC</t>
        </is>
      </c>
      <c r="H2097" t="inlineStr">
        <is>
          <t>BLEND ROOIBOS CREAMY VANILLA CC EXOTIC</t>
        </is>
      </c>
    </row>
    <row r="2098" ht="14.25" customHeight="1" s="5">
      <c r="A2098" s="7" t="n">
        <v>21707</v>
      </c>
      <c r="B2098" s="7" t="inlineStr">
        <is>
          <t>TE-A-ME TINS - EXOTIC BREWS ROOIBOS ORANGE &amp; CINNNAMON 12/50G</t>
        </is>
      </c>
      <c r="C2098" s="7" t="inlineStr">
        <is>
          <t>TE-A-ME</t>
        </is>
      </c>
      <c r="D2098" s="7" t="n">
        <v>3913</v>
      </c>
      <c r="E2098" s="7" t="inlineStr">
        <is>
          <t>TE-A-ME TINS - EXOTIC BREWS ROOIBOS ORANGE &amp; CINNNAMON 50G</t>
        </is>
      </c>
      <c r="F2098" s="7" t="n">
        <v>12</v>
      </c>
      <c r="G2098" s="7" t="inlineStr">
        <is>
          <t>CFC</t>
        </is>
      </c>
      <c r="H2098" t="inlineStr">
        <is>
          <t>BLEND ROOIBOS ORANGE &amp; CINNAMON CC EXOTIC</t>
        </is>
      </c>
    </row>
    <row r="2099" ht="14.25" customHeight="1" s="5">
      <c r="A2099" s="7" t="n">
        <v>32465</v>
      </c>
      <c r="B2099" s="7" t="inlineStr">
        <is>
          <t>TE-A-ME TINS - EXOTIC BREWS ROOIBOS ORANGE &amp; CINNNAMON 12/50G-NEW</t>
        </is>
      </c>
      <c r="C2099" s="7" t="inlineStr">
        <is>
          <t>TE-A-ME</t>
        </is>
      </c>
      <c r="D2099" s="7" t="n">
        <v>32451</v>
      </c>
      <c r="E2099" s="7" t="inlineStr">
        <is>
          <t>TE-A-ME TINS - EXOTIC BREWS ROOIBOS ORANGE &amp; CINNNAMON 50G-NEW</t>
        </is>
      </c>
      <c r="F2099" s="7" t="n">
        <v>12</v>
      </c>
      <c r="G2099" s="7" t="inlineStr">
        <is>
          <t>CTN</t>
        </is>
      </c>
      <c r="H2099" t="inlineStr">
        <is>
          <t>BLEND ROOIBOS ORANGE &amp; CINNAMON CC EXOTIC</t>
        </is>
      </c>
    </row>
    <row r="2100" ht="14.25" customHeight="1" s="5">
      <c r="A2100" s="7" t="n">
        <v>21708</v>
      </c>
      <c r="B2100" s="7" t="inlineStr">
        <is>
          <t>TE-A-ME TINS - EXOTIC BREWS SENCHA TEA 12/50G</t>
        </is>
      </c>
      <c r="C2100" s="7" t="inlineStr">
        <is>
          <t>TE-A-ME</t>
        </is>
      </c>
      <c r="D2100" s="7" t="n">
        <v>3914</v>
      </c>
      <c r="E2100" s="7" t="inlineStr">
        <is>
          <t>TE-A-ME TINS - EXOTIC BREWS SENCHA TEA 50G</t>
        </is>
      </c>
      <c r="F2100" s="7" t="n">
        <v>12</v>
      </c>
      <c r="G2100" s="7" t="inlineStr">
        <is>
          <t>CFC</t>
        </is>
      </c>
      <c r="H2100" t="inlineStr">
        <is>
          <t>BLEND SENCHA GREEN TEA CC EXOTIC</t>
        </is>
      </c>
    </row>
    <row r="2101" ht="14.25" customHeight="1" s="5">
      <c r="A2101" s="7" t="n">
        <v>21709</v>
      </c>
      <c r="B2101" s="7" t="inlineStr">
        <is>
          <t>TE-A-ME TINS - EXOTIC BREWS TULSI SPICE MIX 12/50G</t>
        </is>
      </c>
      <c r="C2101" s="7" t="inlineStr">
        <is>
          <t>TE-A-ME</t>
        </is>
      </c>
      <c r="D2101" s="7" t="n">
        <v>3915</v>
      </c>
      <c r="E2101" s="7" t="inlineStr">
        <is>
          <t>TE-A-ME TINS - EXOTIC BREWS TULSI SPICE MIX 50G</t>
        </is>
      </c>
      <c r="F2101" s="7" t="n">
        <v>12</v>
      </c>
      <c r="G2101" s="7" t="inlineStr">
        <is>
          <t>CFC</t>
        </is>
      </c>
      <c r="H2101" t="inlineStr">
        <is>
          <t>BLEND TULSI MASALA CC EXOTIC</t>
        </is>
      </c>
    </row>
    <row r="2102" ht="14.25" customHeight="1" s="5">
      <c r="A2102" s="7" t="n">
        <v>27893</v>
      </c>
      <c r="B2102" s="7" t="inlineStr">
        <is>
          <t>TE-A-ME TRIOLYTIC ASSORTED GIFT BOX 48 ENV TBGS</t>
        </is>
      </c>
      <c r="C2102" s="7" t="inlineStr">
        <is>
          <t>TE-A-ME</t>
        </is>
      </c>
      <c r="D2102" s="7" t="n">
        <v>2777</v>
      </c>
      <c r="E2102" s="8" t="inlineStr">
        <is>
          <t xml:space="preserve">TE-A-ME LOOSE ENV NATURAL GREEN TEAS GREEN TEA DC SF HS ENV TBGS
</t>
        </is>
      </c>
      <c r="F2102" s="7" t="n">
        <v>8</v>
      </c>
      <c r="G2102" s="7" t="inlineStr">
        <is>
          <t>ENV</t>
        </is>
      </c>
      <c r="H2102" t="inlineStr">
        <is>
          <t>BLEND TEAME GREEN</t>
        </is>
      </c>
    </row>
    <row r="2103" ht="14.25" customHeight="1" s="5">
      <c r="A2103" s="7" t="n">
        <v>27893</v>
      </c>
      <c r="B2103" s="7" t="inlineStr">
        <is>
          <t>TE-A-ME TRIOLYTIC ASSORTED GIFT BOX 48 ENV TBGS</t>
        </is>
      </c>
      <c r="C2103" s="7" t="inlineStr">
        <is>
          <t>TE-A-ME</t>
        </is>
      </c>
      <c r="D2103" s="7" t="n">
        <v>5638</v>
      </c>
      <c r="E2103" s="7" t="inlineStr">
        <is>
          <t>TE-A-ME LOOSE ENV SIGNATURE BLACK TEAS DARJEELING TEA DC SF HS ENV TBGS</t>
        </is>
      </c>
      <c r="F2103" s="7" t="n">
        <v>8</v>
      </c>
      <c r="G2103" s="7" t="inlineStr">
        <is>
          <t>TBGS</t>
        </is>
      </c>
      <c r="H2103" t="inlineStr">
        <is>
          <t>BLEND DJ (LOCAL)</t>
        </is>
      </c>
    </row>
    <row r="2104" ht="14.25" customHeight="1" s="5">
      <c r="A2104" s="7" t="n">
        <v>27893</v>
      </c>
      <c r="B2104" s="7" t="inlineStr">
        <is>
          <t>TE-A-ME TRIOLYTIC ASSORTED GIFT BOX 48 ENV TBGS</t>
        </is>
      </c>
      <c r="C2104" s="7" t="inlineStr">
        <is>
          <t>TE-A-ME</t>
        </is>
      </c>
      <c r="D2104" s="7" t="n">
        <v>5642</v>
      </c>
      <c r="E2104" s="7" t="inlineStr">
        <is>
          <t>TE-A-ME LOOSE ENV NATURAL GREEN TEAS JASMINE LEMONGRASS TEA DC SF HS ENV TBGS</t>
        </is>
      </c>
      <c r="F2104" s="7" t="n">
        <v>8</v>
      </c>
      <c r="G2104" s="7" t="inlineStr">
        <is>
          <t>ENV</t>
        </is>
      </c>
      <c r="H2104" t="inlineStr">
        <is>
          <t>BLEND GREEN TEA JASMINE LEMON GRASS TB</t>
        </is>
      </c>
    </row>
    <row r="2105" ht="14.25" customHeight="1" s="5">
      <c r="A2105" s="7" t="n">
        <v>27893</v>
      </c>
      <c r="B2105" s="7" t="inlineStr">
        <is>
          <t>TE-A-ME TRIOLYTIC ASSORTED GIFT BOX 48 ENV TBGS</t>
        </is>
      </c>
      <c r="C2105" s="7" t="inlineStr">
        <is>
          <t>TE-A-ME</t>
        </is>
      </c>
      <c r="D2105" s="7" t="n">
        <v>2771</v>
      </c>
      <c r="E2105" s="8" t="inlineStr">
        <is>
          <t xml:space="preserve">TE-A-ME LOOSE ENV NATURAL GREEN TEAS KASHMIRI KAHWA TEA DC SF HS ENV TBGS
</t>
        </is>
      </c>
      <c r="F2105" s="7" t="n">
        <v>8</v>
      </c>
      <c r="G2105" s="7" t="inlineStr">
        <is>
          <t>ENV</t>
        </is>
      </c>
      <c r="H2105" t="inlineStr">
        <is>
          <t>BLEND KASHMIRI KAHWA TB</t>
        </is>
      </c>
    </row>
    <row r="2106" ht="14.25" customHeight="1" s="5">
      <c r="A2106" s="7" t="n">
        <v>27893</v>
      </c>
      <c r="B2106" s="7" t="inlineStr">
        <is>
          <t>TE-A-ME TRIOLYTIC ASSORTED GIFT BOX 48 ENV TBGS</t>
        </is>
      </c>
      <c r="C2106" s="7" t="inlineStr">
        <is>
          <t>TE-A-ME</t>
        </is>
      </c>
      <c r="D2106" s="7" t="n">
        <v>3377</v>
      </c>
      <c r="E2106" s="8" t="inlineStr">
        <is>
          <t xml:space="preserve">TE-A-ME LOOSE ENV NATURAL GREEN TEAS MINT LEMON GINGER TEA DC SF HS ENV TBGS
</t>
        </is>
      </c>
      <c r="F2106" s="7" t="n">
        <v>8</v>
      </c>
      <c r="G2106" s="7" t="inlineStr">
        <is>
          <t>ENV</t>
        </is>
      </c>
      <c r="H2106" t="inlineStr">
        <is>
          <t>BLEND GREEN TEA GINGER MINT LEMON TB</t>
        </is>
      </c>
    </row>
    <row r="2107" ht="14.25" customHeight="1" s="5">
      <c r="A2107" s="7" t="n">
        <v>27893</v>
      </c>
      <c r="B2107" s="7" t="inlineStr">
        <is>
          <t>TE-A-ME TRIOLYTIC ASSORTED GIFT BOX 48 ENV TBGS</t>
        </is>
      </c>
      <c r="C2107" s="7" t="inlineStr">
        <is>
          <t>TE-A-ME</t>
        </is>
      </c>
      <c r="D2107" s="7" t="n">
        <v>2773</v>
      </c>
      <c r="E2107" s="8" t="inlineStr">
        <is>
          <t xml:space="preserve">TE-A-ME LOOSE ENV WELLNESS INFUSIONS TULSI GREEN TEA DC SF HS ENV TBGS
</t>
        </is>
      </c>
      <c r="F2107" s="7" t="n">
        <v>8</v>
      </c>
      <c r="G2107" s="7" t="inlineStr">
        <is>
          <t>ENV</t>
        </is>
      </c>
      <c r="H2107" t="inlineStr">
        <is>
          <t>BLEND TEAME GREEN TEA TULSI</t>
        </is>
      </c>
    </row>
    <row r="2108" ht="14.25" customHeight="1" s="5">
      <c r="A2108" s="7" t="n">
        <v>3917</v>
      </c>
      <c r="B2108" s="7" t="inlineStr">
        <is>
          <t>TE-A-ME TULSI GREEN 36/100 DC TAG TBGS (INSTITUTIONAL)</t>
        </is>
      </c>
      <c r="C2108" s="7" t="inlineStr">
        <is>
          <t>TE-A-ME</t>
        </is>
      </c>
      <c r="D2108" s="7" t="n">
        <v>3918</v>
      </c>
      <c r="E2108" s="7" t="inlineStr">
        <is>
          <t>TE-A-ME TULSI GREEN 100 DC TAG TBGS (INSTITUTIONAL)</t>
        </is>
      </c>
      <c r="F2108" s="7" t="n">
        <v>36</v>
      </c>
      <c r="G2108" s="7" t="inlineStr">
        <is>
          <t>CTN</t>
        </is>
      </c>
      <c r="H2108" t="inlineStr">
        <is>
          <t>BLEND TEAME GREEN TEA TULSI</t>
        </is>
      </c>
    </row>
    <row r="2109" ht="14.25" customHeight="1" s="5">
      <c r="A2109" s="7" t="n">
        <v>23672</v>
      </c>
      <c r="B2109" s="7" t="inlineStr">
        <is>
          <t>TE-A-ME TULSI GREEN LOOSE 1/2500 DC SF HS ENV TBGS</t>
        </is>
      </c>
      <c r="C2109" s="7" t="inlineStr">
        <is>
          <t>TE-A-ME</t>
        </is>
      </c>
      <c r="D2109" s="7" t="n">
        <v>2773</v>
      </c>
      <c r="E2109" s="8" t="inlineStr">
        <is>
          <t xml:space="preserve">TE-A-ME LOOSE ENV WELLNESS INFUSIONS TULSI GREEN TEA DC SF HS ENV TBGS
</t>
        </is>
      </c>
      <c r="F2109" s="7" t="n">
        <v>2500</v>
      </c>
      <c r="G2109" s="7" t="inlineStr">
        <is>
          <t>ENV</t>
        </is>
      </c>
      <c r="H2109" t="inlineStr">
        <is>
          <t>BLEND TEAME GREEN TEA TULSI</t>
        </is>
      </c>
    </row>
    <row r="2110" ht="14.25" customHeight="1" s="5">
      <c r="A2110" s="7" t="n">
        <v>3920</v>
      </c>
      <c r="B2110" s="7" t="inlineStr">
        <is>
          <t>TE-A-ME TULSI GREEN TEA 18/100 DC HS ENV TBGS (INSTITUTIONAL)</t>
        </is>
      </c>
      <c r="C2110" s="7" t="inlineStr">
        <is>
          <t>TE-A-ME</t>
        </is>
      </c>
      <c r="D2110" s="7" t="n">
        <v>3921</v>
      </c>
      <c r="E2110" s="7" t="inlineStr">
        <is>
          <t>TE-A-ME TULSI GREEN TEA 100 DC HS ENV TBGS (INSTITUTIONAL)</t>
        </is>
      </c>
      <c r="F2110" s="7" t="n">
        <v>18</v>
      </c>
      <c r="G2110" s="7" t="inlineStr">
        <is>
          <t>CTN</t>
        </is>
      </c>
      <c r="H2110">
        <f>#N/A</f>
        <v/>
      </c>
    </row>
    <row r="2111" ht="14.25" customHeight="1" s="5">
      <c r="A2111" s="7" t="n">
        <v>3926</v>
      </c>
      <c r="B2111" s="7" t="inlineStr">
        <is>
          <t>TE-A-ME TULSI GREEN TEA 18/100 DC SF HS ENV TBGS (INSTITUTIONAL)</t>
        </is>
      </c>
      <c r="C2111" s="7" t="inlineStr">
        <is>
          <t>TE-A-ME</t>
        </is>
      </c>
      <c r="D2111" s="7" t="n">
        <v>3927</v>
      </c>
      <c r="E2111" s="7" t="inlineStr">
        <is>
          <t>TE-A-ME TULSI GREEN TEA 100 DC SF HS ENV TBGS (INSTITUTIONAL)</t>
        </is>
      </c>
      <c r="F2111" s="7" t="n">
        <v>18</v>
      </c>
      <c r="G2111" s="7" t="inlineStr">
        <is>
          <t>CTN</t>
        </is>
      </c>
      <c r="H2111" t="inlineStr">
        <is>
          <t>BLEND TEAME GREEN TEA TULSI</t>
        </is>
      </c>
    </row>
    <row r="2112" ht="14.25" customHeight="1" s="5">
      <c r="A2112" s="7" t="n">
        <v>35933</v>
      </c>
      <c r="B2112" s="7" t="inlineStr">
        <is>
          <t>TE-A-ME TWO COMPARTMENT CHESLET OLIVE GREEN GIFT BOX</t>
        </is>
      </c>
      <c r="C2112" s="7" t="inlineStr">
        <is>
          <t>TE-A-ME</t>
        </is>
      </c>
      <c r="D2112" s="7" t="n">
        <v>2777</v>
      </c>
      <c r="E2112" s="8" t="inlineStr">
        <is>
          <t xml:space="preserve">TE-A-ME LOOSE ENV NATURAL GREEN TEAS GREEN TEA DC SF HS ENV TBGS
</t>
        </is>
      </c>
      <c r="F2112" s="7" t="n">
        <v>5</v>
      </c>
      <c r="G2112" s="7" t="inlineStr">
        <is>
          <t>ENV</t>
        </is>
      </c>
      <c r="H2112" t="inlineStr">
        <is>
          <t>BLEND TEAME GREEN</t>
        </is>
      </c>
    </row>
    <row r="2113" ht="14.25" customHeight="1" s="5">
      <c r="A2113" s="7" t="n">
        <v>35933</v>
      </c>
      <c r="B2113" s="7" t="inlineStr">
        <is>
          <t>TE-A-ME TWO COMPARTMENT CHESLET OLIVE GREEN GIFT BOX</t>
        </is>
      </c>
      <c r="C2113" s="7" t="inlineStr">
        <is>
          <t>TE-A-ME</t>
        </is>
      </c>
      <c r="D2113" s="7" t="n">
        <v>5642</v>
      </c>
      <c r="E2113" s="7" t="inlineStr">
        <is>
          <t>TE-A-ME LOOSE ENV NATURAL GREEN TEAS JASMINE LEMONGRASS TEA DC SF HS ENV TBGS</t>
        </is>
      </c>
      <c r="F2113" s="7" t="n">
        <v>5</v>
      </c>
      <c r="G2113" s="7" t="inlineStr">
        <is>
          <t>ENV</t>
        </is>
      </c>
      <c r="H2113" t="inlineStr">
        <is>
          <t>BLEND GREEN TEA JASMINE LEMON GRASS TB</t>
        </is>
      </c>
    </row>
    <row r="2114" ht="14.25" customHeight="1" s="5">
      <c r="A2114" s="7" t="n">
        <v>35933</v>
      </c>
      <c r="B2114" s="7" t="inlineStr">
        <is>
          <t>TE-A-ME TWO COMPARTMENT CHESLET OLIVE GREEN GIFT BOX</t>
        </is>
      </c>
      <c r="C2114" s="7" t="inlineStr">
        <is>
          <t>TE-A-ME</t>
        </is>
      </c>
      <c r="D2114" s="7" t="n">
        <v>2778</v>
      </c>
      <c r="E2114" s="8" t="inlineStr">
        <is>
          <t xml:space="preserve">TE-A-ME LOOSE ENV NATURAL GREEN TEAS HONEY LEMON GREEN TEA DC SF HS ENV TBGS
</t>
        </is>
      </c>
      <c r="F2114" s="7" t="n">
        <v>5</v>
      </c>
      <c r="G2114" s="7" t="inlineStr">
        <is>
          <t>ENV</t>
        </is>
      </c>
      <c r="H2114" t="inlineStr">
        <is>
          <t>BLEND TE-A-ME GREEN TEA HONEY LEMON</t>
        </is>
      </c>
    </row>
    <row r="2115" ht="14.25" customHeight="1" s="5">
      <c r="A2115" s="7" t="n">
        <v>3930</v>
      </c>
      <c r="B2115" s="7" t="inlineStr">
        <is>
          <t>TE-A-ME UTZ ASSAM TEA 18/100 DC SF HS ENV TBGS</t>
        </is>
      </c>
      <c r="C2115" s="7" t="inlineStr">
        <is>
          <t>TE-A-ME</t>
        </is>
      </c>
      <c r="D2115" s="7" t="n">
        <v>3931</v>
      </c>
      <c r="E2115" s="7" t="inlineStr">
        <is>
          <t>TE-A-ME UTZ ASSAM TEA 100 DC SF HS ENV TBGS</t>
        </is>
      </c>
      <c r="F2115" s="7" t="n">
        <v>18</v>
      </c>
      <c r="G2115" s="7" t="inlineStr">
        <is>
          <t>CTN</t>
        </is>
      </c>
      <c r="H2115" t="inlineStr">
        <is>
          <t>BLEND A135/7722 - RFA</t>
        </is>
      </c>
    </row>
    <row r="2116" ht="14.25" customHeight="1" s="5">
      <c r="A2116" s="7" t="n">
        <v>3938</v>
      </c>
      <c r="B2116" s="7" t="inlineStr">
        <is>
          <t>TE-A-ME UTZ FRUIT &amp; FLOWER INFUSIONS CRANBERRY APPLE 18/100 DC SF HS ENV TBGS</t>
        </is>
      </c>
      <c r="C2116" s="7" t="inlineStr">
        <is>
          <t>TE-A-ME</t>
        </is>
      </c>
      <c r="D2116" s="7" t="n">
        <v>3939</v>
      </c>
      <c r="E2116" s="7" t="inlineStr">
        <is>
          <t>TE-A-ME UTZ FRUIT &amp; FLOWER INFUSIONS CRANBERRY APPLE 100 DC SF HS ENV TBGS</t>
        </is>
      </c>
      <c r="F2116" s="7" t="n">
        <v>18</v>
      </c>
      <c r="G2116" s="7" t="inlineStr">
        <is>
          <t>CTN</t>
        </is>
      </c>
      <c r="H2116" t="inlineStr">
        <is>
          <t>BLEND CRANBERRY APPLE TB 30% UTZ</t>
        </is>
      </c>
    </row>
    <row r="2117" ht="14.25" customHeight="1" s="5">
      <c r="A2117" s="7" t="n">
        <v>3944</v>
      </c>
      <c r="B2117" s="7" t="inlineStr">
        <is>
          <t>TE-A-ME UTZ FRUIT &amp; FLOWER INFUSIONS STRAWBERRY CREAM 18/100 DC SF HS ENV TBGS</t>
        </is>
      </c>
      <c r="C2117" s="7" t="inlineStr">
        <is>
          <t>TE-A-ME</t>
        </is>
      </c>
      <c r="D2117" s="7" t="n">
        <v>3945</v>
      </c>
      <c r="E2117" s="7" t="inlineStr">
        <is>
          <t>TE-A-ME UTZ FRUIT &amp; FLOWER INFUSIONS STRAWBERRY CREAM 100 DC SF HS ENV TBGS</t>
        </is>
      </c>
      <c r="F2117" s="7" t="n">
        <v>18</v>
      </c>
      <c r="G2117" s="7" t="inlineStr">
        <is>
          <t>CTN</t>
        </is>
      </c>
      <c r="H2117" t="inlineStr">
        <is>
          <t>BLEND STRAWBERRY CREAM TB 30% UTZ</t>
        </is>
      </c>
    </row>
    <row r="2118" ht="14.25" customHeight="1" s="5">
      <c r="A2118" s="7" t="n">
        <v>21086</v>
      </c>
      <c r="B2118" s="7" t="inlineStr">
        <is>
          <t>TE-A-ME UTZ GREEN 18/100 DC SF HS ENV TBGS</t>
        </is>
      </c>
      <c r="C2118" s="7" t="inlineStr">
        <is>
          <t>TE-A-ME</t>
        </is>
      </c>
      <c r="D2118" s="7" t="n">
        <v>3950</v>
      </c>
      <c r="E2118" s="7" t="inlineStr">
        <is>
          <t>TE-A-ME UTZ GREEN 100 DC SF HS ENV TBGS</t>
        </is>
      </c>
      <c r="F2118" s="7" t="n">
        <v>18</v>
      </c>
      <c r="G2118" s="7" t="inlineStr">
        <is>
          <t>CTN</t>
        </is>
      </c>
      <c r="H2118" t="inlineStr">
        <is>
          <t>BLEND 7434 GREEN - 90% UTZ</t>
        </is>
      </c>
    </row>
    <row r="2119" ht="14.25" customHeight="1" s="5">
      <c r="A2119" s="7" t="n">
        <v>3955</v>
      </c>
      <c r="B2119" s="7" t="inlineStr">
        <is>
          <t>TE-A-ME UTZ HONEY LEMON GREEN TEA 18/100 DC SF HS ENV TBGS</t>
        </is>
      </c>
      <c r="C2119" s="7" t="inlineStr">
        <is>
          <t>TE-A-ME</t>
        </is>
      </c>
      <c r="D2119" s="7" t="n">
        <v>3956</v>
      </c>
      <c r="E2119" s="7" t="inlineStr">
        <is>
          <t>TE-A-ME UTZ HONEY LEMON GREEN TEA 100 DC SF HS ENV TBGS</t>
        </is>
      </c>
      <c r="F2119" s="7" t="n">
        <v>18</v>
      </c>
      <c r="G2119" s="7" t="inlineStr">
        <is>
          <t>CTN</t>
        </is>
      </c>
      <c r="H2119" t="inlineStr">
        <is>
          <t>BLEND GREEN TEA HONEY LEMON TB 90% UTZ</t>
        </is>
      </c>
    </row>
    <row r="2120" ht="14.25" customHeight="1" s="5">
      <c r="A2120" s="7" t="n">
        <v>3961</v>
      </c>
      <c r="B2120" s="7" t="inlineStr">
        <is>
          <t>TE-A-ME UTZ KASHMIRI KAHWA TEA 18/100 DC SF HS ENV TBGS</t>
        </is>
      </c>
      <c r="C2120" s="7" t="inlineStr">
        <is>
          <t>TE-A-ME</t>
        </is>
      </c>
      <c r="D2120" s="7" t="n">
        <v>3962</v>
      </c>
      <c r="E2120" s="7" t="inlineStr">
        <is>
          <t>TE-A-ME UTZ KASHMIRI KAHWA TEA 100 DC SF HS ENV TBGS</t>
        </is>
      </c>
      <c r="F2120" s="7" t="n">
        <v>18</v>
      </c>
      <c r="G2120" s="7" t="inlineStr">
        <is>
          <t>CTN</t>
        </is>
      </c>
      <c r="H2120" t="inlineStr">
        <is>
          <t>BLEND KASHMIRI KAHWA TB 50% UTZ</t>
        </is>
      </c>
    </row>
    <row r="2121" ht="14.25" customHeight="1" s="5">
      <c r="A2121" s="7" t="n">
        <v>3967</v>
      </c>
      <c r="B2121" s="7" t="inlineStr">
        <is>
          <t>TE-A-ME UTZ MASALA TEA 18/100 DC SF HS ENV TBGS</t>
        </is>
      </c>
      <c r="C2121" s="7" t="inlineStr">
        <is>
          <t>TE-A-ME</t>
        </is>
      </c>
      <c r="D2121" s="7" t="n">
        <v>3968</v>
      </c>
      <c r="E2121" s="7" t="inlineStr">
        <is>
          <t>TE-A-ME UTZ MASALA TEA 100 DC SF HS ENV TBGS</t>
        </is>
      </c>
      <c r="F2121" s="7" t="n">
        <v>18</v>
      </c>
      <c r="G2121" s="7" t="inlineStr">
        <is>
          <t>CTN</t>
        </is>
      </c>
      <c r="H2121" t="inlineStr">
        <is>
          <t>BLEND BLACK TEA MASALA TB 70% UTZ</t>
        </is>
      </c>
    </row>
    <row r="2122" ht="14.25" customHeight="1" s="5">
      <c r="A2122" s="7" t="n">
        <v>3973</v>
      </c>
      <c r="B2122" s="7" t="inlineStr">
        <is>
          <t>TE-A-ME UTZ TULSI GREEN TEA 18/100 SF HS ENV TBGS</t>
        </is>
      </c>
      <c r="C2122" s="7" t="inlineStr">
        <is>
          <t>TE-A-ME</t>
        </is>
      </c>
      <c r="D2122" s="7" t="n">
        <v>3974</v>
      </c>
      <c r="E2122" s="7" t="inlineStr">
        <is>
          <t>TE-A-ME UTZ TULSI GREEN TEA 100 SF HS ENV TBGS</t>
        </is>
      </c>
      <c r="F2122" s="7" t="n">
        <v>18</v>
      </c>
      <c r="G2122" s="7" t="inlineStr">
        <is>
          <t>CTN</t>
        </is>
      </c>
      <c r="H2122" t="inlineStr">
        <is>
          <t>BLEND TULSI GREEN TB 50% UTZ</t>
        </is>
      </c>
    </row>
    <row r="2123" ht="14.25" customHeight="1" s="5">
      <c r="A2123" s="7" t="n">
        <v>34661</v>
      </c>
      <c r="B2123" s="7" t="inlineStr">
        <is>
          <t>TE-A-ME VANILLA MATCHA 24/50 GMS PKT TEA</t>
        </is>
      </c>
      <c r="C2123" s="7" t="inlineStr">
        <is>
          <t>TE-A-ME</t>
        </is>
      </c>
      <c r="D2123" s="7" t="n">
        <v>34436</v>
      </c>
      <c r="E2123" s="7" t="inlineStr">
        <is>
          <t>TE-A-ME VANILLA MATCHA 50 GMS PKT TEA</t>
        </is>
      </c>
      <c r="F2123" s="7" t="n">
        <v>24</v>
      </c>
      <c r="G2123" s="7" t="inlineStr">
        <is>
          <t>CTN</t>
        </is>
      </c>
      <c r="H2123" t="inlineStr">
        <is>
          <t>BLEND INSTANT VANILLA MATCHA POWER</t>
        </is>
      </c>
    </row>
    <row r="2124" ht="14.25" customHeight="1" s="5">
      <c r="A2124" s="7" t="n">
        <v>3983</v>
      </c>
      <c r="B2124" s="7" t="inlineStr">
        <is>
          <t>TE-A-ME WELLNESS INFUSIONS CARDAMOM TURMERIC TEA 24/25 DC SF HS ENV TBGS</t>
        </is>
      </c>
      <c r="C2124" s="7" t="inlineStr">
        <is>
          <t>TE-A-ME</t>
        </is>
      </c>
      <c r="D2124" s="7" t="n">
        <v>3984</v>
      </c>
      <c r="E2124" s="7" t="inlineStr">
        <is>
          <t>TE-A-ME WELLNESS INFUSIONS CARDAMOM TURMERIC TEA 25 DC SF HS ENV TBGS</t>
        </is>
      </c>
      <c r="F2124" s="7" t="n">
        <v>24</v>
      </c>
      <c r="G2124" s="7" t="inlineStr">
        <is>
          <t>CTN</t>
        </is>
      </c>
      <c r="H2124" t="inlineStr">
        <is>
          <t>BLEND CARDAMOM TURMERIC GINGER TB</t>
        </is>
      </c>
    </row>
    <row r="2125" ht="14.25" customHeight="1" s="5">
      <c r="A2125" s="7" t="n">
        <v>3988</v>
      </c>
      <c r="B2125" s="7" t="inlineStr">
        <is>
          <t>TE-A-ME WELLNESS INFUSIONS GINGER TULSI HONEY TEA 24/25 DC SF HS ENV TBGS</t>
        </is>
      </c>
      <c r="C2125" s="7" t="inlineStr">
        <is>
          <t>TE-A-ME</t>
        </is>
      </c>
      <c r="D2125" s="7" t="n">
        <v>3989</v>
      </c>
      <c r="E2125" s="7" t="inlineStr">
        <is>
          <t>TE-A-ME WELLNESS INFUSIONS GINGER TULSI HONEY TEA 25 DC SF HS ENV TBGS</t>
        </is>
      </c>
      <c r="F2125" s="7" t="n">
        <v>24</v>
      </c>
      <c r="G2125" s="7" t="inlineStr">
        <is>
          <t>CTN</t>
        </is>
      </c>
      <c r="H2125" t="inlineStr">
        <is>
          <t>BLEND TULSI GINGER HONEY TBC</t>
        </is>
      </c>
    </row>
    <row r="2126" ht="14.25" customHeight="1" s="5">
      <c r="A2126" s="7" t="n">
        <v>3992</v>
      </c>
      <c r="B2126" s="7" t="inlineStr">
        <is>
          <t>TE-A-ME WELLNESS INFUSIONS TULSI GREEN TEA 24/25 DC SF HS ENV TBGS</t>
        </is>
      </c>
      <c r="C2126" s="7" t="inlineStr">
        <is>
          <t>TE-A-ME</t>
        </is>
      </c>
      <c r="D2126" s="7" t="n">
        <v>3993</v>
      </c>
      <c r="E2126" s="7" t="inlineStr">
        <is>
          <t>TE-A-ME WELLNESS INFUSIONS TULSI GREEN TEA 25 DC SF HS ENV TBGS</t>
        </is>
      </c>
      <c r="F2126" s="7" t="n">
        <v>24</v>
      </c>
      <c r="G2126" s="7" t="inlineStr">
        <is>
          <t>CTN</t>
        </is>
      </c>
      <c r="H2126" t="inlineStr">
        <is>
          <t>BLEND TEAME GREEN TEA TULSI</t>
        </is>
      </c>
    </row>
    <row r="2127" ht="14.25" customHeight="1" s="5">
      <c r="A2127" s="7" t="n">
        <v>19637</v>
      </c>
      <c r="B2127" s="7" t="inlineStr">
        <is>
          <t>TE-A-ME WELLNESS INFUSIONS TULSI GREEN TEA 24/25 DC SF HS ENV TBGS WITH FREE BAGRRY`S</t>
        </is>
      </c>
      <c r="C2127" s="7" t="inlineStr">
        <is>
          <t>TE-A-ME</t>
        </is>
      </c>
      <c r="D2127" s="7" t="n">
        <v>19638</v>
      </c>
      <c r="E2127" s="7" t="inlineStr">
        <is>
          <t>TE-A-ME WELLNESS INFUSIONS TULSI GREEN TEA 25 DC SF HS ENV TBGS WITH FREE BAGRRY`S</t>
        </is>
      </c>
      <c r="F2127" s="7" t="n">
        <v>24</v>
      </c>
      <c r="G2127" s="7" t="inlineStr">
        <is>
          <t>CTN</t>
        </is>
      </c>
      <c r="H2127" t="inlineStr">
        <is>
          <t>BLEND TEAME GREEN TEA TULSI</t>
        </is>
      </c>
    </row>
    <row r="2128" ht="14.25" customHeight="1" s="5">
      <c r="A2128" s="7" t="n">
        <v>19654</v>
      </c>
      <c r="B2128" s="7" t="inlineStr">
        <is>
          <t>TE-A-ME WELLNESS INFUSIONS TULSI GREEN TEA 24/6 DC SF HS ENV TBGS</t>
        </is>
      </c>
      <c r="C2128" s="7" t="inlineStr">
        <is>
          <t>TE-A-ME</t>
        </is>
      </c>
      <c r="D2128" s="7" t="n">
        <v>2773</v>
      </c>
      <c r="E2128" s="8" t="inlineStr">
        <is>
          <t xml:space="preserve">TE-A-ME LOOSE ENV WELLNESS INFUSIONS TULSI GREEN TEA DC SF HS ENV TBGS
</t>
        </is>
      </c>
      <c r="F2128" s="7" t="n">
        <v>144</v>
      </c>
      <c r="G2128" s="7" t="inlineStr">
        <is>
          <t>ENV</t>
        </is>
      </c>
      <c r="H2128" t="inlineStr">
        <is>
          <t>BLEND TEAME GREEN TEA TULSI</t>
        </is>
      </c>
    </row>
    <row r="2129" ht="14.25" customHeight="1" s="5">
      <c r="A2129" s="7" t="n">
        <v>19660</v>
      </c>
      <c r="B2129" s="7" t="inlineStr">
        <is>
          <t>TE-A-ME WELLNESS INFUSIONS TULSI GREEN TEA 36/6 DC SF HS ENV TBGS</t>
        </is>
      </c>
      <c r="C2129" s="7" t="inlineStr">
        <is>
          <t>TE-A-ME</t>
        </is>
      </c>
      <c r="D2129" s="7" t="n">
        <v>2773</v>
      </c>
      <c r="E2129" s="8" t="inlineStr">
        <is>
          <t xml:space="preserve">TE-A-ME LOOSE ENV WELLNESS INFUSIONS TULSI GREEN TEA DC SF HS ENV TBGS
</t>
        </is>
      </c>
      <c r="F2129" s="7" t="n">
        <v>216</v>
      </c>
      <c r="G2129" s="7" t="inlineStr">
        <is>
          <t>ENV</t>
        </is>
      </c>
      <c r="H2129" t="inlineStr">
        <is>
          <t>BLEND TEAME GREEN TEA TULSI</t>
        </is>
      </c>
    </row>
    <row r="2130" ht="14.25" customHeight="1" s="5">
      <c r="A2130" s="7" t="n">
        <v>3995</v>
      </c>
      <c r="B2130" s="7" t="inlineStr">
        <is>
          <t>TE-A-ME WELLNESS INFUSIONS TULSI GREEN TEA 72/10 DC HS ENV TBGS</t>
        </is>
      </c>
      <c r="C2130" s="7" t="inlineStr">
        <is>
          <t>TE-A-ME</t>
        </is>
      </c>
      <c r="D2130" s="7" t="n">
        <v>3996</v>
      </c>
      <c r="E2130" s="7" t="inlineStr">
        <is>
          <t>TE-A-ME WELLNESS INFUSIONS TULSI GREEN TEA 10 DC HS ENV TBGS</t>
        </is>
      </c>
      <c r="F2130" s="7" t="n">
        <v>72</v>
      </c>
      <c r="G2130" s="7" t="inlineStr">
        <is>
          <t>CTN</t>
        </is>
      </c>
      <c r="H2130">
        <f>#N/A</f>
        <v/>
      </c>
    </row>
    <row r="2131" ht="14.25" customHeight="1" s="5">
      <c r="A2131" s="7" t="n">
        <v>3998</v>
      </c>
      <c r="B2131" s="7" t="inlineStr">
        <is>
          <t>TE-A-ME WELLNESS INFUSIONS TULSI GREEN TEA 72/10 DC SF HS ENV TBGS</t>
        </is>
      </c>
      <c r="C2131" s="7" t="inlineStr">
        <is>
          <t>TE-A-ME</t>
        </is>
      </c>
      <c r="D2131" s="7" t="n">
        <v>3999</v>
      </c>
      <c r="E2131" s="7" t="inlineStr">
        <is>
          <t>TE-A-ME WELLNESS INFUSIONS TULSI GREEN TEA 10 DC SF HS ENV TBGS</t>
        </is>
      </c>
      <c r="F2131" s="7" t="n">
        <v>72</v>
      </c>
      <c r="G2131" s="7" t="inlineStr">
        <is>
          <t>CTN</t>
        </is>
      </c>
      <c r="H2131" t="inlineStr">
        <is>
          <t>BLEND TEAME GREEN TEA TULSI</t>
        </is>
      </c>
    </row>
    <row r="2132" ht="14.25" customHeight="1" s="5">
      <c r="A2132" s="7" t="n">
        <v>31165</v>
      </c>
      <c r="B2132" s="7" t="inlineStr">
        <is>
          <t>TE-A-ME WOODEN TEA CHEST 12 COMPARTMENT TBGS</t>
        </is>
      </c>
      <c r="C2132" s="7" t="inlineStr">
        <is>
          <t>TE-A-ME</t>
        </is>
      </c>
      <c r="D2132" s="7" t="n">
        <v>27359</v>
      </c>
      <c r="E2132" s="7" t="inlineStr">
        <is>
          <t>TE-A-ME LOOSE TBGS  KADHA GREEN TEA SC HS ENV TBGS</t>
        </is>
      </c>
      <c r="F2132" s="7" t="n">
        <v>15</v>
      </c>
      <c r="G2132" s="7" t="inlineStr">
        <is>
          <t>PCS</t>
        </is>
      </c>
      <c r="H2132" t="inlineStr">
        <is>
          <t>BLEND GREEN TEA KADHA TBC</t>
        </is>
      </c>
    </row>
    <row r="2133" ht="14.25" customHeight="1" s="5">
      <c r="A2133" s="7" t="n">
        <v>31165</v>
      </c>
      <c r="B2133" s="7" t="inlineStr">
        <is>
          <t>TE-A-ME WOODEN TEA CHEST 12 COMPARTMENT TBGS</t>
        </is>
      </c>
      <c r="C2133" s="7" t="inlineStr">
        <is>
          <t>TE-A-ME</t>
        </is>
      </c>
      <c r="D2133" s="7" t="n">
        <v>2778</v>
      </c>
      <c r="E2133" s="8" t="inlineStr">
        <is>
          <t xml:space="preserve">TE-A-ME LOOSE ENV NATURAL GREEN TEAS HONEY LEMON GREEN TEA DC SF HS ENV TBGS
</t>
        </is>
      </c>
      <c r="F2133" s="7" t="n">
        <v>15</v>
      </c>
      <c r="G2133" s="7" t="inlineStr">
        <is>
          <t>ENV</t>
        </is>
      </c>
      <c r="H2133" t="inlineStr">
        <is>
          <t>BLEND TE-A-ME GREEN TEA HONEY LEMON</t>
        </is>
      </c>
    </row>
    <row r="2134" ht="14.25" customHeight="1" s="5">
      <c r="A2134" s="7" t="n">
        <v>31165</v>
      </c>
      <c r="B2134" s="7" t="inlineStr">
        <is>
          <t>TE-A-ME WOODEN TEA CHEST 12 COMPARTMENT TBGS</t>
        </is>
      </c>
      <c r="C2134" s="7" t="inlineStr">
        <is>
          <t>TE-A-ME</t>
        </is>
      </c>
      <c r="D2134" s="7" t="n">
        <v>2777</v>
      </c>
      <c r="E2134" s="8" t="inlineStr">
        <is>
          <t xml:space="preserve">TE-A-ME LOOSE ENV NATURAL GREEN TEAS GREEN TEA DC SF HS ENV TBGS
</t>
        </is>
      </c>
      <c r="F2134" s="7" t="n">
        <v>15</v>
      </c>
      <c r="G2134" s="7" t="inlineStr">
        <is>
          <t>ENV</t>
        </is>
      </c>
      <c r="H2134" t="inlineStr">
        <is>
          <t>BLEND TEAME GREEN</t>
        </is>
      </c>
    </row>
    <row r="2135" ht="14.25" customHeight="1" s="5">
      <c r="A2135" s="7" t="n">
        <v>31165</v>
      </c>
      <c r="B2135" s="7" t="inlineStr">
        <is>
          <t>TE-A-ME WOODEN TEA CHEST 12 COMPARTMENT TBGS</t>
        </is>
      </c>
      <c r="C2135" s="7" t="inlineStr">
        <is>
          <t>TE-A-ME</t>
        </is>
      </c>
      <c r="D2135" s="7" t="n">
        <v>2773</v>
      </c>
      <c r="E2135" s="8" t="inlineStr">
        <is>
          <t xml:space="preserve">TE-A-ME LOOSE ENV WELLNESS INFUSIONS TULSI GREEN TEA DC SF HS ENV TBGS
</t>
        </is>
      </c>
      <c r="F2135" s="7" t="n">
        <v>15</v>
      </c>
      <c r="G2135" s="7" t="inlineStr">
        <is>
          <t>ENV</t>
        </is>
      </c>
      <c r="H2135" t="inlineStr">
        <is>
          <t>BLEND TEAME GREEN TEA TULSI</t>
        </is>
      </c>
    </row>
    <row r="2136" ht="14.25" customHeight="1" s="5">
      <c r="A2136" s="7" t="n">
        <v>31165</v>
      </c>
      <c r="B2136" s="7" t="inlineStr">
        <is>
          <t>TE-A-ME WOODEN TEA CHEST 12 COMPARTMENT TBGS</t>
        </is>
      </c>
      <c r="C2136" s="7" t="inlineStr">
        <is>
          <t>TE-A-ME</t>
        </is>
      </c>
      <c r="D2136" s="7" t="n">
        <v>2771</v>
      </c>
      <c r="E2136" s="8" t="inlineStr">
        <is>
          <t xml:space="preserve">TE-A-ME LOOSE ENV NATURAL GREEN TEAS KASHMIRI KAHWA TEA DC SF HS ENV TBGS
</t>
        </is>
      </c>
      <c r="F2136" s="7" t="n">
        <v>15</v>
      </c>
      <c r="G2136" s="7" t="inlineStr">
        <is>
          <t>ENV</t>
        </is>
      </c>
      <c r="H2136" t="inlineStr">
        <is>
          <t>BLEND KASHMIRI KAHWA TB</t>
        </is>
      </c>
    </row>
    <row r="2137" ht="14.25" customHeight="1" s="5">
      <c r="A2137" s="7" t="n">
        <v>31165</v>
      </c>
      <c r="B2137" s="7" t="inlineStr">
        <is>
          <t>TE-A-ME WOODEN TEA CHEST 12 COMPARTMENT TBGS</t>
        </is>
      </c>
      <c r="C2137" s="7" t="inlineStr">
        <is>
          <t>TE-A-ME</t>
        </is>
      </c>
      <c r="D2137" s="7" t="n">
        <v>5638</v>
      </c>
      <c r="E2137" s="7" t="inlineStr">
        <is>
          <t>TE-A-ME LOOSE ENV SIGNATURE BLACK TEAS DARJEELING TEA DC SF HS ENV TBGS</t>
        </is>
      </c>
      <c r="F2137" s="7" t="n">
        <v>15</v>
      </c>
      <c r="G2137" s="7" t="inlineStr">
        <is>
          <t>TBGS</t>
        </is>
      </c>
      <c r="H2137" t="inlineStr">
        <is>
          <t>BLEND DJ (LOCAL)</t>
        </is>
      </c>
    </row>
    <row r="2138" ht="14.25" customHeight="1" s="5">
      <c r="A2138" s="7" t="n">
        <v>31165</v>
      </c>
      <c r="B2138" s="7" t="inlineStr">
        <is>
          <t>TE-A-ME WOODEN TEA CHEST 12 COMPARTMENT TBGS</t>
        </is>
      </c>
      <c r="C2138" s="7" t="inlineStr">
        <is>
          <t>TE-A-ME</t>
        </is>
      </c>
      <c r="D2138" s="7" t="n">
        <v>5642</v>
      </c>
      <c r="E2138" s="7" t="inlineStr">
        <is>
          <t>TE-A-ME LOOSE ENV NATURAL GREEN TEAS JASMINE LEMONGRASS TEA DC SF HS ENV TBGS</t>
        </is>
      </c>
      <c r="F2138" s="7" t="n">
        <v>15</v>
      </c>
      <c r="G2138" s="7" t="inlineStr">
        <is>
          <t>ENV</t>
        </is>
      </c>
      <c r="H2138" t="inlineStr">
        <is>
          <t>BLEND GREEN TEA JASMINE LEMON GRASS TB</t>
        </is>
      </c>
    </row>
    <row r="2139" ht="14.25" customHeight="1" s="5">
      <c r="A2139" s="7" t="n">
        <v>31165</v>
      </c>
      <c r="B2139" s="7" t="inlineStr">
        <is>
          <t>TE-A-ME WOODEN TEA CHEST 12 COMPARTMENT TBGS</t>
        </is>
      </c>
      <c r="C2139" s="7" t="inlineStr">
        <is>
          <t>TE-A-ME</t>
        </is>
      </c>
      <c r="D2139" s="7" t="n">
        <v>3377</v>
      </c>
      <c r="E2139" s="8" t="inlineStr">
        <is>
          <t xml:space="preserve">TE-A-ME LOOSE ENV NATURAL GREEN TEAS MINT LEMON GINGER TEA DC SF HS ENV TBGS
</t>
        </is>
      </c>
      <c r="F2139" s="7" t="n">
        <v>15</v>
      </c>
      <c r="G2139" s="7" t="inlineStr">
        <is>
          <t>ENV</t>
        </is>
      </c>
      <c r="H2139" t="inlineStr">
        <is>
          <t>BLEND GREEN TEA GINGER MINT LEMON TB</t>
        </is>
      </c>
    </row>
    <row r="2140" ht="14.25" customHeight="1" s="5">
      <c r="A2140" s="7" t="n">
        <v>31166</v>
      </c>
      <c r="B2140" s="7" t="inlineStr">
        <is>
          <t>TE-A-ME WOODEN TEA CHEST 6 COMPARTMENT TBGS</t>
        </is>
      </c>
      <c r="C2140" s="7" t="inlineStr">
        <is>
          <t>TE-A-ME</t>
        </is>
      </c>
      <c r="D2140" s="7" t="n">
        <v>2778</v>
      </c>
      <c r="E2140" s="8" t="inlineStr">
        <is>
          <t xml:space="preserve">TE-A-ME LOOSE ENV NATURAL GREEN TEAS HONEY LEMON GREEN TEA DC SF HS ENV TBGS
</t>
        </is>
      </c>
      <c r="F2140" s="7" t="n">
        <v>10</v>
      </c>
      <c r="G2140" s="7" t="inlineStr">
        <is>
          <t>ENV</t>
        </is>
      </c>
      <c r="H2140" t="inlineStr">
        <is>
          <t>BLEND TE-A-ME GREEN TEA HONEY LEMON</t>
        </is>
      </c>
    </row>
    <row r="2141" ht="14.25" customHeight="1" s="5">
      <c r="A2141" s="7" t="n">
        <v>31166</v>
      </c>
      <c r="B2141" s="7" t="inlineStr">
        <is>
          <t>TE-A-ME WOODEN TEA CHEST 6 COMPARTMENT TBGS</t>
        </is>
      </c>
      <c r="C2141" s="7" t="inlineStr">
        <is>
          <t>TE-A-ME</t>
        </is>
      </c>
      <c r="D2141" s="7" t="n">
        <v>2777</v>
      </c>
      <c r="E2141" s="8" t="inlineStr">
        <is>
          <t xml:space="preserve">TE-A-ME LOOSE ENV NATURAL GREEN TEAS GREEN TEA DC SF HS ENV TBGS
</t>
        </is>
      </c>
      <c r="F2141" s="7" t="n">
        <v>10</v>
      </c>
      <c r="G2141" s="7" t="inlineStr">
        <is>
          <t>ENV</t>
        </is>
      </c>
      <c r="H2141" t="inlineStr">
        <is>
          <t>BLEND TEAME GREEN</t>
        </is>
      </c>
    </row>
    <row r="2142" ht="14.25" customHeight="1" s="5">
      <c r="A2142" s="7" t="n">
        <v>31166</v>
      </c>
      <c r="B2142" s="7" t="inlineStr">
        <is>
          <t>TE-A-ME WOODEN TEA CHEST 6 COMPARTMENT TBGS</t>
        </is>
      </c>
      <c r="C2142" s="7" t="inlineStr">
        <is>
          <t>TE-A-ME</t>
        </is>
      </c>
      <c r="D2142" s="7" t="n">
        <v>2773</v>
      </c>
      <c r="E2142" s="8" t="inlineStr">
        <is>
          <t xml:space="preserve">TE-A-ME LOOSE ENV WELLNESS INFUSIONS TULSI GREEN TEA DC SF HS ENV TBGS
</t>
        </is>
      </c>
      <c r="F2142" s="7" t="n">
        <v>10</v>
      </c>
      <c r="G2142" s="7" t="inlineStr">
        <is>
          <t>ENV</t>
        </is>
      </c>
      <c r="H2142" t="inlineStr">
        <is>
          <t>BLEND TEAME GREEN TEA TULSI</t>
        </is>
      </c>
    </row>
    <row r="2143" ht="14.25" customHeight="1" s="5">
      <c r="A2143" s="7" t="n">
        <v>31166</v>
      </c>
      <c r="B2143" s="7" t="inlineStr">
        <is>
          <t>TE-A-ME WOODEN TEA CHEST 6 COMPARTMENT TBGS</t>
        </is>
      </c>
      <c r="C2143" s="7" t="inlineStr">
        <is>
          <t>TE-A-ME</t>
        </is>
      </c>
      <c r="D2143" s="7" t="n">
        <v>2771</v>
      </c>
      <c r="E2143" s="8" t="inlineStr">
        <is>
          <t xml:space="preserve">TE-A-ME LOOSE ENV NATURAL GREEN TEAS KASHMIRI KAHWA TEA DC SF HS ENV TBGS
</t>
        </is>
      </c>
      <c r="F2143" s="7" t="n">
        <v>10</v>
      </c>
      <c r="G2143" s="7" t="inlineStr">
        <is>
          <t>ENV</t>
        </is>
      </c>
      <c r="H2143" t="inlineStr">
        <is>
          <t>BLEND KASHMIRI KAHWA TB</t>
        </is>
      </c>
    </row>
    <row r="2144" ht="14.25" customHeight="1" s="5">
      <c r="A2144" s="7" t="n">
        <v>31166</v>
      </c>
      <c r="B2144" s="7" t="inlineStr">
        <is>
          <t>TE-A-ME WOODEN TEA CHEST 6 COMPARTMENT TBGS</t>
        </is>
      </c>
      <c r="C2144" s="7" t="inlineStr">
        <is>
          <t>TE-A-ME</t>
        </is>
      </c>
      <c r="D2144" s="7" t="n">
        <v>5642</v>
      </c>
      <c r="E2144" s="7" t="inlineStr">
        <is>
          <t>TE-A-ME LOOSE ENV NATURAL GREEN TEAS JASMINE LEMONGRASS TEA DC SF HS ENV TBGS</t>
        </is>
      </c>
      <c r="F2144" s="7" t="n">
        <v>10</v>
      </c>
      <c r="G2144" s="7" t="inlineStr">
        <is>
          <t>ENV</t>
        </is>
      </c>
      <c r="H2144" t="inlineStr">
        <is>
          <t>BLEND GREEN TEA JASMINE LEMON GRASS TB</t>
        </is>
      </c>
    </row>
    <row r="2145" ht="14.25" customHeight="1" s="5">
      <c r="A2145" s="7" t="n">
        <v>31166</v>
      </c>
      <c r="B2145" s="7" t="inlineStr">
        <is>
          <t>TE-A-ME WOODEN TEA CHEST 6 COMPARTMENT TBGS</t>
        </is>
      </c>
      <c r="C2145" s="7" t="inlineStr">
        <is>
          <t>TE-A-ME</t>
        </is>
      </c>
      <c r="D2145" s="7" t="n">
        <v>3377</v>
      </c>
      <c r="E2145" s="8" t="inlineStr">
        <is>
          <t xml:space="preserve">TE-A-ME LOOSE ENV NATURAL GREEN TEAS MINT LEMON GINGER TEA DC SF HS ENV TBGS
</t>
        </is>
      </c>
      <c r="F2145" s="7" t="n">
        <v>10</v>
      </c>
      <c r="G2145" s="7" t="inlineStr">
        <is>
          <t>ENV</t>
        </is>
      </c>
      <c r="H2145" t="inlineStr">
        <is>
          <t>BLEND GREEN TEA GINGER MINT LEMON TB</t>
        </is>
      </c>
    </row>
    <row r="2146" ht="14.25" customHeight="1" s="5">
      <c r="A2146" s="7" t="n">
        <v>20617</v>
      </c>
      <c r="B2146" s="7" t="inlineStr">
        <is>
          <t>TEA INDIA 12/2 LBS POLYBAG</t>
        </is>
      </c>
      <c r="C2146" s="7" t="inlineStr">
        <is>
          <t>TEA INDIA</t>
        </is>
      </c>
      <c r="D2146" s="7" t="n">
        <v>20618</v>
      </c>
      <c r="E2146" s="7" t="inlineStr">
        <is>
          <t>TEA INDIA 2 LBS POLYBAG</t>
        </is>
      </c>
      <c r="F2146" s="7" t="n">
        <v>12</v>
      </c>
      <c r="G2146" s="7" t="inlineStr">
        <is>
          <t>PKT</t>
        </is>
      </c>
      <c r="H2146" t="inlineStr">
        <is>
          <t>BLEND TEA INDIA</t>
        </is>
      </c>
    </row>
    <row r="2147" ht="14.25" customHeight="1" s="5">
      <c r="A2147" s="7" t="n">
        <v>32217</v>
      </c>
      <c r="B2147" s="7" t="inlineStr">
        <is>
          <t>TEA INDIA 24-1 LB MASALA TEA</t>
        </is>
      </c>
      <c r="C2147" s="7" t="inlineStr">
        <is>
          <t>TEA INDIA</t>
        </is>
      </c>
      <c r="D2147" s="7" t="n">
        <v>32219</v>
      </c>
      <c r="E2147" s="7" t="inlineStr">
        <is>
          <t>TEA INDIA 1 LB MASALA TEA</t>
        </is>
      </c>
      <c r="F2147" s="7" t="n">
        <v>24</v>
      </c>
      <c r="G2147" s="7" t="inlineStr">
        <is>
          <t>CTN</t>
        </is>
      </c>
      <c r="H2147" t="inlineStr">
        <is>
          <t>BLEND TEA INDIA MASALA PKT</t>
        </is>
      </c>
    </row>
    <row r="2148" ht="14.25" customHeight="1" s="5">
      <c r="A2148" s="7" t="n">
        <v>20831</v>
      </c>
      <c r="B2148" s="7" t="inlineStr">
        <is>
          <t>TEA INDIA 24/1 LBS POLYBAG</t>
        </is>
      </c>
      <c r="C2148" s="7" t="inlineStr">
        <is>
          <t>TEA INDIA</t>
        </is>
      </c>
      <c r="D2148" s="7" t="n">
        <v>20830</v>
      </c>
      <c r="E2148" s="7" t="inlineStr">
        <is>
          <t>TEA INDIA 1 LBS POLYBAG</t>
        </is>
      </c>
      <c r="F2148" s="7" t="n">
        <v>24</v>
      </c>
      <c r="G2148" s="7" t="inlineStr">
        <is>
          <t>PKT</t>
        </is>
      </c>
      <c r="H2148" t="inlineStr">
        <is>
          <t>BLEND TEA INDIA</t>
        </is>
      </c>
    </row>
    <row r="2149" ht="14.25" customHeight="1" s="5">
      <c r="A2149" s="7" t="n">
        <v>32215</v>
      </c>
      <c r="B2149" s="7" t="inlineStr">
        <is>
          <t>TEA INDIA 6-3 LB CTC TEA</t>
        </is>
      </c>
      <c r="C2149" s="7" t="inlineStr">
        <is>
          <t>TEA INDIA</t>
        </is>
      </c>
      <c r="D2149" s="7" t="n">
        <v>32218</v>
      </c>
      <c r="E2149" s="7" t="inlineStr">
        <is>
          <t>TEA INDIA 3 LB CTC TEA</t>
        </is>
      </c>
      <c r="F2149" s="7" t="n">
        <v>6</v>
      </c>
      <c r="G2149" s="7" t="inlineStr">
        <is>
          <t>CTN</t>
        </is>
      </c>
      <c r="H2149" t="inlineStr">
        <is>
          <t>BLEND TEA INDIA</t>
        </is>
      </c>
    </row>
    <row r="2150" ht="14.25" customHeight="1" s="5">
      <c r="A2150" s="7" t="n">
        <v>27171</v>
      </c>
      <c r="B2150" s="7" t="inlineStr">
        <is>
          <t>TEA INDIA 6/10 CHAI MMNTS GNGR TRMRIC CL</t>
        </is>
      </c>
      <c r="C2150" s="7" t="inlineStr">
        <is>
          <t>TEA INDIA</t>
        </is>
      </c>
      <c r="D2150" s="7" t="n">
        <v>27180</v>
      </c>
      <c r="E2150" s="7" t="inlineStr">
        <is>
          <t>TEA INDIA 10 CHAI MMNTS GNGR TRMRIC CL</t>
        </is>
      </c>
      <c r="F2150" s="7" t="n">
        <v>6</v>
      </c>
      <c r="G2150" s="7" t="inlineStr">
        <is>
          <t>CTN</t>
        </is>
      </c>
      <c r="H2150" t="inlineStr">
        <is>
          <t>BLEND GINGER TURMERIC CHAI</t>
        </is>
      </c>
    </row>
    <row r="2151" ht="14.25" customHeight="1" s="5">
      <c r="A2151" s="7" t="n">
        <v>28296</v>
      </c>
      <c r="B2151" s="7" t="inlineStr">
        <is>
          <t>TEA INDIA 6/10 CHAI MMNTS GNGR TRMRIC CL (NEW)</t>
        </is>
      </c>
      <c r="C2151" s="7" t="inlineStr">
        <is>
          <t>TEA INDIA</t>
        </is>
      </c>
      <c r="D2151" s="7" t="n">
        <v>27180</v>
      </c>
      <c r="E2151" s="7" t="inlineStr">
        <is>
          <t>TEA INDIA 10 CHAI MMNTS GNGR TRMRIC CL</t>
        </is>
      </c>
      <c r="F2151" s="7" t="n">
        <v>6</v>
      </c>
      <c r="G2151" s="7" t="inlineStr">
        <is>
          <t>CTN</t>
        </is>
      </c>
      <c r="H2151" t="inlineStr">
        <is>
          <t>BLEND GINGER TURMERIC CHAI</t>
        </is>
      </c>
    </row>
    <row r="2152" ht="14.25" customHeight="1" s="5">
      <c r="A2152" s="7" t="n">
        <v>27173</v>
      </c>
      <c r="B2152" s="7" t="inlineStr">
        <is>
          <t>TEA INDIA 6/10 CHAI MMNTS INST CINN CL</t>
        </is>
      </c>
      <c r="C2152" s="7" t="inlineStr">
        <is>
          <t>TEA INDIA</t>
        </is>
      </c>
      <c r="D2152" s="7" t="n">
        <v>27181</v>
      </c>
      <c r="E2152" s="7" t="inlineStr">
        <is>
          <t>TEA INDIA 10 CHAI MMNTS INST CINN CL</t>
        </is>
      </c>
      <c r="F2152" s="7" t="n">
        <v>6</v>
      </c>
      <c r="G2152" s="7" t="inlineStr">
        <is>
          <t>CTN</t>
        </is>
      </c>
      <c r="H2152" t="inlineStr">
        <is>
          <t>BLEND CINNAMON CHAI</t>
        </is>
      </c>
    </row>
    <row r="2153" ht="14.25" customHeight="1" s="5">
      <c r="A2153" s="7" t="n">
        <v>28297</v>
      </c>
      <c r="B2153" s="7" t="inlineStr">
        <is>
          <t>TEA INDIA 6/10 CHAI MMNTS INST CINN CL (NEW)</t>
        </is>
      </c>
      <c r="C2153" s="7" t="inlineStr">
        <is>
          <t>TEA INDIA</t>
        </is>
      </c>
      <c r="D2153" s="7" t="n">
        <v>27181</v>
      </c>
      <c r="E2153" s="7" t="inlineStr">
        <is>
          <t>TEA INDIA 10 CHAI MMNTS INST CINN CL</t>
        </is>
      </c>
      <c r="F2153" s="7" t="n">
        <v>6</v>
      </c>
      <c r="G2153" s="7" t="inlineStr">
        <is>
          <t>CTN</t>
        </is>
      </c>
      <c r="H2153" t="inlineStr">
        <is>
          <t>BLEND CINNAMON CHAI</t>
        </is>
      </c>
    </row>
    <row r="2154" ht="14.25" customHeight="1" s="5">
      <c r="A2154" s="7" t="n">
        <v>27175</v>
      </c>
      <c r="B2154" s="7" t="inlineStr">
        <is>
          <t>TEA INDIA 6/10 CHAI MMNTS INST CRDM CL</t>
        </is>
      </c>
      <c r="C2154" s="7" t="inlineStr">
        <is>
          <t>TEA INDIA</t>
        </is>
      </c>
      <c r="D2154" s="7" t="n">
        <v>27182</v>
      </c>
      <c r="E2154" s="7" t="inlineStr">
        <is>
          <t>TEA INDIA 10 CHAI MMNTS INST CRDM CL</t>
        </is>
      </c>
      <c r="F2154" s="7" t="n">
        <v>6</v>
      </c>
      <c r="G2154" s="7" t="inlineStr">
        <is>
          <t>CTN</t>
        </is>
      </c>
      <c r="H2154" t="inlineStr">
        <is>
          <t>BLEND CARDAMOM CHAI</t>
        </is>
      </c>
    </row>
    <row r="2155" ht="14.25" customHeight="1" s="5">
      <c r="A2155" s="7" t="n">
        <v>28298</v>
      </c>
      <c r="B2155" s="7" t="inlineStr">
        <is>
          <t>TEA INDIA 6/10 CHAI MMNTS INST CRDM CL (NEW)</t>
        </is>
      </c>
      <c r="C2155" s="7" t="inlineStr">
        <is>
          <t>TEA INDIA</t>
        </is>
      </c>
      <c r="D2155" s="7" t="n">
        <v>27182</v>
      </c>
      <c r="E2155" s="7" t="inlineStr">
        <is>
          <t>TEA INDIA 10 CHAI MMNTS INST CRDM CL</t>
        </is>
      </c>
      <c r="F2155" s="7" t="n">
        <v>6</v>
      </c>
      <c r="G2155" s="7" t="inlineStr">
        <is>
          <t>CTN</t>
        </is>
      </c>
      <c r="H2155" t="inlineStr">
        <is>
          <t>BLEND CARDAMOM CHAI</t>
        </is>
      </c>
    </row>
    <row r="2156" ht="14.25" customHeight="1" s="5">
      <c r="A2156" s="7" t="n">
        <v>36047</v>
      </c>
      <c r="B2156" s="7" t="inlineStr">
        <is>
          <t>TEA INDIA 6/10 CHAI MMNTS INST CRDM CL (V2)</t>
        </is>
      </c>
      <c r="C2156" s="7" t="inlineStr">
        <is>
          <t>TEA INDIA</t>
        </is>
      </c>
      <c r="D2156" s="7" t="n">
        <v>36039</v>
      </c>
      <c r="E2156" s="7" t="inlineStr">
        <is>
          <t>TEA INDIA 10 CHAI MMNTS INST CRDM CL (V2)</t>
        </is>
      </c>
      <c r="F2156" s="7" t="n">
        <v>6</v>
      </c>
      <c r="G2156" s="7" t="inlineStr">
        <is>
          <t>CTN</t>
        </is>
      </c>
      <c r="H2156" t="inlineStr">
        <is>
          <t>BLEND CARDAMOM CHAI INSTANT NEW</t>
        </is>
      </c>
    </row>
    <row r="2157" ht="14.25" customHeight="1" s="5">
      <c r="A2157" s="7" t="n">
        <v>27177</v>
      </c>
      <c r="B2157" s="7" t="inlineStr">
        <is>
          <t>TEA INDIA 6/10 CHAI MMNTS INST GNGR CL</t>
        </is>
      </c>
      <c r="C2157" s="7" t="inlineStr">
        <is>
          <t>TEA INDIA</t>
        </is>
      </c>
      <c r="D2157" s="7" t="n">
        <v>27183</v>
      </c>
      <c r="E2157" s="7" t="inlineStr">
        <is>
          <t>TEA INDIA 10 CHAI MMNTS INST GNGR CL</t>
        </is>
      </c>
      <c r="F2157" s="7" t="n">
        <v>6</v>
      </c>
      <c r="G2157" s="7" t="inlineStr">
        <is>
          <t>CTN</t>
        </is>
      </c>
      <c r="H2157" t="inlineStr">
        <is>
          <t>BLEND GINGER CHAI</t>
        </is>
      </c>
    </row>
    <row r="2158" ht="14.25" customHeight="1" s="5">
      <c r="A2158" s="7" t="n">
        <v>28299</v>
      </c>
      <c r="B2158" s="7" t="inlineStr">
        <is>
          <t>TEA INDIA 6/10 CHAI MMNTS INST GNGR CL (NEW)</t>
        </is>
      </c>
      <c r="C2158" s="7" t="inlineStr">
        <is>
          <t>TEA INDIA</t>
        </is>
      </c>
      <c r="D2158" s="7" t="n">
        <v>27183</v>
      </c>
      <c r="E2158" s="7" t="inlineStr">
        <is>
          <t>TEA INDIA 10 CHAI MMNTS INST GNGR CL</t>
        </is>
      </c>
      <c r="F2158" s="7" t="n">
        <v>6</v>
      </c>
      <c r="G2158" s="7" t="inlineStr">
        <is>
          <t>CTN</t>
        </is>
      </c>
      <c r="H2158" t="inlineStr">
        <is>
          <t>BLEND GINGER CHAI</t>
        </is>
      </c>
    </row>
    <row r="2159" ht="14.25" customHeight="1" s="5">
      <c r="A2159" s="7" t="n">
        <v>36048</v>
      </c>
      <c r="B2159" s="7" t="inlineStr">
        <is>
          <t>TEA INDIA 6/10 CHAI MMNTS INST GNGR CL (V2)</t>
        </is>
      </c>
      <c r="C2159" s="7" t="inlineStr">
        <is>
          <t>TEA INDIA</t>
        </is>
      </c>
      <c r="D2159" s="7" t="n">
        <v>36040</v>
      </c>
      <c r="E2159" s="7" t="inlineStr">
        <is>
          <t>TEA INDIA 10 CHAI MMNTS INST GNGR CL (V2)</t>
        </is>
      </c>
      <c r="F2159" s="7" t="n">
        <v>6</v>
      </c>
      <c r="G2159" s="7" t="inlineStr">
        <is>
          <t>CTN</t>
        </is>
      </c>
      <c r="H2159" t="inlineStr">
        <is>
          <t>BLEND GINGER CHAI INSTANT NEW</t>
        </is>
      </c>
    </row>
    <row r="2160" ht="14.25" customHeight="1" s="5">
      <c r="A2160" s="7" t="n">
        <v>27178</v>
      </c>
      <c r="B2160" s="7" t="inlineStr">
        <is>
          <t>TEA INDIA 6/10 CHAI MMNTS INST MASALA CL</t>
        </is>
      </c>
      <c r="C2160" s="7" t="inlineStr">
        <is>
          <t>TEA INDIA</t>
        </is>
      </c>
      <c r="D2160" s="7" t="n">
        <v>27184</v>
      </c>
      <c r="E2160" s="7" t="inlineStr">
        <is>
          <t>TEA INDIA 10 CHAI MMNTS INST MASALA CL</t>
        </is>
      </c>
      <c r="F2160" s="7" t="n">
        <v>6</v>
      </c>
      <c r="G2160" s="7" t="inlineStr">
        <is>
          <t>CTN</t>
        </is>
      </c>
      <c r="H2160" t="inlineStr">
        <is>
          <t>BLEND MASALA CHAI</t>
        </is>
      </c>
    </row>
    <row r="2161" ht="14.25" customHeight="1" s="5">
      <c r="A2161" s="7" t="n">
        <v>28300</v>
      </c>
      <c r="B2161" s="7" t="inlineStr">
        <is>
          <t>TEA INDIA 6/10 CHAI MMNTS INST MASALA CL (NEW)</t>
        </is>
      </c>
      <c r="C2161" s="7" t="inlineStr">
        <is>
          <t>TEA INDIA</t>
        </is>
      </c>
      <c r="D2161" s="7" t="n">
        <v>27184</v>
      </c>
      <c r="E2161" s="7" t="inlineStr">
        <is>
          <t>TEA INDIA 10 CHAI MMNTS INST MASALA CL</t>
        </is>
      </c>
      <c r="F2161" s="7" t="n">
        <v>6</v>
      </c>
      <c r="G2161" s="7" t="inlineStr">
        <is>
          <t>CTN</t>
        </is>
      </c>
      <c r="H2161" t="inlineStr">
        <is>
          <t>BLEND MASALA CHAI</t>
        </is>
      </c>
    </row>
    <row r="2162" ht="14.25" customHeight="1" s="5">
      <c r="A2162" s="7" t="n">
        <v>36049</v>
      </c>
      <c r="B2162" s="7" t="inlineStr">
        <is>
          <t>TEA INDIA 6/10 CHAI MMNTS INST MASALA CL (V2)</t>
        </is>
      </c>
      <c r="C2162" s="7" t="inlineStr">
        <is>
          <t>TEA INDIA</t>
        </is>
      </c>
      <c r="D2162" s="7" t="n">
        <v>36041</v>
      </c>
      <c r="E2162" s="7" t="inlineStr">
        <is>
          <t>TEA INDIA 10 CHAI MMNTS INST MASALA CL (V2)</t>
        </is>
      </c>
      <c r="F2162" s="7" t="n">
        <v>6</v>
      </c>
      <c r="G2162" s="7" t="inlineStr">
        <is>
          <t>CTN</t>
        </is>
      </c>
      <c r="H2162" t="inlineStr">
        <is>
          <t>BLEND MASALA CHAI INSTANT NEW</t>
        </is>
      </c>
    </row>
    <row r="2163" ht="14.25" customHeight="1" s="5">
      <c r="A2163" s="7" t="n">
        <v>28301</v>
      </c>
      <c r="B2163" s="7" t="inlineStr">
        <is>
          <t>TEA INDIA 6/10 CHAI MMNTS INST MILK CL</t>
        </is>
      </c>
      <c r="C2163" s="7" t="inlineStr">
        <is>
          <t>TEA INDIA</t>
        </is>
      </c>
      <c r="D2163" s="7" t="n">
        <v>28425</v>
      </c>
      <c r="E2163" s="7" t="inlineStr">
        <is>
          <t>TEA INDIA 10 CHAI MMNTS INST MILK CL</t>
        </is>
      </c>
      <c r="F2163" s="7" t="n">
        <v>6</v>
      </c>
      <c r="G2163" s="7" t="inlineStr">
        <is>
          <t>CTN</t>
        </is>
      </c>
      <c r="H2163" t="inlineStr">
        <is>
          <t>BLEND PLAIN CHAI INSTANT</t>
        </is>
      </c>
    </row>
    <row r="2164" ht="14.25" customHeight="1" s="5">
      <c r="A2164" s="7" t="n">
        <v>32931</v>
      </c>
      <c r="B2164" s="7" t="inlineStr">
        <is>
          <t>TEA INDIA 6/10 CHAI MMNTS INST UNSWTND CRDM</t>
        </is>
      </c>
      <c r="C2164" s="7" t="inlineStr">
        <is>
          <t>TEA INDIA</t>
        </is>
      </c>
      <c r="D2164" s="7" t="n">
        <v>33072</v>
      </c>
      <c r="E2164" s="7" t="inlineStr">
        <is>
          <t>TEA INDIA 10 CHAI MMNTS INST UNSWTND CRDM</t>
        </is>
      </c>
      <c r="F2164" s="7" t="n">
        <v>6</v>
      </c>
      <c r="G2164" s="7" t="inlineStr">
        <is>
          <t>CTN</t>
        </is>
      </c>
      <c r="H2164" t="inlineStr">
        <is>
          <t>BLEND UNSWEETENED CARDAMOM CHAI INSTANT</t>
        </is>
      </c>
    </row>
    <row r="2165" ht="14.25" customHeight="1" s="5">
      <c r="A2165" s="7" t="n">
        <v>32932</v>
      </c>
      <c r="B2165" s="7" t="inlineStr">
        <is>
          <t>TEA INDIA 6/10 CHAI MMNTS INST UNSWTND GNGR</t>
        </is>
      </c>
      <c r="C2165" s="7" t="inlineStr">
        <is>
          <t>TEA INDIA</t>
        </is>
      </c>
      <c r="D2165" s="7" t="n">
        <v>33073</v>
      </c>
      <c r="E2165" s="7" t="inlineStr">
        <is>
          <t>TEA INDIA 10 CHAI MMNTS INST UNSWTND GNGR</t>
        </is>
      </c>
      <c r="F2165" s="7" t="n">
        <v>6</v>
      </c>
      <c r="G2165" s="7" t="inlineStr">
        <is>
          <t>CTN</t>
        </is>
      </c>
      <c r="H2165" t="inlineStr">
        <is>
          <t>BLEND UNSWEETENED GINGER CHAI INSTANT</t>
        </is>
      </c>
    </row>
    <row r="2166" ht="14.25" customHeight="1" s="5">
      <c r="A2166" s="7" t="n">
        <v>28302</v>
      </c>
      <c r="B2166" s="7" t="inlineStr">
        <is>
          <t>TEA INDIA 6/10 CHAI MMNTS INST UNSWTND M</t>
        </is>
      </c>
      <c r="C2166" s="7" t="inlineStr">
        <is>
          <t>TEA INDIA</t>
        </is>
      </c>
      <c r="D2166" s="7" t="n">
        <v>28426</v>
      </c>
      <c r="E2166" s="7" t="inlineStr">
        <is>
          <t>TEA INDIA 10 CHAI MMNTS INST UNSWTND M</t>
        </is>
      </c>
      <c r="F2166" s="7" t="n">
        <v>6</v>
      </c>
      <c r="G2166" s="7" t="inlineStr">
        <is>
          <t>CTN</t>
        </is>
      </c>
      <c r="H2166" t="inlineStr">
        <is>
          <t>BLEND UNSWEETENED MASALA CHAI INSTANT</t>
        </is>
      </c>
    </row>
    <row r="2167" ht="14.25" customHeight="1" s="5">
      <c r="A2167" s="7" t="n">
        <v>35426</v>
      </c>
      <c r="B2167" s="7" t="inlineStr">
        <is>
          <t>TEA INDIA 6/10 CHAI MMNTS LEMON GRASS CL</t>
        </is>
      </c>
      <c r="C2167" s="7" t="inlineStr">
        <is>
          <t>TEA INDIA</t>
        </is>
      </c>
      <c r="D2167" s="7" t="n">
        <v>35441</v>
      </c>
      <c r="E2167" s="7" t="inlineStr">
        <is>
          <t>TEA INDIA 10 CHAI MMNTS LEMON GRASS CL</t>
        </is>
      </c>
      <c r="F2167" s="7" t="n">
        <v>6</v>
      </c>
      <c r="G2167" s="7" t="inlineStr">
        <is>
          <t>CTN</t>
        </is>
      </c>
      <c r="H2167" t="inlineStr">
        <is>
          <t>BLEND LEMON GRASS CHAI INSTANT</t>
        </is>
      </c>
    </row>
    <row r="2168" ht="14.25" customHeight="1" s="5">
      <c r="A2168" s="7" t="n">
        <v>35428</v>
      </c>
      <c r="B2168" s="7" t="inlineStr">
        <is>
          <t>TEA INDIA 6/10 CHAI MMNTS SAFFRON CL</t>
        </is>
      </c>
      <c r="C2168" s="7" t="inlineStr">
        <is>
          <t>TEA INDIA</t>
        </is>
      </c>
      <c r="D2168" s="7" t="n">
        <v>35442</v>
      </c>
      <c r="E2168" s="7" t="inlineStr">
        <is>
          <t>TEA INDIA 10 CHAI MMNTS SAFFRON CL</t>
        </is>
      </c>
      <c r="F2168" s="7" t="n">
        <v>6</v>
      </c>
      <c r="G2168" s="7" t="inlineStr">
        <is>
          <t>CTN</t>
        </is>
      </c>
      <c r="H2168" t="inlineStr">
        <is>
          <t>BLEND SAFFRON CHAI INSTANT</t>
        </is>
      </c>
    </row>
    <row r="2169" ht="14.25" customHeight="1" s="5">
      <c r="A2169" s="7" t="n">
        <v>22771</v>
      </c>
      <c r="B2169" s="7" t="inlineStr">
        <is>
          <t>TEA QUEEN BPS TQ [12 X 2 X 500 GM NON WOVEN] CFC</t>
        </is>
      </c>
      <c r="C2169" s="7" t="inlineStr">
        <is>
          <t>TEA QUEEN</t>
        </is>
      </c>
      <c r="D2169" s="7" t="n">
        <v>22770</v>
      </c>
      <c r="E2169" s="7" t="inlineStr">
        <is>
          <t>TEA QUEEN BPS 1 KG (500 GM X 2) POUCH</t>
        </is>
      </c>
      <c r="F2169" s="7" t="n">
        <v>12</v>
      </c>
      <c r="G2169" s="7" t="inlineStr">
        <is>
          <t>PKT</t>
        </is>
      </c>
      <c r="H2169" t="inlineStr">
        <is>
          <t>BLEND TQ</t>
        </is>
      </c>
    </row>
    <row r="2170" ht="14.25" customHeight="1" s="5">
      <c r="A2170" s="7" t="n">
        <v>28176</v>
      </c>
      <c r="B2170" s="7" t="inlineStr">
        <is>
          <t>TEA QUEEN LEAF SFM [12 X 2 X 500 GM NON WOVEN] CFC</t>
        </is>
      </c>
      <c r="C2170" s="7" t="inlineStr">
        <is>
          <t>TEA QUEEN</t>
        </is>
      </c>
      <c r="D2170" s="7" t="n">
        <v>28175</v>
      </c>
      <c r="E2170" s="7" t="inlineStr">
        <is>
          <t>TEA QUEEN LEAF SFM 1 KG (500 GM X 2) POUCH</t>
        </is>
      </c>
      <c r="F2170" s="7" t="n">
        <v>12</v>
      </c>
      <c r="G2170" s="7" t="inlineStr">
        <is>
          <t>POUCH</t>
        </is>
      </c>
      <c r="H2170" t="inlineStr">
        <is>
          <t>BLEND SFM</t>
        </is>
      </c>
    </row>
    <row r="2171" ht="14.25" customHeight="1" s="5">
      <c r="A2171" s="7" t="n">
        <v>32046</v>
      </c>
      <c r="B2171" s="7" t="inlineStr">
        <is>
          <t>TEAME EXOTIC BREWS BUTTERFLY 24/40 GMS PKT TEA</t>
        </is>
      </c>
      <c r="C2171" s="7" t="inlineStr">
        <is>
          <t>TE-A-ME</t>
        </is>
      </c>
      <c r="D2171" s="7" t="n">
        <v>32032</v>
      </c>
      <c r="E2171" s="7" t="inlineStr">
        <is>
          <t>TEAME EXOTIC BREWS BUTTERFLY 40 GMS PKT TEA</t>
        </is>
      </c>
      <c r="F2171" s="7" t="n">
        <v>24</v>
      </c>
      <c r="G2171" s="7" t="inlineStr">
        <is>
          <t>CTN</t>
        </is>
      </c>
      <c r="H2171" t="inlineStr">
        <is>
          <t>BLEND HIMALAYAN BUTTERFLY BLUE PEA FLOWER</t>
        </is>
      </c>
    </row>
    <row r="2172" ht="14.25" customHeight="1" s="5">
      <c r="A2172" s="7" t="n">
        <v>34942</v>
      </c>
      <c r="B2172" s="7" t="inlineStr">
        <is>
          <t>TEAME EXOTIC BREWS BUTTERFLY 24/50 GMS PKT TEA</t>
        </is>
      </c>
      <c r="C2172" s="7" t="inlineStr">
        <is>
          <t>TE-A-ME</t>
        </is>
      </c>
      <c r="D2172" s="7" t="n">
        <v>34801</v>
      </c>
      <c r="E2172" s="7" t="inlineStr">
        <is>
          <t>TEAME EXOTIC BREWS BUTTERFLY 50 GMS PKT TEA</t>
        </is>
      </c>
      <c r="F2172" s="7" t="n">
        <v>24</v>
      </c>
      <c r="G2172" s="7" t="inlineStr">
        <is>
          <t>CTN</t>
        </is>
      </c>
      <c r="H2172" t="inlineStr">
        <is>
          <t>BLEND HIMALAYAN BUTTERFLY BLUE PEA FLOWER</t>
        </is>
      </c>
    </row>
    <row r="2173" ht="14.25" customHeight="1" s="5">
      <c r="A2173" s="7" t="n">
        <v>32044</v>
      </c>
      <c r="B2173" s="7" t="inlineStr">
        <is>
          <t>TEAME EXOTIC BREWS CHAMOMILE 24/50 GMS PKT TEA</t>
        </is>
      </c>
      <c r="C2173" s="7" t="inlineStr">
        <is>
          <t>TE-A-ME</t>
        </is>
      </c>
      <c r="D2173" s="7" t="n">
        <v>32030</v>
      </c>
      <c r="E2173" s="7" t="inlineStr">
        <is>
          <t>TEAME EXOTIC BREWS CHAMOMILE 50 GMS PKT TEA</t>
        </is>
      </c>
      <c r="F2173" s="7" t="n">
        <v>24</v>
      </c>
      <c r="G2173" s="7" t="inlineStr">
        <is>
          <t>CTN</t>
        </is>
      </c>
      <c r="H2173" t="inlineStr">
        <is>
          <t>BLEND CHAMOMILE CC EXOTIC</t>
        </is>
      </c>
    </row>
    <row r="2174" ht="14.25" customHeight="1" s="5">
      <c r="A2174" s="7" t="n">
        <v>32045</v>
      </c>
      <c r="B2174" s="7" t="inlineStr">
        <is>
          <t>TEAME EXOTIC BREWS HIBISCUS 24/50 GMS PKT TEA</t>
        </is>
      </c>
      <c r="C2174" s="7" t="inlineStr">
        <is>
          <t>TE-A-ME</t>
        </is>
      </c>
      <c r="D2174" s="7" t="n">
        <v>32031</v>
      </c>
      <c r="E2174" s="7" t="inlineStr">
        <is>
          <t>TEAME EXOTIC BREWS HIBISCUS 50 GMS PKT TEA</t>
        </is>
      </c>
      <c r="F2174" s="7" t="n">
        <v>24</v>
      </c>
      <c r="G2174" s="7" t="inlineStr">
        <is>
          <t>CTN</t>
        </is>
      </c>
      <c r="H2174" t="inlineStr">
        <is>
          <t>BLEND HIBISCUS FLOWER</t>
        </is>
      </c>
    </row>
    <row r="2175" ht="14.25" customHeight="1" s="5">
      <c r="A2175" s="7" t="n">
        <v>4047</v>
      </c>
      <c r="B2175" s="7" t="inlineStr">
        <is>
          <t>TEAME FRUIT &amp; FLOWER INFUSIONS CHAMOMILE 100 DC HS ENV TBGS</t>
        </is>
      </c>
      <c r="C2175" s="7" t="inlineStr">
        <is>
          <t>NOT BRAND SPECIFIC</t>
        </is>
      </c>
      <c r="D2175" s="7" t="n">
        <v>4048</v>
      </c>
      <c r="E2175" s="7" t="inlineStr">
        <is>
          <t>TEAME FRUIT &amp; FLOWER INFUSIONS CHAMOMILE 20 DC HS ENV TBGS</t>
        </is>
      </c>
      <c r="F2175" s="7" t="n">
        <v>5</v>
      </c>
      <c r="G2175" s="7" t="inlineStr">
        <is>
          <t>CTN</t>
        </is>
      </c>
      <c r="H2175" t="inlineStr">
        <is>
          <t>BLEND CHAMOMILE TBC</t>
        </is>
      </c>
    </row>
    <row r="2176" ht="14.25" customHeight="1" s="5">
      <c r="A2176" s="7" t="n">
        <v>4049</v>
      </c>
      <c r="B2176" s="7" t="inlineStr">
        <is>
          <t>TEAME FRUIT &amp; FLOWER INFUSIONS ORANGE GREEN 18/100 DC HS ENV TBGS(INSTITUTIONAL)</t>
        </is>
      </c>
      <c r="C2176" s="7" t="inlineStr">
        <is>
          <t>NOT BRAND SPECIFIC</t>
        </is>
      </c>
      <c r="D2176" s="7" t="n">
        <v>4050</v>
      </c>
      <c r="E2176" s="7" t="inlineStr">
        <is>
          <t>TEAME FRUIT &amp; FLOWER INFUSIONS ORANGE GREEN 100 DC HS ENV TBGS(INSTITUTIONAL)</t>
        </is>
      </c>
      <c r="F2176" s="7" t="n">
        <v>18</v>
      </c>
      <c r="G2176" s="7" t="inlineStr">
        <is>
          <t>CTN</t>
        </is>
      </c>
      <c r="H2176" t="inlineStr">
        <is>
          <t>BLEND GREEN TEA ORANGE TBC</t>
        </is>
      </c>
    </row>
    <row r="2177" ht="14.25" customHeight="1" s="5">
      <c r="A2177" s="7" t="n">
        <v>18575</v>
      </c>
      <c r="B2177" s="7" t="inlineStr">
        <is>
          <t>TEAME HORECA EXOTIC RANGE  ASSAM TEA 24 SACHETS</t>
        </is>
      </c>
      <c r="C2177" s="7" t="inlineStr">
        <is>
          <t>TE-A-ME</t>
        </is>
      </c>
      <c r="D2177" s="7" t="n">
        <v>17953</v>
      </c>
      <c r="E2177" s="7" t="inlineStr">
        <is>
          <t>TEAME HORECA EXOTIC RANGE  ASSAM TEA  SACHETS</t>
        </is>
      </c>
      <c r="F2177" s="7" t="n">
        <v>24</v>
      </c>
      <c r="G2177" s="7" t="inlineStr">
        <is>
          <t>POUCH</t>
        </is>
      </c>
      <c r="H2177" t="inlineStr">
        <is>
          <t>BLEND AXOP-S-RFA</t>
        </is>
      </c>
    </row>
    <row r="2178" ht="14.25" customHeight="1" s="5">
      <c r="A2178" s="7" t="n">
        <v>4059</v>
      </c>
      <c r="B2178" s="7" t="inlineStr">
        <is>
          <t>TEAME HORECA EXOTIC RANGE  ASSAM TEA 6/24 SACHETS</t>
        </is>
      </c>
      <c r="C2178" s="7" t="inlineStr">
        <is>
          <t>NOT BRAND SPECIFIC</t>
        </is>
      </c>
      <c r="D2178" s="7" t="n">
        <v>18575</v>
      </c>
      <c r="E2178" s="7" t="inlineStr">
        <is>
          <t>TEAME HORECA EXOTIC RANGE  ASSAM TEA 24 SACHETS</t>
        </is>
      </c>
      <c r="F2178" s="7" t="n">
        <v>6</v>
      </c>
      <c r="G2178" s="7" t="inlineStr">
        <is>
          <t>POUCH</t>
        </is>
      </c>
      <c r="H2178" t="inlineStr">
        <is>
          <t>BLEND AXOP-S-RFA</t>
        </is>
      </c>
    </row>
    <row r="2179" ht="14.25" customHeight="1" s="5">
      <c r="A2179" s="7" t="n">
        <v>18403</v>
      </c>
      <c r="B2179" s="7" t="inlineStr">
        <is>
          <t>TEAME HORECA EXOTIC RANGE  BLACK TEA EARL GREY 24 SACHETS</t>
        </is>
      </c>
      <c r="C2179" s="7" t="inlineStr">
        <is>
          <t>TE-A-ME</t>
        </is>
      </c>
      <c r="D2179" s="7" t="n">
        <v>17954</v>
      </c>
      <c r="E2179" s="7" t="inlineStr">
        <is>
          <t>TEAME HORECA EXOTIC RANGE  BLACK TEA EARL GREY  SACHETS</t>
        </is>
      </c>
      <c r="F2179" s="7" t="n">
        <v>24</v>
      </c>
      <c r="G2179" s="7" t="inlineStr">
        <is>
          <t>POUCH</t>
        </is>
      </c>
      <c r="H2179" t="inlineStr">
        <is>
          <t>BLEND BLACK TEA EARL GREY CC EXOTIC</t>
        </is>
      </c>
    </row>
    <row r="2180" ht="14.25" customHeight="1" s="5">
      <c r="A2180" s="7" t="n">
        <v>17955</v>
      </c>
      <c r="B2180" s="7" t="inlineStr">
        <is>
          <t>TEAME HORECA EXOTIC RANGE  BLACK TEA EARL GREY 6/24 SACHETS</t>
        </is>
      </c>
      <c r="C2180" s="7" t="inlineStr">
        <is>
          <t>TE-A-ME</t>
        </is>
      </c>
      <c r="D2180" s="7" t="n">
        <v>18403</v>
      </c>
      <c r="E2180" s="7" t="inlineStr">
        <is>
          <t>TEAME HORECA EXOTIC RANGE  BLACK TEA EARL GREY 24 SACHETS</t>
        </is>
      </c>
      <c r="F2180" s="7" t="n">
        <v>6</v>
      </c>
      <c r="G2180" s="7" t="inlineStr">
        <is>
          <t>POUCH</t>
        </is>
      </c>
      <c r="H2180" t="inlineStr">
        <is>
          <t>BLEND BLACK TEA EARL GREY CC EXOTIC</t>
        </is>
      </c>
    </row>
    <row r="2181" ht="14.25" customHeight="1" s="5">
      <c r="A2181" s="7" t="n">
        <v>18404</v>
      </c>
      <c r="B2181" s="7" t="inlineStr">
        <is>
          <t>TEAME HORECA EXOTIC RANGE  BLACK TEA MASALA 24 SACHETS</t>
        </is>
      </c>
      <c r="C2181" s="7" t="inlineStr">
        <is>
          <t>TE-A-ME</t>
        </is>
      </c>
      <c r="D2181" s="7" t="n">
        <v>17956</v>
      </c>
      <c r="E2181" s="7" t="inlineStr">
        <is>
          <t>TEAME HORECA EXOTIC RANGE  BLACK TEA MASALA  SACHETS</t>
        </is>
      </c>
      <c r="F2181" s="7" t="n">
        <v>24</v>
      </c>
      <c r="G2181" s="7" t="inlineStr">
        <is>
          <t>POUCH</t>
        </is>
      </c>
      <c r="H2181" t="inlineStr">
        <is>
          <t>BLEND BLACK TEA MASALA CC EXOTIC</t>
        </is>
      </c>
    </row>
    <row r="2182" ht="14.25" customHeight="1" s="5">
      <c r="A2182" s="7" t="n">
        <v>17957</v>
      </c>
      <c r="B2182" s="7" t="inlineStr">
        <is>
          <t>TEAME HORECA EXOTIC RANGE  BLACK TEA MASALA 6/24 SACHETS</t>
        </is>
      </c>
      <c r="C2182" s="7" t="inlineStr">
        <is>
          <t>TE-A-ME</t>
        </is>
      </c>
      <c r="D2182" s="7" t="n">
        <v>17956</v>
      </c>
      <c r="E2182" s="7" t="inlineStr">
        <is>
          <t>TEAME HORECA EXOTIC RANGE  BLACK TEA MASALA  SACHETS</t>
        </is>
      </c>
      <c r="F2182" s="7" t="n">
        <v>144</v>
      </c>
      <c r="G2182" s="7" t="inlineStr">
        <is>
          <t>POUCH</t>
        </is>
      </c>
      <c r="H2182" t="inlineStr">
        <is>
          <t>BLEND BLACK TEA MASALA CC EXOTIC</t>
        </is>
      </c>
    </row>
    <row r="2183" ht="14.25" customHeight="1" s="5">
      <c r="A2183" s="7" t="n">
        <v>18576</v>
      </c>
      <c r="B2183" s="7" t="inlineStr">
        <is>
          <t>TEAME HORECA EXOTIC RANGE  BLACK TEA PASSION FRUIT 24 SACHETS</t>
        </is>
      </c>
      <c r="C2183" s="7" t="inlineStr">
        <is>
          <t>TE-A-ME</t>
        </is>
      </c>
      <c r="D2183" s="7" t="n">
        <v>17958</v>
      </c>
      <c r="E2183" s="7" t="inlineStr">
        <is>
          <t>TEAME HORECA EXOTIC RANGE  BLACK TEA PASSION FRUIT  SACHETS</t>
        </is>
      </c>
      <c r="F2183" s="7" t="n">
        <v>24</v>
      </c>
      <c r="G2183" s="7" t="inlineStr">
        <is>
          <t>POUCH</t>
        </is>
      </c>
      <c r="H2183" t="inlineStr">
        <is>
          <t>BLEND BLACK TEA PASSION FRUIT CC EXOTIC</t>
        </is>
      </c>
    </row>
    <row r="2184" ht="14.25" customHeight="1" s="5">
      <c r="A2184" s="7" t="n">
        <v>17959</v>
      </c>
      <c r="B2184" s="7" t="inlineStr">
        <is>
          <t>TEAME HORECA EXOTIC RANGE  BLACK TEA PASSION FRUIT 6/24 SACHETS</t>
        </is>
      </c>
      <c r="C2184" s="7" t="inlineStr">
        <is>
          <t>TE-A-ME</t>
        </is>
      </c>
      <c r="D2184" s="7" t="n">
        <v>18576</v>
      </c>
      <c r="E2184" s="7" t="inlineStr">
        <is>
          <t>TEAME HORECA EXOTIC RANGE  BLACK TEA PASSION FRUIT 24 SACHETS</t>
        </is>
      </c>
      <c r="F2184" s="7" t="n">
        <v>6</v>
      </c>
      <c r="G2184" s="7" t="inlineStr">
        <is>
          <t>POUCH</t>
        </is>
      </c>
      <c r="H2184">
        <f>#N/A</f>
        <v/>
      </c>
    </row>
    <row r="2185" ht="14.25" customHeight="1" s="5">
      <c r="A2185" s="7" t="n">
        <v>18577</v>
      </c>
      <c r="B2185" s="7" t="inlineStr">
        <is>
          <t>TEAME HORECA EXOTIC RANGE  BLACK TEA TROPICAL FRUIT 24 SACHETS</t>
        </is>
      </c>
      <c r="C2185" s="7" t="inlineStr">
        <is>
          <t>TE-A-ME</t>
        </is>
      </c>
      <c r="D2185" s="7" t="n">
        <v>17960</v>
      </c>
      <c r="E2185" s="7" t="inlineStr">
        <is>
          <t>TEAME HORECA EXOTIC RANGE  BLACK TEA TROPICAL FRUIT  SACHETS</t>
        </is>
      </c>
      <c r="F2185" s="7" t="n">
        <v>24</v>
      </c>
      <c r="G2185" s="7" t="inlineStr">
        <is>
          <t>POUCH</t>
        </is>
      </c>
      <c r="H2185" t="inlineStr">
        <is>
          <t>BLEND BLACK TEA TROPICAL FRUIT CC EXOTIC</t>
        </is>
      </c>
    </row>
    <row r="2186" ht="14.25" customHeight="1" s="5">
      <c r="A2186" s="7" t="n">
        <v>17961</v>
      </c>
      <c r="B2186" s="7" t="inlineStr">
        <is>
          <t>TEAME HORECA EXOTIC RANGE  BLACK TEA TROPICAL FRUIT 6/24 SACHETS</t>
        </is>
      </c>
      <c r="C2186" s="7" t="inlineStr">
        <is>
          <t>TE-A-ME</t>
        </is>
      </c>
      <c r="D2186" s="7" t="n">
        <v>17960</v>
      </c>
      <c r="E2186" s="7" t="inlineStr">
        <is>
          <t>TEAME HORECA EXOTIC RANGE  BLACK TEA TROPICAL FRUIT  SACHETS</t>
        </is>
      </c>
      <c r="F2186" s="7" t="n">
        <v>144</v>
      </c>
      <c r="G2186" s="7" t="inlineStr">
        <is>
          <t>POUCH</t>
        </is>
      </c>
      <c r="H2186" t="inlineStr">
        <is>
          <t>BLEND BLACK TEA TROPICAL FRUIT CC EXOTIC</t>
        </is>
      </c>
    </row>
    <row r="2187" ht="14.25" customHeight="1" s="5">
      <c r="A2187" s="7" t="n">
        <v>18405</v>
      </c>
      <c r="B2187" s="7" t="inlineStr">
        <is>
          <t>TEAME HORECA EXOTIC RANGE  CHAMOMILE 24 SACHETS</t>
        </is>
      </c>
      <c r="C2187" s="7" t="inlineStr">
        <is>
          <t>TE-A-ME</t>
        </is>
      </c>
      <c r="D2187" s="7" t="n">
        <v>17962</v>
      </c>
      <c r="E2187" s="7" t="inlineStr">
        <is>
          <t>TEAME HORECA EXOTIC RANGE  CHAMOMILE  SACHETS</t>
        </is>
      </c>
      <c r="F2187" s="7" t="n">
        <v>24</v>
      </c>
      <c r="G2187" s="7" t="inlineStr">
        <is>
          <t>POUCH</t>
        </is>
      </c>
      <c r="H2187" t="inlineStr">
        <is>
          <t>BLEND CHAMOMILE CC EXOTIC</t>
        </is>
      </c>
    </row>
    <row r="2188" ht="14.25" customHeight="1" s="5">
      <c r="A2188" s="7" t="n">
        <v>17963</v>
      </c>
      <c r="B2188" s="7" t="inlineStr">
        <is>
          <t>TEAME HORECA EXOTIC RANGE  CHAMOMILE 6/24 SACHETS</t>
        </is>
      </c>
      <c r="C2188" s="7" t="inlineStr">
        <is>
          <t>TE-A-ME</t>
        </is>
      </c>
      <c r="D2188" s="7" t="n">
        <v>18405</v>
      </c>
      <c r="E2188" s="7" t="inlineStr">
        <is>
          <t>TEAME HORECA EXOTIC RANGE  CHAMOMILE 24 SACHETS</t>
        </is>
      </c>
      <c r="F2188" s="7" t="n">
        <v>6</v>
      </c>
      <c r="G2188" s="7" t="inlineStr">
        <is>
          <t>POUCH</t>
        </is>
      </c>
      <c r="H2188" t="inlineStr">
        <is>
          <t>BLEND CHAMOMILE CC EXOTIC</t>
        </is>
      </c>
    </row>
    <row r="2189" ht="14.25" customHeight="1" s="5">
      <c r="A2189" s="7" t="n">
        <v>18406</v>
      </c>
      <c r="B2189" s="7" t="inlineStr">
        <is>
          <t>TEAME HORECA EXOTIC RANGE  ENGLISH BREAKFAST TEA 24 SACHETS</t>
        </is>
      </c>
      <c r="C2189" s="7" t="inlineStr">
        <is>
          <t>TE-A-ME</t>
        </is>
      </c>
      <c r="D2189" s="7" t="n">
        <v>17964</v>
      </c>
      <c r="E2189" s="7" t="inlineStr">
        <is>
          <t>TEAME HORECA EXOTIC RANGE  ENGLISH BREAKFAST TEA  SACHETS</t>
        </is>
      </c>
      <c r="F2189" s="7" t="n">
        <v>24</v>
      </c>
      <c r="G2189" s="7" t="inlineStr">
        <is>
          <t>POUCH</t>
        </is>
      </c>
      <c r="H2189" t="inlineStr">
        <is>
          <t>BLEND AXOP-S-RFA</t>
        </is>
      </c>
    </row>
    <row r="2190" ht="14.25" customHeight="1" s="5">
      <c r="A2190" s="7" t="n">
        <v>17965</v>
      </c>
      <c r="B2190" s="7" t="inlineStr">
        <is>
          <t>TEAME HORECA EXOTIC RANGE  ENGLISH BREAKFAST TEA 6/24 SACHETS</t>
        </is>
      </c>
      <c r="C2190" s="7" t="inlineStr">
        <is>
          <t>TE-A-ME</t>
        </is>
      </c>
      <c r="D2190" s="7" t="n">
        <v>18406</v>
      </c>
      <c r="E2190" s="7" t="inlineStr">
        <is>
          <t>TEAME HORECA EXOTIC RANGE  ENGLISH BREAKFAST TEA 24 SACHETS</t>
        </is>
      </c>
      <c r="F2190" s="7" t="n">
        <v>6</v>
      </c>
      <c r="G2190" s="7" t="inlineStr">
        <is>
          <t>POUCH</t>
        </is>
      </c>
      <c r="H2190" t="inlineStr">
        <is>
          <t>BLEND AXOP-S-RFA</t>
        </is>
      </c>
    </row>
    <row r="2191" ht="14.25" customHeight="1" s="5">
      <c r="A2191" s="7" t="n">
        <v>18578</v>
      </c>
      <c r="B2191" s="7" t="inlineStr">
        <is>
          <t>TEAME HORECA EXOTIC RANGE  GREEN 24 SACHETS</t>
        </is>
      </c>
      <c r="C2191" s="7" t="inlineStr">
        <is>
          <t>TE-A-ME</t>
        </is>
      </c>
      <c r="D2191" s="7" t="n">
        <v>17966</v>
      </c>
      <c r="E2191" s="7" t="inlineStr">
        <is>
          <t>TEAME HORECA EXOTIC RANGE  GREEN  SACHETS</t>
        </is>
      </c>
      <c r="F2191" s="7" t="n">
        <v>24</v>
      </c>
      <c r="G2191" s="7" t="inlineStr">
        <is>
          <t>POUCH</t>
        </is>
      </c>
      <c r="H2191" t="inlineStr">
        <is>
          <t>BLEND STD-MJM2</t>
        </is>
      </c>
    </row>
    <row r="2192" ht="14.25" customHeight="1" s="5">
      <c r="A2192" s="7" t="n">
        <v>17967</v>
      </c>
      <c r="B2192" s="7" t="inlineStr">
        <is>
          <t>TEAME HORECA EXOTIC RANGE  GREEN 6/24 SACHETS</t>
        </is>
      </c>
      <c r="C2192" s="7" t="inlineStr">
        <is>
          <t>TE-A-ME</t>
        </is>
      </c>
      <c r="D2192" s="7" t="n">
        <v>18578</v>
      </c>
      <c r="E2192" s="7" t="inlineStr">
        <is>
          <t>TEAME HORECA EXOTIC RANGE  GREEN 24 SACHETS</t>
        </is>
      </c>
      <c r="F2192" s="7" t="n">
        <v>6</v>
      </c>
      <c r="G2192" s="7" t="inlineStr">
        <is>
          <t>POUCH</t>
        </is>
      </c>
      <c r="H2192" t="inlineStr">
        <is>
          <t>BLEND STD-MJM2</t>
        </is>
      </c>
    </row>
    <row r="2193" ht="14.25" customHeight="1" s="5">
      <c r="A2193" s="7" t="n">
        <v>18579</v>
      </c>
      <c r="B2193" s="7" t="inlineStr">
        <is>
          <t>TEAME HORECA EXOTIC RANGE  GREEN LAVENDER ROSE MINT TEA 24 SACHETS</t>
        </is>
      </c>
      <c r="C2193" s="7" t="inlineStr">
        <is>
          <t>TE-A-ME</t>
        </is>
      </c>
      <c r="D2193" s="7" t="n">
        <v>17969</v>
      </c>
      <c r="E2193" s="7" t="inlineStr">
        <is>
          <t>TEAME HORECA EXOTIC RANGE  GREEN LAVENDER ROSE MINT TEA  SACHETS</t>
        </is>
      </c>
      <c r="F2193" s="7" t="n">
        <v>24</v>
      </c>
      <c r="G2193" s="7" t="inlineStr">
        <is>
          <t>POUCH</t>
        </is>
      </c>
      <c r="H2193" t="inlineStr">
        <is>
          <t>BLEND GREEN TEA LAVENDER ROSE MINT CC EXOTIC</t>
        </is>
      </c>
    </row>
    <row r="2194" ht="14.25" customHeight="1" s="5">
      <c r="A2194" s="7" t="n">
        <v>17970</v>
      </c>
      <c r="B2194" s="7" t="inlineStr">
        <is>
          <t>TEAME HORECA EXOTIC RANGE  GREEN LAVENDER ROSE MINT TEA 6/24 SACHETS</t>
        </is>
      </c>
      <c r="C2194" s="7" t="inlineStr">
        <is>
          <t>TE-A-ME</t>
        </is>
      </c>
      <c r="D2194" s="7" t="n">
        <v>17969</v>
      </c>
      <c r="E2194" s="7" t="inlineStr">
        <is>
          <t>TEAME HORECA EXOTIC RANGE  GREEN LAVENDER ROSE MINT TEA  SACHETS</t>
        </is>
      </c>
      <c r="F2194" s="7" t="n">
        <v>144</v>
      </c>
      <c r="G2194" s="7" t="inlineStr">
        <is>
          <t>POUCH</t>
        </is>
      </c>
      <c r="H2194" t="inlineStr">
        <is>
          <t>BLEND GREEN TEA LAVENDER ROSE MINT CC EXOTIC</t>
        </is>
      </c>
    </row>
    <row r="2195" ht="14.25" customHeight="1" s="5">
      <c r="A2195" s="7" t="n">
        <v>18580</v>
      </c>
      <c r="B2195" s="7" t="inlineStr">
        <is>
          <t>TEAME HORECA EXOTIC RANGE  GREEN TEA CITRUS 24 SACHETS</t>
        </is>
      </c>
      <c r="C2195" s="7" t="inlineStr">
        <is>
          <t>TE-A-ME</t>
        </is>
      </c>
      <c r="D2195" s="7" t="n">
        <v>17971</v>
      </c>
      <c r="E2195" s="7" t="inlineStr">
        <is>
          <t>TEAME HORECA EXOTIC RANGE  GREEN TEA CITRUS  SACHETS</t>
        </is>
      </c>
      <c r="F2195" s="7" t="n">
        <v>24</v>
      </c>
      <c r="G2195" s="7" t="inlineStr">
        <is>
          <t>POUCH</t>
        </is>
      </c>
      <c r="H2195" t="inlineStr">
        <is>
          <t>BLEND GREEN TEA CITRUS CC EXOTIC</t>
        </is>
      </c>
    </row>
    <row r="2196" ht="14.25" customHeight="1" s="5">
      <c r="A2196" s="7" t="n">
        <v>17972</v>
      </c>
      <c r="B2196" s="7" t="inlineStr">
        <is>
          <t>TEAME HORECA EXOTIC RANGE  GREEN TEA CITRUS 6/24 SACHETS</t>
        </is>
      </c>
      <c r="C2196" s="7" t="inlineStr">
        <is>
          <t>TE-A-ME</t>
        </is>
      </c>
      <c r="D2196" s="7" t="n">
        <v>17971</v>
      </c>
      <c r="E2196" s="7" t="inlineStr">
        <is>
          <t>TEAME HORECA EXOTIC RANGE  GREEN TEA CITRUS  SACHETS</t>
        </is>
      </c>
      <c r="F2196" s="7" t="n">
        <v>144</v>
      </c>
      <c r="G2196" s="7" t="inlineStr">
        <is>
          <t>POUCH</t>
        </is>
      </c>
      <c r="H2196" t="inlineStr">
        <is>
          <t>BLEND GREEN TEA CITRUS CC EXOTIC</t>
        </is>
      </c>
    </row>
    <row r="2197" ht="14.25" customHeight="1" s="5">
      <c r="A2197" s="7" t="n">
        <v>18407</v>
      </c>
      <c r="B2197" s="7" t="inlineStr">
        <is>
          <t>TEAME HORECA EXOTIC RANGE  GREEN TEA KASHMIRI KAHWA 24 SACHETS</t>
        </is>
      </c>
      <c r="C2197" s="7" t="inlineStr">
        <is>
          <t>TE-A-ME</t>
        </is>
      </c>
      <c r="D2197" s="7" t="n">
        <v>17973</v>
      </c>
      <c r="E2197" s="7" t="inlineStr">
        <is>
          <t>TEAME HORECA EXOTIC RANGE  GREEN TEA KASHMIRI KAHWA  SACHETS</t>
        </is>
      </c>
      <c r="F2197" s="7" t="n">
        <v>24</v>
      </c>
      <c r="G2197" s="7" t="inlineStr">
        <is>
          <t>POUCH</t>
        </is>
      </c>
      <c r="H2197" t="inlineStr">
        <is>
          <t>BLEND GREEN TEA KASHMIRI KAHWA CC EXOTIC</t>
        </is>
      </c>
    </row>
    <row r="2198" ht="14.25" customHeight="1" s="5">
      <c r="A2198" s="7" t="n">
        <v>17974</v>
      </c>
      <c r="B2198" s="7" t="inlineStr">
        <is>
          <t>TEAME HORECA EXOTIC RANGE  GREEN TEA KASHMIRI KAHWA 6/24 SACHETS</t>
        </is>
      </c>
      <c r="C2198" s="7" t="inlineStr">
        <is>
          <t>TE-A-ME</t>
        </is>
      </c>
      <c r="D2198" s="7" t="n">
        <v>18407</v>
      </c>
      <c r="E2198" s="7" t="inlineStr">
        <is>
          <t>TEAME HORECA EXOTIC RANGE  GREEN TEA KASHMIRI KAHWA 24 SACHETS</t>
        </is>
      </c>
      <c r="F2198" s="7" t="n">
        <v>6</v>
      </c>
      <c r="G2198" s="7" t="inlineStr">
        <is>
          <t>POUCH</t>
        </is>
      </c>
      <c r="H2198" t="inlineStr">
        <is>
          <t>BLEND GREEN TEA KASHMIRI KAHWA CC EXOTIC</t>
        </is>
      </c>
    </row>
    <row r="2199" ht="14.25" customHeight="1" s="5">
      <c r="A2199" s="7" t="n">
        <v>18581</v>
      </c>
      <c r="B2199" s="7" t="inlineStr">
        <is>
          <t>TEAME HORECA EXOTIC RANGE  GREEN TEA MINT ROSE 24 SACHETS</t>
        </is>
      </c>
      <c r="C2199" s="7" t="inlineStr">
        <is>
          <t>TE-A-ME</t>
        </is>
      </c>
      <c r="D2199" s="7" t="n">
        <v>17975</v>
      </c>
      <c r="E2199" s="7" t="inlineStr">
        <is>
          <t>TEAME HORECA EXOTIC RANGE  GREEN TEA MINT ROSE  SACHETS</t>
        </is>
      </c>
      <c r="F2199" s="7" t="n">
        <v>24</v>
      </c>
      <c r="G2199" s="7" t="inlineStr">
        <is>
          <t>POUCH</t>
        </is>
      </c>
      <c r="H2199" t="inlineStr">
        <is>
          <t>BLEND GREEN TEA MINT ROSE CC EXOTIC</t>
        </is>
      </c>
    </row>
    <row r="2200" ht="14.25" customHeight="1" s="5">
      <c r="A2200" s="7" t="n">
        <v>17976</v>
      </c>
      <c r="B2200" s="7" t="inlineStr">
        <is>
          <t>TEAME HORECA EXOTIC RANGE  GREEN TEA MINT ROSE 6/24 SACHETS</t>
        </is>
      </c>
      <c r="C2200" s="7" t="inlineStr">
        <is>
          <t>TE-A-ME</t>
        </is>
      </c>
      <c r="D2200" s="7" t="n">
        <v>17975</v>
      </c>
      <c r="E2200" s="7" t="inlineStr">
        <is>
          <t>TEAME HORECA EXOTIC RANGE  GREEN TEA MINT ROSE  SACHETS</t>
        </is>
      </c>
      <c r="F2200" s="7" t="n">
        <v>144</v>
      </c>
      <c r="G2200" s="7" t="inlineStr">
        <is>
          <t>POUCH</t>
        </is>
      </c>
      <c r="H2200" t="inlineStr">
        <is>
          <t>BLEND GREEN TEA MINT ROSE CC EXOTIC</t>
        </is>
      </c>
    </row>
    <row r="2201" ht="14.25" customHeight="1" s="5">
      <c r="A2201" s="7" t="n">
        <v>18408</v>
      </c>
      <c r="B2201" s="7" t="inlineStr">
        <is>
          <t>TEAME HORECA EXOTIC RANGE  GREEN TEA TULSI 24 SACHETS</t>
        </is>
      </c>
      <c r="C2201" s="7" t="inlineStr">
        <is>
          <t>TE-A-ME</t>
        </is>
      </c>
      <c r="D2201" s="7" t="n">
        <v>17977</v>
      </c>
      <c r="E2201" s="7" t="inlineStr">
        <is>
          <t>TEAME HORECA EXOTIC RANGE  GREEN TEA TULSI  SACHETS</t>
        </is>
      </c>
      <c r="F2201" s="7" t="n">
        <v>24</v>
      </c>
      <c r="G2201" s="7" t="inlineStr">
        <is>
          <t>POUCH</t>
        </is>
      </c>
      <c r="H2201" t="inlineStr">
        <is>
          <t>BLEND GREEN TEA TULSI CC EXOTIC</t>
        </is>
      </c>
    </row>
    <row r="2202" ht="14.25" customHeight="1" s="5">
      <c r="A2202" s="7" t="n">
        <v>17978</v>
      </c>
      <c r="B2202" s="7" t="inlineStr">
        <is>
          <t>TEAME HORECA EXOTIC RANGE  GREEN TEA TULSI 6/24 SACHETS</t>
        </is>
      </c>
      <c r="C2202" s="7" t="inlineStr">
        <is>
          <t>TE-A-ME</t>
        </is>
      </c>
      <c r="D2202" s="7" t="n">
        <v>17977</v>
      </c>
      <c r="E2202" s="7" t="inlineStr">
        <is>
          <t>TEAME HORECA EXOTIC RANGE  GREEN TEA TULSI  SACHETS</t>
        </is>
      </c>
      <c r="F2202" s="7" t="n">
        <v>144</v>
      </c>
      <c r="G2202" s="7" t="inlineStr">
        <is>
          <t>POUCH</t>
        </is>
      </c>
      <c r="H2202" t="inlineStr">
        <is>
          <t>BLEND GREEN TEA TULSI CC EXOTIC</t>
        </is>
      </c>
    </row>
    <row r="2203" ht="14.25" customHeight="1" s="5">
      <c r="A2203" s="7" t="n">
        <v>17980</v>
      </c>
      <c r="B2203" s="7" t="inlineStr">
        <is>
          <t>TEAME HORECA EXOTIC RANGE  JASMINE GREEN TEA 6/24 SACHETS</t>
        </is>
      </c>
      <c r="C2203" s="7" t="inlineStr">
        <is>
          <t>TE-A-ME</t>
        </is>
      </c>
      <c r="D2203" s="7" t="n">
        <v>18582</v>
      </c>
      <c r="E2203" s="7" t="inlineStr">
        <is>
          <t>TEAME HORECA EXOTIC RANGE JASMINE GREEN TEA 24 SACHETS</t>
        </is>
      </c>
      <c r="F2203" s="7" t="n">
        <v>6</v>
      </c>
      <c r="G2203" s="7" t="inlineStr">
        <is>
          <t>POUCH</t>
        </is>
      </c>
      <c r="H2203" t="inlineStr">
        <is>
          <t>BLEND JASMINE GREEN TEA CC EXOTIC</t>
        </is>
      </c>
    </row>
    <row r="2204" ht="14.25" customHeight="1" s="5">
      <c r="A2204" s="7" t="n">
        <v>18583</v>
      </c>
      <c r="B2204" s="7" t="inlineStr">
        <is>
          <t>TEAME HORECA EXOTIC RANGE  LEMON AND GINGER 24 SACHETS</t>
        </is>
      </c>
      <c r="C2204" s="7" t="inlineStr">
        <is>
          <t>TE-A-ME</t>
        </is>
      </c>
      <c r="D2204" s="7" t="n">
        <v>17981</v>
      </c>
      <c r="E2204" s="7" t="inlineStr">
        <is>
          <t>TEAME HORECA EXOTIC RANGE  LEMON AND GINGER  SACHETS</t>
        </is>
      </c>
      <c r="F2204" s="7" t="n">
        <v>24</v>
      </c>
      <c r="G2204" s="7" t="inlineStr">
        <is>
          <t>POUCH</t>
        </is>
      </c>
      <c r="H2204" t="inlineStr">
        <is>
          <t>BLEND HERBAL LEMON GINGER CC EXOTIC</t>
        </is>
      </c>
    </row>
    <row r="2205" ht="14.25" customHeight="1" s="5">
      <c r="A2205" s="7" t="n">
        <v>17982</v>
      </c>
      <c r="B2205" s="7" t="inlineStr">
        <is>
          <t>TEAME HORECA EXOTIC RANGE  LEMON AND GINGER 6/24 SACHETS</t>
        </is>
      </c>
      <c r="C2205" s="7" t="inlineStr">
        <is>
          <t>TE-A-ME</t>
        </is>
      </c>
      <c r="D2205" s="7" t="n">
        <v>18583</v>
      </c>
      <c r="E2205" s="7" t="inlineStr">
        <is>
          <t>TEAME HORECA EXOTIC RANGE  LEMON AND GINGER 24 SACHETS</t>
        </is>
      </c>
      <c r="F2205" s="7" t="n">
        <v>6</v>
      </c>
      <c r="G2205" s="7" t="inlineStr">
        <is>
          <t>POUCH</t>
        </is>
      </c>
      <c r="H2205">
        <f>#N/A</f>
        <v/>
      </c>
    </row>
    <row r="2206" ht="14.25" customHeight="1" s="5">
      <c r="A2206" s="7" t="n">
        <v>18584</v>
      </c>
      <c r="B2206" s="7" t="inlineStr">
        <is>
          <t>TEAME HORECA EXOTIC RANGE  ORANGE SPICE GREEN TEA 24 SACHETS</t>
        </is>
      </c>
      <c r="C2206" s="7" t="inlineStr">
        <is>
          <t>TE-A-ME</t>
        </is>
      </c>
      <c r="D2206" s="7" t="n">
        <v>17983</v>
      </c>
      <c r="E2206" s="7" t="inlineStr">
        <is>
          <t>TEAME HORECA EXOTIC RANGE  ORANGE SPICE GREEN TEA  SACHETS</t>
        </is>
      </c>
      <c r="F2206" s="7" t="n">
        <v>24</v>
      </c>
      <c r="G2206" s="7" t="inlineStr">
        <is>
          <t>POUCH</t>
        </is>
      </c>
      <c r="H2206" t="inlineStr">
        <is>
          <t>BLEND GREEN TEA ORANGE SPICE CC EXOTIC</t>
        </is>
      </c>
    </row>
    <row r="2207" ht="14.25" customHeight="1" s="5">
      <c r="A2207" s="7" t="n">
        <v>17984</v>
      </c>
      <c r="B2207" s="7" t="inlineStr">
        <is>
          <t>TEAME HORECA EXOTIC RANGE  ORANGE SPICE GREEN TEA 6/24 SACHETS</t>
        </is>
      </c>
      <c r="C2207" s="7" t="inlineStr">
        <is>
          <t>TE-A-ME</t>
        </is>
      </c>
      <c r="D2207" s="7" t="n">
        <v>18584</v>
      </c>
      <c r="E2207" s="7" t="inlineStr">
        <is>
          <t>TEAME HORECA EXOTIC RANGE  ORANGE SPICE GREEN TEA 24 SACHETS</t>
        </is>
      </c>
      <c r="F2207" s="7" t="n">
        <v>6</v>
      </c>
      <c r="G2207" s="7" t="inlineStr">
        <is>
          <t>POUCH</t>
        </is>
      </c>
      <c r="H2207" t="inlineStr">
        <is>
          <t>BLEND GREEN TEA ORANGE SPICE CC EXOTIC</t>
        </is>
      </c>
    </row>
    <row r="2208" ht="14.25" customHeight="1" s="5">
      <c r="A2208" s="7" t="n">
        <v>18409</v>
      </c>
      <c r="B2208" s="7" t="inlineStr">
        <is>
          <t>TEAME HORECA EXOTIC RANGE  PEPPERMINT 24 SACHETS</t>
        </is>
      </c>
      <c r="C2208" s="7" t="inlineStr">
        <is>
          <t>TE-A-ME</t>
        </is>
      </c>
      <c r="D2208" s="7" t="n">
        <v>17985</v>
      </c>
      <c r="E2208" s="7" t="inlineStr">
        <is>
          <t>TEAME HORECA EXOTIC RANGE  PEPPERMINT  SACHETS</t>
        </is>
      </c>
      <c r="F2208" s="7" t="n">
        <v>24</v>
      </c>
      <c r="G2208" s="7" t="inlineStr">
        <is>
          <t>POUCH</t>
        </is>
      </c>
      <c r="H2208" t="inlineStr">
        <is>
          <t>BLEND PEPPERMINT CC EXOTIC</t>
        </is>
      </c>
    </row>
    <row r="2209" ht="14.25" customHeight="1" s="5">
      <c r="A2209" s="7" t="n">
        <v>17986</v>
      </c>
      <c r="B2209" s="7" t="inlineStr">
        <is>
          <t>TEAME HORECA EXOTIC RANGE  PEPPERMINT 6/24 SACHETS</t>
        </is>
      </c>
      <c r="C2209" s="7" t="inlineStr">
        <is>
          <t>TE-A-ME</t>
        </is>
      </c>
      <c r="D2209" s="7" t="n">
        <v>18409</v>
      </c>
      <c r="E2209" s="7" t="inlineStr">
        <is>
          <t>TEAME HORECA EXOTIC RANGE  PEPPERMINT 24 SACHETS</t>
        </is>
      </c>
      <c r="F2209" s="7" t="n">
        <v>6</v>
      </c>
      <c r="G2209" s="7" t="inlineStr">
        <is>
          <t>POUCH</t>
        </is>
      </c>
      <c r="H2209" t="inlineStr">
        <is>
          <t>BLEND PEPPERMINT CC EXOTIC</t>
        </is>
      </c>
    </row>
    <row r="2210" ht="14.25" customHeight="1" s="5">
      <c r="A2210" s="7" t="n">
        <v>18585</v>
      </c>
      <c r="B2210" s="7" t="inlineStr">
        <is>
          <t>TEAME HORECA EXOTIC RANGE  PREMIUM DARJEELING TEA 24 SACHETS</t>
        </is>
      </c>
      <c r="C2210" s="7" t="inlineStr">
        <is>
          <t>TE-A-ME</t>
        </is>
      </c>
      <c r="D2210" s="7" t="n">
        <v>17987</v>
      </c>
      <c r="E2210" s="7" t="inlineStr">
        <is>
          <t>TEAME HORECA EXOTIC RANGE  PREMIUM DARJEELING TEA  SACHETS</t>
        </is>
      </c>
      <c r="F2210" s="7" t="n">
        <v>24</v>
      </c>
      <c r="G2210" s="7" t="inlineStr">
        <is>
          <t>POUCH</t>
        </is>
      </c>
      <c r="H2210" t="inlineStr">
        <is>
          <t>BLEND DARJEELING- SP</t>
        </is>
      </c>
    </row>
    <row r="2211" ht="14.25" customHeight="1" s="5">
      <c r="A2211" s="7" t="n">
        <v>17988</v>
      </c>
      <c r="B2211" s="7" t="inlineStr">
        <is>
          <t>TEAME HORECA EXOTIC RANGE  PREMIUM DARJEELING TEA 6/24 SACHETS</t>
        </is>
      </c>
      <c r="C2211" s="7" t="inlineStr">
        <is>
          <t>TE-A-ME</t>
        </is>
      </c>
      <c r="D2211" s="7" t="n">
        <v>18585</v>
      </c>
      <c r="E2211" s="7" t="inlineStr">
        <is>
          <t>TEAME HORECA EXOTIC RANGE  PREMIUM DARJEELING TEA 24 SACHETS</t>
        </is>
      </c>
      <c r="F2211" s="7" t="n">
        <v>6</v>
      </c>
      <c r="G2211" s="7" t="inlineStr">
        <is>
          <t>POUCH</t>
        </is>
      </c>
      <c r="H2211" t="inlineStr">
        <is>
          <t>BLEND DARJEELING- SP</t>
        </is>
      </c>
    </row>
    <row r="2212" ht="14.25" customHeight="1" s="5">
      <c r="A2212" s="7" t="n">
        <v>18586</v>
      </c>
      <c r="B2212" s="7" t="inlineStr">
        <is>
          <t>TEAME HORECA EXOTIC RANGE  ROOIBOS CREAMY VANILLA 24 SACHETS</t>
        </is>
      </c>
      <c r="C2212" s="7" t="inlineStr">
        <is>
          <t>TE-A-ME</t>
        </is>
      </c>
      <c r="D2212" s="7" t="n">
        <v>17989</v>
      </c>
      <c r="E2212" s="7" t="inlineStr">
        <is>
          <t>TEAME HORECA EXOTIC RANGE  ROOIBOS CREAMY VANILLA  SACHETS</t>
        </is>
      </c>
      <c r="F2212" s="7" t="n">
        <v>24</v>
      </c>
      <c r="G2212" s="7" t="inlineStr">
        <is>
          <t>POUCH</t>
        </is>
      </c>
      <c r="H2212" t="inlineStr">
        <is>
          <t>BLEND ROOIBOS CREAMY VANILLA CC EXOTIC</t>
        </is>
      </c>
    </row>
    <row r="2213" ht="14.25" customHeight="1" s="5">
      <c r="A2213" s="7" t="n">
        <v>17990</v>
      </c>
      <c r="B2213" s="7" t="inlineStr">
        <is>
          <t>TEAME HORECA EXOTIC RANGE  ROOIBOS CREAMY VANILLA 6/24 SACHETS</t>
        </is>
      </c>
      <c r="C2213" s="7" t="inlineStr">
        <is>
          <t>TE-A-ME</t>
        </is>
      </c>
      <c r="D2213" s="7" t="n">
        <v>18586</v>
      </c>
      <c r="E2213" s="7" t="inlineStr">
        <is>
          <t>TEAME HORECA EXOTIC RANGE  ROOIBOS CREAMY VANILLA 24 SACHETS</t>
        </is>
      </c>
      <c r="F2213" s="7" t="n">
        <v>6</v>
      </c>
      <c r="G2213" s="7" t="inlineStr">
        <is>
          <t>POUCH</t>
        </is>
      </c>
      <c r="H2213">
        <f>#N/A</f>
        <v/>
      </c>
    </row>
    <row r="2214" ht="14.25" customHeight="1" s="5">
      <c r="A2214" s="7" t="n">
        <v>18587</v>
      </c>
      <c r="B2214" s="7" t="inlineStr">
        <is>
          <t>TEAME HORECA EXOTIC RANGE  ROOIBOS LEMON GRASS 24 SACHETS</t>
        </is>
      </c>
      <c r="C2214" s="7" t="inlineStr">
        <is>
          <t>TE-A-ME</t>
        </is>
      </c>
      <c r="D2214" s="7" t="n">
        <v>17991</v>
      </c>
      <c r="E2214" s="7" t="inlineStr">
        <is>
          <t>TEAME HORECA EXOTIC RANGE  ROOIBOS LEMON GRASS  SACHETS</t>
        </is>
      </c>
      <c r="F2214" s="7" t="n">
        <v>24</v>
      </c>
      <c r="G2214" s="7" t="inlineStr">
        <is>
          <t>POUCH</t>
        </is>
      </c>
      <c r="H2214" t="inlineStr">
        <is>
          <t>BLEND ROOIBOS LEMON GRASS CC EXOTIC</t>
        </is>
      </c>
    </row>
    <row r="2215" ht="14.25" customHeight="1" s="5">
      <c r="A2215" s="7" t="n">
        <v>17992</v>
      </c>
      <c r="B2215" s="7" t="inlineStr">
        <is>
          <t>TEAME HORECA EXOTIC RANGE  ROOIBOS LEMON GRASS 6/24 SACHETS</t>
        </is>
      </c>
      <c r="C2215" s="7" t="inlineStr">
        <is>
          <t>TE-A-ME</t>
        </is>
      </c>
      <c r="D2215" s="7" t="n">
        <v>17991</v>
      </c>
      <c r="E2215" s="7" t="inlineStr">
        <is>
          <t>TEAME HORECA EXOTIC RANGE  ROOIBOS LEMON GRASS  SACHETS</t>
        </is>
      </c>
      <c r="F2215" s="7" t="n">
        <v>144</v>
      </c>
      <c r="G2215" s="7" t="inlineStr">
        <is>
          <t>POUCH</t>
        </is>
      </c>
      <c r="H2215" t="inlineStr">
        <is>
          <t>BLEND ROOIBOS LEMON GRASS CC EXOTIC</t>
        </is>
      </c>
    </row>
    <row r="2216" ht="14.25" customHeight="1" s="5">
      <c r="A2216" s="7" t="n">
        <v>18588</v>
      </c>
      <c r="B2216" s="7" t="inlineStr">
        <is>
          <t>TEAME HORECA EXOTIC RANGE  ROOIBOS ORANGE AND CINNAMON 24 SACHETS</t>
        </is>
      </c>
      <c r="C2216" s="7" t="inlineStr">
        <is>
          <t>TE-A-ME</t>
        </is>
      </c>
      <c r="D2216" s="7" t="n">
        <v>17993</v>
      </c>
      <c r="E2216" s="7" t="inlineStr">
        <is>
          <t>TEAME HORECA EXOTIC RANGE  ROOIBOS ORANGE AND CINNAMON  SACHETS</t>
        </is>
      </c>
      <c r="F2216" s="7" t="n">
        <v>24</v>
      </c>
      <c r="G2216" s="7" t="inlineStr">
        <is>
          <t>POUCH</t>
        </is>
      </c>
      <c r="H2216" t="inlineStr">
        <is>
          <t>BLEND ROOIBOS ORANGE &amp; CINNAMON CC EXOTIC</t>
        </is>
      </c>
    </row>
    <row r="2217" ht="14.25" customHeight="1" s="5">
      <c r="A2217" s="7" t="n">
        <v>17994</v>
      </c>
      <c r="B2217" s="7" t="inlineStr">
        <is>
          <t>TEAME HORECA EXOTIC RANGE  ROOIBOS ORANGE AND CINNAMON 6/24 SACHETS</t>
        </is>
      </c>
      <c r="C2217" s="7" t="inlineStr">
        <is>
          <t>TE-A-ME</t>
        </is>
      </c>
      <c r="D2217" s="7" t="n">
        <v>17993</v>
      </c>
      <c r="E2217" s="7" t="inlineStr">
        <is>
          <t>TEAME HORECA EXOTIC RANGE  ROOIBOS ORANGE AND CINNAMON  SACHETS</t>
        </is>
      </c>
      <c r="F2217" s="7" t="n">
        <v>144</v>
      </c>
      <c r="G2217" s="7" t="inlineStr">
        <is>
          <t>POUCH</t>
        </is>
      </c>
      <c r="H2217" t="inlineStr">
        <is>
          <t>BLEND ROOIBOS ORANGE &amp; CINNAMON CC EXOTIC</t>
        </is>
      </c>
    </row>
    <row r="2218" ht="14.25" customHeight="1" s="5">
      <c r="A2218" s="7" t="n">
        <v>18589</v>
      </c>
      <c r="B2218" s="7" t="inlineStr">
        <is>
          <t>TEAME HORECA EXOTIC RANGE  ROOIBOS SPICE 24 SACHETS</t>
        </is>
      </c>
      <c r="C2218" s="7" t="inlineStr">
        <is>
          <t>TE-A-ME</t>
        </is>
      </c>
      <c r="D2218" s="7" t="n">
        <v>17995</v>
      </c>
      <c r="E2218" s="7" t="inlineStr">
        <is>
          <t>TEAME HORECA EXOTIC RANGE  ROOIBOS SPICE  SACHETS</t>
        </is>
      </c>
      <c r="F2218" s="7" t="n">
        <v>24</v>
      </c>
      <c r="G2218" s="7" t="inlineStr">
        <is>
          <t>POUCH</t>
        </is>
      </c>
      <c r="H2218" t="inlineStr">
        <is>
          <t>BLEND ROOIBOS SPICE CC EXOTIC</t>
        </is>
      </c>
    </row>
    <row r="2219" ht="14.25" customHeight="1" s="5">
      <c r="A2219" s="7" t="n">
        <v>17996</v>
      </c>
      <c r="B2219" s="7" t="inlineStr">
        <is>
          <t>TEAME HORECA EXOTIC RANGE  ROOIBOS SPICE 6/24 SACHETS</t>
        </is>
      </c>
      <c r="C2219" s="7" t="inlineStr">
        <is>
          <t>TE-A-ME</t>
        </is>
      </c>
      <c r="D2219" s="7" t="n">
        <v>17995</v>
      </c>
      <c r="E2219" s="7" t="inlineStr">
        <is>
          <t>TEAME HORECA EXOTIC RANGE  ROOIBOS SPICE  SACHETS</t>
        </is>
      </c>
      <c r="F2219" s="7" t="n">
        <v>144</v>
      </c>
      <c r="G2219" s="7" t="inlineStr">
        <is>
          <t>POUCH</t>
        </is>
      </c>
      <c r="H2219" t="inlineStr">
        <is>
          <t>BLEND ROOIBOS SPICE CC EXOTIC</t>
        </is>
      </c>
    </row>
    <row r="2220" ht="14.25" customHeight="1" s="5">
      <c r="A2220" s="7" t="n">
        <v>18590</v>
      </c>
      <c r="B2220" s="7" t="inlineStr">
        <is>
          <t>TEAME HORECA EXOTIC RANGE  ROSE LAVENDER BLACK TEA 24 SACHETS</t>
        </is>
      </c>
      <c r="C2220" s="7" t="inlineStr">
        <is>
          <t>TE-A-ME</t>
        </is>
      </c>
      <c r="D2220" s="7" t="n">
        <v>18261</v>
      </c>
      <c r="E2220" s="7" t="inlineStr">
        <is>
          <t>TEAME HORECA EXOTIC RANGE  ROSE LAVENDER BLACK TEA  SACHETS</t>
        </is>
      </c>
      <c r="F2220" s="7" t="n">
        <v>24</v>
      </c>
      <c r="G2220" s="7" t="inlineStr">
        <is>
          <t>POUCH</t>
        </is>
      </c>
      <c r="H2220" t="inlineStr">
        <is>
          <t>BLEND BLACK TEA ROSE LAVENDER CC EXOTIC</t>
        </is>
      </c>
    </row>
    <row r="2221" ht="14.25" customHeight="1" s="5">
      <c r="A2221" s="7" t="n">
        <v>18262</v>
      </c>
      <c r="B2221" s="7" t="inlineStr">
        <is>
          <t>TEAME HORECA EXOTIC RANGE  ROSE LAVENDER BLACK TEA 6/24 SACHETS</t>
        </is>
      </c>
      <c r="C2221" s="7" t="inlineStr">
        <is>
          <t>TE-A-ME</t>
        </is>
      </c>
      <c r="D2221" s="7" t="n">
        <v>18261</v>
      </c>
      <c r="E2221" s="7" t="inlineStr">
        <is>
          <t>TEAME HORECA EXOTIC RANGE  ROSE LAVENDER BLACK TEA  SACHETS</t>
        </is>
      </c>
      <c r="F2221" s="7" t="n">
        <v>144</v>
      </c>
      <c r="G2221" s="7" t="inlineStr">
        <is>
          <t>POUCH</t>
        </is>
      </c>
      <c r="H2221" t="inlineStr">
        <is>
          <t>BLEND BLACK TEA ROSE LAVENDER CC EXOTIC</t>
        </is>
      </c>
    </row>
    <row r="2222" ht="14.25" customHeight="1" s="5">
      <c r="A2222" s="7" t="n">
        <v>18410</v>
      </c>
      <c r="B2222" s="7" t="inlineStr">
        <is>
          <t>TEAME HORECA EXOTIC RANGE  SENCHA TEA 24 SACHETS</t>
        </is>
      </c>
      <c r="C2222" s="7" t="inlineStr">
        <is>
          <t>TE-A-ME</t>
        </is>
      </c>
      <c r="D2222" s="7" t="n">
        <v>18263</v>
      </c>
      <c r="E2222" s="7" t="inlineStr">
        <is>
          <t>TEAME HORECA EXOTIC RANGE  SENCHA TEA  SACHETS</t>
        </is>
      </c>
      <c r="F2222" s="7" t="n">
        <v>24</v>
      </c>
      <c r="G2222" s="7" t="inlineStr">
        <is>
          <t>POUCH</t>
        </is>
      </c>
      <c r="H2222" t="inlineStr">
        <is>
          <t>BLEND SENCHA GREEN TEA CC EXOTIC</t>
        </is>
      </c>
    </row>
    <row r="2223" ht="14.25" customHeight="1" s="5">
      <c r="A2223" s="7" t="n">
        <v>18264</v>
      </c>
      <c r="B2223" s="7" t="inlineStr">
        <is>
          <t>TEAME HORECA EXOTIC RANGE  SENCHA TEA 6/24 SACHETS</t>
        </is>
      </c>
      <c r="C2223" s="7" t="inlineStr">
        <is>
          <t>TE-A-ME</t>
        </is>
      </c>
      <c r="D2223" s="7" t="n">
        <v>18410</v>
      </c>
      <c r="E2223" s="7" t="inlineStr">
        <is>
          <t>TEAME HORECA EXOTIC RANGE  SENCHA TEA 24 SACHETS</t>
        </is>
      </c>
      <c r="F2223" s="7" t="n">
        <v>6</v>
      </c>
      <c r="G2223" s="7" t="inlineStr">
        <is>
          <t>POUCH</t>
        </is>
      </c>
      <c r="H2223">
        <f>#N/A</f>
        <v/>
      </c>
    </row>
    <row r="2224" ht="14.25" customHeight="1" s="5">
      <c r="A2224" s="7" t="n">
        <v>18266</v>
      </c>
      <c r="B2224" s="7" t="inlineStr">
        <is>
          <t>TEAME HORECA EXOTIC RANGE  TULSI GINGER GREEN TEA 6/24 SACHETS</t>
        </is>
      </c>
      <c r="C2224" s="7" t="inlineStr">
        <is>
          <t>TE-A-ME</t>
        </is>
      </c>
      <c r="D2224" s="7" t="n">
        <v>18591</v>
      </c>
      <c r="E2224" s="7" t="inlineStr">
        <is>
          <t>TEAME HORECA EXOTIC RANGE  TULSI GINGER GREEN TEA 24 SACHETS</t>
        </is>
      </c>
      <c r="F2224" s="7" t="n">
        <v>6</v>
      </c>
      <c r="G2224" s="7" t="inlineStr">
        <is>
          <t>POUCH</t>
        </is>
      </c>
      <c r="H2224" t="inlineStr">
        <is>
          <t>BLEND GREEN TEA TULSI GINGER CC EXOTIC</t>
        </is>
      </c>
    </row>
    <row r="2225" ht="14.25" customHeight="1" s="5">
      <c r="A2225" s="7" t="n">
        <v>18592</v>
      </c>
      <c r="B2225" s="7" t="inlineStr">
        <is>
          <t>TEAME HORECA EXOTIC RANGE  TULSI MASALA 24 SACHETS</t>
        </is>
      </c>
      <c r="C2225" s="7" t="inlineStr">
        <is>
          <t>TE-A-ME</t>
        </is>
      </c>
      <c r="D2225" s="7" t="n">
        <v>18267</v>
      </c>
      <c r="E2225" s="7" t="inlineStr">
        <is>
          <t>TEAME HORECA EXOTIC RANGE  TULSI MASALA  SACHETS</t>
        </is>
      </c>
      <c r="F2225" s="7" t="n">
        <v>24</v>
      </c>
      <c r="G2225" s="7" t="inlineStr">
        <is>
          <t>POUCH</t>
        </is>
      </c>
      <c r="H2225" t="inlineStr">
        <is>
          <t>BLEND TULSI MASALA CC EXOTIC</t>
        </is>
      </c>
    </row>
    <row r="2226" ht="14.25" customHeight="1" s="5">
      <c r="A2226" s="7" t="n">
        <v>18268</v>
      </c>
      <c r="B2226" s="7" t="inlineStr">
        <is>
          <t>TEAME HORECA EXOTIC RANGE  TULSI MASALA 6/24 SACHETS</t>
        </is>
      </c>
      <c r="C2226" s="7" t="inlineStr">
        <is>
          <t>TE-A-ME</t>
        </is>
      </c>
      <c r="D2226" s="7" t="n">
        <v>18592</v>
      </c>
      <c r="E2226" s="7" t="inlineStr">
        <is>
          <t>TEAME HORECA EXOTIC RANGE  TULSI MASALA 24 SACHETS</t>
        </is>
      </c>
      <c r="F2226" s="7" t="n">
        <v>6</v>
      </c>
      <c r="G2226" s="7" t="inlineStr">
        <is>
          <t>POUCH</t>
        </is>
      </c>
      <c r="H2226">
        <f>#N/A</f>
        <v/>
      </c>
    </row>
    <row r="2227" ht="14.25" customHeight="1" s="5">
      <c r="A2227" s="7" t="n">
        <v>18582</v>
      </c>
      <c r="B2227" s="7" t="inlineStr">
        <is>
          <t>TEAME HORECA EXOTIC RANGE JASMINE GREEN TEA 24 SACHETS</t>
        </is>
      </c>
      <c r="C2227" s="7" t="inlineStr">
        <is>
          <t>TE-A-ME</t>
        </is>
      </c>
      <c r="D2227" s="7" t="n">
        <v>17979</v>
      </c>
      <c r="E2227" s="7" t="inlineStr">
        <is>
          <t>TEAME HORECA EXOTIC RANGE  JASMINE GREEN TEA  SACHETS</t>
        </is>
      </c>
      <c r="F2227" s="7" t="n">
        <v>24</v>
      </c>
      <c r="G2227" s="7" t="inlineStr">
        <is>
          <t>POUCH</t>
        </is>
      </c>
      <c r="H2227" t="inlineStr">
        <is>
          <t>BLEND JASMINE GREEN TEA CC EXOTIC</t>
        </is>
      </c>
    </row>
    <row r="2228" ht="14.25" customHeight="1" s="5">
      <c r="A2228" s="7" t="n">
        <v>36371</v>
      </c>
      <c r="B2228" s="7" t="inlineStr">
        <is>
          <t>TEAME PREMIUM DUST TEA [8 X 40 X 20 GM LAMINATE POUCH] CFC</t>
        </is>
      </c>
      <c r="C2228" s="7" t="inlineStr">
        <is>
          <t>TE-A-ME</t>
        </is>
      </c>
      <c r="D2228" s="7" t="n">
        <v>36370</v>
      </c>
      <c r="E2228" s="7" t="inlineStr">
        <is>
          <t>TEAME PREMIUM DUST TEA 20 GM POUCH</t>
        </is>
      </c>
      <c r="F2228" s="7" t="n">
        <v>320</v>
      </c>
      <c r="G2228" s="7" t="inlineStr">
        <is>
          <t>POUCH</t>
        </is>
      </c>
      <c r="H2228" t="inlineStr">
        <is>
          <t>BLEND TEAME PREMIUM DUST</t>
        </is>
      </c>
    </row>
    <row r="2229" ht="14.25" customHeight="1" s="5">
      <c r="A2229" s="7" t="n">
        <v>36329</v>
      </c>
      <c r="B2229" s="7" t="inlineStr">
        <is>
          <t>TEAME SUPER PREMIUM LEAF TEA [8 X 40 X 20 GM LAMINATE POUCH] CFC</t>
        </is>
      </c>
      <c r="C2229" s="7" t="inlineStr">
        <is>
          <t>TE-A-ME</t>
        </is>
      </c>
      <c r="D2229" s="7" t="n">
        <v>36320</v>
      </c>
      <c r="E2229" s="7" t="inlineStr">
        <is>
          <t>TEAME SUPER PREMIUM LEAF TEA 20 GM POUCH</t>
        </is>
      </c>
      <c r="F2229" s="7" t="n">
        <v>320</v>
      </c>
      <c r="G2229" s="7" t="inlineStr">
        <is>
          <t>POUCH</t>
        </is>
      </c>
      <c r="H2229" t="inlineStr">
        <is>
          <t>BLEND TEAME PREMIUM UP</t>
        </is>
      </c>
    </row>
    <row r="2230" ht="14.25" customHeight="1" s="5">
      <c r="A2230" s="7" t="n">
        <v>22245</v>
      </c>
      <c r="B2230" s="7" t="inlineStr">
        <is>
          <t>TEASTOY ICE BREW GREEN MINT 150/10 PYRAMID TAG TBAG</t>
        </is>
      </c>
      <c r="C2230" s="7" t="inlineStr">
        <is>
          <t>TEASTOY</t>
        </is>
      </c>
      <c r="D2230" s="7" t="n">
        <v>22072</v>
      </c>
      <c r="E2230" s="7" t="inlineStr">
        <is>
          <t>TEASTOY ICE BREW GREEN MINT 10 PYRAMID TAG TBAG</t>
        </is>
      </c>
      <c r="F2230" s="7" t="n">
        <v>150</v>
      </c>
      <c r="G2230" s="7" t="inlineStr">
        <is>
          <t>PKT</t>
        </is>
      </c>
      <c r="H2230" t="inlineStr">
        <is>
          <t>BLEND COLD BREW GREEN TEA MINT TB</t>
        </is>
      </c>
    </row>
    <row r="2231" ht="14.25" customHeight="1" s="5">
      <c r="A2231" s="7" t="n">
        <v>21949</v>
      </c>
      <c r="B2231" s="7" t="inlineStr">
        <is>
          <t>TEASTOY ICE BREW GREEN MINT 48/250 GMS PKT TEA</t>
        </is>
      </c>
      <c r="C2231" s="7" t="inlineStr">
        <is>
          <t>TEASTOY</t>
        </is>
      </c>
      <c r="D2231" s="7" t="n">
        <v>21954</v>
      </c>
      <c r="E2231" s="7" t="inlineStr">
        <is>
          <t>TEASTOY ICE BREW GREEN MINT 250 GMS PKT TEA</t>
        </is>
      </c>
      <c r="F2231" s="7" t="n">
        <v>48</v>
      </c>
      <c r="G2231" s="7" t="inlineStr">
        <is>
          <t>PKT</t>
        </is>
      </c>
      <c r="H2231" t="inlineStr">
        <is>
          <t>BLEND COLD BREW GREEN TEA MINT TB</t>
        </is>
      </c>
    </row>
    <row r="2232" ht="14.25" customHeight="1" s="5">
      <c r="A2232" s="7" t="n">
        <v>22246</v>
      </c>
      <c r="B2232" s="7" t="inlineStr">
        <is>
          <t>TEASTOY ICE BREW LEMON 150/10 PYRAMID TAG TBAG</t>
        </is>
      </c>
      <c r="C2232" s="7" t="inlineStr">
        <is>
          <t>TEASTOY</t>
        </is>
      </c>
      <c r="D2232" s="7" t="n">
        <v>22076</v>
      </c>
      <c r="E2232" s="7" t="inlineStr">
        <is>
          <t>TEASTOY ICE BREW LEMON 10 PYRAMID TAG TBAG</t>
        </is>
      </c>
      <c r="F2232" s="7" t="n">
        <v>150</v>
      </c>
      <c r="G2232" s="7" t="inlineStr">
        <is>
          <t>PKT</t>
        </is>
      </c>
      <c r="H2232" t="inlineStr">
        <is>
          <t>BLEND COLD BREW BLACK TEA LEMON TB</t>
        </is>
      </c>
    </row>
    <row r="2233" ht="14.25" customHeight="1" s="5">
      <c r="A2233" s="7" t="n">
        <v>21953</v>
      </c>
      <c r="B2233" s="7" t="inlineStr">
        <is>
          <t>TEASTOY ICE BREW LEMON 48/250 GMS PKT TEA</t>
        </is>
      </c>
      <c r="C2233" s="7" t="inlineStr">
        <is>
          <t>TEASTOY</t>
        </is>
      </c>
      <c r="D2233" s="7" t="n">
        <v>21957</v>
      </c>
      <c r="E2233" s="7" t="inlineStr">
        <is>
          <t>TEASTOY ICE BREW LEMON 250 GMS PKT TEA</t>
        </is>
      </c>
      <c r="F2233" s="7" t="n">
        <v>48</v>
      </c>
      <c r="G2233" s="7" t="inlineStr">
        <is>
          <t>PKT</t>
        </is>
      </c>
      <c r="H2233" t="inlineStr">
        <is>
          <t>BLEND COLD BREW BLACK TEA LEMON TB</t>
        </is>
      </c>
    </row>
    <row r="2234" ht="14.25" customHeight="1" s="5">
      <c r="A2234" s="7" t="n">
        <v>22247</v>
      </c>
      <c r="B2234" s="7" t="inlineStr">
        <is>
          <t>TEASTOY ICE BREW LYCHEE 150/10 PYRAMID TAG TBAG</t>
        </is>
      </c>
      <c r="C2234" s="7" t="inlineStr">
        <is>
          <t>TEASTOY</t>
        </is>
      </c>
      <c r="D2234" s="7" t="n">
        <v>22073</v>
      </c>
      <c r="E2234" s="7" t="inlineStr">
        <is>
          <t>TEASTOY ICE BREW LYCHEE 10 PYRAMID TAG TBAG</t>
        </is>
      </c>
      <c r="F2234" s="7" t="n">
        <v>150</v>
      </c>
      <c r="G2234" s="7" t="inlineStr">
        <is>
          <t>PKT</t>
        </is>
      </c>
      <c r="H2234" t="inlineStr">
        <is>
          <t>BLEND COLD BREW FRUITY LYCHEE TB</t>
        </is>
      </c>
    </row>
    <row r="2235" ht="14.25" customHeight="1" s="5">
      <c r="A2235" s="7" t="n">
        <v>21950</v>
      </c>
      <c r="B2235" s="7" t="inlineStr">
        <is>
          <t>TEASTOY ICE BREW LYCHEE 48/250 GMS PKT TEA</t>
        </is>
      </c>
      <c r="C2235" s="7" t="inlineStr">
        <is>
          <t>TEASTOY</t>
        </is>
      </c>
      <c r="D2235" s="7" t="n">
        <v>21960</v>
      </c>
      <c r="E2235" s="7" t="inlineStr">
        <is>
          <t>TEASTOY ICE BREW LYCHEE 250 GMS PKT TEA</t>
        </is>
      </c>
      <c r="F2235" s="7" t="n">
        <v>48</v>
      </c>
      <c r="G2235" s="7" t="inlineStr">
        <is>
          <t>PKT</t>
        </is>
      </c>
      <c r="H2235" t="inlineStr">
        <is>
          <t>BLEND COLD BREW FRUITY LYCHEE TB</t>
        </is>
      </c>
    </row>
    <row r="2236" ht="14.25" customHeight="1" s="5">
      <c r="A2236" s="7" t="n">
        <v>22248</v>
      </c>
      <c r="B2236" s="7" t="inlineStr">
        <is>
          <t>TEASTOY ICE BREW PEACH 150/10 PYRAMID TAG TBAG</t>
        </is>
      </c>
      <c r="C2236" s="7" t="inlineStr">
        <is>
          <t>TEASTOY</t>
        </is>
      </c>
      <c r="D2236" s="7" t="n">
        <v>22074</v>
      </c>
      <c r="E2236" s="7" t="inlineStr">
        <is>
          <t>TEASTOY ICE BREW PEACH 10 PYRAMID TAG TBAG</t>
        </is>
      </c>
      <c r="F2236" s="7" t="n">
        <v>150</v>
      </c>
      <c r="G2236" s="7" t="inlineStr">
        <is>
          <t>PKT</t>
        </is>
      </c>
      <c r="H2236" t="inlineStr">
        <is>
          <t>BLEND COLD BREW BLACK TEA PEACH TB</t>
        </is>
      </c>
    </row>
    <row r="2237" ht="14.25" customHeight="1" s="5">
      <c r="A2237" s="7" t="n">
        <v>21951</v>
      </c>
      <c r="B2237" s="7" t="inlineStr">
        <is>
          <t>TEASTOY ICE BREW PEACH 48/250 GMS PKT TEA</t>
        </is>
      </c>
      <c r="C2237" s="7" t="inlineStr">
        <is>
          <t>TEASTOY</t>
        </is>
      </c>
      <c r="D2237" s="7" t="n">
        <v>21955</v>
      </c>
      <c r="E2237" s="7" t="inlineStr">
        <is>
          <t>TEASTOY ICE BREW PEACH 250 GMS PKT TEA</t>
        </is>
      </c>
      <c r="F2237" s="7" t="n">
        <v>48</v>
      </c>
      <c r="G2237" s="7" t="inlineStr">
        <is>
          <t>PKT</t>
        </is>
      </c>
      <c r="H2237" t="inlineStr">
        <is>
          <t>BLEND COLD BREW BLACK TEA PEACH TB</t>
        </is>
      </c>
    </row>
    <row r="2238" ht="14.25" customHeight="1" s="5">
      <c r="A2238" s="7" t="n">
        <v>22249</v>
      </c>
      <c r="B2238" s="7" t="inlineStr">
        <is>
          <t>TEASTOY ICE BREW WILD BERRY 150/10 PYRAMID TAG TBAG</t>
        </is>
      </c>
      <c r="C2238" s="7" t="inlineStr">
        <is>
          <t>TEASTOY</t>
        </is>
      </c>
      <c r="D2238" s="7" t="n">
        <v>22075</v>
      </c>
      <c r="E2238" s="7" t="inlineStr">
        <is>
          <t>TEASTOY ICE BREW WILD BERRY 10 PYRAMID TAG TBAG</t>
        </is>
      </c>
      <c r="F2238" s="7" t="n">
        <v>150</v>
      </c>
      <c r="G2238" s="7" t="inlineStr">
        <is>
          <t>PKT</t>
        </is>
      </c>
      <c r="H2238" t="inlineStr">
        <is>
          <t>BLEND COLD BREW FRUITY WILD BERRY TB</t>
        </is>
      </c>
    </row>
    <row r="2239" ht="14.25" customHeight="1" s="5">
      <c r="A2239" s="7" t="n">
        <v>21952</v>
      </c>
      <c r="B2239" s="7" t="inlineStr">
        <is>
          <t>TEASTOY ICE BREW WILD BERRY 48/250 GMS PKT TEA</t>
        </is>
      </c>
      <c r="C2239" s="7" t="inlineStr">
        <is>
          <t>TEASTOY</t>
        </is>
      </c>
      <c r="D2239" s="7" t="n">
        <v>21961</v>
      </c>
      <c r="E2239" s="7" t="inlineStr">
        <is>
          <t>TEASTOY ICE BREW WILD BERRY 250 GMS PKT TEA</t>
        </is>
      </c>
      <c r="F2239" s="7" t="n">
        <v>48</v>
      </c>
      <c r="G2239" s="7" t="inlineStr">
        <is>
          <t>PKT</t>
        </is>
      </c>
      <c r="H2239" t="inlineStr">
        <is>
          <t>BLEND COLD BREW FRUITY WILD BERRY TB</t>
        </is>
      </c>
    </row>
    <row r="2240" ht="14.25" customHeight="1" s="5">
      <c r="A2240" s="7" t="n">
        <v>23034</v>
      </c>
      <c r="B2240" s="7" t="inlineStr">
        <is>
          <t>TET 32-3 OZ BREW MAGIC ITBS</t>
        </is>
      </c>
      <c r="C2240" s="7" t="inlineStr">
        <is>
          <t>BREW MAGIC</t>
        </is>
      </c>
      <c r="D2240" s="7" t="n">
        <v>23666</v>
      </c>
      <c r="E2240" s="7" t="inlineStr">
        <is>
          <t>TET 3 OZ BREW MAGIC ITBS</t>
        </is>
      </c>
      <c r="F2240" s="7" t="n">
        <v>4</v>
      </c>
      <c r="G2240" s="7" t="inlineStr">
        <is>
          <t>PKT</t>
        </is>
      </c>
      <c r="H2240" t="inlineStr">
        <is>
          <t>BLEND 7022 RFA</t>
        </is>
      </c>
    </row>
    <row r="2241" ht="14.25" customHeight="1" s="5">
      <c r="A2241" s="7" t="n">
        <v>23033</v>
      </c>
      <c r="B2241" s="7" t="inlineStr">
        <is>
          <t>TET 32-4 OZ BREW MAGIC ITBS</t>
        </is>
      </c>
      <c r="C2241" s="7" t="inlineStr">
        <is>
          <t>BREW MAGIC</t>
        </is>
      </c>
      <c r="D2241" s="7" t="n">
        <v>23667</v>
      </c>
      <c r="E2241" s="7" t="inlineStr">
        <is>
          <t>TET 4 OZ BREW MAGIC ITBS</t>
        </is>
      </c>
      <c r="F2241" s="7" t="n">
        <v>4</v>
      </c>
      <c r="G2241" s="7" t="inlineStr">
        <is>
          <t>PKT</t>
        </is>
      </c>
      <c r="H2241" t="inlineStr">
        <is>
          <t>BLEND 7022 RFA</t>
        </is>
      </c>
    </row>
    <row r="2242" ht="14.25" customHeight="1" s="5">
      <c r="A2242" s="7" t="n">
        <v>33060</v>
      </c>
      <c r="B2242" s="7" t="inlineStr">
        <is>
          <t>TETLEY CLASSIC BLACK TEA 12/100 DC TAG TBGS</t>
        </is>
      </c>
      <c r="C2242" s="7" t="inlineStr">
        <is>
          <t>TETLEY</t>
        </is>
      </c>
      <c r="D2242" s="7" t="n">
        <v>33063</v>
      </c>
      <c r="E2242" s="7" t="inlineStr">
        <is>
          <t>TETLEY CLASSIC BLACK TEA 100 DC TAG TBGS</t>
        </is>
      </c>
      <c r="F2242" s="7" t="n">
        <v>12</v>
      </c>
      <c r="G2242" s="7" t="inlineStr">
        <is>
          <t>CTN</t>
        </is>
      </c>
      <c r="H2242" t="inlineStr">
        <is>
          <t>BLEND USA CLASSIC TEA BAG</t>
        </is>
      </c>
    </row>
    <row r="2243" ht="14.25" customHeight="1" s="5">
      <c r="A2243" s="7" t="n">
        <v>33061</v>
      </c>
      <c r="B2243" s="7" t="inlineStr">
        <is>
          <t>TETLEY CLASSIC BLACK TEA 6/100 DC TAG TBGS</t>
        </is>
      </c>
      <c r="C2243" s="7" t="inlineStr">
        <is>
          <t>TETLEY</t>
        </is>
      </c>
      <c r="D2243" s="7" t="n">
        <v>33063</v>
      </c>
      <c r="E2243" s="7" t="inlineStr">
        <is>
          <t>TETLEY CLASSIC BLACK TEA 100 DC TAG TBGS</t>
        </is>
      </c>
      <c r="F2243" s="7" t="n">
        <v>6</v>
      </c>
      <c r="G2243" s="7" t="inlineStr">
        <is>
          <t>CTN</t>
        </is>
      </c>
      <c r="H2243" t="inlineStr">
        <is>
          <t>BLEND USA CLASSIC TEA BAG</t>
        </is>
      </c>
    </row>
    <row r="2244" ht="14.25" customHeight="1" s="5">
      <c r="A2244" s="7" t="n">
        <v>33062</v>
      </c>
      <c r="B2244" s="7" t="inlineStr">
        <is>
          <t>TETLEY CLASSIC DCF 12/72 DC TAG TBGS</t>
        </is>
      </c>
      <c r="C2244" s="7" t="inlineStr">
        <is>
          <t>TETLEY</t>
        </is>
      </c>
      <c r="D2244" s="7" t="n">
        <v>33068</v>
      </c>
      <c r="E2244" s="7" t="inlineStr">
        <is>
          <t>TETLEY CLASSIC DCF 72 DC TAG TBGS</t>
        </is>
      </c>
      <c r="F2244" s="7" t="n">
        <v>12</v>
      </c>
      <c r="G2244" s="7" t="inlineStr">
        <is>
          <t>CTN</t>
        </is>
      </c>
      <c r="H2244" t="inlineStr">
        <is>
          <t>BLEND USA BLACK DECAF</t>
        </is>
      </c>
    </row>
    <row r="2245" ht="14.25" customHeight="1" s="5">
      <c r="A2245" s="7" t="n">
        <v>35896</v>
      </c>
      <c r="B2245" s="7" t="inlineStr">
        <is>
          <t>TETLEY MATCHA GREEN 36/25 DC SF HS ENV TBGS</t>
        </is>
      </c>
      <c r="C2245" s="7" t="inlineStr">
        <is>
          <t>TETLEY</t>
        </is>
      </c>
      <c r="D2245" s="7" t="n">
        <v>35888</v>
      </c>
      <c r="E2245" s="7" t="inlineStr">
        <is>
          <t>TETLEY MATCHA GREEN 25 DC SF HS ENV TBGS</t>
        </is>
      </c>
      <c r="F2245" s="7" t="n">
        <v>36</v>
      </c>
      <c r="G2245" s="7" t="inlineStr">
        <is>
          <t>CTN</t>
        </is>
      </c>
      <c r="H2245" t="inlineStr">
        <is>
          <t>BLEND MATCHA CULINARY POWDER TETLEY</t>
        </is>
      </c>
    </row>
    <row r="2246" ht="14.25" customHeight="1" s="5">
      <c r="A2246" s="7" t="n">
        <v>33935</v>
      </c>
      <c r="B2246" s="7" t="inlineStr">
        <is>
          <t>TEZ CAFE CAPPUCCINO 3 IN 1 (25GMS) 12 STRIPS X 10 SACHETS WITH HANGER</t>
        </is>
      </c>
      <c r="C2246" s="7" t="inlineStr">
        <is>
          <t>TEZ CAFE</t>
        </is>
      </c>
      <c r="D2246" s="7" t="n">
        <v>33937</v>
      </c>
      <c r="E2246" s="7" t="inlineStr">
        <is>
          <t>TEZ CAFE CAPPUCCINO 3 IN 1 (25GMS)</t>
        </is>
      </c>
      <c r="F2246" s="7" t="n">
        <v>120</v>
      </c>
      <c r="G2246" s="7" t="inlineStr">
        <is>
          <t>POUCH</t>
        </is>
      </c>
      <c r="H2246" t="inlineStr">
        <is>
          <t>BLEND INSTANT CAPPUCCINO AFRICA</t>
        </is>
      </c>
    </row>
    <row r="2247" ht="14.25" customHeight="1" s="5">
      <c r="A2247" s="7" t="n">
        <v>33935</v>
      </c>
      <c r="B2247" s="7" t="inlineStr">
        <is>
          <t>TEZ CAFE CAPPUCCINO 3 IN 1 (25GMS) 12 STRIPS X 10 SACHETS WITH HANGER</t>
        </is>
      </c>
      <c r="C2247" s="7" t="inlineStr">
        <is>
          <t>TEZ CAFE</t>
        </is>
      </c>
      <c r="D2247" s="7" t="n">
        <v>33938</v>
      </c>
      <c r="E2247" s="7" t="inlineStr">
        <is>
          <t>TEZ CAFE CAPPUCCINO CHOCO GRANULE (0.5 GMS)</t>
        </is>
      </c>
      <c r="F2247" s="7" t="n">
        <v>120</v>
      </c>
      <c r="G2247" s="7" t="inlineStr">
        <is>
          <t>POUCH</t>
        </is>
      </c>
      <c r="H2247" t="inlineStr">
        <is>
          <t>BLEND INSTANT CAPPUCCINO COCO GRANULE AFRICA</t>
        </is>
      </c>
    </row>
    <row r="2248" ht="14.25" customHeight="1" s="5">
      <c r="A2248" s="7" t="n">
        <v>32050</v>
      </c>
      <c r="B2248" s="7" t="inlineStr">
        <is>
          <t>TEZ CAFE COFFEE 3 IN 1 (25GMS) 12 STRIPS X 10 SACHETS</t>
        </is>
      </c>
      <c r="C2248" s="7" t="inlineStr">
        <is>
          <t>TEZ CAFE</t>
        </is>
      </c>
      <c r="D2248" s="7" t="n">
        <v>32328</v>
      </c>
      <c r="E2248" s="7" t="inlineStr">
        <is>
          <t>TEZ CAFE COFFEE 3 IN 1 (25GMS)</t>
        </is>
      </c>
      <c r="F2248" s="7" t="n">
        <v>120</v>
      </c>
      <c r="G2248" s="7" t="inlineStr">
        <is>
          <t>POUCH</t>
        </is>
      </c>
      <c r="H2248" t="inlineStr">
        <is>
          <t>BLEND INSTANT COFFEE AFRICA</t>
        </is>
      </c>
    </row>
    <row r="2249" ht="14.25" customHeight="1" s="5">
      <c r="A2249" s="7" t="n">
        <v>32512</v>
      </c>
      <c r="B2249" s="7" t="inlineStr">
        <is>
          <t>TEZ CAFE COFFEE 3 IN 1 (32 GMS) 12 STRIPS X 10 SACHETS</t>
        </is>
      </c>
      <c r="C2249" s="7" t="inlineStr">
        <is>
          <t>TEZ CAFE</t>
        </is>
      </c>
      <c r="D2249" s="7" t="n">
        <v>32551</v>
      </c>
      <c r="E2249" s="7" t="inlineStr">
        <is>
          <t>TEZ CAFE COFFEE 3 IN 1 (32GMS)</t>
        </is>
      </c>
      <c r="F2249" s="7" t="n">
        <v>120</v>
      </c>
      <c r="G2249" s="7" t="inlineStr">
        <is>
          <t>POUCH</t>
        </is>
      </c>
      <c r="H2249" t="inlineStr">
        <is>
          <t>BLEND INSTANT COFFEE AFRICA</t>
        </is>
      </c>
    </row>
    <row r="2250" ht="14.25" customHeight="1" s="5">
      <c r="A2250" s="7" t="n">
        <v>33360</v>
      </c>
      <c r="B2250" s="7" t="inlineStr">
        <is>
          <t>TEZ CAFE COFFEE 3 IN 1 (35 GMS) 12 STRIPS X 10 SACHETS</t>
        </is>
      </c>
      <c r="C2250" s="7" t="inlineStr">
        <is>
          <t>TEZ CAFE</t>
        </is>
      </c>
      <c r="D2250" s="7" t="n">
        <v>33361</v>
      </c>
      <c r="E2250" s="7" t="inlineStr">
        <is>
          <t>TEZ CAFE COFFEE 3 IN 1 (35GMS)</t>
        </is>
      </c>
      <c r="F2250" s="7" t="n">
        <v>120</v>
      </c>
      <c r="G2250" s="7" t="inlineStr">
        <is>
          <t>POUCH</t>
        </is>
      </c>
      <c r="H2250" t="inlineStr">
        <is>
          <t>BLEND INSTANT COFFEE AFRICA</t>
        </is>
      </c>
    </row>
    <row r="2251" ht="14.25" customHeight="1" s="5">
      <c r="A2251" s="7" t="n">
        <v>33773</v>
      </c>
      <c r="B2251" s="7" t="inlineStr">
        <is>
          <t>TEZ CAFE COFFEE 3 IN 1 (35 GMS) 8 STRIPS X 10 SACHETS</t>
        </is>
      </c>
      <c r="C2251" s="7" t="inlineStr">
        <is>
          <t>TEZ CAFE</t>
        </is>
      </c>
      <c r="D2251" s="7" t="n">
        <v>33361</v>
      </c>
      <c r="E2251" s="7" t="inlineStr">
        <is>
          <t>TEZ CAFE COFFEE 3 IN 1 (35GMS)</t>
        </is>
      </c>
      <c r="F2251" s="7" t="n">
        <v>80</v>
      </c>
      <c r="G2251" s="7" t="inlineStr">
        <is>
          <t>POUCH</t>
        </is>
      </c>
      <c r="H2251" t="inlineStr">
        <is>
          <t>BLEND INSTANT COFFEE AFRICA</t>
        </is>
      </c>
    </row>
    <row r="2252" ht="14.25" customHeight="1" s="5">
      <c r="A2252" s="7" t="n">
        <v>33934</v>
      </c>
      <c r="B2252" s="7" t="inlineStr">
        <is>
          <t>TEZ CAFE HOT CHOCOLATE 3 IN 1 (30GMS) 12 STRIPS X 10 SACHETS WITH HANGER</t>
        </is>
      </c>
      <c r="C2252" s="7" t="inlineStr">
        <is>
          <t>TEZ CAFE</t>
        </is>
      </c>
      <c r="D2252" s="7" t="n">
        <v>32329</v>
      </c>
      <c r="E2252" s="7" t="inlineStr">
        <is>
          <t>TEZ CAFE HOT CHOCOLATE (30GMS)</t>
        </is>
      </c>
      <c r="F2252" s="7" t="n">
        <v>120</v>
      </c>
      <c r="G2252" s="7" t="inlineStr">
        <is>
          <t>POUCH</t>
        </is>
      </c>
      <c r="H2252" t="inlineStr">
        <is>
          <t>BLEND INSTANT CHOCOLATE AFRICA</t>
        </is>
      </c>
    </row>
    <row r="2253" ht="14.25" customHeight="1" s="5">
      <c r="A2253" s="7" t="n">
        <v>36675</v>
      </c>
      <c r="B2253" s="7" t="inlineStr">
        <is>
          <t>TEZ CAFE INSTANT COFFEE 9/120 SACHETS (12 STRIPS X 10 SACHETS X 2 GMS) WITH HANGER</t>
        </is>
      </c>
      <c r="C2253" s="7" t="inlineStr">
        <is>
          <t>TEZ CAFE</t>
        </is>
      </c>
      <c r="D2253" s="7" t="n">
        <v>36979</v>
      </c>
      <c r="E2253" s="7" t="inlineStr">
        <is>
          <t>TEZ CAFE INSTANT COFFEE 120 SACHETS (2 GMS)</t>
        </is>
      </c>
      <c r="F2253" s="7" t="n">
        <v>9</v>
      </c>
      <c r="G2253" s="7" t="inlineStr">
        <is>
          <t>CTN</t>
        </is>
      </c>
      <c r="H2253" t="inlineStr">
        <is>
          <t>BLEND PURE COFFEE AFRICA INSTANT</t>
        </is>
      </c>
    </row>
    <row r="2254" ht="14.25" customHeight="1" s="5">
      <c r="A2254" s="7" t="n">
        <v>37183</v>
      </c>
      <c r="B2254" s="7" t="inlineStr">
        <is>
          <t>TEZ CAFE INSTANT COFFEE 9/150 SACHETS (15 STRIPS X 10 SACHETS X 2 GMS) WITH HANGER</t>
        </is>
      </c>
      <c r="C2254" s="7" t="inlineStr">
        <is>
          <t>TEZ CAFE</t>
        </is>
      </c>
      <c r="D2254" s="7" t="n">
        <v>37185</v>
      </c>
      <c r="E2254" s="7" t="inlineStr">
        <is>
          <t>TEZ CAFE INSTANT COFFEE 150 SACHETS (2 GMS)</t>
        </is>
      </c>
      <c r="F2254" s="7" t="n">
        <v>9</v>
      </c>
      <c r="G2254" s="7" t="inlineStr">
        <is>
          <t>CTN</t>
        </is>
      </c>
      <c r="H2254" t="inlineStr">
        <is>
          <t>BLEND PURE COFFEE AFRICA INSTANT</t>
        </is>
      </c>
    </row>
    <row r="2255" ht="14.25" customHeight="1" s="5">
      <c r="A2255" s="7" t="n">
        <v>30943</v>
      </c>
      <c r="B2255" s="7" t="inlineStr">
        <is>
          <t>TEZ ELAICHI LEAF BLACK TEA ELAICHI [60 X 10 X 30 GM LAMINATE POUCH] PP BAG</t>
        </is>
      </c>
      <c r="C2255" s="7" t="inlineStr">
        <is>
          <t>TEZ</t>
        </is>
      </c>
      <c r="D2255" s="7" t="n">
        <v>30937</v>
      </c>
      <c r="E2255" s="7" t="inlineStr">
        <is>
          <t>TEZ ELAICHI LEAF BLACK TEA ELAICHI PKT 30 GM POUCH</t>
        </is>
      </c>
      <c r="F2255" s="7" t="n">
        <v>600</v>
      </c>
      <c r="G2255" s="7" t="inlineStr">
        <is>
          <t>POUCH</t>
        </is>
      </c>
      <c r="H2255" t="inlineStr">
        <is>
          <t>BLEND BLACK TEA RED ELAICHI SMALL PKT</t>
        </is>
      </c>
    </row>
    <row r="2256" ht="14.25" customHeight="1" s="5">
      <c r="A2256" s="7" t="n">
        <v>29211</v>
      </c>
      <c r="B2256" s="7" t="inlineStr">
        <is>
          <t>TEZ ELAICHI LEAF BLACK TEA ELAICHI [8 X 40 X 16 GM LAMINATE POUCH] CFC</t>
        </is>
      </c>
      <c r="C2256" s="7" t="inlineStr">
        <is>
          <t>TEZ</t>
        </is>
      </c>
      <c r="D2256" s="7" t="n">
        <v>29210</v>
      </c>
      <c r="E2256" s="7" t="inlineStr">
        <is>
          <t>TEZ ELAICHI LEAF BLACK TEA ELAICHI PKT 16 GM POUCH</t>
        </is>
      </c>
      <c r="F2256" s="7" t="n">
        <v>320</v>
      </c>
      <c r="G2256" s="7" t="inlineStr">
        <is>
          <t>POUCH</t>
        </is>
      </c>
      <c r="H2256" t="inlineStr">
        <is>
          <t>BLEND BLACK TEA ELAICHI PKT</t>
        </is>
      </c>
    </row>
    <row r="2257" ht="14.25" customHeight="1" s="5">
      <c r="A2257" s="7" t="n">
        <v>28617</v>
      </c>
      <c r="B2257" s="7" t="inlineStr">
        <is>
          <t>TEZ ELAICHI LEAF BLACK TEA ELAICHI PKT [12 X 8 X 250 GM LAMINATE POUCH] PP BAG</t>
        </is>
      </c>
      <c r="C2257" s="7" t="inlineStr">
        <is>
          <t>TEZ</t>
        </is>
      </c>
      <c r="D2257" s="7" t="n">
        <v>28616</v>
      </c>
      <c r="E2257" s="7" t="inlineStr">
        <is>
          <t>TEZ ELAICHI LEAF BLACK TEA ELAICHI PKT 250 GM POUCH</t>
        </is>
      </c>
      <c r="F2257" s="7" t="n">
        <v>96</v>
      </c>
      <c r="G2257" s="7" t="inlineStr">
        <is>
          <t>POUCH</t>
        </is>
      </c>
      <c r="H2257" t="inlineStr">
        <is>
          <t>BLEND BLACK TEA ELAICHI PKT</t>
        </is>
      </c>
    </row>
    <row r="2258" ht="14.25" customHeight="1" s="5">
      <c r="A2258" s="7" t="n">
        <v>37484</v>
      </c>
      <c r="B2258" s="7" t="inlineStr">
        <is>
          <t>TEZ ELAICHI LEAF BLACK TEA ELAICHI PKT [12 X 8 X 250 GM LAMINATE POUCH] PP BAG (V2)</t>
        </is>
      </c>
      <c r="C2258" s="7" t="inlineStr">
        <is>
          <t>TEZ</t>
        </is>
      </c>
      <c r="D2258" s="7" t="n">
        <v>37487</v>
      </c>
      <c r="E2258" s="7" t="inlineStr">
        <is>
          <t>TEZ ELAICHI LEAF BLACK TEA ELAICHI PKT 250 GM POUCH (V2)</t>
        </is>
      </c>
      <c r="F2258" s="7" t="n">
        <v>96</v>
      </c>
      <c r="G2258" s="7" t="inlineStr">
        <is>
          <t>POUCH</t>
        </is>
      </c>
      <c r="H2258" t="inlineStr">
        <is>
          <t>BLEND BLACK TEA ELAICHI TEZ PKT CBE</t>
        </is>
      </c>
    </row>
    <row r="2259" ht="14.25" customHeight="1" s="5">
      <c r="A2259" s="7" t="n">
        <v>35005</v>
      </c>
      <c r="B2259" s="7" t="inlineStr">
        <is>
          <t>TEZ ELAICHI LEAF BLACK TEA ELAICHI PKT [70 X 20 X 12 GM LAMINATE POUCH] PP BAG</t>
        </is>
      </c>
      <c r="C2259" s="7" t="inlineStr">
        <is>
          <t>TEZ</t>
        </is>
      </c>
      <c r="D2259" s="7" t="n">
        <v>35002</v>
      </c>
      <c r="E2259" s="7" t="inlineStr">
        <is>
          <t>TEZ ELAICHI LEAF BLACK TEA ELAICHI PKT 12 GM POUCH</t>
        </is>
      </c>
      <c r="F2259" s="7" t="n">
        <v>1400</v>
      </c>
      <c r="G2259" s="7" t="inlineStr">
        <is>
          <t>POUCH</t>
        </is>
      </c>
      <c r="H2259" t="inlineStr">
        <is>
          <t>BLEND BLACK TEA ELAICHI PKT</t>
        </is>
      </c>
    </row>
    <row r="2260" ht="14.25" customHeight="1" s="5">
      <c r="A2260" s="7" t="n">
        <v>37486</v>
      </c>
      <c r="B2260" s="7" t="inlineStr">
        <is>
          <t>TEZ ELAICHI LEAF BLACK TEA ELAICHI PKT [70 X 20 X 12 GM LAMINATE POUCH] PP BAG (V2)</t>
        </is>
      </c>
      <c r="C2260" s="7" t="inlineStr">
        <is>
          <t>TEZ</t>
        </is>
      </c>
      <c r="D2260" s="7" t="n">
        <v>37489</v>
      </c>
      <c r="E2260" s="7" t="inlineStr">
        <is>
          <t>TEZ ELAICHI LEAF BLACK TEA ELAICHI PKT 12 GM POUCH (V2)</t>
        </is>
      </c>
      <c r="F2260" s="7" t="n">
        <v>1400</v>
      </c>
      <c r="G2260" s="7" t="inlineStr">
        <is>
          <t>POUCH</t>
        </is>
      </c>
      <c r="H2260" t="inlineStr">
        <is>
          <t>BLEND BLACK TEA ELAICHI TEZ PKT CBE</t>
        </is>
      </c>
    </row>
    <row r="2261" ht="14.25" customHeight="1" s="5">
      <c r="A2261" s="7" t="n">
        <v>34899</v>
      </c>
      <c r="B2261" s="7" t="inlineStr">
        <is>
          <t>TEZ ELAICHI LEAF BLACK TEA RED ELAICHI SMALL PKT  [22 X 10 X 60 GM LAMINATE POUCH] PP BAG</t>
        </is>
      </c>
      <c r="C2261" s="7" t="inlineStr">
        <is>
          <t>TEZ</t>
        </is>
      </c>
      <c r="D2261" s="7" t="n">
        <v>34898</v>
      </c>
      <c r="E2261" s="7" t="inlineStr">
        <is>
          <t>TEZ ELAICHI LEAF BLACK TEA RED ELAICHI SMALL PKT 60 GM POUCH</t>
        </is>
      </c>
      <c r="F2261" s="7" t="n">
        <v>220</v>
      </c>
      <c r="G2261" s="7" t="inlineStr">
        <is>
          <t>POUCH</t>
        </is>
      </c>
      <c r="H2261" t="inlineStr">
        <is>
          <t>BLEND BLACK TEA ELAICHI PKT</t>
        </is>
      </c>
    </row>
    <row r="2262" ht="14.25" customHeight="1" s="5">
      <c r="A2262" s="7" t="n">
        <v>32637</v>
      </c>
      <c r="B2262" s="7" t="inlineStr">
        <is>
          <t>TEZ ELAICHI LEAF BLACK TEA RED ELAICHI SMALL PKT  [22 X 10 X 65 GM LAMINATE POUCH] PP BAG</t>
        </is>
      </c>
      <c r="C2262" s="7" t="inlineStr">
        <is>
          <t>TEZ</t>
        </is>
      </c>
      <c r="D2262" s="7" t="n">
        <v>32635</v>
      </c>
      <c r="E2262" s="7" t="inlineStr">
        <is>
          <t>TEZ ELAICHI LEAF BLACK TEA RED ELAICHI SMALL PKT 65 GM POUCH</t>
        </is>
      </c>
      <c r="F2262" s="7" t="n">
        <v>220</v>
      </c>
      <c r="G2262" s="7" t="inlineStr">
        <is>
          <t>POUCH</t>
        </is>
      </c>
      <c r="H2262" t="inlineStr">
        <is>
          <t>BLEND BLACK TEA RED ELAICHI SMALL PKT</t>
        </is>
      </c>
    </row>
    <row r="2263" ht="14.25" customHeight="1" s="5">
      <c r="A2263" s="7" t="n">
        <v>37506</v>
      </c>
      <c r="B2263" s="7" t="inlineStr">
        <is>
          <t>TEZ ELAICHI LEAF BLACK TEA RED ELAICHI SMALL PKT [22 X 10 X 55 GM LAMINATE POUCH] PP BAG</t>
        </is>
      </c>
      <c r="C2263" s="7" t="inlineStr">
        <is>
          <t>TEZ</t>
        </is>
      </c>
      <c r="D2263" s="7" t="n">
        <v>37510</v>
      </c>
      <c r="E2263" s="7" t="inlineStr">
        <is>
          <t>TEZ ELAICHI LEAF BLACK TEA RED ELAICHI SMALL PKT 55 GM POUCH (V2)</t>
        </is>
      </c>
      <c r="F2263" s="7" t="n">
        <v>220</v>
      </c>
      <c r="G2263" s="7" t="inlineStr">
        <is>
          <t>POUCH</t>
        </is>
      </c>
      <c r="H2263" t="inlineStr">
        <is>
          <t>BLEND BLACK TEA ELAICHI TEZ PKT CBE</t>
        </is>
      </c>
    </row>
    <row r="2264" ht="14.25" customHeight="1" s="5">
      <c r="A2264" s="7" t="n">
        <v>32415</v>
      </c>
      <c r="B2264" s="7" t="inlineStr">
        <is>
          <t>TEZ ELAICHI LEAF BLACK TEA RED ELAICHI SMALL PKT [22 X 10 X 70 GM LAMINATE POUCH] PP BAG</t>
        </is>
      </c>
      <c r="C2264" s="7" t="inlineStr">
        <is>
          <t>TEZ</t>
        </is>
      </c>
      <c r="D2264" s="7" t="n">
        <v>32412</v>
      </c>
      <c r="E2264" s="7" t="inlineStr">
        <is>
          <t>TEZ ELAICHI LEAF BLACK TEA RED ELAICHI SMALL PKT 70 GM POUCH</t>
        </is>
      </c>
      <c r="F2264" s="7" t="n">
        <v>220</v>
      </c>
      <c r="G2264" s="7" t="inlineStr">
        <is>
          <t>POUCH</t>
        </is>
      </c>
      <c r="H2264" t="inlineStr">
        <is>
          <t>BLEND BLACK TEA RED ELAICHI SMALL PKT</t>
        </is>
      </c>
    </row>
    <row r="2265" ht="14.25" customHeight="1" s="5">
      <c r="A2265" s="7" t="n">
        <v>37652</v>
      </c>
      <c r="B2265" s="7" t="inlineStr">
        <is>
          <t>TEZ ELAICHI LEAF BLACK TEA RED ELAICHI SMALL PKT [32 X 10 X 55 GM LAMINATE POUCH] PP BAG</t>
        </is>
      </c>
      <c r="C2265" s="7" t="inlineStr">
        <is>
          <t>TEZ</t>
        </is>
      </c>
      <c r="D2265" s="7" t="n">
        <v>37510</v>
      </c>
      <c r="E2265" s="7" t="inlineStr">
        <is>
          <t>TEZ ELAICHI LEAF BLACK TEA RED ELAICHI SMALL PKT 55 GM POUCH (V2)</t>
        </is>
      </c>
      <c r="F2265" s="7" t="n">
        <v>32</v>
      </c>
      <c r="G2265" s="7" t="inlineStr">
        <is>
          <t>POUCH</t>
        </is>
      </c>
      <c r="H2265" t="inlineStr">
        <is>
          <t>BLEND BLACK TEA ELAICHI TEZ PKT CBE</t>
        </is>
      </c>
    </row>
    <row r="2266" ht="14.25" customHeight="1" s="5">
      <c r="A2266" s="7" t="n">
        <v>32653</v>
      </c>
      <c r="B2266" s="7" t="inlineStr">
        <is>
          <t>TEZ ELAICHI LEAF BLACK TEA RED ELAICHI SMALL PKT [4 X 20 X 20 X 12 GM LAMINATE POUCH] PP OLD BAG</t>
        </is>
      </c>
      <c r="C2266" s="7" t="inlineStr">
        <is>
          <t>TEZ</t>
        </is>
      </c>
      <c r="D2266" s="7" t="n">
        <v>32652</v>
      </c>
      <c r="E2266" s="7" t="inlineStr">
        <is>
          <t>TEZ ELAICHI LEAF BLACK TEA RED ELAICHI SMALL PKT 12 GM POUCH</t>
        </is>
      </c>
      <c r="F2266" s="7" t="n">
        <v>1600</v>
      </c>
      <c r="G2266" s="7" t="inlineStr">
        <is>
          <t>POUCH</t>
        </is>
      </c>
      <c r="H2266" t="inlineStr">
        <is>
          <t>BLEND BLACK TEA ELAICHI PKT</t>
        </is>
      </c>
    </row>
    <row r="2267" ht="14.25" customHeight="1" s="5">
      <c r="A2267" s="7" t="n">
        <v>31672</v>
      </c>
      <c r="B2267" s="7" t="inlineStr">
        <is>
          <t>TEZ ELAICHI LEAF BLACK TEA RED ELAICHI SMALL PKT [4 X 20 X 20 X 13 GM LAMINATE POUCH] PP OLD BAG</t>
        </is>
      </c>
      <c r="C2267" s="7" t="inlineStr">
        <is>
          <t>TEZ</t>
        </is>
      </c>
      <c r="D2267" s="7" t="n">
        <v>31670</v>
      </c>
      <c r="E2267" s="7" t="inlineStr">
        <is>
          <t>TEZ ELAICHI LEAF BLACK TEA RED ELAICHI SMALL PKT 13 GM POUCH</t>
        </is>
      </c>
      <c r="F2267" s="7" t="n">
        <v>1600</v>
      </c>
      <c r="G2267" s="7" t="inlineStr">
        <is>
          <t>POUCH</t>
        </is>
      </c>
      <c r="H2267" t="inlineStr">
        <is>
          <t>BLEND BLACK TEA RED ELAICHI SMALL PKT</t>
        </is>
      </c>
    </row>
    <row r="2268" ht="14.25" customHeight="1" s="5">
      <c r="A2268" s="7" t="n">
        <v>32773</v>
      </c>
      <c r="B2268" s="7" t="inlineStr">
        <is>
          <t>TEZ ELAICHI LEAF BLACK TEA RED ELAICHI SMALL PKT [70 X 10 X 24 GM LAMINATE POUCH] PP BAG</t>
        </is>
      </c>
      <c r="C2268" s="7" t="inlineStr">
        <is>
          <t>TEZ</t>
        </is>
      </c>
      <c r="D2268" s="7" t="n">
        <v>32772</v>
      </c>
      <c r="E2268" s="7" t="inlineStr">
        <is>
          <t>TEZ ELAICHI LEAF BLACK TEA  RED ELAICHI SMALL PKT 24 GM POUCH</t>
        </is>
      </c>
      <c r="F2268" s="7" t="n">
        <v>700</v>
      </c>
      <c r="G2268" s="7" t="inlineStr">
        <is>
          <t>POUCH</t>
        </is>
      </c>
      <c r="H2268" t="inlineStr">
        <is>
          <t>BLEND BLACK TEA ELAICHI PKT</t>
        </is>
      </c>
    </row>
    <row r="2269" ht="14.25" customHeight="1" s="5">
      <c r="A2269" s="7" t="n">
        <v>37509</v>
      </c>
      <c r="B2269" s="7" t="inlineStr">
        <is>
          <t>TEZ ELAICHI LEAF BLACK TEA RED ELAICHI SMALL PKT [70 X 10 X 24 GM LAMINATE POUCH] PP BAG (V2)</t>
        </is>
      </c>
      <c r="C2269" s="7" t="inlineStr">
        <is>
          <t>TEZ</t>
        </is>
      </c>
      <c r="D2269" s="7" t="n">
        <v>37488</v>
      </c>
      <c r="E2269" s="7" t="inlineStr">
        <is>
          <t>TEZ ELAICHI LEAF BLACK TEA  RED ELAICHI SMALL PKT 24 GM POUCH (V2)</t>
        </is>
      </c>
      <c r="F2269" s="7" t="n">
        <v>700</v>
      </c>
      <c r="G2269" s="7" t="inlineStr">
        <is>
          <t>POUCH</t>
        </is>
      </c>
      <c r="H2269" t="inlineStr">
        <is>
          <t>BLEND BLACK TEA ELAICHI TEZ PKT CBE</t>
        </is>
      </c>
    </row>
    <row r="2270" ht="14.25" customHeight="1" s="5">
      <c r="A2270" s="7" t="n">
        <v>32638</v>
      </c>
      <c r="B2270" s="7" t="inlineStr">
        <is>
          <t>TEZ ELAICHI LEAF BLACK TEA RED ELAICHI SMALL PKT [70 X 10 X 26 GM LAMINATE POUCH] PP BAG</t>
        </is>
      </c>
      <c r="C2270" s="7" t="inlineStr">
        <is>
          <t>TEZ</t>
        </is>
      </c>
      <c r="D2270" s="7" t="n">
        <v>32636</v>
      </c>
      <c r="E2270" s="7" t="inlineStr">
        <is>
          <t>TEZ ELAICHI LEAF BLACK TEA RED ELAICHI SMALL PKT 26 GM POUCH</t>
        </is>
      </c>
      <c r="F2270" s="7" t="n">
        <v>700</v>
      </c>
      <c r="G2270" s="7" t="inlineStr">
        <is>
          <t>POUCH</t>
        </is>
      </c>
      <c r="H2270" t="inlineStr">
        <is>
          <t>BLEND BLACK TEA RED ELAICHI SMALL PKT</t>
        </is>
      </c>
    </row>
    <row r="2271" ht="14.25" customHeight="1" s="5">
      <c r="A2271" s="7" t="n">
        <v>32457</v>
      </c>
      <c r="B2271" s="7" t="inlineStr">
        <is>
          <t>TEZ ELAICHI LEAF UTK BLACK TEA ELAICHI PKT [12 X 8 X 250 GM LAMINATE POUCH] PP BAG</t>
        </is>
      </c>
      <c r="C2271" s="7" t="inlineStr">
        <is>
          <t>TEZ</t>
        </is>
      </c>
      <c r="D2271" s="7" t="n">
        <v>28616</v>
      </c>
      <c r="E2271" s="7" t="inlineStr">
        <is>
          <t>TEZ ELAICHI LEAF BLACK TEA ELAICHI PKT 250 GM POUCH</t>
        </is>
      </c>
      <c r="F2271" s="7" t="n">
        <v>96</v>
      </c>
      <c r="G2271" s="7" t="inlineStr">
        <is>
          <t>POUCH</t>
        </is>
      </c>
      <c r="H2271" t="inlineStr">
        <is>
          <t>BLEND BLACK TEA ELAICHI PKT</t>
        </is>
      </c>
    </row>
    <row r="2272" ht="14.25" customHeight="1" s="5">
      <c r="A2272" s="7" t="n">
        <v>37485</v>
      </c>
      <c r="B2272" s="7" t="inlineStr">
        <is>
          <t>TEZ ELAICHI LEAF UTK BLACK TEA ELAICHI PKT [12 X 8 X 250 GM LAMINATE POUCH] PP BAG (V2)</t>
        </is>
      </c>
      <c r="C2272" s="7" t="inlineStr">
        <is>
          <t>TEZ</t>
        </is>
      </c>
      <c r="D2272" s="7" t="n">
        <v>37487</v>
      </c>
      <c r="E2272" s="7" t="inlineStr">
        <is>
          <t>TEZ ELAICHI LEAF BLACK TEA ELAICHI PKT 250 GM POUCH (V2)</t>
        </is>
      </c>
      <c r="F2272" s="7" t="n">
        <v>96</v>
      </c>
      <c r="G2272" s="7" t="inlineStr">
        <is>
          <t>POUCH</t>
        </is>
      </c>
      <c r="H2272" t="inlineStr">
        <is>
          <t>BLEND BLACK TEA ELAICHI TEZ PKT CBE</t>
        </is>
      </c>
    </row>
    <row r="2273" ht="14.25" customHeight="1" s="5">
      <c r="A2273" s="7" t="n">
        <v>31502</v>
      </c>
      <c r="B2273" s="7" t="inlineStr">
        <is>
          <t>TEZ ELAICHI PREMIUM LEAF YELLOW ELAICHI PKT [12 X 8 X 250 GM LAMINATE POUCH] PP BAG</t>
        </is>
      </c>
      <c r="C2273" s="7" t="inlineStr">
        <is>
          <t>TEZ</t>
        </is>
      </c>
      <c r="D2273" s="7" t="n">
        <v>31500</v>
      </c>
      <c r="E2273" s="7" t="inlineStr">
        <is>
          <t>TEZ ELAICHI PREMIUM LEAF YELLOW ELAICHI PKT 250 GM POUCH</t>
        </is>
      </c>
      <c r="F2273" s="7" t="n">
        <v>96</v>
      </c>
      <c r="G2273" s="7" t="inlineStr">
        <is>
          <t>POUCH</t>
        </is>
      </c>
      <c r="H2273" t="inlineStr">
        <is>
          <t>BLEND BLACK TEA YELLOW ELAICHI PKT</t>
        </is>
      </c>
    </row>
    <row r="2274" ht="14.25" customHeight="1" s="5">
      <c r="A2274" s="7" t="n">
        <v>31558</v>
      </c>
      <c r="B2274" s="7" t="inlineStr">
        <is>
          <t>TEZ ELAICHI PREMIUM LEAF YELLOW ELAICHI PKT [60 X 10 X 30 GM LAMINATE POUCH] PP BAG</t>
        </is>
      </c>
      <c r="C2274" s="7" t="inlineStr">
        <is>
          <t>TEZ</t>
        </is>
      </c>
      <c r="D2274" s="7" t="n">
        <v>31557</v>
      </c>
      <c r="E2274" s="7" t="inlineStr">
        <is>
          <t>TEZ ELAICHI PREMIUM LEAF YELLOW ELAICHI PKT 30 GM POUCH</t>
        </is>
      </c>
      <c r="F2274" s="7" t="n">
        <v>600</v>
      </c>
      <c r="G2274" s="7" t="inlineStr">
        <is>
          <t>POUCH</t>
        </is>
      </c>
      <c r="H2274" t="inlineStr">
        <is>
          <t>BLEND BLACK TEA YELLOW ELAICHI PKT</t>
        </is>
      </c>
    </row>
    <row r="2275" ht="14.25" customHeight="1" s="5">
      <c r="A2275" s="7" t="n">
        <v>31644</v>
      </c>
      <c r="B2275" s="7" t="inlineStr">
        <is>
          <t>TEZ ELAICHI PREMIUM LEAF YELLOW ELAICHI PKT [8 X 40 X 16 GM LAMINATE POUCH] CFC</t>
        </is>
      </c>
      <c r="C2275" s="7" t="inlineStr">
        <is>
          <t>TEZ</t>
        </is>
      </c>
      <c r="D2275" s="7" t="n">
        <v>31642</v>
      </c>
      <c r="E2275" s="7" t="inlineStr">
        <is>
          <t>TEZ ELAICHI PREMIUM LEAF YELLOW ELAICHI PKT 16 GM POUCH</t>
        </is>
      </c>
      <c r="F2275" s="7" t="n">
        <v>320</v>
      </c>
      <c r="G2275" s="7" t="inlineStr">
        <is>
          <t>POUCH</t>
        </is>
      </c>
      <c r="H2275" t="inlineStr">
        <is>
          <t>BLEND BLACK TEA YELLOW ELAICHI PKT</t>
        </is>
      </c>
    </row>
    <row r="2276" ht="14.25" customHeight="1" s="5">
      <c r="A2276" s="7" t="n">
        <v>19016</v>
      </c>
      <c r="B2276" s="7" t="inlineStr">
        <is>
          <t>TEZ F &amp; S 250 GM Leaf RG ( 96 X 250 )</t>
        </is>
      </c>
      <c r="C2276" s="7" t="inlineStr">
        <is>
          <t>TEZ</t>
        </is>
      </c>
      <c r="D2276" s="7" t="n">
        <v>19618</v>
      </c>
      <c r="E2276" s="7" t="inlineStr">
        <is>
          <t>TEZ F &amp; S 250 GM Leaf RG</t>
        </is>
      </c>
      <c r="F2276" s="7" t="n">
        <v>96</v>
      </c>
      <c r="G2276" s="7" t="inlineStr">
        <is>
          <t>POUCH</t>
        </is>
      </c>
      <c r="H2276" t="inlineStr">
        <is>
          <t>BLEND RG TRD SLP</t>
        </is>
      </c>
    </row>
    <row r="2277" ht="14.25" customHeight="1" s="5">
      <c r="A2277" s="7" t="n">
        <v>22265</v>
      </c>
      <c r="B2277" s="7" t="inlineStr">
        <is>
          <t>TEZ F &amp; S FANNINGS STD -MJ-MSR [12 X 8 X 250 GM LAMINATE POUCH] PP BAG</t>
        </is>
      </c>
      <c r="C2277" s="7" t="inlineStr">
        <is>
          <t>TEZ</t>
        </is>
      </c>
      <c r="D2277" s="7" t="n">
        <v>22263</v>
      </c>
      <c r="E2277" s="7" t="inlineStr">
        <is>
          <t>TEZ F &amp; S 250 GM FANNINGS STD -MJ-MSR</t>
        </is>
      </c>
      <c r="F2277" s="7" t="n">
        <v>96</v>
      </c>
      <c r="G2277" s="7" t="inlineStr">
        <is>
          <t>POUCH</t>
        </is>
      </c>
      <c r="H2277" t="inlineStr">
        <is>
          <t>BLEND STD-MJ-MSR</t>
        </is>
      </c>
    </row>
    <row r="2278" ht="14.25" customHeight="1" s="5">
      <c r="A2278" s="7" t="n">
        <v>22364</v>
      </c>
      <c r="B2278" s="7" t="inlineStr">
        <is>
          <t>TEZ F &amp; S FANNINGS STD- KTGSILVER [12 X 8 X 250 GM LAMINATE POUCH] PP BAG</t>
        </is>
      </c>
      <c r="C2278" s="7" t="inlineStr">
        <is>
          <t>TEZ</t>
        </is>
      </c>
      <c r="D2278" s="7" t="n">
        <v>22360</v>
      </c>
      <c r="E2278" s="7" t="inlineStr">
        <is>
          <t>TEZ F &amp; S 250 GM FANNINGS STD- KTGSILVER</t>
        </is>
      </c>
      <c r="F2278" s="7" t="n">
        <v>96</v>
      </c>
      <c r="G2278" s="7" t="inlineStr">
        <is>
          <t>POUCH</t>
        </is>
      </c>
      <c r="H2278" t="inlineStr">
        <is>
          <t>BLEND STD- KTGSILVER</t>
        </is>
      </c>
    </row>
    <row r="2279" ht="14.25" customHeight="1" s="5">
      <c r="A2279" s="7" t="n">
        <v>26836</v>
      </c>
      <c r="B2279" s="7" t="inlineStr">
        <is>
          <t>TEZ F &amp; S LEAF MJ-MSL(MISRILAL) [12 X 8 X 250 GM LAMINATE POUCH] PP BAG</t>
        </is>
      </c>
      <c r="C2279" s="7" t="inlineStr">
        <is>
          <t>TEZ</t>
        </is>
      </c>
      <c r="D2279" s="7" t="n">
        <v>26833</v>
      </c>
      <c r="E2279" s="7" t="inlineStr">
        <is>
          <t>TEZ F &amp; S LEAF MJ-MSL(MISRILAL) 250 GM POUCH</t>
        </is>
      </c>
      <c r="F2279" s="7" t="n">
        <v>96</v>
      </c>
      <c r="G2279" s="7" t="inlineStr">
        <is>
          <t>POUCH</t>
        </is>
      </c>
      <c r="H2279" t="inlineStr">
        <is>
          <t>BLEND MJ-MSL(MISRILAL)</t>
        </is>
      </c>
    </row>
    <row r="2280" ht="14.25" customHeight="1" s="5">
      <c r="A2280" s="7" t="n">
        <v>27190</v>
      </c>
      <c r="B2280" s="7" t="inlineStr">
        <is>
          <t>TEZ F &amp; S LEAF MJ-MSL(MISRILAL) [8 X 40 X 20 GM LAMINATE POUCH] CFC</t>
        </is>
      </c>
      <c r="C2280" s="7" t="inlineStr">
        <is>
          <t>TEZ</t>
        </is>
      </c>
      <c r="D2280" s="7" t="n">
        <v>27172</v>
      </c>
      <c r="E2280" s="7" t="inlineStr">
        <is>
          <t>TEZ F &amp; S LEAF MJ-MSL(MISRILAL) 20 GM POUCH</t>
        </is>
      </c>
      <c r="F2280" s="7" t="n">
        <v>320</v>
      </c>
      <c r="G2280" s="7" t="inlineStr">
        <is>
          <t>POUCH</t>
        </is>
      </c>
      <c r="H2280" t="inlineStr">
        <is>
          <t>BLEND MJ-MSL(MISRILAL)</t>
        </is>
      </c>
    </row>
    <row r="2281" ht="14.25" customHeight="1" s="5">
      <c r="A2281" s="7" t="n">
        <v>26837</v>
      </c>
      <c r="B2281" s="7" t="inlineStr">
        <is>
          <t>TEZ F &amp; S LEAF MJ-PRAKASH [12 X 8 X 250 GM LAMINATE POUCH] PP BAG</t>
        </is>
      </c>
      <c r="C2281" s="7" t="inlineStr">
        <is>
          <t>TEZ</t>
        </is>
      </c>
      <c r="D2281" s="7" t="n">
        <v>26834</v>
      </c>
      <c r="E2281" s="7" t="inlineStr">
        <is>
          <t>TEZ F &amp; S LEAF MJ-PRAKASH 250 GM POUCH</t>
        </is>
      </c>
      <c r="F2281" s="7" t="n">
        <v>96</v>
      </c>
      <c r="G2281" s="7" t="inlineStr">
        <is>
          <t>POUCH</t>
        </is>
      </c>
      <c r="H2281" t="inlineStr">
        <is>
          <t>BLEND MJ-PRAKASH</t>
        </is>
      </c>
    </row>
    <row r="2282" ht="14.25" customHeight="1" s="5">
      <c r="A2282" s="7" t="n">
        <v>27196</v>
      </c>
      <c r="B2282" s="7" t="inlineStr">
        <is>
          <t>TEZ F &amp; S LEAF MJ-PRAKASH [8 X 40 X 20 GM LAMINATE POUCH] CFC</t>
        </is>
      </c>
      <c r="C2282" s="7" t="inlineStr">
        <is>
          <t>TEZ</t>
        </is>
      </c>
      <c r="D2282" s="7" t="n">
        <v>27174</v>
      </c>
      <c r="E2282" s="7" t="inlineStr">
        <is>
          <t>TEZ F &amp; S LEAF MJ-PRAKASH 20 GM POUCH</t>
        </is>
      </c>
      <c r="F2282" s="7" t="n">
        <v>320</v>
      </c>
      <c r="G2282" s="7" t="inlineStr">
        <is>
          <t>POUCH</t>
        </is>
      </c>
      <c r="H2282" t="inlineStr">
        <is>
          <t>BLEND MJ-PRAKASH</t>
        </is>
      </c>
    </row>
    <row r="2283" ht="14.25" customHeight="1" s="5">
      <c r="A2283" s="7" t="n">
        <v>21114</v>
      </c>
      <c r="B2283" s="7" t="inlineStr">
        <is>
          <t>TEZ F &amp; S LEAF RG [(12 X 8 X 250 GM + (1 X 4 X 250 GM PG) LAMINATE POUCH] PP BAG</t>
        </is>
      </c>
      <c r="C2283" s="7" t="inlineStr">
        <is>
          <t>TEZ</t>
        </is>
      </c>
      <c r="D2283" s="7" t="n">
        <v>19618</v>
      </c>
      <c r="E2283" s="7" t="inlineStr">
        <is>
          <t>TEZ F &amp; S 250 GM Leaf RG</t>
        </is>
      </c>
      <c r="F2283" s="7" t="n">
        <v>96</v>
      </c>
      <c r="G2283" s="7" t="inlineStr">
        <is>
          <t>POUCH</t>
        </is>
      </c>
      <c r="H2283" t="inlineStr">
        <is>
          <t>BLEND RG TRD SLP</t>
        </is>
      </c>
    </row>
    <row r="2284" ht="14.25" customHeight="1" s="5">
      <c r="A2284" s="7" t="n">
        <v>21114</v>
      </c>
      <c r="B2284" s="7" t="inlineStr">
        <is>
          <t>TEZ F &amp; S LEAF RG [(12 X 8 X 250 GM + (1 X 4 X 250 GM PG) LAMINATE POUCH] PP BAG</t>
        </is>
      </c>
      <c r="C2284" s="7" t="inlineStr">
        <is>
          <t>TEZ</t>
        </is>
      </c>
      <c r="D2284" s="7" t="n">
        <v>19105</v>
      </c>
      <c r="E2284" s="7" t="inlineStr">
        <is>
          <t>Premium Gold 250 GM Leaf RA</t>
        </is>
      </c>
      <c r="F2284" s="7" t="n">
        <v>4</v>
      </c>
      <c r="G2284" s="7" t="inlineStr">
        <is>
          <t>POUCH</t>
        </is>
      </c>
      <c r="H2284" t="inlineStr">
        <is>
          <t>BLEND MAHESHWARI LEAF</t>
        </is>
      </c>
    </row>
    <row r="2285" ht="14.25" customHeight="1" s="5">
      <c r="A2285" s="7" t="n">
        <v>22829</v>
      </c>
      <c r="B2285" s="7" t="inlineStr">
        <is>
          <t>TEZ F &amp; S LEAF RG UTK [12 X 8 X 250 GM LAMINATE POUCH] PP BAG</t>
        </is>
      </c>
      <c r="C2285" s="7" t="inlineStr">
        <is>
          <t>TEZ</t>
        </is>
      </c>
      <c r="D2285" s="7" t="n">
        <v>22828</v>
      </c>
      <c r="E2285" s="7" t="inlineStr">
        <is>
          <t>TEZ F &amp; S UTK 250 GM LEAF RG POUCH</t>
        </is>
      </c>
      <c r="F2285" s="7" t="n">
        <v>96</v>
      </c>
      <c r="G2285" s="7" t="inlineStr">
        <is>
          <t>POUCH</t>
        </is>
      </c>
      <c r="H2285" t="inlineStr">
        <is>
          <t>BLEND RG TRD SLP</t>
        </is>
      </c>
    </row>
    <row r="2286" ht="14.25" customHeight="1" s="5">
      <c r="A2286" s="7" t="n">
        <v>28628</v>
      </c>
      <c r="B2286" s="7" t="inlineStr">
        <is>
          <t>TEZ F &amp; S LEAF RG UTK [12 X 8 X 250 GM LAMINATE POUCH] PP BAG (V2)</t>
        </is>
      </c>
      <c r="C2286" s="7" t="inlineStr">
        <is>
          <t>TEZ</t>
        </is>
      </c>
      <c r="D2286" s="7" t="n">
        <v>19618</v>
      </c>
      <c r="E2286" s="7" t="inlineStr">
        <is>
          <t>TEZ F &amp; S 250 GM Leaf RG</t>
        </is>
      </c>
      <c r="F2286" s="7" t="n">
        <v>96</v>
      </c>
      <c r="G2286" s="7" t="inlineStr">
        <is>
          <t>POUCH</t>
        </is>
      </c>
      <c r="H2286" t="inlineStr">
        <is>
          <t>BLEND RG TRD SLP</t>
        </is>
      </c>
    </row>
    <row r="2287" ht="14.25" customHeight="1" s="5">
      <c r="A2287" s="7" t="n">
        <v>19017</v>
      </c>
      <c r="B2287" s="7" t="inlineStr">
        <is>
          <t>TEZ Premium (100X100) 100 GM Leaf CP Battery RG Rs. 20/-</t>
        </is>
      </c>
      <c r="C2287" s="7" t="inlineStr">
        <is>
          <t>TEZ</t>
        </is>
      </c>
      <c r="D2287" s="7" t="n">
        <v>19098</v>
      </c>
      <c r="E2287" s="7" t="inlineStr">
        <is>
          <t>TEZ Premium 100 GM Leaf CP Battery RG Rs. 20/-</t>
        </is>
      </c>
      <c r="F2287" s="7" t="n">
        <v>100</v>
      </c>
      <c r="G2287" s="7" t="inlineStr">
        <is>
          <t>POUCH</t>
        </is>
      </c>
      <c r="H2287" t="inlineStr">
        <is>
          <t>BLEND RG-TRD</t>
        </is>
      </c>
    </row>
    <row r="2288" ht="14.25" customHeight="1" s="5">
      <c r="A2288" s="7" t="n">
        <v>19018</v>
      </c>
      <c r="B2288" s="7" t="inlineStr">
        <is>
          <t>TEZ Premium (100X100) GM Leaf CP Battery RF 3KG - Trade Promo 3 kg per one Tez 250 gm Carton 20% Extra</t>
        </is>
      </c>
      <c r="C2288" s="7" t="inlineStr">
        <is>
          <t>TEZ</t>
        </is>
      </c>
      <c r="D2288" s="7" t="n">
        <v>19101</v>
      </c>
      <c r="E2288" s="7" t="inlineStr">
        <is>
          <t>TEZ Premium 100 GM Leaf CP Battery RF 3KG - Trade Promo 3 kg per one Tez 250 gm Carton 20% Extra</t>
        </is>
      </c>
      <c r="F2288" s="7" t="n">
        <v>100</v>
      </c>
      <c r="G2288" s="7" t="inlineStr">
        <is>
          <t>POUCH</t>
        </is>
      </c>
      <c r="H2288" t="inlineStr">
        <is>
          <t>BLEND RF-TPM</t>
        </is>
      </c>
    </row>
    <row r="2289" ht="14.25" customHeight="1" s="5">
      <c r="A2289" s="7" t="n">
        <v>19019</v>
      </c>
      <c r="B2289" s="7" t="inlineStr">
        <is>
          <t>TEZ Premium (40 X 15 GM) Leaf RF</t>
        </is>
      </c>
      <c r="C2289" s="7" t="inlineStr">
        <is>
          <t>TEZ</t>
        </is>
      </c>
      <c r="D2289" s="7" t="n">
        <v>19096</v>
      </c>
      <c r="E2289" s="7" t="inlineStr">
        <is>
          <t>TEZ Premium 15 GM Leaf RF</t>
        </is>
      </c>
      <c r="F2289" s="7" t="n">
        <v>800</v>
      </c>
      <c r="G2289" s="7" t="inlineStr">
        <is>
          <t>POUCH</t>
        </is>
      </c>
      <c r="H2289" t="inlineStr">
        <is>
          <t>BLEND RF-TPM</t>
        </is>
      </c>
    </row>
    <row r="2290" ht="14.25" customHeight="1" s="5">
      <c r="A2290" s="7" t="n">
        <v>19020</v>
      </c>
      <c r="B2290" s="7" t="inlineStr">
        <is>
          <t>TEZ Premium (40 X 30 GM) Leaf RF</t>
        </is>
      </c>
      <c r="C2290" s="7" t="inlineStr">
        <is>
          <t>TEZ</t>
        </is>
      </c>
      <c r="D2290" s="7" t="n">
        <v>19097</v>
      </c>
      <c r="E2290" s="7" t="inlineStr">
        <is>
          <t>TEZ Premium 30 GM Leaf RF</t>
        </is>
      </c>
      <c r="F2290" s="7" t="n">
        <v>400</v>
      </c>
      <c r="G2290" s="7" t="inlineStr">
        <is>
          <t>POUCH</t>
        </is>
      </c>
      <c r="H2290" t="inlineStr">
        <is>
          <t>BLEND RF-TPM</t>
        </is>
      </c>
    </row>
    <row r="2291" ht="14.25" customHeight="1" s="5">
      <c r="A2291" s="7" t="n">
        <v>19073</v>
      </c>
      <c r="B2291" s="7" t="inlineStr">
        <is>
          <t>TEZ Premium 100 GM Dust CP Battery RF ( 1 X 10 KG)</t>
        </is>
      </c>
      <c r="C2291" s="7" t="inlineStr">
        <is>
          <t>TEZ</t>
        </is>
      </c>
      <c r="D2291" s="7" t="n">
        <v>19109</v>
      </c>
      <c r="E2291" s="7" t="inlineStr">
        <is>
          <t>TEZ Premium 100 GM Dust CP Battery RF</t>
        </is>
      </c>
      <c r="F2291" s="7" t="n">
        <v>100</v>
      </c>
      <c r="G2291" s="7" t="inlineStr">
        <is>
          <t>POUCH</t>
        </is>
      </c>
      <c r="H2291" t="inlineStr">
        <is>
          <t>BLEND RF-TPM</t>
        </is>
      </c>
    </row>
    <row r="2292" ht="14.25" customHeight="1" s="5">
      <c r="A2292" s="7" t="n">
        <v>19074</v>
      </c>
      <c r="B2292" s="7" t="inlineStr">
        <is>
          <t>TEZ Premium 1000 GM Leaf RC (1 X 12 KG)</t>
        </is>
      </c>
      <c r="C2292" s="7" t="inlineStr">
        <is>
          <t>TEZ</t>
        </is>
      </c>
      <c r="D2292" s="7" t="n">
        <v>19110</v>
      </c>
      <c r="E2292" s="7" t="inlineStr">
        <is>
          <t>TEZ Premium 1000 GM Leaf RC</t>
        </is>
      </c>
      <c r="F2292" s="7" t="n">
        <v>12</v>
      </c>
      <c r="G2292" s="7" t="inlineStr">
        <is>
          <t>POUCH</t>
        </is>
      </c>
      <c r="H2292" t="inlineStr">
        <is>
          <t>BLEND RC-TPM</t>
        </is>
      </c>
    </row>
    <row r="2293" ht="14.25" customHeight="1" s="5">
      <c r="A2293" s="7" t="n">
        <v>19075</v>
      </c>
      <c r="B2293" s="7" t="inlineStr">
        <is>
          <t>TEZ Premium 2 GM Leaf RH (2 X 5 KG)</t>
        </is>
      </c>
      <c r="C2293" s="7" t="inlineStr">
        <is>
          <t>TEZ</t>
        </is>
      </c>
      <c r="D2293" s="7" t="n">
        <v>19117</v>
      </c>
      <c r="E2293" s="7" t="inlineStr">
        <is>
          <t>TEZ Premium 2 GM Leaf RH</t>
        </is>
      </c>
      <c r="F2293" s="7" t="n">
        <v>4000</v>
      </c>
      <c r="G2293" s="7" t="inlineStr">
        <is>
          <t>POUCH</t>
        </is>
      </c>
      <c r="H2293" t="inlineStr">
        <is>
          <t>BLEND RG-(S)</t>
        </is>
      </c>
    </row>
    <row r="2294" ht="14.25" customHeight="1" s="5">
      <c r="A2294" s="7" t="n">
        <v>19159</v>
      </c>
      <c r="B2294" s="7" t="inlineStr">
        <is>
          <t>TEZ Premium 250 GM Leaf CP 20% Free RC (250 X 48)</t>
        </is>
      </c>
      <c r="C2294" s="7" t="inlineStr">
        <is>
          <t>TEZ</t>
        </is>
      </c>
      <c r="D2294" s="7" t="n">
        <v>19106</v>
      </c>
      <c r="E2294" s="7" t="inlineStr">
        <is>
          <t>TEZ Premium 250 GM Leaf CP 20% Free RC</t>
        </is>
      </c>
      <c r="F2294" s="7" t="n">
        <v>24</v>
      </c>
      <c r="G2294" s="7" t="inlineStr">
        <is>
          <t>CTN</t>
        </is>
      </c>
      <c r="H2294" t="inlineStr">
        <is>
          <t>BLEND RC-TPM</t>
        </is>
      </c>
    </row>
    <row r="2295" ht="14.25" customHeight="1" s="5">
      <c r="A2295" s="7" t="n">
        <v>19076</v>
      </c>
      <c r="B2295" s="7" t="inlineStr">
        <is>
          <t>TEZ Premium 250 GM Leaf RC (2 X 6 KG)</t>
        </is>
      </c>
      <c r="C2295" s="7" t="inlineStr">
        <is>
          <t>TEZ</t>
        </is>
      </c>
      <c r="D2295" s="7" t="n">
        <v>19118</v>
      </c>
      <c r="E2295" s="7" t="inlineStr">
        <is>
          <t>TEZ Premium 250 GM Leaf RC</t>
        </is>
      </c>
      <c r="F2295" s="7" t="n">
        <v>48</v>
      </c>
      <c r="G2295" s="7" t="inlineStr">
        <is>
          <t>POUCH</t>
        </is>
      </c>
      <c r="H2295" t="inlineStr">
        <is>
          <t>BLEND RC-TPM</t>
        </is>
      </c>
    </row>
    <row r="2296" ht="14.25" customHeight="1" s="5">
      <c r="A2296" s="7" t="n">
        <v>19077</v>
      </c>
      <c r="B2296" s="7" t="inlineStr">
        <is>
          <t>TEZ Premium 50 GM Leaf RD (0.05 X 240 KG)</t>
        </is>
      </c>
      <c r="C2296" s="7" t="inlineStr">
        <is>
          <t>TEZ</t>
        </is>
      </c>
      <c r="D2296" s="7" t="n">
        <v>19128</v>
      </c>
      <c r="E2296" s="7" t="inlineStr">
        <is>
          <t>TEZ Premium 50 GM Leaf RD</t>
        </is>
      </c>
      <c r="F2296" s="7" t="n">
        <v>240</v>
      </c>
      <c r="G2296" s="7" t="inlineStr">
        <is>
          <t>POUCH</t>
        </is>
      </c>
      <c r="H2296" t="inlineStr">
        <is>
          <t>BLEND RD-TPM</t>
        </is>
      </c>
    </row>
    <row r="2297" ht="14.25" customHeight="1" s="5">
      <c r="A2297" s="7" t="n">
        <v>19078</v>
      </c>
      <c r="B2297" s="7" t="inlineStr">
        <is>
          <t>TEZ Premium 50 GM Leaf RE (0.05 X 240 KG)</t>
        </is>
      </c>
      <c r="C2297" s="7" t="inlineStr">
        <is>
          <t>TEZ</t>
        </is>
      </c>
      <c r="D2297" s="7" t="n">
        <v>19127</v>
      </c>
      <c r="E2297" s="7" t="inlineStr">
        <is>
          <t>TEZ Premium 50 GM Leaf RE</t>
        </is>
      </c>
      <c r="F2297" s="7" t="n">
        <v>240</v>
      </c>
      <c r="G2297" s="7" t="inlineStr">
        <is>
          <t>POUCH</t>
        </is>
      </c>
      <c r="H2297" t="inlineStr">
        <is>
          <t>BLEND RE</t>
        </is>
      </c>
    </row>
    <row r="2298" ht="14.25" customHeight="1" s="5">
      <c r="A2298" s="7" t="n">
        <v>19676</v>
      </c>
      <c r="B2298" s="7" t="inlineStr">
        <is>
          <t>TEZ Premium 50 GM Leaf RG (0.05 X 240 KG)</t>
        </is>
      </c>
      <c r="C2298" s="7" t="inlineStr">
        <is>
          <t>TEZ</t>
        </is>
      </c>
      <c r="D2298" s="7" t="n">
        <v>19674</v>
      </c>
      <c r="E2298" s="7" t="inlineStr">
        <is>
          <t>TEZ Premium 50 GM Leaf RG</t>
        </is>
      </c>
      <c r="F2298" s="7" t="n">
        <v>240</v>
      </c>
      <c r="G2298" s="7" t="inlineStr">
        <is>
          <t>POUCH</t>
        </is>
      </c>
      <c r="H2298" t="inlineStr">
        <is>
          <t>BLEND RG-(S)</t>
        </is>
      </c>
    </row>
    <row r="2299" ht="14.25" customHeight="1" s="5">
      <c r="A2299" s="7" t="n">
        <v>19021</v>
      </c>
      <c r="B2299" s="7" t="inlineStr">
        <is>
          <t>TEZ Premium 500 GM Leaf RC 50% Extra (0.5 X 24 Kg)</t>
        </is>
      </c>
      <c r="C2299" s="7" t="inlineStr">
        <is>
          <t>TEZ</t>
        </is>
      </c>
      <c r="D2299" s="7" t="n">
        <v>19124</v>
      </c>
      <c r="E2299" s="7" t="inlineStr">
        <is>
          <t>TEZ Premium SV 250 GM Leaf RC</t>
        </is>
      </c>
      <c r="F2299" s="7" t="n">
        <v>24</v>
      </c>
      <c r="G2299" s="7" t="inlineStr">
        <is>
          <t>POUCH</t>
        </is>
      </c>
      <c r="H2299" t="inlineStr">
        <is>
          <t>BLEND RC-TPM</t>
        </is>
      </c>
    </row>
    <row r="2300" ht="14.25" customHeight="1" s="5">
      <c r="A2300" s="7" t="n">
        <v>19021</v>
      </c>
      <c r="B2300" s="7" t="inlineStr">
        <is>
          <t>TEZ Premium 500 GM Leaf RC 50% Extra (0.5 X 24 Kg)</t>
        </is>
      </c>
      <c r="C2300" s="7" t="inlineStr">
        <is>
          <t>TEZ</t>
        </is>
      </c>
      <c r="D2300" s="7" t="n">
        <v>19114</v>
      </c>
      <c r="E2300" s="7" t="inlineStr">
        <is>
          <t>TEZ Premium 500 GM Leaf RC 50% Extra</t>
        </is>
      </c>
      <c r="F2300" s="7" t="n">
        <v>24</v>
      </c>
      <c r="G2300" s="7" t="inlineStr">
        <is>
          <t>CTN</t>
        </is>
      </c>
      <c r="H2300" t="inlineStr">
        <is>
          <t>BLEND RC-TPM</t>
        </is>
      </c>
    </row>
    <row r="2301" ht="14.25" customHeight="1" s="5">
      <c r="A2301" s="7" t="n">
        <v>37810</v>
      </c>
      <c r="B2301" s="7" t="inlineStr">
        <is>
          <t>TEZ PREMIUM CLASSIC MILI DUST-VENDING [24 X 1 KG LAMINATE POUCH] PP BAG</t>
        </is>
      </c>
      <c r="C2301" s="7" t="inlineStr">
        <is>
          <t>TEZ</t>
        </is>
      </c>
      <c r="D2301" s="7" t="n">
        <v>37809</v>
      </c>
      <c r="E2301" s="7" t="inlineStr">
        <is>
          <t>TEZ PREMIUM CLASSIC MILI DUST-VENDING 1 KG POUCH</t>
        </is>
      </c>
      <c r="F2301" s="7" t="n">
        <v>24</v>
      </c>
      <c r="G2301" s="7" t="inlineStr">
        <is>
          <t>POUCH</t>
        </is>
      </c>
      <c r="H2301" t="inlineStr">
        <is>
          <t>BLEND MILI DUST -VENDING</t>
        </is>
      </c>
    </row>
    <row r="2302" ht="14.25" customHeight="1" s="5">
      <c r="A2302" s="7" t="n">
        <v>22363</v>
      </c>
      <c r="B2302" s="7" t="inlineStr">
        <is>
          <t>TEZ PREMIUM FANNINGS STD- KTGOLD [12 X 8 X 250 GM LAMINATE POUCH] PP BAG</t>
        </is>
      </c>
      <c r="C2302" s="7" t="inlineStr">
        <is>
          <t>TEZ</t>
        </is>
      </c>
      <c r="D2302" s="7" t="n">
        <v>22368</v>
      </c>
      <c r="E2302" s="7" t="inlineStr">
        <is>
          <t>TEZ PREMIUM 250 GM FANNINGS  STD- KTGOLD</t>
        </is>
      </c>
      <c r="F2302" s="7" t="n">
        <v>96</v>
      </c>
      <c r="G2302" s="7" t="inlineStr">
        <is>
          <t>POUCH</t>
        </is>
      </c>
      <c r="H2302" t="inlineStr">
        <is>
          <t>BLEND STD- KTGOLD</t>
        </is>
      </c>
    </row>
    <row r="2303" ht="14.25" customHeight="1" s="5">
      <c r="A2303" s="7" t="n">
        <v>35171</v>
      </c>
      <c r="B2303" s="7" t="inlineStr">
        <is>
          <t>TEZ PREMIUM GOLD MAHESHWARI LEAF [24 X 1 KG LAMINATE POUCH] CFC SPOON &amp; CALCULATOR OFFER</t>
        </is>
      </c>
      <c r="C2303" s="7" t="inlineStr">
        <is>
          <t>TEZ</t>
        </is>
      </c>
      <c r="D2303" s="7" t="n">
        <v>22882</v>
      </c>
      <c r="E2303" s="7" t="inlineStr">
        <is>
          <t>PREMIUM GOLD LEAF RA 1 KG POUCH</t>
        </is>
      </c>
      <c r="F2303" s="7" t="n">
        <v>24</v>
      </c>
      <c r="G2303" s="7" t="inlineStr">
        <is>
          <t>POUCH</t>
        </is>
      </c>
      <c r="H2303" t="inlineStr">
        <is>
          <t>BLEND MAHESHWARI LEAF</t>
        </is>
      </c>
    </row>
    <row r="2304" ht="14.25" customHeight="1" s="5">
      <c r="A2304" s="7" t="n">
        <v>21973</v>
      </c>
      <c r="B2304" s="7" t="inlineStr">
        <is>
          <t>TEZ PREMIUM LEAF RC [12 X 4 X 500 GM LAMINATE POUCH] PP BAG</t>
        </is>
      </c>
      <c r="C2304" s="7" t="inlineStr">
        <is>
          <t>TEZ</t>
        </is>
      </c>
      <c r="D2304" s="7" t="n">
        <v>21972</v>
      </c>
      <c r="E2304" s="7" t="inlineStr">
        <is>
          <t>TEZ Premium 500 GM Leaf RC</t>
        </is>
      </c>
      <c r="F2304" s="7" t="n">
        <v>48</v>
      </c>
      <c r="G2304" s="7" t="inlineStr">
        <is>
          <t>POUCH</t>
        </is>
      </c>
      <c r="H2304" t="inlineStr">
        <is>
          <t>BLEND RC-TPM</t>
        </is>
      </c>
    </row>
    <row r="2305" ht="14.25" customHeight="1" s="5">
      <c r="A2305" s="7" t="n">
        <v>20779</v>
      </c>
      <c r="B2305" s="7" t="inlineStr">
        <is>
          <t>TEZ PREMIUM LEAF RC [12 X 8 X 250 GM LAMINATE POUCH] PP BAG</t>
        </is>
      </c>
      <c r="C2305" s="7" t="inlineStr">
        <is>
          <t>TEZ</t>
        </is>
      </c>
      <c r="D2305" s="7" t="n">
        <v>19118</v>
      </c>
      <c r="E2305" s="7" t="inlineStr">
        <is>
          <t>TEZ Premium 250 GM Leaf RC</t>
        </is>
      </c>
      <c r="F2305" s="7" t="n">
        <v>96</v>
      </c>
      <c r="G2305" s="7" t="inlineStr">
        <is>
          <t>POUCH</t>
        </is>
      </c>
      <c r="H2305" t="inlineStr">
        <is>
          <t>BLEND RC-TPM</t>
        </is>
      </c>
    </row>
    <row r="2306" ht="14.25" customHeight="1" s="5">
      <c r="A2306" s="7" t="n">
        <v>22081</v>
      </c>
      <c r="B2306" s="7" t="inlineStr">
        <is>
          <t>TEZ PREMIUM LEAF RC [12 X 8 X 250 GM LAMINATE POUCH] PP BAG - INST</t>
        </is>
      </c>
      <c r="C2306" s="7" t="inlineStr">
        <is>
          <t>TEZ</t>
        </is>
      </c>
      <c r="D2306" s="7" t="n">
        <v>19118</v>
      </c>
      <c r="E2306" s="7" t="inlineStr">
        <is>
          <t>TEZ Premium 250 GM Leaf RC</t>
        </is>
      </c>
      <c r="F2306" s="7" t="n">
        <v>96</v>
      </c>
      <c r="G2306" s="7" t="inlineStr">
        <is>
          <t>POUCH</t>
        </is>
      </c>
      <c r="H2306" t="inlineStr">
        <is>
          <t>BLEND RC-TPM</t>
        </is>
      </c>
    </row>
    <row r="2307" ht="14.25" customHeight="1" s="5">
      <c r="A2307" s="7" t="n">
        <v>35168</v>
      </c>
      <c r="B2307" s="7" t="inlineStr">
        <is>
          <t>TEZ PREMIUM LEAF RC [12 X 8 X 250 GM LAMINATE POUCH] PP BAG CALCULATOR OFFER</t>
        </is>
      </c>
      <c r="C2307" s="7" t="inlineStr">
        <is>
          <t>TEZ</t>
        </is>
      </c>
      <c r="D2307" s="7" t="n">
        <v>19118</v>
      </c>
      <c r="E2307" s="7" t="inlineStr">
        <is>
          <t>TEZ Premium 250 GM Leaf RC</t>
        </is>
      </c>
      <c r="F2307" s="7" t="n">
        <v>96</v>
      </c>
      <c r="G2307" s="7" t="inlineStr">
        <is>
          <t>POUCH</t>
        </is>
      </c>
      <c r="H2307" t="inlineStr">
        <is>
          <t>BLEND RC-TPM</t>
        </is>
      </c>
    </row>
    <row r="2308" ht="14.25" customHeight="1" s="5">
      <c r="A2308" s="7" t="n">
        <v>22617</v>
      </c>
      <c r="B2308" s="7" t="inlineStr">
        <is>
          <t>TEZ PREMIUM LEAF RC [12 X 8 X 250 GM LAMINATE POUCH] PP BAG CP OFFER</t>
        </is>
      </c>
      <c r="C2308" s="7" t="inlineStr">
        <is>
          <t>TEZ</t>
        </is>
      </c>
      <c r="D2308" s="7" t="n">
        <v>22618</v>
      </c>
      <c r="E2308" s="7" t="inlineStr">
        <is>
          <t>TEZ PREMIUM 250 GM LEAF RC CP OFFER POUCH</t>
        </is>
      </c>
      <c r="F2308" s="7" t="n">
        <v>96</v>
      </c>
      <c r="G2308" s="7" t="inlineStr">
        <is>
          <t>POUCH</t>
        </is>
      </c>
      <c r="H2308" t="inlineStr">
        <is>
          <t>BLEND RC-TPM</t>
        </is>
      </c>
    </row>
    <row r="2309" ht="14.25" customHeight="1" s="5">
      <c r="A2309" s="7" t="n">
        <v>29002</v>
      </c>
      <c r="B2309" s="7" t="inlineStr">
        <is>
          <t>TEZ PREMIUM LEAF RC [12 X 8 X 250 GM LAMINATE POUCH] PP BAG SPOON OFFER</t>
        </is>
      </c>
      <c r="C2309" s="7" t="inlineStr">
        <is>
          <t>TEZ</t>
        </is>
      </c>
      <c r="D2309" s="7" t="n">
        <v>19118</v>
      </c>
      <c r="E2309" s="7" t="inlineStr">
        <is>
          <t>TEZ Premium 250 GM Leaf RC</t>
        </is>
      </c>
      <c r="F2309" s="7" t="n">
        <v>96</v>
      </c>
      <c r="G2309" s="7" t="inlineStr">
        <is>
          <t>POUCH</t>
        </is>
      </c>
      <c r="H2309" t="inlineStr">
        <is>
          <t>BLEND RC-TPM</t>
        </is>
      </c>
    </row>
    <row r="2310" ht="14.25" customHeight="1" s="5">
      <c r="A2310" s="7" t="n">
        <v>20002</v>
      </c>
      <c r="B2310" s="7" t="inlineStr">
        <is>
          <t>TEZ PREMIUM LEAF RC [18 X 1 KG LAMINATE POUCH] CFC</t>
        </is>
      </c>
      <c r="C2310" s="7" t="inlineStr">
        <is>
          <t>TEZ</t>
        </is>
      </c>
      <c r="D2310" s="7" t="n">
        <v>20014</v>
      </c>
      <c r="E2310" s="7" t="inlineStr">
        <is>
          <t>TEZ PREMIUM LEAF RC 1 KG POUCH</t>
        </is>
      </c>
      <c r="F2310" s="7" t="n">
        <v>18</v>
      </c>
      <c r="G2310" s="7" t="inlineStr">
        <is>
          <t>POUCH</t>
        </is>
      </c>
      <c r="H2310" t="inlineStr">
        <is>
          <t>BLEND RC-TPM</t>
        </is>
      </c>
    </row>
    <row r="2311" ht="14.25" customHeight="1" s="5">
      <c r="A2311" s="7" t="n">
        <v>23782</v>
      </c>
      <c r="B2311" s="7" t="inlineStr">
        <is>
          <t>TEZ PREMIUM LEAF RC [18 X 1 KG LAMINATE POUCH] CFC CP OFFER</t>
        </is>
      </c>
      <c r="C2311" s="7" t="inlineStr">
        <is>
          <t>TEZ</t>
        </is>
      </c>
      <c r="D2311" s="7" t="n">
        <v>20014</v>
      </c>
      <c r="E2311" s="7" t="inlineStr">
        <is>
          <t>TEZ PREMIUM LEAF RC 1 KG POUCH</t>
        </is>
      </c>
      <c r="F2311" s="7" t="n">
        <v>18</v>
      </c>
      <c r="G2311" s="7" t="inlineStr">
        <is>
          <t>POUCH</t>
        </is>
      </c>
      <c r="H2311" t="inlineStr">
        <is>
          <t>BLEND RC-TPM</t>
        </is>
      </c>
    </row>
    <row r="2312" ht="14.25" customHeight="1" s="5">
      <c r="A2312" s="7" t="n">
        <v>35553</v>
      </c>
      <c r="B2312" s="7" t="inlineStr">
        <is>
          <t>TEZ PREMIUM LEAF RC [24 X 1 KG LAMINATE POUCH] CANVAS BAG SPOON &amp; CALCULATOR OFFER</t>
        </is>
      </c>
      <c r="C2312" s="7" t="inlineStr">
        <is>
          <t>TEZ</t>
        </is>
      </c>
      <c r="D2312" s="7" t="n">
        <v>20014</v>
      </c>
      <c r="E2312" s="7" t="inlineStr">
        <is>
          <t>TEZ PREMIUM LEAF RC 1 KG POUCH</t>
        </is>
      </c>
      <c r="F2312" s="7" t="n">
        <v>24</v>
      </c>
      <c r="G2312" s="7" t="inlineStr">
        <is>
          <t>POUCH</t>
        </is>
      </c>
      <c r="H2312" t="inlineStr">
        <is>
          <t>BLEND RC-TPM</t>
        </is>
      </c>
    </row>
    <row r="2313" ht="14.25" customHeight="1" s="5">
      <c r="A2313" s="7" t="n">
        <v>22078</v>
      </c>
      <c r="B2313" s="7" t="inlineStr">
        <is>
          <t>TEZ PREMIUM LEAF RC [24 X 1 KG LAMINATE POUCH] CFC - INST</t>
        </is>
      </c>
      <c r="C2313" s="7" t="inlineStr">
        <is>
          <t>TEZ</t>
        </is>
      </c>
      <c r="D2313" s="7" t="n">
        <v>20014</v>
      </c>
      <c r="E2313" s="7" t="inlineStr">
        <is>
          <t>TEZ PREMIUM LEAF RC 1 KG POUCH</t>
        </is>
      </c>
      <c r="F2313" s="7" t="n">
        <v>24</v>
      </c>
      <c r="G2313" s="7" t="inlineStr">
        <is>
          <t>POUCH</t>
        </is>
      </c>
      <c r="H2313" t="inlineStr">
        <is>
          <t>BLEND RC-TPM</t>
        </is>
      </c>
    </row>
    <row r="2314" ht="14.25" customHeight="1" s="5">
      <c r="A2314" s="7" t="n">
        <v>27421</v>
      </c>
      <c r="B2314" s="7" t="inlineStr">
        <is>
          <t>TEZ PREMIUM LEAF RC [24 X 1 KG LAMINATE POUCH] CFC 4 STEEL GLASS OFFER</t>
        </is>
      </c>
      <c r="C2314" s="7" t="inlineStr">
        <is>
          <t>TEZ</t>
        </is>
      </c>
      <c r="D2314" s="7" t="n">
        <v>20014</v>
      </c>
      <c r="E2314" s="7" t="inlineStr">
        <is>
          <t>TEZ PREMIUM LEAF RC 1 KG POUCH</t>
        </is>
      </c>
      <c r="F2314" s="7" t="n">
        <v>24</v>
      </c>
      <c r="G2314" s="7" t="inlineStr">
        <is>
          <t>POUCH</t>
        </is>
      </c>
      <c r="H2314" t="inlineStr">
        <is>
          <t>BLEND RC-TPM</t>
        </is>
      </c>
    </row>
    <row r="2315" ht="14.25" customHeight="1" s="5">
      <c r="A2315" s="7" t="n">
        <v>26780</v>
      </c>
      <c r="B2315" s="7" t="inlineStr">
        <is>
          <t>TEZ PREMIUM LEAF RC [24 X 1 KG LAMINATE POUCH] CFC CP OFFER</t>
        </is>
      </c>
      <c r="C2315" s="7" t="inlineStr">
        <is>
          <t>TEZ</t>
        </is>
      </c>
      <c r="D2315" s="7" t="n">
        <v>20014</v>
      </c>
      <c r="E2315" s="7" t="inlineStr">
        <is>
          <t>TEZ PREMIUM LEAF RC 1 KG POUCH</t>
        </is>
      </c>
      <c r="F2315" s="7" t="n">
        <v>24</v>
      </c>
      <c r="G2315" s="7" t="inlineStr">
        <is>
          <t>POUCH</t>
        </is>
      </c>
      <c r="H2315" t="inlineStr">
        <is>
          <t>BLEND RC-TPM</t>
        </is>
      </c>
    </row>
    <row r="2316" ht="14.25" customHeight="1" s="5">
      <c r="A2316" s="7" t="n">
        <v>35170</v>
      </c>
      <c r="B2316" s="7" t="inlineStr">
        <is>
          <t>TEZ PREMIUM LEAF RC [24 X 1 KG LAMINATE POUCH] CFC SPOON &amp; CALCULATOR OFFER</t>
        </is>
      </c>
      <c r="C2316" s="7" t="inlineStr">
        <is>
          <t>TEZ</t>
        </is>
      </c>
      <c r="D2316" s="7" t="n">
        <v>20014</v>
      </c>
      <c r="E2316" s="7" t="inlineStr">
        <is>
          <t>TEZ PREMIUM LEAF RC 1 KG POUCH</t>
        </is>
      </c>
      <c r="F2316" s="7" t="n">
        <v>24</v>
      </c>
      <c r="G2316" s="7" t="inlineStr">
        <is>
          <t>POUCH</t>
        </is>
      </c>
      <c r="H2316" t="inlineStr">
        <is>
          <t>BLEND RC-TPM</t>
        </is>
      </c>
    </row>
    <row r="2317" ht="14.25" customHeight="1" s="5">
      <c r="A2317" s="7" t="n">
        <v>34113</v>
      </c>
      <c r="B2317" s="7" t="inlineStr">
        <is>
          <t>TEZ PREMIUM LEAF RC [24 X 1 KG LAMINATE POUCH] CFC SPOON OFFER</t>
        </is>
      </c>
      <c r="C2317" s="7" t="inlineStr">
        <is>
          <t>TEZ</t>
        </is>
      </c>
      <c r="D2317" s="7" t="n">
        <v>20014</v>
      </c>
      <c r="E2317" s="7" t="inlineStr">
        <is>
          <t>TEZ PREMIUM LEAF RC 1 KG POUCH</t>
        </is>
      </c>
      <c r="F2317" s="7" t="n">
        <v>24</v>
      </c>
      <c r="G2317" s="7" t="inlineStr">
        <is>
          <t>POUCH</t>
        </is>
      </c>
      <c r="H2317" t="inlineStr">
        <is>
          <t>BLEND RC-TPM</t>
        </is>
      </c>
    </row>
    <row r="2318" ht="14.25" customHeight="1" s="5">
      <c r="A2318" s="7" t="n">
        <v>20916</v>
      </c>
      <c r="B2318" s="7" t="inlineStr">
        <is>
          <t>TEZ PREMIUM LEAF RC [48 X 300 GM CTN] CFC 20% EXTRA</t>
        </is>
      </c>
      <c r="C2318" s="7" t="inlineStr">
        <is>
          <t>TEZ</t>
        </is>
      </c>
      <c r="D2318" s="7" t="n">
        <v>19106</v>
      </c>
      <c r="E2318" s="7" t="inlineStr">
        <is>
          <t>TEZ Premium 250 GM Leaf CP 20% Free RC</t>
        </is>
      </c>
      <c r="F2318" s="7" t="n">
        <v>48</v>
      </c>
      <c r="G2318" s="7" t="inlineStr">
        <is>
          <t>CTN</t>
        </is>
      </c>
      <c r="H2318" t="inlineStr">
        <is>
          <t>BLEND RC-TPM</t>
        </is>
      </c>
    </row>
    <row r="2319" ht="14.25" customHeight="1" s="5">
      <c r="A2319" s="7" t="n">
        <v>23225</v>
      </c>
      <c r="B2319" s="7" t="inlineStr">
        <is>
          <t>TEZ PREMIUM LEAF RC [72 X 250 GM CTN] CFC</t>
        </is>
      </c>
      <c r="C2319" s="7" t="inlineStr">
        <is>
          <t>TEZ</t>
        </is>
      </c>
      <c r="D2319" s="7" t="n">
        <v>22916</v>
      </c>
      <c r="E2319" s="7" t="inlineStr">
        <is>
          <t>TEZ PREMIUM LEAF RC 250 GMS CTN</t>
        </is>
      </c>
      <c r="F2319" s="7" t="n">
        <v>72</v>
      </c>
      <c r="G2319" s="7" t="inlineStr">
        <is>
          <t>CTN</t>
        </is>
      </c>
      <c r="H2319" t="inlineStr">
        <is>
          <t>BLEND RC-TPM</t>
        </is>
      </c>
    </row>
    <row r="2320" ht="14.25" customHeight="1" s="5">
      <c r="A2320" s="7" t="n">
        <v>27243</v>
      </c>
      <c r="B2320" s="7" t="inlineStr">
        <is>
          <t>TEZ PREMIUM LEAF RC [8 X 40 X 20 GM LAMINATE POUCH] CFC</t>
        </is>
      </c>
      <c r="C2320" s="7" t="inlineStr">
        <is>
          <t>TEZ</t>
        </is>
      </c>
      <c r="D2320" s="7" t="n">
        <v>27240</v>
      </c>
      <c r="E2320" s="7" t="inlineStr">
        <is>
          <t>TEZ PREMIUM LEAF RC 20 GM POUCH</t>
        </is>
      </c>
      <c r="F2320" s="7" t="n">
        <v>320</v>
      </c>
      <c r="G2320" s="7" t="inlineStr">
        <is>
          <t>POUCH</t>
        </is>
      </c>
      <c r="H2320" t="inlineStr">
        <is>
          <t>BLEND RC-TPM</t>
        </is>
      </c>
    </row>
    <row r="2321" ht="14.25" customHeight="1" s="5">
      <c r="A2321" s="7" t="n">
        <v>35299</v>
      </c>
      <c r="B2321" s="7" t="inlineStr">
        <is>
          <t>TEZ PREMIUM LEAF RC [9 X 8 X 250 GM LAMINATE POUCH] PP BAG CP OFFER</t>
        </is>
      </c>
      <c r="C2321" s="7" t="inlineStr">
        <is>
          <t>TEZ</t>
        </is>
      </c>
      <c r="D2321" s="7" t="n">
        <v>22618</v>
      </c>
      <c r="E2321" s="7" t="inlineStr">
        <is>
          <t>TEZ PREMIUM 250 GM LEAF RC CP OFFER POUCH</t>
        </is>
      </c>
      <c r="F2321" s="7" t="n">
        <v>72</v>
      </c>
      <c r="G2321" s="7" t="inlineStr">
        <is>
          <t>POUCH</t>
        </is>
      </c>
      <c r="H2321" t="inlineStr">
        <is>
          <t>BLEND RC-TPM</t>
        </is>
      </c>
    </row>
    <row r="2322" ht="14.25" customHeight="1" s="5">
      <c r="A2322" s="7" t="n">
        <v>22917</v>
      </c>
      <c r="B2322" s="7" t="inlineStr">
        <is>
          <t>TEZ PREMIUM LEAF RC [96 X 250 GM CTN] 24 KG CFC</t>
        </is>
      </c>
      <c r="C2322" s="7" t="inlineStr">
        <is>
          <t>TEZ</t>
        </is>
      </c>
      <c r="D2322" s="7" t="n">
        <v>22916</v>
      </c>
      <c r="E2322" s="7" t="inlineStr">
        <is>
          <t>TEZ PREMIUM LEAF RC 250 GMS CTN</t>
        </is>
      </c>
      <c r="F2322" s="7" t="n">
        <v>96</v>
      </c>
      <c r="G2322" s="7" t="inlineStr">
        <is>
          <t>CTN</t>
        </is>
      </c>
      <c r="H2322" t="inlineStr">
        <is>
          <t>BLEND RC-TPM</t>
        </is>
      </c>
    </row>
    <row r="2323" ht="14.25" customHeight="1" s="5">
      <c r="A2323" s="7" t="n">
        <v>20518</v>
      </c>
      <c r="B2323" s="7" t="inlineStr">
        <is>
          <t>TEZ PREMIUM LEAF RF [40 X 10 X 28 GM LAMINATE POUCH] PP BAG</t>
        </is>
      </c>
      <c r="C2323" s="7" t="inlineStr">
        <is>
          <t>TEZ</t>
        </is>
      </c>
      <c r="D2323" s="7" t="n">
        <v>20521</v>
      </c>
      <c r="E2323" s="7" t="inlineStr">
        <is>
          <t>TEZ Premium 28 GM Leaf RF</t>
        </is>
      </c>
      <c r="F2323" s="7" t="n">
        <v>400</v>
      </c>
      <c r="G2323" s="7" t="inlineStr">
        <is>
          <t>POUCH</t>
        </is>
      </c>
      <c r="H2323" t="inlineStr">
        <is>
          <t>BLEND RF-TPM</t>
        </is>
      </c>
    </row>
    <row r="2324" ht="14.25" customHeight="1" s="5">
      <c r="A2324" s="7" t="n">
        <v>20517</v>
      </c>
      <c r="B2324" s="7" t="inlineStr">
        <is>
          <t>TEZ PREMIUM LEAF RF [40 X 20 X 14 GM LAMINATE POUCH] PP BAG</t>
        </is>
      </c>
      <c r="C2324" s="7" t="inlineStr">
        <is>
          <t>TEZ</t>
        </is>
      </c>
      <c r="D2324" s="7" t="n">
        <v>20520</v>
      </c>
      <c r="E2324" s="7" t="inlineStr">
        <is>
          <t>TEZ Premium 14 GM Leaf RF</t>
        </is>
      </c>
      <c r="F2324" s="7" t="n">
        <v>800</v>
      </c>
      <c r="G2324" s="7" t="inlineStr">
        <is>
          <t>POUCH</t>
        </is>
      </c>
      <c r="H2324" t="inlineStr">
        <is>
          <t>BLEND RF-TPM</t>
        </is>
      </c>
    </row>
    <row r="2325" ht="14.25" customHeight="1" s="5">
      <c r="A2325" s="7" t="n">
        <v>20608</v>
      </c>
      <c r="B2325" s="7" t="inlineStr">
        <is>
          <t>TEZ PREMIUM LEAF RF[40 X10X26GM LAMINATE POUCH]PP BAG</t>
        </is>
      </c>
      <c r="C2325" s="7" t="inlineStr">
        <is>
          <t>TEZ</t>
        </is>
      </c>
      <c r="D2325" s="7" t="n">
        <v>20610</v>
      </c>
      <c r="E2325" s="7" t="inlineStr">
        <is>
          <t>TEZ Premium 26 GM Leaf RF</t>
        </is>
      </c>
      <c r="F2325" s="7" t="n">
        <v>400</v>
      </c>
      <c r="G2325" s="7" t="inlineStr">
        <is>
          <t>POUCH</t>
        </is>
      </c>
      <c r="H2325" t="inlineStr">
        <is>
          <t>BLEND RG-TRD</t>
        </is>
      </c>
    </row>
    <row r="2326" ht="14.25" customHeight="1" s="5">
      <c r="A2326" s="7" t="n">
        <v>20607</v>
      </c>
      <c r="B2326" s="7" t="inlineStr">
        <is>
          <t>TEZ PREMIUM LEAF RF[40X20X13GM LAMINATE POUCH]PP BAG</t>
        </is>
      </c>
      <c r="C2326" s="7" t="inlineStr">
        <is>
          <t>TEZ</t>
        </is>
      </c>
      <c r="D2326" s="7" t="n">
        <v>20609</v>
      </c>
      <c r="E2326" s="7" t="inlineStr">
        <is>
          <t>TEZ Premium 13 GM Leaf RF</t>
        </is>
      </c>
      <c r="F2326" s="7" t="n">
        <v>800</v>
      </c>
      <c r="G2326" s="7" t="inlineStr">
        <is>
          <t>POUCH</t>
        </is>
      </c>
      <c r="H2326" t="inlineStr">
        <is>
          <t>BLEND RG-TRD</t>
        </is>
      </c>
    </row>
    <row r="2327" ht="14.25" customHeight="1" s="5">
      <c r="A2327" s="7" t="n">
        <v>22624</v>
      </c>
      <c r="B2327" s="7" t="inlineStr">
        <is>
          <t>TEZ PREMIUM LEAF RG [(18 X 10 X 100 GM)+( 18 X 10 X 26 GM) LAMINATE POUCH] PP BAG Rs.10/- OFFER</t>
        </is>
      </c>
      <c r="C2327" s="7" t="inlineStr">
        <is>
          <t>TEZ</t>
        </is>
      </c>
      <c r="D2327" s="7" t="n">
        <v>22619</v>
      </c>
      <c r="E2327" s="7" t="inlineStr">
        <is>
          <t>TEZ PREMIUM 100 GM LEAF RG POUCH</t>
        </is>
      </c>
      <c r="F2327" s="7" t="n">
        <v>180</v>
      </c>
      <c r="G2327" s="7" t="inlineStr">
        <is>
          <t>POUCH</t>
        </is>
      </c>
      <c r="H2327" t="inlineStr">
        <is>
          <t>BLEND RG STAR</t>
        </is>
      </c>
    </row>
    <row r="2328" ht="14.25" customHeight="1" s="5">
      <c r="A2328" s="7" t="n">
        <v>22624</v>
      </c>
      <c r="B2328" s="7" t="inlineStr">
        <is>
          <t>TEZ PREMIUM LEAF RG [(18 X 10 X 100 GM)+( 18 X 10 X 26 GM) LAMINATE POUCH] PP BAG Rs.10/- OFFER</t>
        </is>
      </c>
      <c r="C2328" s="7" t="inlineStr">
        <is>
          <t>TEZ</t>
        </is>
      </c>
      <c r="D2328" s="7" t="n">
        <v>20756</v>
      </c>
      <c r="E2328" s="7" t="inlineStr">
        <is>
          <t>TEZ Premium 26 GM Leaf RG</t>
        </is>
      </c>
      <c r="F2328" s="7" t="n">
        <v>180</v>
      </c>
      <c r="G2328" s="7" t="inlineStr">
        <is>
          <t>POUCH</t>
        </is>
      </c>
      <c r="H2328" t="inlineStr">
        <is>
          <t>BLEND RG-(S)-SOUTH</t>
        </is>
      </c>
    </row>
    <row r="2329" ht="14.25" customHeight="1" s="5">
      <c r="A2329" s="7" t="n">
        <v>21133</v>
      </c>
      <c r="B2329" s="7" t="inlineStr">
        <is>
          <t>TEZ PREMIUM LEAF RG [(65 X 20 X 13 GM) + (1 X 4 X 250 GM PG) LAMINATE POUCH] PP BAG</t>
        </is>
      </c>
      <c r="C2329" s="7" t="inlineStr">
        <is>
          <t>TEZ</t>
        </is>
      </c>
      <c r="D2329" s="7" t="n">
        <v>20755</v>
      </c>
      <c r="E2329" s="7" t="inlineStr">
        <is>
          <t>TEZ Premium 13 GM Leaf RG</t>
        </is>
      </c>
      <c r="F2329" s="7" t="n">
        <v>1300</v>
      </c>
      <c r="G2329" s="7" t="inlineStr">
        <is>
          <t>POUCH</t>
        </is>
      </c>
      <c r="H2329" t="inlineStr">
        <is>
          <t>BLEND RG-(S)-SOUTH</t>
        </is>
      </c>
    </row>
    <row r="2330" ht="14.25" customHeight="1" s="5">
      <c r="A2330" s="7" t="n">
        <v>21133</v>
      </c>
      <c r="B2330" s="7" t="inlineStr">
        <is>
          <t>TEZ PREMIUM LEAF RG [(65 X 20 X 13 GM) + (1 X 4 X 250 GM PG) LAMINATE POUCH] PP BAG</t>
        </is>
      </c>
      <c r="C2330" s="7" t="inlineStr">
        <is>
          <t>TEZ</t>
        </is>
      </c>
      <c r="D2330" s="7" t="n">
        <v>19105</v>
      </c>
      <c r="E2330" s="7" t="inlineStr">
        <is>
          <t>Premium Gold 250 GM Leaf RA</t>
        </is>
      </c>
      <c r="F2330" s="7" t="n">
        <v>4</v>
      </c>
      <c r="G2330" s="7" t="inlineStr">
        <is>
          <t>POUCH</t>
        </is>
      </c>
      <c r="H2330" t="inlineStr">
        <is>
          <t>BLEND MAHESHWARI LEAF</t>
        </is>
      </c>
    </row>
    <row r="2331" ht="14.25" customHeight="1" s="5">
      <c r="A2331" s="7" t="n">
        <v>21110</v>
      </c>
      <c r="B2331" s="7" t="inlineStr">
        <is>
          <t>TEZ PREMIUM LEAF RG [(80 X 10 X 26 GM) + (1 X 4 X 250 GM PG) LAMINATE POUCH] PP BAG</t>
        </is>
      </c>
      <c r="C2331" s="7" t="inlineStr">
        <is>
          <t>TEZ</t>
        </is>
      </c>
      <c r="D2331" s="7" t="n">
        <v>19105</v>
      </c>
      <c r="E2331" s="7" t="inlineStr">
        <is>
          <t>Premium Gold 250 GM Leaf RA</t>
        </is>
      </c>
      <c r="F2331" s="7" t="n">
        <v>4</v>
      </c>
      <c r="G2331" s="7" t="inlineStr">
        <is>
          <t>POUCH</t>
        </is>
      </c>
      <c r="H2331" t="inlineStr">
        <is>
          <t>BLEND MAHESHWARI LEAF</t>
        </is>
      </c>
    </row>
    <row r="2332" ht="14.25" customHeight="1" s="5">
      <c r="A2332" s="7" t="n">
        <v>21110</v>
      </c>
      <c r="B2332" s="7" t="inlineStr">
        <is>
          <t>TEZ PREMIUM LEAF RG [(80 X 10 X 26 GM) + (1 X 4 X 250 GM PG) LAMINATE POUCH] PP BAG</t>
        </is>
      </c>
      <c r="C2332" s="7" t="inlineStr">
        <is>
          <t>TEZ</t>
        </is>
      </c>
      <c r="D2332" s="7" t="n">
        <v>20756</v>
      </c>
      <c r="E2332" s="7" t="inlineStr">
        <is>
          <t>TEZ Premium 26 GM Leaf RG</t>
        </is>
      </c>
      <c r="F2332" s="7" t="n">
        <v>800</v>
      </c>
      <c r="G2332" s="7" t="inlineStr">
        <is>
          <t>POUCH</t>
        </is>
      </c>
      <c r="H2332" t="inlineStr">
        <is>
          <t>BLEND RG-(S)-SOUTH</t>
        </is>
      </c>
    </row>
    <row r="2333" ht="14.25" customHeight="1" s="5">
      <c r="A2333" s="7" t="n">
        <v>21109</v>
      </c>
      <c r="B2333" s="7" t="inlineStr">
        <is>
          <t>TEZ PREMIUM LEAF RG [(80 X 20 X 13 GM) + (1 X 4 X 250 GM PG) LAMINATE POUCH] PP BAG</t>
        </is>
      </c>
      <c r="C2333" s="7" t="inlineStr">
        <is>
          <t>TEZ</t>
        </is>
      </c>
      <c r="D2333" s="7" t="n">
        <v>20755</v>
      </c>
      <c r="E2333" s="7" t="inlineStr">
        <is>
          <t>TEZ Premium 13 GM Leaf RG</t>
        </is>
      </c>
      <c r="F2333" s="7" t="n">
        <v>1600</v>
      </c>
      <c r="G2333" s="7" t="inlineStr">
        <is>
          <t>POUCH</t>
        </is>
      </c>
      <c r="H2333" t="inlineStr">
        <is>
          <t>BLEND RG-(S)-SOUTH</t>
        </is>
      </c>
    </row>
    <row r="2334" ht="14.25" customHeight="1" s="5">
      <c r="A2334" s="7" t="n">
        <v>21109</v>
      </c>
      <c r="B2334" s="7" t="inlineStr">
        <is>
          <t>TEZ PREMIUM LEAF RG [(80 X 20 X 13 GM) + (1 X 4 X 250 GM PG) LAMINATE POUCH] PP BAG</t>
        </is>
      </c>
      <c r="C2334" s="7" t="inlineStr">
        <is>
          <t>TEZ</t>
        </is>
      </c>
      <c r="D2334" s="7" t="n">
        <v>19105</v>
      </c>
      <c r="E2334" s="7" t="inlineStr">
        <is>
          <t>Premium Gold 250 GM Leaf RA</t>
        </is>
      </c>
      <c r="F2334" s="7" t="n">
        <v>4</v>
      </c>
      <c r="G2334" s="7" t="inlineStr">
        <is>
          <t>POUCH</t>
        </is>
      </c>
      <c r="H2334" t="inlineStr">
        <is>
          <t>BLEND MAHESHWARI LEAF</t>
        </is>
      </c>
    </row>
    <row r="2335" ht="14.25" customHeight="1" s="5">
      <c r="A2335" s="7" t="n">
        <v>22983</v>
      </c>
      <c r="B2335" s="7" t="inlineStr">
        <is>
          <t>TEZ PREMIUM LEAF RG [14 X 10 X 100 GM CTN] CFC</t>
        </is>
      </c>
      <c r="C2335" s="7" t="inlineStr">
        <is>
          <t>TEZ</t>
        </is>
      </c>
      <c r="D2335" s="7" t="n">
        <v>22963</v>
      </c>
      <c r="E2335" s="7" t="inlineStr">
        <is>
          <t>TEZ PREMIUM 100 GM LEAF RG CTN</t>
        </is>
      </c>
      <c r="F2335" s="7" t="n">
        <v>140</v>
      </c>
      <c r="G2335" s="7" t="inlineStr">
        <is>
          <t>CTN</t>
        </is>
      </c>
      <c r="H2335" t="inlineStr">
        <is>
          <t>BLEND RG STAR</t>
        </is>
      </c>
    </row>
    <row r="2336" ht="14.25" customHeight="1" s="5">
      <c r="A2336" s="7" t="n">
        <v>20757</v>
      </c>
      <c r="B2336" s="7" t="inlineStr">
        <is>
          <t>TEZ PREMIUM LEAF RG [20 X 10 X 100 GM LAMINATE POUCH] PP BAG CP BT</t>
        </is>
      </c>
      <c r="C2336" s="7" t="inlineStr">
        <is>
          <t>TEZ</t>
        </is>
      </c>
      <c r="D2336" s="7" t="n">
        <v>19098</v>
      </c>
      <c r="E2336" s="7" t="inlineStr">
        <is>
          <t>TEZ Premium 100 GM Leaf CP Battery RG Rs. 20/-</t>
        </is>
      </c>
      <c r="F2336" s="7" t="n">
        <v>200</v>
      </c>
      <c r="G2336" s="7" t="inlineStr">
        <is>
          <t>POUCH</t>
        </is>
      </c>
      <c r="H2336" t="inlineStr">
        <is>
          <t>BLEND RG-TRD</t>
        </is>
      </c>
    </row>
    <row r="2337" ht="14.25" customHeight="1" s="5">
      <c r="A2337" s="7" t="n">
        <v>22621</v>
      </c>
      <c r="B2337" s="7" t="inlineStr">
        <is>
          <t>TEZ PREMIUM LEAF RG [24 X 10 X 100 GM LAMINATE POUCH] PP BAG</t>
        </is>
      </c>
      <c r="C2337" s="7" t="inlineStr">
        <is>
          <t>TEZ</t>
        </is>
      </c>
      <c r="D2337" s="7" t="n">
        <v>22619</v>
      </c>
      <c r="E2337" s="7" t="inlineStr">
        <is>
          <t>TEZ PREMIUM 100 GM LEAF RG POUCH</t>
        </is>
      </c>
      <c r="F2337" s="7" t="n">
        <v>240</v>
      </c>
      <c r="G2337" s="7" t="inlineStr">
        <is>
          <t>POUCH</t>
        </is>
      </c>
      <c r="H2337" t="inlineStr">
        <is>
          <t>BLEND RG STAR</t>
        </is>
      </c>
    </row>
    <row r="2338" ht="14.25" customHeight="1" s="5">
      <c r="A2338" s="7" t="n">
        <v>20828</v>
      </c>
      <c r="B2338" s="7" t="inlineStr">
        <is>
          <t>TEZ PREMIUM LEAF RG [24 X 20 X 50 GM LAMINATE POUCH] PP BAG</t>
        </is>
      </c>
      <c r="C2338" s="7" t="inlineStr">
        <is>
          <t>TEZ</t>
        </is>
      </c>
      <c r="D2338" s="7" t="n">
        <v>19674</v>
      </c>
      <c r="E2338" s="7" t="inlineStr">
        <is>
          <t>TEZ Premium 50 GM Leaf RG</t>
        </is>
      </c>
      <c r="F2338" s="7" t="n">
        <v>480</v>
      </c>
      <c r="G2338" s="7" t="inlineStr">
        <is>
          <t>POUCH</t>
        </is>
      </c>
      <c r="H2338" t="inlineStr">
        <is>
          <t>BLEND RG-(S)</t>
        </is>
      </c>
    </row>
    <row r="2339" ht="14.25" customHeight="1" s="5">
      <c r="A2339" s="7" t="n">
        <v>28072</v>
      </c>
      <c r="B2339" s="7" t="inlineStr">
        <is>
          <t>TEZ PREMIUM LEAF RG [3 X 20 X 10 X 30 GM LAMINATE POUCH] PP OLD  BAG</t>
        </is>
      </c>
      <c r="C2339" s="7" t="inlineStr">
        <is>
          <t>TEZ</t>
        </is>
      </c>
      <c r="D2339" s="7" t="n">
        <v>28075</v>
      </c>
      <c r="E2339" s="7" t="inlineStr">
        <is>
          <t>TEZ Premium 30 GM Leaf RG</t>
        </is>
      </c>
      <c r="F2339" s="7" t="n">
        <v>600</v>
      </c>
      <c r="G2339" s="7" t="inlineStr">
        <is>
          <t>POUCH</t>
        </is>
      </c>
      <c r="H2339" t="inlineStr">
        <is>
          <t>BLEND RG-(S)-SOUTH</t>
        </is>
      </c>
    </row>
    <row r="2340" ht="14.25" customHeight="1" s="5">
      <c r="A2340" s="7" t="n">
        <v>32746</v>
      </c>
      <c r="B2340" s="7" t="inlineStr">
        <is>
          <t>TEZ PREMIUM LEAF RG [4 X 20 X 10 X 24 GM LAMINATE POUCH] PP OLD BAG</t>
        </is>
      </c>
      <c r="C2340" s="7" t="inlineStr">
        <is>
          <t>TEZ</t>
        </is>
      </c>
      <c r="D2340" s="7" t="n">
        <v>32752</v>
      </c>
      <c r="E2340" s="7" t="inlineStr">
        <is>
          <t>TEZ PREMIUM 24 GM LEAF RG</t>
        </is>
      </c>
      <c r="F2340" s="7" t="n">
        <v>800</v>
      </c>
      <c r="G2340" s="7" t="inlineStr">
        <is>
          <t>POUCH</t>
        </is>
      </c>
      <c r="H2340" t="inlineStr">
        <is>
          <t>BLEND RG-(S)-SOUTH</t>
        </is>
      </c>
    </row>
    <row r="2341" ht="14.25" customHeight="1" s="5">
      <c r="A2341" s="7" t="n">
        <v>26057</v>
      </c>
      <c r="B2341" s="7" t="inlineStr">
        <is>
          <t>TEZ PREMIUM LEAF RG [4 X 20 X 10 X 26 GM LAMINATE POUCH] PP OLD  BAG</t>
        </is>
      </c>
      <c r="C2341" s="7" t="inlineStr">
        <is>
          <t>TEZ</t>
        </is>
      </c>
      <c r="D2341" s="7" t="n">
        <v>20756</v>
      </c>
      <c r="E2341" s="7" t="inlineStr">
        <is>
          <t>TEZ Premium 26 GM Leaf RG</t>
        </is>
      </c>
      <c r="F2341" s="7" t="n">
        <v>800</v>
      </c>
      <c r="G2341" s="7" t="inlineStr">
        <is>
          <t>POUCH</t>
        </is>
      </c>
      <c r="H2341" t="inlineStr">
        <is>
          <t>BLEND RG-(S)-SOUTH</t>
        </is>
      </c>
    </row>
    <row r="2342" ht="14.25" customHeight="1" s="5">
      <c r="A2342" s="7" t="n">
        <v>23389</v>
      </c>
      <c r="B2342" s="7" t="inlineStr">
        <is>
          <t>TEZ PREMIUM LEAF RG [4 X 20 X 10 X 26 GM LAMINATE POUCH] PP OLD BAG</t>
        </is>
      </c>
      <c r="C2342" s="7" t="inlineStr">
        <is>
          <t>TEZ</t>
        </is>
      </c>
      <c r="D2342" s="7" t="n">
        <v>20756</v>
      </c>
      <c r="E2342" s="7" t="inlineStr">
        <is>
          <t>TEZ Premium 26 GM Leaf RG</t>
        </is>
      </c>
      <c r="F2342" s="7" t="n">
        <v>800</v>
      </c>
      <c r="G2342" s="7" t="inlineStr">
        <is>
          <t>POUCH</t>
        </is>
      </c>
      <c r="H2342" t="inlineStr">
        <is>
          <t>BLEND RG-(S)-SOUTH</t>
        </is>
      </c>
    </row>
    <row r="2343" ht="14.25" customHeight="1" s="5">
      <c r="A2343" s="7" t="n">
        <v>23664</v>
      </c>
      <c r="B2343" s="7" t="inlineStr">
        <is>
          <t>TEZ PREMIUM LEAF RG [4 X 20 X 10 X 35 GM LAMINATE POUCH] PP OLD BAG</t>
        </is>
      </c>
      <c r="C2343" s="7" t="inlineStr">
        <is>
          <t>TEZ</t>
        </is>
      </c>
      <c r="D2343" s="7" t="n">
        <v>23661</v>
      </c>
      <c r="E2343" s="7" t="inlineStr">
        <is>
          <t>TEZ PREMIUM 35 GM LEAF RG</t>
        </is>
      </c>
      <c r="F2343" s="7" t="n">
        <v>800</v>
      </c>
      <c r="G2343" s="7" t="inlineStr">
        <is>
          <t>POUCH</t>
        </is>
      </c>
      <c r="H2343" t="inlineStr">
        <is>
          <t>BLEND RG-(S)</t>
        </is>
      </c>
    </row>
    <row r="2344" ht="14.25" customHeight="1" s="5">
      <c r="A2344" s="7" t="n">
        <v>32745</v>
      </c>
      <c r="B2344" s="7" t="inlineStr">
        <is>
          <t>TEZ PREMIUM LEAF RG [4 X 20 X 20 X 12 GM LAMINATE POUCH] PP OLD BAG</t>
        </is>
      </c>
      <c r="C2344" s="7" t="inlineStr">
        <is>
          <t>TEZ</t>
        </is>
      </c>
      <c r="D2344" s="7" t="n">
        <v>32751</v>
      </c>
      <c r="E2344" s="7" t="inlineStr">
        <is>
          <t>TEZ PREMIUM 12 GM LEAF RG</t>
        </is>
      </c>
      <c r="F2344" s="7" t="n">
        <v>1600</v>
      </c>
      <c r="G2344" s="7" t="inlineStr">
        <is>
          <t>POUCH</t>
        </is>
      </c>
      <c r="H2344" t="inlineStr">
        <is>
          <t>BLEND RG-(S)-SOUTH</t>
        </is>
      </c>
    </row>
    <row r="2345" ht="14.25" customHeight="1" s="5">
      <c r="A2345" s="7" t="n">
        <v>26056</v>
      </c>
      <c r="B2345" s="7" t="inlineStr">
        <is>
          <t>TEZ PREMIUM LEAF RG [4 X 20 X 20 X 13 GM LAMINATE POUCH] PP OLD  BAG</t>
        </is>
      </c>
      <c r="C2345" s="7" t="inlineStr">
        <is>
          <t>TEZ</t>
        </is>
      </c>
      <c r="D2345" s="7" t="n">
        <v>20755</v>
      </c>
      <c r="E2345" s="7" t="inlineStr">
        <is>
          <t>TEZ Premium 13 GM Leaf RG</t>
        </is>
      </c>
      <c r="F2345" s="7" t="n">
        <v>1600</v>
      </c>
      <c r="G2345" s="7" t="inlineStr">
        <is>
          <t>POUCH</t>
        </is>
      </c>
      <c r="H2345" t="inlineStr">
        <is>
          <t>BLEND RG-(S)-SOUTH</t>
        </is>
      </c>
    </row>
    <row r="2346" ht="14.25" customHeight="1" s="5">
      <c r="A2346" s="7" t="n">
        <v>23388</v>
      </c>
      <c r="B2346" s="7" t="inlineStr">
        <is>
          <t>TEZ PREMIUM LEAF RG [4 X 20 X 20 X 13 GM LAMINATE POUCH] PP OLD BAG</t>
        </is>
      </c>
      <c r="C2346" s="7" t="inlineStr">
        <is>
          <t>TEZ</t>
        </is>
      </c>
      <c r="D2346" s="7" t="n">
        <v>20755</v>
      </c>
      <c r="E2346" s="7" t="inlineStr">
        <is>
          <t>TEZ Premium 13 GM Leaf RG</t>
        </is>
      </c>
      <c r="F2346" s="7" t="n">
        <v>1600</v>
      </c>
      <c r="G2346" s="7" t="inlineStr">
        <is>
          <t>POUCH</t>
        </is>
      </c>
      <c r="H2346" t="inlineStr">
        <is>
          <t>BLEND RG-(S)-SOUTH</t>
        </is>
      </c>
    </row>
    <row r="2347" ht="14.25" customHeight="1" s="5">
      <c r="A2347" s="7" t="n">
        <v>21132</v>
      </c>
      <c r="B2347" s="7" t="inlineStr">
        <is>
          <t>TEZ PREMIUM LEAF RG [65 X 20 X 13 GM LAMINATE POUCH] PP BAG</t>
        </is>
      </c>
      <c r="C2347" s="7" t="inlineStr">
        <is>
          <t>TEZ</t>
        </is>
      </c>
      <c r="D2347" s="7" t="n">
        <v>20755</v>
      </c>
      <c r="E2347" s="7" t="inlineStr">
        <is>
          <t>TEZ Premium 13 GM Leaf RG</t>
        </is>
      </c>
      <c r="F2347" s="7" t="n">
        <v>1300</v>
      </c>
      <c r="G2347" s="7" t="inlineStr">
        <is>
          <t>POUCH</t>
        </is>
      </c>
      <c r="H2347" t="inlineStr">
        <is>
          <t>BLEND RG-(S)-SOUTH</t>
        </is>
      </c>
    </row>
    <row r="2348" ht="14.25" customHeight="1" s="5">
      <c r="A2348" s="7" t="n">
        <v>20754</v>
      </c>
      <c r="B2348" s="7" t="inlineStr">
        <is>
          <t>TEZ PREMIUM LEAF RG [80 X 10 X 26 GM LAMINATE POUCH] PP BAG</t>
        </is>
      </c>
      <c r="C2348" s="7" t="inlineStr">
        <is>
          <t>TEZ</t>
        </is>
      </c>
      <c r="D2348" s="7" t="n">
        <v>20756</v>
      </c>
      <c r="E2348" s="7" t="inlineStr">
        <is>
          <t>TEZ Premium 26 GM Leaf RG</t>
        </is>
      </c>
      <c r="F2348" s="7" t="n">
        <v>800</v>
      </c>
      <c r="G2348" s="7" t="inlineStr">
        <is>
          <t>POUCH</t>
        </is>
      </c>
      <c r="H2348" t="inlineStr">
        <is>
          <t>BLEND RG-(S)-SOUTH</t>
        </is>
      </c>
    </row>
    <row r="2349" ht="14.25" customHeight="1" s="5">
      <c r="A2349" s="7" t="n">
        <v>20753</v>
      </c>
      <c r="B2349" s="7" t="inlineStr">
        <is>
          <t>TEZ PREMIUM LEAF RG [80 X 20 X 13 GM LAMINATE POUCH] PP BAG</t>
        </is>
      </c>
      <c r="C2349" s="7" t="inlineStr">
        <is>
          <t>TEZ</t>
        </is>
      </c>
      <c r="D2349" s="7" t="n">
        <v>20755</v>
      </c>
      <c r="E2349" s="7" t="inlineStr">
        <is>
          <t>TEZ Premium 13 GM Leaf RG</t>
        </is>
      </c>
      <c r="F2349" s="7" t="n">
        <v>1600</v>
      </c>
      <c r="G2349" s="7" t="inlineStr">
        <is>
          <t>POUCH</t>
        </is>
      </c>
      <c r="H2349" t="inlineStr">
        <is>
          <t>BLEND RG-(S)-SOUTH</t>
        </is>
      </c>
    </row>
    <row r="2350" ht="14.25" customHeight="1" s="5">
      <c r="A2350" s="7" t="n">
        <v>33642</v>
      </c>
      <c r="B2350" s="7" t="inlineStr">
        <is>
          <t>TEZ PREMIUM LEAF RG STAR [ 20 X 10 X 100 GM LAMINATE POUCH] PP BAG BATTERY OFFER</t>
        </is>
      </c>
      <c r="C2350" s="7" t="inlineStr">
        <is>
          <t>TEZ</t>
        </is>
      </c>
      <c r="D2350" s="7" t="n">
        <v>22619</v>
      </c>
      <c r="E2350" s="7" t="inlineStr">
        <is>
          <t>TEZ PREMIUM 100 GM LEAF RG POUCH</t>
        </is>
      </c>
      <c r="F2350" s="7" t="n">
        <v>200</v>
      </c>
      <c r="G2350" s="7" t="inlineStr">
        <is>
          <t>POUCH</t>
        </is>
      </c>
      <c r="H2350" t="inlineStr">
        <is>
          <t>BLEND RG STAR</t>
        </is>
      </c>
    </row>
    <row r="2351" ht="14.25" customHeight="1" s="5">
      <c r="A2351" s="7" t="n">
        <v>33674</v>
      </c>
      <c r="B2351" s="7" t="inlineStr">
        <is>
          <t>TEZ PREMIUM LEAF RG STAR [ 24 X 10 X 100 GM LAMINATE POUCH] PP BAG BATTERY OFFER</t>
        </is>
      </c>
      <c r="C2351" s="7" t="inlineStr">
        <is>
          <t>TEZ</t>
        </is>
      </c>
      <c r="D2351" s="7" t="n">
        <v>22619</v>
      </c>
      <c r="E2351" s="7" t="inlineStr">
        <is>
          <t>TEZ PREMIUM 100 GM LEAF RG POUCH</t>
        </is>
      </c>
      <c r="F2351" s="7" t="n">
        <v>240</v>
      </c>
      <c r="G2351" s="7" t="inlineStr">
        <is>
          <t>POUCH</t>
        </is>
      </c>
      <c r="H2351" t="inlineStr">
        <is>
          <t>BLEND RG STAR</t>
        </is>
      </c>
    </row>
    <row r="2352" ht="14.25" customHeight="1" s="5">
      <c r="A2352" s="7" t="n">
        <v>35045</v>
      </c>
      <c r="B2352" s="7" t="inlineStr">
        <is>
          <t>TEZ PREMIUM LEAF RG STAR [(18 X 10 X 100 GM)+( 18 X 10 X 24 GM) LAMINATE POUCH] PP BAG OFFER</t>
        </is>
      </c>
      <c r="C2352" s="7" t="inlineStr">
        <is>
          <t>TEZ</t>
        </is>
      </c>
      <c r="D2352" s="7" t="n">
        <v>22619</v>
      </c>
      <c r="E2352" s="7" t="inlineStr">
        <is>
          <t>TEZ PREMIUM 100 GM LEAF RG POUCH</t>
        </is>
      </c>
      <c r="F2352" s="7" t="n">
        <v>180</v>
      </c>
      <c r="G2352" s="7" t="inlineStr">
        <is>
          <t>POUCH</t>
        </is>
      </c>
      <c r="H2352" t="inlineStr">
        <is>
          <t>BLEND RG STAR</t>
        </is>
      </c>
    </row>
    <row r="2353" ht="14.25" customHeight="1" s="5">
      <c r="A2353" s="7" t="n">
        <v>35045</v>
      </c>
      <c r="B2353" s="7" t="inlineStr">
        <is>
          <t>TEZ PREMIUM LEAF RG STAR [(18 X 10 X 100 GM)+( 18 X 10 X 24 GM) LAMINATE POUCH] PP BAG OFFER</t>
        </is>
      </c>
      <c r="C2353" s="7" t="inlineStr">
        <is>
          <t>TEZ</t>
        </is>
      </c>
      <c r="D2353" s="7" t="n">
        <v>35044</v>
      </c>
      <c r="E2353" s="7" t="inlineStr">
        <is>
          <t>TEZ PREMIUM LEAF RG STAR 24 GM POUCH</t>
        </is>
      </c>
      <c r="F2353" s="7" t="n">
        <v>180</v>
      </c>
      <c r="G2353" s="7" t="inlineStr">
        <is>
          <t>POUCH</t>
        </is>
      </c>
      <c r="H2353" t="inlineStr">
        <is>
          <t>BLEND RG STAR</t>
        </is>
      </c>
    </row>
    <row r="2354" ht="14.25" customHeight="1" s="5">
      <c r="A2354" s="7" t="n">
        <v>33012</v>
      </c>
      <c r="B2354" s="7" t="inlineStr">
        <is>
          <t>TEZ PREMIUM LEAF RG TRD SLP [ 24 X 10 X 100 GM LAMINATE POUCH] PP BAG BATTERY OFFER</t>
        </is>
      </c>
      <c r="C2354" s="7" t="inlineStr">
        <is>
          <t>TEZ</t>
        </is>
      </c>
      <c r="D2354" s="7" t="n">
        <v>22619</v>
      </c>
      <c r="E2354" s="7" t="inlineStr">
        <is>
          <t>TEZ PREMIUM 100 GM LEAF RG POUCH</t>
        </is>
      </c>
      <c r="F2354" s="7" t="n">
        <v>240</v>
      </c>
      <c r="G2354" s="7" t="inlineStr">
        <is>
          <t>POUCH</t>
        </is>
      </c>
      <c r="H2354" t="inlineStr">
        <is>
          <t>BLEND RG STAR</t>
        </is>
      </c>
    </row>
    <row r="2355" ht="14.25" customHeight="1" s="5">
      <c r="A2355" s="7" t="n">
        <v>32836</v>
      </c>
      <c r="B2355" s="7" t="inlineStr">
        <is>
          <t>TEZ PREMIUM LEAF RG-(S) [4 X 20 X 10 X 24 GM LAMINATE POUCH] PP OLD BAG</t>
        </is>
      </c>
      <c r="C2355" s="7" t="inlineStr">
        <is>
          <t>TEZ</t>
        </is>
      </c>
      <c r="D2355" s="7" t="n">
        <v>32835</v>
      </c>
      <c r="E2355" s="7" t="inlineStr">
        <is>
          <t>TEZ PREMIUM LEAF RG-(S) 24 GM POUCH</t>
        </is>
      </c>
      <c r="F2355" s="7" t="n">
        <v>800</v>
      </c>
      <c r="G2355" s="7" t="inlineStr">
        <is>
          <t>POUCH</t>
        </is>
      </c>
      <c r="H2355" t="inlineStr">
        <is>
          <t>BLEND RG-(S)</t>
        </is>
      </c>
    </row>
    <row r="2356" ht="14.25" customHeight="1" s="5">
      <c r="A2356" s="7" t="n">
        <v>32765</v>
      </c>
      <c r="B2356" s="7" t="inlineStr">
        <is>
          <t>TEZ PREMIUM LEAF RG-(S) [4 X 20 X 20 X 12 GM LAMINATE POUCH] PP OLD BAG</t>
        </is>
      </c>
      <c r="C2356" s="7" t="inlineStr">
        <is>
          <t>TEZ</t>
        </is>
      </c>
      <c r="D2356" s="7" t="n">
        <v>32762</v>
      </c>
      <c r="E2356" s="7" t="inlineStr">
        <is>
          <t>TEZ PREMIUM LEAF RG-(S) 12 GM POUCH</t>
        </is>
      </c>
      <c r="F2356" s="7" t="n">
        <v>1600</v>
      </c>
      <c r="G2356" s="7" t="inlineStr">
        <is>
          <t>POUCH</t>
        </is>
      </c>
      <c r="H2356" t="inlineStr">
        <is>
          <t>BLEND RG-(S)</t>
        </is>
      </c>
    </row>
    <row r="2357" ht="14.25" customHeight="1" s="5">
      <c r="A2357" s="7" t="n">
        <v>31769</v>
      </c>
      <c r="B2357" s="7" t="inlineStr">
        <is>
          <t>TEZ PREMIUM LEAF RG-Jago L [24 X 1 KG LAMINATE POUCH] CFC - INST</t>
        </is>
      </c>
      <c r="C2357" s="7" t="inlineStr">
        <is>
          <t>TEZ</t>
        </is>
      </c>
      <c r="D2357" s="7" t="n">
        <v>31767</v>
      </c>
      <c r="E2357" s="7" t="inlineStr">
        <is>
          <t>TEZ PREMIUM LEAF RG-Jago L 1 KG POUCH</t>
        </is>
      </c>
      <c r="F2357" s="7" t="n">
        <v>24</v>
      </c>
      <c r="G2357" s="7" t="inlineStr">
        <is>
          <t>POUCH</t>
        </is>
      </c>
      <c r="H2357" t="inlineStr">
        <is>
          <t>BLEND RG-Jago L</t>
        </is>
      </c>
    </row>
    <row r="2358" ht="14.25" customHeight="1" s="5">
      <c r="A2358" s="7" t="n">
        <v>20939</v>
      </c>
      <c r="B2358" s="7" t="inlineStr">
        <is>
          <t>TEZ PREMIUM LEAF RH [1 X 12 X 500 X 2 GM LAMINATE POUCH] PP BAG</t>
        </is>
      </c>
      <c r="C2358" s="7" t="inlineStr">
        <is>
          <t>TEZ</t>
        </is>
      </c>
      <c r="D2358" s="7" t="n">
        <v>19117</v>
      </c>
      <c r="E2358" s="7" t="inlineStr">
        <is>
          <t>TEZ Premium 2 GM Leaf RH</t>
        </is>
      </c>
      <c r="F2358" s="7" t="n">
        <v>6000</v>
      </c>
      <c r="G2358" s="7" t="inlineStr">
        <is>
          <t>POUCH</t>
        </is>
      </c>
      <c r="H2358" t="inlineStr">
        <is>
          <t>BLEND RG-(S)</t>
        </is>
      </c>
    </row>
    <row r="2359" ht="14.25" customHeight="1" s="5">
      <c r="A2359" s="7" t="n">
        <v>23781</v>
      </c>
      <c r="B2359" s="7" t="inlineStr">
        <is>
          <t>TEZ PREMIUM LEAF SFA [14 X 10 X 100 GM CTN] CFC</t>
        </is>
      </c>
      <c r="C2359" s="7" t="inlineStr">
        <is>
          <t>TEZ</t>
        </is>
      </c>
      <c r="D2359" s="7" t="n">
        <v>23779</v>
      </c>
      <c r="E2359" s="7" t="inlineStr">
        <is>
          <t>TEZ PREMIUM LEAF SFA 100 GM CTN</t>
        </is>
      </c>
      <c r="F2359" s="7" t="n">
        <v>140</v>
      </c>
      <c r="G2359" s="7" t="inlineStr">
        <is>
          <t>CTN</t>
        </is>
      </c>
      <c r="H2359" t="inlineStr">
        <is>
          <t>BLEND SFA</t>
        </is>
      </c>
    </row>
    <row r="2360" ht="14.25" customHeight="1" s="5">
      <c r="A2360" s="7" t="n">
        <v>28291</v>
      </c>
      <c r="B2360" s="7" t="inlineStr">
        <is>
          <t>TEZ PREMIUM LEAF SFA [8 X 40 X 20 GM LAMINATE POUCH] CFC</t>
        </is>
      </c>
      <c r="C2360" s="7" t="inlineStr">
        <is>
          <t>TEZ</t>
        </is>
      </c>
      <c r="D2360" s="7" t="n">
        <v>28290</v>
      </c>
      <c r="E2360" s="7" t="inlineStr">
        <is>
          <t>TEZ PREMIUM LEAF SFA 20 GM POUCH</t>
        </is>
      </c>
      <c r="F2360" s="7" t="n">
        <v>320</v>
      </c>
      <c r="G2360" s="7" t="inlineStr">
        <is>
          <t>POUCH</t>
        </is>
      </c>
      <c r="H2360" t="inlineStr">
        <is>
          <t>BLEND SFA</t>
        </is>
      </c>
    </row>
    <row r="2361" ht="14.25" customHeight="1" s="5">
      <c r="A2361" s="7" t="n">
        <v>23780</v>
      </c>
      <c r="B2361" s="7" t="inlineStr">
        <is>
          <t>TEZ PREMIUM LEAF SFA [96 X 250 GM CTN] CFC</t>
        </is>
      </c>
      <c r="C2361" s="7" t="inlineStr">
        <is>
          <t>TEZ</t>
        </is>
      </c>
      <c r="D2361" s="7" t="n">
        <v>23777</v>
      </c>
      <c r="E2361" s="7" t="inlineStr">
        <is>
          <t>TEZ PREMIUM LEAF SFA 250 GMS CTN</t>
        </is>
      </c>
      <c r="F2361" s="7" t="n">
        <v>96</v>
      </c>
      <c r="G2361" s="7" t="inlineStr">
        <is>
          <t>CTN</t>
        </is>
      </c>
      <c r="H2361" t="inlineStr">
        <is>
          <t>BLEND SFA</t>
        </is>
      </c>
    </row>
    <row r="2362" ht="14.25" customHeight="1" s="5">
      <c r="A2362" s="7" t="n">
        <v>22646</v>
      </c>
      <c r="B2362" s="7" t="inlineStr">
        <is>
          <t>TEZ PREMIUM LEAF STD -GLK LEAF [12 X 8 X 250 GM LAMINATE POUCH] OLD PP BAG</t>
        </is>
      </c>
      <c r="C2362" s="7" t="inlineStr">
        <is>
          <t>TEZ</t>
        </is>
      </c>
      <c r="D2362" s="7" t="n">
        <v>22645</v>
      </c>
      <c r="E2362" s="7" t="inlineStr">
        <is>
          <t>TEZ PREMIUM 250 GM LEAF STD -GLK LEAF POUCH</t>
        </is>
      </c>
      <c r="F2362" s="7" t="n">
        <v>96</v>
      </c>
      <c r="G2362" s="7" t="inlineStr">
        <is>
          <t>POUCH</t>
        </is>
      </c>
      <c r="H2362" t="inlineStr">
        <is>
          <t>BLEND STD -GLK LEAF</t>
        </is>
      </c>
    </row>
    <row r="2363" ht="14.25" customHeight="1" s="5">
      <c r="A2363" s="7" t="n">
        <v>26835</v>
      </c>
      <c r="B2363" s="7" t="inlineStr">
        <is>
          <t>TEZ PREMIUM LEAF STD- KTSPECIAL [12 X 8 X 250 GM LAMINATE POUCH] PP BAG</t>
        </is>
      </c>
      <c r="C2363" s="7" t="inlineStr">
        <is>
          <t>TEZ</t>
        </is>
      </c>
      <c r="D2363" s="7" t="n">
        <v>26832</v>
      </c>
      <c r="E2363" s="7" t="inlineStr">
        <is>
          <t>TEZ PREMIUM LEAF STD- KTSPECIAL 250 GM POUCH</t>
        </is>
      </c>
      <c r="F2363" s="7" t="n">
        <v>96</v>
      </c>
      <c r="G2363" s="7" t="inlineStr">
        <is>
          <t>POUCH</t>
        </is>
      </c>
      <c r="H2363" t="inlineStr">
        <is>
          <t>BLEND S (NEW)</t>
        </is>
      </c>
    </row>
    <row r="2364" ht="14.25" customHeight="1" s="5">
      <c r="A2364" s="7" t="n">
        <v>27176</v>
      </c>
      <c r="B2364" s="7" t="inlineStr">
        <is>
          <t>TEZ PREMIUM LEAF STD- KTSPECIAL [8 X 40 X 20 GM LAMINATE POUCH] CFC</t>
        </is>
      </c>
      <c r="C2364" s="7" t="inlineStr">
        <is>
          <t>TEZ</t>
        </is>
      </c>
      <c r="D2364" s="7" t="n">
        <v>27169</v>
      </c>
      <c r="E2364" s="7" t="inlineStr">
        <is>
          <t>TEZ PREMIUM LEAF STD- KTSPECIAL 20 GM POUCH</t>
        </is>
      </c>
      <c r="F2364" s="7" t="n">
        <v>320</v>
      </c>
      <c r="G2364" s="7" t="inlineStr">
        <is>
          <t>POUCH</t>
        </is>
      </c>
      <c r="H2364" t="inlineStr">
        <is>
          <t>BLEND S (NEW)</t>
        </is>
      </c>
    </row>
    <row r="2365" ht="14.25" customHeight="1" s="5">
      <c r="A2365" s="7" t="n">
        <v>31823</v>
      </c>
      <c r="B2365" s="7" t="inlineStr">
        <is>
          <t>TEZ PREMIUM LEAF TV [12 X 8 X 250 GM LAMINATE POUCH] PP BAG - INST</t>
        </is>
      </c>
      <c r="C2365" s="7" t="inlineStr">
        <is>
          <t>TEZ</t>
        </is>
      </c>
      <c r="D2365" s="7" t="n">
        <v>31822</v>
      </c>
      <c r="E2365" s="7" t="inlineStr">
        <is>
          <t>TEZ PREMIUM LEAF TV 250 GM POUCH</t>
        </is>
      </c>
      <c r="F2365" s="7" t="n">
        <v>96</v>
      </c>
      <c r="G2365" s="7" t="inlineStr">
        <is>
          <t>POUCH</t>
        </is>
      </c>
      <c r="H2365" t="inlineStr">
        <is>
          <t>BLEND TV</t>
        </is>
      </c>
    </row>
    <row r="2366" ht="14.25" customHeight="1" s="5">
      <c r="A2366" s="7" t="n">
        <v>32461</v>
      </c>
      <c r="B2366" s="7" t="inlineStr">
        <is>
          <t>TEZ PREMIUM LEAF UTK RC [24 X 1 KG LAMINATE POUCH] CFC CP OFFER</t>
        </is>
      </c>
      <c r="C2366" s="7" t="inlineStr">
        <is>
          <t>TEZ</t>
        </is>
      </c>
      <c r="D2366" s="7" t="n">
        <v>20014</v>
      </c>
      <c r="E2366" s="7" t="inlineStr">
        <is>
          <t>TEZ PREMIUM LEAF RC 1 KG POUCH</t>
        </is>
      </c>
      <c r="F2366" s="7" t="n">
        <v>24</v>
      </c>
      <c r="G2366" s="7" t="inlineStr">
        <is>
          <t>POUCH</t>
        </is>
      </c>
      <c r="H2366" t="inlineStr">
        <is>
          <t>BLEND RC-TPM</t>
        </is>
      </c>
    </row>
    <row r="2367" ht="14.25" customHeight="1" s="5">
      <c r="A2367" s="7" t="n">
        <v>26930</v>
      </c>
      <c r="B2367" s="7" t="inlineStr">
        <is>
          <t>TEZ PREMIUM MAHESHWARI FANNINGS [12 X 8 X 250 GM LAMINATE POUCH] PP BAG</t>
        </is>
      </c>
      <c r="C2367" s="7" t="inlineStr">
        <is>
          <t>TEZ</t>
        </is>
      </c>
      <c r="D2367" s="7" t="n">
        <v>26928</v>
      </c>
      <c r="E2367" s="7" t="inlineStr">
        <is>
          <t>TEZ PREMIUM MAHESHWARI FANNINGS 250 GM POUCH</t>
        </is>
      </c>
      <c r="F2367" s="7" t="n">
        <v>96</v>
      </c>
      <c r="G2367" s="7" t="inlineStr">
        <is>
          <t>POUCH</t>
        </is>
      </c>
      <c r="H2367" t="inlineStr">
        <is>
          <t>BLEND MAHESHWARI FANNINGS</t>
        </is>
      </c>
    </row>
    <row r="2368" ht="14.25" customHeight="1" s="5">
      <c r="A2368" s="7" t="n">
        <v>27179</v>
      </c>
      <c r="B2368" s="7" t="inlineStr">
        <is>
          <t>TEZ PREMIUM MAHESHWARI FANNINGS [8 X 40 X 20 GM LAMINATE POUCH] CFC</t>
        </is>
      </c>
      <c r="C2368" s="7" t="inlineStr">
        <is>
          <t>TEZ</t>
        </is>
      </c>
      <c r="D2368" s="7" t="n">
        <v>27170</v>
      </c>
      <c r="E2368" s="7" t="inlineStr">
        <is>
          <t>TEZ PREMIUM MAHESHWARI FANNINGS 20 GM POUCH</t>
        </is>
      </c>
      <c r="F2368" s="7" t="n">
        <v>320</v>
      </c>
      <c r="G2368" s="7" t="inlineStr">
        <is>
          <t>POUCH</t>
        </is>
      </c>
      <c r="H2368" t="inlineStr">
        <is>
          <t>BLEND MAHESHWARI FANNINGS</t>
        </is>
      </c>
    </row>
    <row r="2369" ht="14.25" customHeight="1" s="5">
      <c r="A2369" s="7" t="n">
        <v>27144</v>
      </c>
      <c r="B2369" s="7" t="inlineStr">
        <is>
          <t>TEZ PREMIUM NOON CHAI STD-MJMC [12 X 20 X 25 GM LAMINATE POUCH] CFC</t>
        </is>
      </c>
      <c r="C2369" s="7" t="inlineStr">
        <is>
          <t>TEZ</t>
        </is>
      </c>
      <c r="D2369" s="7" t="n">
        <v>27142</v>
      </c>
      <c r="E2369" s="7" t="inlineStr">
        <is>
          <t>TEZ PREMIUM NOON CHAI STD-MJMC 25 GM POUCH</t>
        </is>
      </c>
      <c r="F2369" s="7" t="n">
        <v>240</v>
      </c>
      <c r="G2369" s="7" t="inlineStr">
        <is>
          <t>POUCH</t>
        </is>
      </c>
      <c r="H2369" t="inlineStr">
        <is>
          <t>BLEND STD-MJMC</t>
        </is>
      </c>
    </row>
    <row r="2370" ht="14.25" customHeight="1" s="5">
      <c r="A2370" s="7" t="n">
        <v>22597</v>
      </c>
      <c r="B2370" s="7" t="inlineStr">
        <is>
          <t>TEZ PREMIUM NOON CHAI STD-MJMC [16 X 2 X 500 GM NON WOVEN] CFC</t>
        </is>
      </c>
      <c r="C2370" s="7" t="inlineStr">
        <is>
          <t>TEZ</t>
        </is>
      </c>
      <c r="D2370" s="7" t="n">
        <v>22596</v>
      </c>
      <c r="E2370" s="7" t="inlineStr">
        <is>
          <t>TEZ PREMIUM NOON CHAI MJMC 1 KG (500 GM X 2) POUCH</t>
        </is>
      </c>
      <c r="F2370" s="7" t="n">
        <v>24</v>
      </c>
      <c r="G2370" s="7" t="inlineStr">
        <is>
          <t>POUCH</t>
        </is>
      </c>
      <c r="H2370" t="inlineStr">
        <is>
          <t>BLEND STD-MJMC</t>
        </is>
      </c>
    </row>
    <row r="2371" ht="14.25" customHeight="1" s="5">
      <c r="A2371" s="7" t="n">
        <v>22764</v>
      </c>
      <c r="B2371" s="7" t="inlineStr">
        <is>
          <t>TEZ PREMIUM NOON CHAI STD-MJMC [24 X 2 X 500 GM NON WOVEN] CFC</t>
        </is>
      </c>
      <c r="C2371" s="7" t="inlineStr">
        <is>
          <t>TEZ</t>
        </is>
      </c>
      <c r="D2371" s="7" t="n">
        <v>22596</v>
      </c>
      <c r="E2371" s="7" t="inlineStr">
        <is>
          <t>TEZ PREMIUM NOON CHAI MJMC 1 KG (500 GM X 2) POUCH</t>
        </is>
      </c>
      <c r="F2371" s="7" t="n">
        <v>24</v>
      </c>
      <c r="G2371" s="7" t="inlineStr">
        <is>
          <t>POUCH</t>
        </is>
      </c>
      <c r="H2371" t="inlineStr">
        <is>
          <t>BLEND STD-MJMC</t>
        </is>
      </c>
    </row>
    <row r="2372" ht="14.25" customHeight="1" s="5">
      <c r="A2372" s="7" t="n">
        <v>22980</v>
      </c>
      <c r="B2372" s="7" t="inlineStr">
        <is>
          <t>TEZ PREMIUM NOON CHAI STD-MJMC [48 X 500 GM CTN] CFC</t>
        </is>
      </c>
      <c r="C2372" s="7" t="inlineStr">
        <is>
          <t>TEZ</t>
        </is>
      </c>
      <c r="D2372" s="7" t="n">
        <v>31598</v>
      </c>
      <c r="E2372" s="7" t="inlineStr">
        <is>
          <t>SFG BLENDED CILMJMC 500G</t>
        </is>
      </c>
      <c r="F2372" s="7" t="n">
        <v>48</v>
      </c>
      <c r="G2372" s="7" t="inlineStr">
        <is>
          <t>CTN</t>
        </is>
      </c>
      <c r="H2372">
        <f>#N/A</f>
        <v/>
      </c>
    </row>
    <row r="2373" ht="14.25" customHeight="1" s="5">
      <c r="A2373" s="7" t="n">
        <v>22598</v>
      </c>
      <c r="B2373" s="7" t="inlineStr">
        <is>
          <t>TEZ PREMIUM NOON CHAI STD-MJMC [80 X 250 GM CTN] CFC</t>
        </is>
      </c>
      <c r="C2373" s="7" t="inlineStr">
        <is>
          <t>TEZ</t>
        </is>
      </c>
      <c r="D2373" s="7" t="n">
        <v>31599</v>
      </c>
      <c r="E2373" s="7" t="inlineStr">
        <is>
          <t>SFG BLENDED CILMJMC 250G</t>
        </is>
      </c>
      <c r="F2373" s="7" t="n">
        <v>80</v>
      </c>
      <c r="G2373" s="7" t="inlineStr">
        <is>
          <t>CTN</t>
        </is>
      </c>
      <c r="H2373">
        <f>#N/A</f>
        <v/>
      </c>
    </row>
    <row r="2374" ht="14.25" customHeight="1" s="5">
      <c r="A2374" s="7" t="n">
        <v>37591</v>
      </c>
      <c r="B2374" s="7" t="inlineStr">
        <is>
          <t>TEZ PREMIUM PF S (NEW) [12 X 8 X 250 GM LAMINATE POUCH] PP BAG</t>
        </is>
      </c>
      <c r="C2374" s="7" t="inlineStr">
        <is>
          <t>TEZ</t>
        </is>
      </c>
      <c r="D2374" s="7" t="n">
        <v>37590</v>
      </c>
      <c r="E2374" s="7" t="inlineStr">
        <is>
          <t>TEZ PREMIUM PF S (NEW) 250 GM POUCH</t>
        </is>
      </c>
      <c r="F2374" s="7" t="n">
        <v>96</v>
      </c>
      <c r="G2374" s="7" t="inlineStr">
        <is>
          <t>POUCH</t>
        </is>
      </c>
      <c r="H2374" t="inlineStr">
        <is>
          <t>BLEND S (NEW)</t>
        </is>
      </c>
    </row>
    <row r="2375" ht="14.25" customHeight="1" s="5">
      <c r="A2375" s="7" t="n">
        <v>23656</v>
      </c>
      <c r="B2375" s="7" t="inlineStr">
        <is>
          <t>TEZ PREMIUM PF TV [12 X 1 KG LAMINATE POUCH] CFC</t>
        </is>
      </c>
      <c r="C2375" s="7" t="inlineStr">
        <is>
          <t>TEZ</t>
        </is>
      </c>
      <c r="D2375" s="7" t="n">
        <v>23657</v>
      </c>
      <c r="E2375" s="7" t="inlineStr">
        <is>
          <t>TEZ PREMIUM PF TV 1 KG POUCH</t>
        </is>
      </c>
      <c r="F2375" s="7" t="n">
        <v>12</v>
      </c>
      <c r="G2375" s="7" t="inlineStr">
        <is>
          <t>POUCH</t>
        </is>
      </c>
      <c r="H2375" t="inlineStr">
        <is>
          <t>BLEND TV</t>
        </is>
      </c>
    </row>
    <row r="2376" ht="14.25" customHeight="1" s="5">
      <c r="A2376" s="7" t="n">
        <v>33014</v>
      </c>
      <c r="B2376" s="7" t="inlineStr">
        <is>
          <t>TEZ PREMIUM PF TV [12 X 10 X 200 GM LAMINATE POUCH] PP BAG - INST</t>
        </is>
      </c>
      <c r="C2376" s="7" t="inlineStr">
        <is>
          <t>TEZ</t>
        </is>
      </c>
      <c r="D2376" s="7" t="n">
        <v>33013</v>
      </c>
      <c r="E2376" s="7" t="inlineStr">
        <is>
          <t>TEZ PREMIUM PF TV 200 GM POUCH</t>
        </is>
      </c>
      <c r="F2376" s="7" t="n">
        <v>120</v>
      </c>
      <c r="G2376" s="7" t="inlineStr">
        <is>
          <t>POUCH</t>
        </is>
      </c>
      <c r="H2376" t="inlineStr">
        <is>
          <t>BLEND MILI DUST -VENDING</t>
        </is>
      </c>
    </row>
    <row r="2377" ht="14.25" customHeight="1" s="5">
      <c r="A2377" s="7" t="n">
        <v>19079</v>
      </c>
      <c r="B2377" s="7" t="inlineStr">
        <is>
          <t>TEZ Premium SV 250 GM Leaf RC ( 2 X 6 KG)</t>
        </is>
      </c>
      <c r="C2377" s="7" t="inlineStr">
        <is>
          <t>TEZ</t>
        </is>
      </c>
      <c r="D2377" s="7" t="n">
        <v>19124</v>
      </c>
      <c r="E2377" s="7" t="inlineStr">
        <is>
          <t>TEZ Premium SV 250 GM Leaf RC</t>
        </is>
      </c>
      <c r="F2377" s="7" t="n">
        <v>48</v>
      </c>
      <c r="G2377" s="7" t="inlineStr">
        <is>
          <t>POUCH</t>
        </is>
      </c>
      <c r="H2377" t="inlineStr">
        <is>
          <t>BLEND RC-TPM</t>
        </is>
      </c>
    </row>
    <row r="2378" ht="14.25" customHeight="1" s="5">
      <c r="A2378" s="7" t="n">
        <v>19080</v>
      </c>
      <c r="B2378" s="7" t="inlineStr">
        <is>
          <t>TEZ Red 100 GM Leaf RF (1 X 12 KG)</t>
        </is>
      </c>
      <c r="C2378" s="7" t="inlineStr">
        <is>
          <t>TEZ</t>
        </is>
      </c>
      <c r="D2378" s="7" t="n">
        <v>19116</v>
      </c>
      <c r="E2378" s="7" t="inlineStr">
        <is>
          <t>TEZ Red 100 GM Leaf RF</t>
        </is>
      </c>
      <c r="F2378" s="7" t="n">
        <v>120</v>
      </c>
      <c r="G2378" s="7" t="inlineStr">
        <is>
          <t>POUCH</t>
        </is>
      </c>
      <c r="H2378" t="inlineStr">
        <is>
          <t>BLEND RF-TPM</t>
        </is>
      </c>
    </row>
    <row r="2379" ht="14.25" customHeight="1" s="5">
      <c r="A2379" s="7" t="n">
        <v>19081</v>
      </c>
      <c r="B2379" s="7" t="inlineStr">
        <is>
          <t>TEZ Red 100 GM Leaf RG (1 X 12 KG)</t>
        </is>
      </c>
      <c r="C2379" s="7" t="inlineStr">
        <is>
          <t>TEZ</t>
        </is>
      </c>
      <c r="D2379" s="7" t="n">
        <v>19115</v>
      </c>
      <c r="E2379" s="7" t="inlineStr">
        <is>
          <t>TEZ Red 100 GM Leaf RG</t>
        </is>
      </c>
      <c r="F2379" s="7" t="n">
        <v>120</v>
      </c>
      <c r="G2379" s="7" t="inlineStr">
        <is>
          <t>POUCH</t>
        </is>
      </c>
      <c r="H2379" t="inlineStr">
        <is>
          <t>BLEND RG TRD SLP</t>
        </is>
      </c>
    </row>
    <row r="2380" ht="14.25" customHeight="1" s="5">
      <c r="A2380" s="7" t="n">
        <v>19082</v>
      </c>
      <c r="B2380" s="7" t="inlineStr">
        <is>
          <t>TEZ Red 250 GM Dust CP Battery RD (2 X 12 KG)</t>
        </is>
      </c>
      <c r="C2380" s="7" t="inlineStr">
        <is>
          <t>TEZ</t>
        </is>
      </c>
      <c r="D2380" s="7" t="n">
        <v>19121</v>
      </c>
      <c r="E2380" s="7" t="inlineStr">
        <is>
          <t>TEZ Red 250 GM Dust CP Battery RD</t>
        </is>
      </c>
      <c r="F2380" s="7" t="n">
        <v>100</v>
      </c>
      <c r="G2380" s="7" t="inlineStr">
        <is>
          <t>POUCH</t>
        </is>
      </c>
      <c r="H2380" t="inlineStr">
        <is>
          <t>BLEND RD-TPM</t>
        </is>
      </c>
    </row>
    <row r="2381" ht="14.25" customHeight="1" s="5">
      <c r="A2381" s="7" t="n">
        <v>19022</v>
      </c>
      <c r="B2381" s="7" t="inlineStr">
        <is>
          <t>TEZ Red 250 GM Leaf CP Battery RF (100X100)</t>
        </is>
      </c>
      <c r="C2381" s="7" t="inlineStr">
        <is>
          <t>TEZ</t>
        </is>
      </c>
      <c r="D2381" s="7" t="n">
        <v>19392</v>
      </c>
      <c r="E2381" s="7" t="inlineStr">
        <is>
          <t>TEZ Red 250 GM Leaf CP Battery RF(BLEND correct)</t>
        </is>
      </c>
      <c r="F2381" s="7" t="n">
        <v>100</v>
      </c>
      <c r="G2381" s="7" t="inlineStr">
        <is>
          <t>POUCH</t>
        </is>
      </c>
      <c r="H2381" t="inlineStr">
        <is>
          <t>BLEND RF-TPM</t>
        </is>
      </c>
    </row>
    <row r="2382" ht="14.25" customHeight="1" s="5">
      <c r="A2382" s="7" t="n">
        <v>19023</v>
      </c>
      <c r="B2382" s="7" t="inlineStr">
        <is>
          <t>TEZ Red 250 GM Leaf CP Battery RG (100X100)</t>
        </is>
      </c>
      <c r="C2382" s="7" t="inlineStr">
        <is>
          <t>TEZ</t>
        </is>
      </c>
      <c r="D2382" s="7" t="n">
        <v>19103</v>
      </c>
      <c r="E2382" s="7" t="inlineStr">
        <is>
          <t>TEZ Red 250 GM Leaf CP Battery RG</t>
        </is>
      </c>
      <c r="F2382" s="7" t="n">
        <v>100</v>
      </c>
      <c r="G2382" s="7" t="inlineStr">
        <is>
          <t>POUCH</t>
        </is>
      </c>
      <c r="H2382" t="inlineStr">
        <is>
          <t>BLEND RG-TRD</t>
        </is>
      </c>
    </row>
    <row r="2383" ht="14.25" customHeight="1" s="5">
      <c r="A2383" s="7" t="n">
        <v>19083</v>
      </c>
      <c r="B2383" s="7" t="inlineStr">
        <is>
          <t>TEZ Red 250 GM Leaf RG (2 X 12 KG)</t>
        </is>
      </c>
      <c r="C2383" s="7" t="inlineStr">
        <is>
          <t>TEZ</t>
        </is>
      </c>
      <c r="D2383" s="7" t="n">
        <v>19620</v>
      </c>
      <c r="E2383" s="7" t="inlineStr">
        <is>
          <t>TEZ Red 250 GM Leaf RG</t>
        </is>
      </c>
      <c r="F2383" s="7" t="n">
        <v>96</v>
      </c>
      <c r="G2383" s="7" t="inlineStr">
        <is>
          <t>POUCH</t>
        </is>
      </c>
      <c r="H2383" t="inlineStr">
        <is>
          <t>BLEND RG TRD CBE</t>
        </is>
      </c>
    </row>
    <row r="2384" ht="14.25" customHeight="1" s="5">
      <c r="A2384" s="7" t="n">
        <v>19084</v>
      </c>
      <c r="B2384" s="7" t="inlineStr">
        <is>
          <t>TEZ Red 75 GM Leaf RG (0.75 X 8 KG)</t>
        </is>
      </c>
      <c r="C2384" s="7" t="inlineStr">
        <is>
          <t>TEZ</t>
        </is>
      </c>
      <c r="D2384" s="7" t="n">
        <v>19126</v>
      </c>
      <c r="E2384" s="7" t="inlineStr">
        <is>
          <t>TEZ Red 75 GM Leaf RG</t>
        </is>
      </c>
      <c r="F2384" s="7" t="n">
        <v>160</v>
      </c>
      <c r="G2384" s="7" t="inlineStr">
        <is>
          <t>POUCH</t>
        </is>
      </c>
      <c r="H2384" t="inlineStr">
        <is>
          <t>BLEND RG-TRD</t>
        </is>
      </c>
    </row>
    <row r="2385" ht="14.25" customHeight="1" s="5">
      <c r="A2385" s="7" t="n">
        <v>22362</v>
      </c>
      <c r="B2385" s="7" t="inlineStr">
        <is>
          <t>TEZ RED DUST MJ-DEVAGIRI [12 X 8 X 250 GM LAMINATE POUCH] PP BAG</t>
        </is>
      </c>
      <c r="C2385" s="7" t="inlineStr">
        <is>
          <t>TEZ</t>
        </is>
      </c>
      <c r="D2385" s="7" t="n">
        <v>22358</v>
      </c>
      <c r="E2385" s="7" t="inlineStr">
        <is>
          <t>TEZ RED 250 GM DUST STD- MJ-DEVAGIRI</t>
        </is>
      </c>
      <c r="F2385" s="7" t="n">
        <v>96</v>
      </c>
      <c r="G2385" s="7" t="inlineStr">
        <is>
          <t>POUCH</t>
        </is>
      </c>
      <c r="H2385" t="inlineStr">
        <is>
          <t>BLEND STD- MJ-DEVAGIRI</t>
        </is>
      </c>
    </row>
    <row r="2386" ht="14.25" customHeight="1" s="5">
      <c r="A2386" s="7" t="n">
        <v>35782</v>
      </c>
      <c r="B2386" s="7" t="inlineStr">
        <is>
          <t>TEZ RED DUST MWB2 [12 X 10 X 200 GM LAMINATE POUCH] PP BAG</t>
        </is>
      </c>
      <c r="C2386" s="7" t="inlineStr">
        <is>
          <t>TEZ</t>
        </is>
      </c>
      <c r="D2386" s="7" t="n">
        <v>35779</v>
      </c>
      <c r="E2386" s="7" t="inlineStr">
        <is>
          <t>TEZ RED DUST MWB2 200 GM POUCH</t>
        </is>
      </c>
      <c r="F2386" s="7" t="n">
        <v>120</v>
      </c>
      <c r="G2386" s="7" t="inlineStr">
        <is>
          <t>POUCH</t>
        </is>
      </c>
      <c r="H2386" t="inlineStr">
        <is>
          <t>BLEND MWB2</t>
        </is>
      </c>
    </row>
    <row r="2387" ht="14.25" customHeight="1" s="5">
      <c r="A2387" s="7" t="n">
        <v>35781</v>
      </c>
      <c r="B2387" s="7" t="inlineStr">
        <is>
          <t>TEZ RED DUST MWB2 [12 X 8 X 250 GM LAMINATE POUCH] PP BAG</t>
        </is>
      </c>
      <c r="C2387" s="7" t="inlineStr">
        <is>
          <t>TEZ</t>
        </is>
      </c>
      <c r="D2387" s="7" t="n">
        <v>35778</v>
      </c>
      <c r="E2387" s="7" t="inlineStr">
        <is>
          <t>TEZ RED DUST MWB2 250 GM POUCH</t>
        </is>
      </c>
      <c r="F2387" s="7" t="n">
        <v>96</v>
      </c>
      <c r="G2387" s="7" t="inlineStr">
        <is>
          <t>POUCH</t>
        </is>
      </c>
      <c r="H2387" t="inlineStr">
        <is>
          <t>BLEND MWB2</t>
        </is>
      </c>
    </row>
    <row r="2388" ht="14.25" customHeight="1" s="5">
      <c r="A2388" s="7" t="n">
        <v>35783</v>
      </c>
      <c r="B2388" s="7" t="inlineStr">
        <is>
          <t>TEZ RED DUST MWB2 [24 X 1 KG LAMINATE POUCH] PP BAG</t>
        </is>
      </c>
      <c r="C2388" s="7" t="inlineStr">
        <is>
          <t>TEZ</t>
        </is>
      </c>
      <c r="D2388" s="7" t="n">
        <v>35780</v>
      </c>
      <c r="E2388" s="7" t="inlineStr">
        <is>
          <t>TEZ RED DUST MWB2 1 KG POUCH</t>
        </is>
      </c>
      <c r="F2388" s="7" t="n">
        <v>24</v>
      </c>
      <c r="G2388" s="7" t="inlineStr">
        <is>
          <t>POUCH</t>
        </is>
      </c>
      <c r="H2388" t="inlineStr">
        <is>
          <t>BLEND MWB2</t>
        </is>
      </c>
    </row>
    <row r="2389" ht="14.25" customHeight="1" s="5">
      <c r="A2389" s="7" t="n">
        <v>32747</v>
      </c>
      <c r="B2389" s="7" t="inlineStr">
        <is>
          <t>TEZ RED DUST TEA 48/250 GMS PKT TEA</t>
        </is>
      </c>
      <c r="C2389" s="7" t="inlineStr">
        <is>
          <t>TEZ</t>
        </is>
      </c>
      <c r="D2389" s="7" t="n">
        <v>32721</v>
      </c>
      <c r="E2389" s="7" t="inlineStr">
        <is>
          <t>TEZ RED DUST TEA 250 GMS PKT</t>
        </is>
      </c>
      <c r="F2389" s="7" t="n">
        <v>48</v>
      </c>
      <c r="G2389" s="7" t="inlineStr">
        <is>
          <t>POUCH</t>
        </is>
      </c>
      <c r="H2389" t="inlineStr">
        <is>
          <t>BLEND XTC</t>
        </is>
      </c>
    </row>
    <row r="2390" ht="14.25" customHeight="1" s="5">
      <c r="A2390" s="7" t="n">
        <v>32748</v>
      </c>
      <c r="B2390" s="7" t="inlineStr">
        <is>
          <t>TEZ RED DUST TEA 60/200 GMS PKT TEA</t>
        </is>
      </c>
      <c r="C2390" s="7" t="inlineStr">
        <is>
          <t>TEZ</t>
        </is>
      </c>
      <c r="D2390" s="7" t="n">
        <v>32722</v>
      </c>
      <c r="E2390" s="7" t="inlineStr">
        <is>
          <t>TEZ RED DUST TEA 200 GMS PKT</t>
        </is>
      </c>
      <c r="F2390" s="7" t="n">
        <v>60</v>
      </c>
      <c r="G2390" s="7" t="inlineStr">
        <is>
          <t>POUCH</t>
        </is>
      </c>
      <c r="H2390" t="inlineStr">
        <is>
          <t>BLEND XTC</t>
        </is>
      </c>
    </row>
    <row r="2391" ht="14.25" customHeight="1" s="5">
      <c r="A2391" s="7" t="n">
        <v>21113</v>
      </c>
      <c r="B2391" s="7" t="inlineStr">
        <is>
          <t>TEZ RED LEAF RG [(12 X 8 X 250 GM + (1 X 4 X 250 GM PG) LAMINATE POUCH] PP BAG</t>
        </is>
      </c>
      <c r="C2391" s="7" t="inlineStr">
        <is>
          <t>TEZ</t>
        </is>
      </c>
      <c r="D2391" s="7" t="n">
        <v>19620</v>
      </c>
      <c r="E2391" s="7" t="inlineStr">
        <is>
          <t>TEZ Red 250 GM Leaf RG</t>
        </is>
      </c>
      <c r="F2391" s="7" t="n">
        <v>96</v>
      </c>
      <c r="G2391" s="7" t="inlineStr">
        <is>
          <t>POUCH</t>
        </is>
      </c>
      <c r="H2391" t="inlineStr">
        <is>
          <t>BLEND RG TRD CBE</t>
        </is>
      </c>
    </row>
    <row r="2392" ht="14.25" customHeight="1" s="5">
      <c r="A2392" s="7" t="n">
        <v>21113</v>
      </c>
      <c r="B2392" s="7" t="inlineStr">
        <is>
          <t>TEZ RED LEAF RG [(12 X 8 X 250 GM + (1 X 4 X 250 GM PG) LAMINATE POUCH] PP BAG</t>
        </is>
      </c>
      <c r="C2392" s="7" t="inlineStr">
        <is>
          <t>TEZ</t>
        </is>
      </c>
      <c r="D2392" s="7" t="n">
        <v>19105</v>
      </c>
      <c r="E2392" s="7" t="inlineStr">
        <is>
          <t>Premium Gold 250 GM Leaf RA</t>
        </is>
      </c>
      <c r="F2392" s="7" t="n">
        <v>4</v>
      </c>
      <c r="G2392" s="7" t="inlineStr">
        <is>
          <t>POUCH</t>
        </is>
      </c>
      <c r="H2392" t="inlineStr">
        <is>
          <t>BLEND MAHESHWARI LEAF</t>
        </is>
      </c>
    </row>
    <row r="2393" ht="14.25" customHeight="1" s="5">
      <c r="A2393" s="7" t="n">
        <v>21112</v>
      </c>
      <c r="B2393" s="7" t="inlineStr">
        <is>
          <t>TEZ RED LEAF RG [(24 X 10 X 100 GM + (1 X 4 X 250 GM PG) LAMINATED POUCH] PP BAG</t>
        </is>
      </c>
      <c r="C2393" s="7" t="inlineStr">
        <is>
          <t>TEZ</t>
        </is>
      </c>
      <c r="D2393" s="7" t="n">
        <v>19105</v>
      </c>
      <c r="E2393" s="7" t="inlineStr">
        <is>
          <t>Premium Gold 250 GM Leaf RA</t>
        </is>
      </c>
      <c r="F2393" s="7" t="n">
        <v>4</v>
      </c>
      <c r="G2393" s="7" t="inlineStr">
        <is>
          <t>POUCH</t>
        </is>
      </c>
      <c r="H2393" t="inlineStr">
        <is>
          <t>BLEND MAHESHWARI LEAF</t>
        </is>
      </c>
    </row>
    <row r="2394" ht="14.25" customHeight="1" s="5">
      <c r="A2394" s="7" t="n">
        <v>21112</v>
      </c>
      <c r="B2394" s="7" t="inlineStr">
        <is>
          <t>TEZ RED LEAF RG [(24 X 10 X 100 GM + (1 X 4 X 250 GM PG) LAMINATED POUCH] PP BAG</t>
        </is>
      </c>
      <c r="C2394" s="7" t="inlineStr">
        <is>
          <t>TEZ</t>
        </is>
      </c>
      <c r="D2394" s="7" t="n">
        <v>19115</v>
      </c>
      <c r="E2394" s="7" t="inlineStr">
        <is>
          <t>TEZ Red 100 GM Leaf RG</t>
        </is>
      </c>
      <c r="F2394" s="7" t="n">
        <v>240</v>
      </c>
      <c r="G2394" s="7" t="inlineStr">
        <is>
          <t>POUCH</t>
        </is>
      </c>
      <c r="H2394" t="inlineStr">
        <is>
          <t>BLEND RG TRD SLP</t>
        </is>
      </c>
    </row>
    <row r="2395" ht="14.25" customHeight="1" s="5">
      <c r="A2395" s="7" t="n">
        <v>26047</v>
      </c>
      <c r="B2395" s="7" t="inlineStr">
        <is>
          <t>TEZ RED LEAF RG [12 X 4 X 500 GM LAMINATED POUCH] PP BAG</t>
        </is>
      </c>
      <c r="C2395" s="7" t="inlineStr">
        <is>
          <t>TEZ</t>
        </is>
      </c>
      <c r="D2395" s="7" t="n">
        <v>26046</v>
      </c>
      <c r="E2395" s="7" t="inlineStr">
        <is>
          <t>TEZ RED LEAF RG 500 GM POUCH</t>
        </is>
      </c>
      <c r="F2395" s="7" t="n">
        <v>48</v>
      </c>
      <c r="G2395" s="7" t="inlineStr">
        <is>
          <t>POUCH</t>
        </is>
      </c>
      <c r="H2395" t="inlineStr">
        <is>
          <t>BLEND RG TRD SLP</t>
        </is>
      </c>
    </row>
    <row r="2396" ht="14.25" customHeight="1" s="5">
      <c r="A2396" s="7" t="n">
        <v>30997</v>
      </c>
      <c r="B2396" s="7" t="inlineStr">
        <is>
          <t>TEZ RED LEAF RG [12 X 8 X 250 GM LAMINATE POUCH] PP BAG (NEW )</t>
        </is>
      </c>
      <c r="C2396" s="7" t="inlineStr">
        <is>
          <t>TEZ</t>
        </is>
      </c>
      <c r="D2396" s="7" t="n">
        <v>19620</v>
      </c>
      <c r="E2396" s="7" t="inlineStr">
        <is>
          <t>TEZ Red 250 GM Leaf RG</t>
        </is>
      </c>
      <c r="F2396" s="7" t="n">
        <v>96</v>
      </c>
      <c r="G2396" s="7" t="inlineStr">
        <is>
          <t>POUCH</t>
        </is>
      </c>
      <c r="H2396" t="inlineStr">
        <is>
          <t>BLEND RG TRD CBE</t>
        </is>
      </c>
    </row>
    <row r="2397" ht="14.25" customHeight="1" s="5">
      <c r="A2397" s="7" t="n">
        <v>28627</v>
      </c>
      <c r="B2397" s="7" t="inlineStr">
        <is>
          <t>TEZ RED LEAF RG [12 X 8 X 250 GM LAMINATE POUCH] PP BAG (V2)</t>
        </is>
      </c>
      <c r="C2397" s="7" t="inlineStr">
        <is>
          <t>TEZ</t>
        </is>
      </c>
      <c r="D2397" s="7" t="n">
        <v>19620</v>
      </c>
      <c r="E2397" s="7" t="inlineStr">
        <is>
          <t>TEZ Red 250 GM Leaf RG</t>
        </is>
      </c>
      <c r="F2397" s="7" t="n">
        <v>96</v>
      </c>
      <c r="G2397" s="7" t="inlineStr">
        <is>
          <t>POUCH</t>
        </is>
      </c>
      <c r="H2397" t="inlineStr">
        <is>
          <t>BLEND RG TRD CBE</t>
        </is>
      </c>
    </row>
    <row r="2398" ht="14.25" customHeight="1" s="5">
      <c r="A2398" s="7" t="n">
        <v>37556</v>
      </c>
      <c r="B2398" s="7" t="inlineStr">
        <is>
          <t>TEZ RED LEAF RG [12 X 8 X 250 GM LAMINATE POUCH] PP BAG (WALMART)</t>
        </is>
      </c>
      <c r="C2398" s="7" t="inlineStr">
        <is>
          <t>TEZ</t>
        </is>
      </c>
      <c r="D2398" s="7" t="n">
        <v>19620</v>
      </c>
      <c r="E2398" s="7" t="inlineStr">
        <is>
          <t>TEZ Red 250 GM Leaf RG</t>
        </is>
      </c>
      <c r="F2398" s="7" t="n">
        <v>96</v>
      </c>
      <c r="G2398" s="7" t="inlineStr">
        <is>
          <t>POUCH</t>
        </is>
      </c>
      <c r="H2398" t="inlineStr">
        <is>
          <t>BLEND RG TRD CBE</t>
        </is>
      </c>
    </row>
    <row r="2399" ht="14.25" customHeight="1" s="5">
      <c r="A2399" s="7" t="n">
        <v>22884</v>
      </c>
      <c r="B2399" s="7" t="inlineStr">
        <is>
          <t>TEZ RED LEAF RG [24 X 1 KG LAMINATE POUCH] CFC</t>
        </is>
      </c>
      <c r="C2399" s="7" t="inlineStr">
        <is>
          <t>TEZ</t>
        </is>
      </c>
      <c r="D2399" s="7" t="n">
        <v>22881</v>
      </c>
      <c r="E2399" s="7" t="inlineStr">
        <is>
          <t>TEZ RED LEAF RG 1 KG POUCH</t>
        </is>
      </c>
      <c r="F2399" s="7" t="n">
        <v>24</v>
      </c>
      <c r="G2399" s="7" t="inlineStr">
        <is>
          <t>POUCH</t>
        </is>
      </c>
      <c r="H2399" t="inlineStr">
        <is>
          <t>BLEND RG TRD SLP</t>
        </is>
      </c>
    </row>
    <row r="2400" ht="14.25" customHeight="1" s="5">
      <c r="A2400" s="7" t="n">
        <v>36080</v>
      </c>
      <c r="B2400" s="7" t="inlineStr">
        <is>
          <t>TEZ RED LEAF RG [24 X 1 KG LAMINATE POUCH] CFC (V2)</t>
        </is>
      </c>
      <c r="C2400" s="7" t="inlineStr">
        <is>
          <t>TEZ</t>
        </is>
      </c>
      <c r="D2400" s="7" t="n">
        <v>36160</v>
      </c>
      <c r="E2400" s="7" t="inlineStr">
        <is>
          <t>TEZ RED LEAF RG 1 KG POUCH (V2)</t>
        </is>
      </c>
      <c r="F2400" s="7" t="n">
        <v>24</v>
      </c>
      <c r="G2400" s="7" t="inlineStr">
        <is>
          <t>POUCH</t>
        </is>
      </c>
      <c r="H2400" t="inlineStr">
        <is>
          <t>BLEND RG TRD CBE</t>
        </is>
      </c>
    </row>
    <row r="2401" ht="14.25" customHeight="1" s="5">
      <c r="A2401" s="7" t="n">
        <v>19895</v>
      </c>
      <c r="B2401" s="7" t="inlineStr">
        <is>
          <t>TEZ RED LEAF RG [24 X 10 X 100 GM LAMINATED POUCH] PP BAG</t>
        </is>
      </c>
      <c r="C2401" s="7" t="inlineStr">
        <is>
          <t>TEZ</t>
        </is>
      </c>
      <c r="D2401" s="7" t="n">
        <v>19115</v>
      </c>
      <c r="E2401" s="7" t="inlineStr">
        <is>
          <t>TEZ Red 100 GM Leaf RG</t>
        </is>
      </c>
      <c r="F2401" s="7" t="n">
        <v>240</v>
      </c>
      <c r="G2401" s="7" t="inlineStr">
        <is>
          <t>POUCH</t>
        </is>
      </c>
      <c r="H2401" t="inlineStr">
        <is>
          <t>BLEND RG TRD SLP</t>
        </is>
      </c>
    </row>
    <row r="2402" ht="14.25" customHeight="1" s="5">
      <c r="A2402" s="7" t="n">
        <v>28071</v>
      </c>
      <c r="B2402" s="7" t="inlineStr">
        <is>
          <t>TEZ RED LEAF RG [25 X 20 X 40 GM LAMINATED POUCH] PP BAG</t>
        </is>
      </c>
      <c r="C2402" s="7" t="inlineStr">
        <is>
          <t>TEZ</t>
        </is>
      </c>
      <c r="D2402" s="7" t="n">
        <v>28076</v>
      </c>
      <c r="E2402" s="7" t="inlineStr">
        <is>
          <t>TEZ RED 40 GM LEAF RG</t>
        </is>
      </c>
      <c r="F2402" s="7" t="n">
        <v>500</v>
      </c>
      <c r="G2402" s="7" t="inlineStr">
        <is>
          <t>POUCH</t>
        </is>
      </c>
      <c r="H2402" t="inlineStr">
        <is>
          <t>BLEND RG-(S)-SOUTH</t>
        </is>
      </c>
    </row>
    <row r="2403" ht="14.25" customHeight="1" s="5">
      <c r="A2403" s="7" t="n">
        <v>26810</v>
      </c>
      <c r="B2403" s="7" t="inlineStr">
        <is>
          <t>TEZ RED LEAF RG MRP Rs.20/- [24 X 10 X 100 GM LAMINATED POUCH] PP BAG</t>
        </is>
      </c>
      <c r="C2403" s="7" t="inlineStr">
        <is>
          <t>TEZ</t>
        </is>
      </c>
      <c r="D2403" s="7" t="n">
        <v>19115</v>
      </c>
      <c r="E2403" s="7" t="inlineStr">
        <is>
          <t>TEZ Red 100 GM Leaf RG</t>
        </is>
      </c>
      <c r="F2403" s="7" t="n">
        <v>240</v>
      </c>
      <c r="G2403" s="7" t="inlineStr">
        <is>
          <t>POUCH</t>
        </is>
      </c>
      <c r="H2403" t="inlineStr">
        <is>
          <t>BLEND RG TRD SLP</t>
        </is>
      </c>
    </row>
    <row r="2404" ht="14.25" customHeight="1" s="5">
      <c r="A2404" s="7" t="n">
        <v>36082</v>
      </c>
      <c r="B2404" s="7" t="inlineStr">
        <is>
          <t>TEZ RED LEAF RG MRP Rs.20/- [24 X 10 X 100 GM LAMINATED POUCH] PP BAG (V2)</t>
        </is>
      </c>
      <c r="C2404" s="7" t="inlineStr">
        <is>
          <t>TEZ</t>
        </is>
      </c>
      <c r="D2404" s="7" t="n">
        <v>36162</v>
      </c>
      <c r="E2404" s="7" t="inlineStr">
        <is>
          <t>TEZ Red 100 GM Leaf RG (V2)</t>
        </is>
      </c>
      <c r="F2404" s="7" t="n">
        <v>240</v>
      </c>
      <c r="G2404" s="7" t="inlineStr">
        <is>
          <t>POUCH</t>
        </is>
      </c>
      <c r="H2404" t="inlineStr">
        <is>
          <t>BLEND RG TRD CBE</t>
        </is>
      </c>
    </row>
    <row r="2405" ht="14.25" customHeight="1" s="5">
      <c r="A2405" s="7" t="n">
        <v>36081</v>
      </c>
      <c r="B2405" s="7" t="inlineStr">
        <is>
          <t>TEZ RED LEAF RG TRD CBE [30 X 10 X 75 GM LAMINATED POUCH] PP BAG</t>
        </is>
      </c>
      <c r="C2405" s="7" t="inlineStr">
        <is>
          <t>TEZ</t>
        </is>
      </c>
      <c r="D2405" s="7" t="n">
        <v>36161</v>
      </c>
      <c r="E2405" s="7" t="inlineStr">
        <is>
          <t>TEZ RED LEAF RG TRD CBE 75 GM POUCH</t>
        </is>
      </c>
      <c r="F2405" s="7" t="n">
        <v>300</v>
      </c>
      <c r="G2405" s="7" t="inlineStr">
        <is>
          <t>POUCH</t>
        </is>
      </c>
      <c r="H2405" t="inlineStr">
        <is>
          <t>BLEND RG TRD CBE</t>
        </is>
      </c>
    </row>
    <row r="2406" ht="14.25" customHeight="1" s="5">
      <c r="A2406" s="7" t="n">
        <v>33143</v>
      </c>
      <c r="B2406" s="7" t="inlineStr">
        <is>
          <t>TEZ RED LEAF RG TRD SLP [30 X 10 X 75 GM LAMINATED POUCH] PP BAG</t>
        </is>
      </c>
      <c r="C2406" s="7" t="inlineStr">
        <is>
          <t>TEZ</t>
        </is>
      </c>
      <c r="D2406" s="7" t="n">
        <v>33142</v>
      </c>
      <c r="E2406" s="7" t="inlineStr">
        <is>
          <t>TEZ RED LEAF RG TRD SLP 75 GM POUCH</t>
        </is>
      </c>
      <c r="F2406" s="7" t="n">
        <v>300</v>
      </c>
      <c r="G2406" s="7" t="inlineStr">
        <is>
          <t>POUCH</t>
        </is>
      </c>
      <c r="H2406" t="inlineStr">
        <is>
          <t>BLEND RG TRD SLP</t>
        </is>
      </c>
    </row>
    <row r="2407" ht="14.25" customHeight="1" s="5">
      <c r="A2407" s="7" t="n">
        <v>35726</v>
      </c>
      <c r="B2407" s="7" t="inlineStr">
        <is>
          <t>TEZ RED LEAF RG-JAGO L [12 X 8 X 250 GM LAMINATE POUCH] PP BAG</t>
        </is>
      </c>
      <c r="C2407" s="7" t="inlineStr">
        <is>
          <t>TEZ</t>
        </is>
      </c>
      <c r="D2407" s="7" t="n">
        <v>35725</v>
      </c>
      <c r="E2407" s="7" t="inlineStr">
        <is>
          <t>TEZ RED LEAF RG-JAGO L 250 GM POUCH</t>
        </is>
      </c>
      <c r="F2407" s="7" t="n">
        <v>96</v>
      </c>
      <c r="G2407" s="7" t="inlineStr">
        <is>
          <t>POUCH</t>
        </is>
      </c>
      <c r="H2407" t="inlineStr">
        <is>
          <t>BLEND RG-Jago L</t>
        </is>
      </c>
    </row>
    <row r="2408" ht="14.25" customHeight="1" s="5">
      <c r="A2408" s="7" t="n">
        <v>31768</v>
      </c>
      <c r="B2408" s="7" t="inlineStr">
        <is>
          <t>TEZ RED LEAF RG-Jago L [24 X 1 KG LAMINATE POUCH] CFC</t>
        </is>
      </c>
      <c r="C2408" s="7" t="inlineStr">
        <is>
          <t>TEZ</t>
        </is>
      </c>
      <c r="D2408" s="7" t="n">
        <v>31766</v>
      </c>
      <c r="E2408" s="7" t="inlineStr">
        <is>
          <t>TEZ RED LEAF RG-Jago L 1 KG POUCH</t>
        </is>
      </c>
      <c r="F2408" s="7" t="n">
        <v>24</v>
      </c>
      <c r="G2408" s="7" t="inlineStr">
        <is>
          <t>POUCH</t>
        </is>
      </c>
      <c r="H2408" t="inlineStr">
        <is>
          <t>BLEND RG-Jago L</t>
        </is>
      </c>
    </row>
    <row r="2409" ht="14.25" customHeight="1" s="5">
      <c r="A2409" s="7" t="n">
        <v>32110</v>
      </c>
      <c r="B2409" s="7" t="inlineStr">
        <is>
          <t>TEZ CAFE HOT CHOCOLATE (30GMS) 12 STRIPS X 10 SACHETS</t>
        </is>
      </c>
      <c r="C2409" s="7" t="inlineStr">
        <is>
          <t>TEZ CAFE</t>
        </is>
      </c>
      <c r="D2409" s="7" t="n">
        <v>32329</v>
      </c>
      <c r="E2409" s="7" t="inlineStr">
        <is>
          <t>TEZ CAFE HOT CHOCOLATE (30GMS)</t>
        </is>
      </c>
      <c r="F2409" s="7" t="n">
        <v>120</v>
      </c>
      <c r="G2409" s="7" t="inlineStr">
        <is>
          <t>POUCH</t>
        </is>
      </c>
      <c r="H2409" t="inlineStr">
        <is>
          <t>BLEND INSTANT CHOCOLATE AFRICA</t>
        </is>
      </c>
    </row>
    <row r="2410" ht="14.25" customHeight="1" s="5">
      <c r="A2410" s="7" t="n">
        <v>32463</v>
      </c>
      <c r="B2410" s="7" t="inlineStr">
        <is>
          <t>TEZ CAFE HOT CHOCOLATE 3 IN 1 (30GMS) 12 STRIPS X 10 SACHETS</t>
        </is>
      </c>
      <c r="C2410" s="7" t="inlineStr">
        <is>
          <t>TEZ CAFE</t>
        </is>
      </c>
      <c r="D2410" s="7" t="n">
        <v>32329</v>
      </c>
      <c r="E2410" s="7" t="inlineStr">
        <is>
          <t>TEZ CAFE HOT CHOCOLATE (30GMS)</t>
        </is>
      </c>
      <c r="F2410" s="7" t="n">
        <v>120</v>
      </c>
      <c r="G2410" s="7" t="inlineStr">
        <is>
          <t>POUCH</t>
        </is>
      </c>
      <c r="H2410" t="inlineStr">
        <is>
          <t>BLEND INSTANT CHOCOLATE AFRICA</t>
        </is>
      </c>
    </row>
    <row r="2411" ht="14.25" customHeight="1" s="5">
      <c r="A2411" s="7" t="n">
        <v>33774</v>
      </c>
      <c r="B2411" s="7" t="inlineStr">
        <is>
          <t>TEZ CAFE HOT CHOCOLATE 3 IN 1 (30GMS) 8 STRIPS X 10 SACHETS</t>
        </is>
      </c>
      <c r="C2411" s="7" t="inlineStr">
        <is>
          <t>TEZ CAFE</t>
        </is>
      </c>
      <c r="D2411" s="7" t="n">
        <v>32329</v>
      </c>
      <c r="E2411" s="7" t="inlineStr">
        <is>
          <t>TEZ CAFE HOT CHOCOLATE (30GMS)</t>
        </is>
      </c>
      <c r="F2411" s="7" t="n">
        <v>80</v>
      </c>
      <c r="G2411" s="7" t="inlineStr">
        <is>
          <t>POUCH</t>
        </is>
      </c>
      <c r="H2411" t="inlineStr">
        <is>
          <t>BLEND INSTANT CHOCOLATE AFRICA</t>
        </is>
      </c>
    </row>
    <row r="2412" ht="14.25" customHeight="1" s="5">
      <c r="A2412" s="7" t="n">
        <v>33933</v>
      </c>
      <c r="B2412" s="7" t="inlineStr">
        <is>
          <t>TEZ CAFE COFFEE 3 IN 1 (25GMS) 12 STRIPS X 10 SACHETS WITH HANGER</t>
        </is>
      </c>
      <c r="C2412" s="7" t="inlineStr">
        <is>
          <t>TEZ CAFE</t>
        </is>
      </c>
      <c r="D2412" s="7" t="n">
        <v>32328</v>
      </c>
      <c r="E2412" s="7" t="inlineStr">
        <is>
          <t>TEZ CAFE COFFEE 3 IN 1 (25GMS)</t>
        </is>
      </c>
      <c r="F2412" s="7" t="n">
        <v>120</v>
      </c>
      <c r="G2412" s="7" t="inlineStr">
        <is>
          <t>POUCH</t>
        </is>
      </c>
      <c r="H2412" t="inlineStr">
        <is>
          <t>BLEND INSTANT COFFEE AFRICA</t>
        </is>
      </c>
    </row>
    <row r="2413" ht="14.25" customHeight="1" s="5">
      <c r="A2413" s="7" t="n">
        <v>33772</v>
      </c>
      <c r="B2413" s="7" t="inlineStr">
        <is>
          <t>TEZ CAFE COFFEE 3 IN 1 (25GMS) 8 STRIPS X 10 SACHETS</t>
        </is>
      </c>
      <c r="C2413" s="7" t="inlineStr">
        <is>
          <t>TEZ CAFE</t>
        </is>
      </c>
      <c r="D2413" s="7" t="n">
        <v>32328</v>
      </c>
      <c r="E2413" s="7" t="inlineStr">
        <is>
          <t>TEZ CAFE COFFEE 3 IN 1 (25GMS)</t>
        </is>
      </c>
      <c r="F2413" s="7" t="n">
        <v>80</v>
      </c>
      <c r="G2413" s="7" t="inlineStr">
        <is>
          <t>POUCH</t>
        </is>
      </c>
      <c r="H2413" t="inlineStr">
        <is>
          <t>BLEND INSTANT COFFEE AFRICA</t>
        </is>
      </c>
    </row>
    <row r="2414" ht="14.25" customHeight="1" s="5">
      <c r="A2414" s="7" t="n">
        <v>34467</v>
      </c>
      <c r="B2414" s="7" t="inlineStr">
        <is>
          <t>TEZ CAFE COFFEE 3 IN 1 (30GMS) 12 STRIPS X 10 SACHETS WITH HANGER</t>
        </is>
      </c>
      <c r="C2414" s="7" t="inlineStr">
        <is>
          <t>TEZ CAFE</t>
        </is>
      </c>
      <c r="D2414" s="7" t="n">
        <v>34498</v>
      </c>
      <c r="E2414" s="7" t="inlineStr">
        <is>
          <t>TEZ CAFE COFFEE 3 IN 1 (30GMS)</t>
        </is>
      </c>
      <c r="F2414" s="7" t="n">
        <v>120</v>
      </c>
      <c r="G2414" s="7" t="inlineStr">
        <is>
          <t>POUCH</t>
        </is>
      </c>
      <c r="H2414" t="inlineStr">
        <is>
          <t>BLEND INSTANT COFFEE AFRICA</t>
        </is>
      </c>
    </row>
    <row r="2415" ht="14.25" customHeight="1" s="5">
      <c r="A2415" s="7" t="n">
        <v>33932</v>
      </c>
      <c r="B2415" s="7" t="inlineStr">
        <is>
          <t>TEZ CAFE COFFEE 3 IN 1 (35 GMS) 12 STRIPS X 10 SACHETS WITH HANGER</t>
        </is>
      </c>
      <c r="C2415" s="7" t="inlineStr">
        <is>
          <t>TEZ CAFE</t>
        </is>
      </c>
      <c r="D2415" s="7" t="n">
        <v>33361</v>
      </c>
      <c r="E2415" s="7" t="inlineStr">
        <is>
          <t>TEZ CAFE COFFEE 3 IN 1 (35GMS)</t>
        </is>
      </c>
      <c r="F2415" s="7" t="n">
        <v>120</v>
      </c>
      <c r="G2415" s="7" t="inlineStr">
        <is>
          <t>POUCH</t>
        </is>
      </c>
      <c r="H2415" t="inlineStr">
        <is>
          <t>BLEND INSTANT COFFEE AFRICA</t>
        </is>
      </c>
    </row>
    <row r="2416" ht="14.25" customHeight="1" s="5">
      <c r="A2416" s="7" t="n">
        <v>22060</v>
      </c>
      <c r="B2416" s="7" t="inlineStr">
        <is>
          <t>TOPS 12/100 PENV TBGS</t>
        </is>
      </c>
      <c r="C2416" s="7" t="inlineStr">
        <is>
          <t>TOPS</t>
        </is>
      </c>
      <c r="D2416" s="7" t="n">
        <v>22464</v>
      </c>
      <c r="E2416" s="7" t="inlineStr">
        <is>
          <t>TOPS 100 ENV TBGS</t>
        </is>
      </c>
      <c r="F2416" s="7" t="n">
        <v>12</v>
      </c>
      <c r="G2416" s="7" t="inlineStr">
        <is>
          <t>CTN</t>
        </is>
      </c>
      <c r="H2416" t="inlineStr">
        <is>
          <t>BLEND 7002</t>
        </is>
      </c>
    </row>
    <row r="2417" ht="14.25" customHeight="1" s="5">
      <c r="A2417" s="7" t="n">
        <v>23224</v>
      </c>
      <c r="B2417" s="7" t="inlineStr">
        <is>
          <t>TRSCO 32-3 OZ AB RND RFA ITBS</t>
        </is>
      </c>
      <c r="C2417" s="7" t="inlineStr">
        <is>
          <t>BREW MAGIC</t>
        </is>
      </c>
      <c r="D2417" s="7" t="n">
        <v>23668</v>
      </c>
      <c r="E2417" s="7" t="inlineStr">
        <is>
          <t>TRSCO 3 OZ AB RND RFA ITBS</t>
        </is>
      </c>
      <c r="F2417" s="7" t="n">
        <v>4</v>
      </c>
      <c r="G2417" s="7" t="inlineStr">
        <is>
          <t>PKT</t>
        </is>
      </c>
      <c r="H2417" t="inlineStr">
        <is>
          <t>BLEND 7022 RFA</t>
        </is>
      </c>
    </row>
    <row r="2418" ht="14.25" customHeight="1" s="5">
      <c r="A2418" s="7" t="n">
        <v>36717</v>
      </c>
      <c r="B2418" s="7" t="inlineStr">
        <is>
          <t>TRUEVALUE GB GREEN TEA 18/100 DC SF HS ENV TBGS</t>
        </is>
      </c>
      <c r="C2418" s="7" t="inlineStr">
        <is>
          <t>TRUEVALUE</t>
        </is>
      </c>
      <c r="D2418" s="7" t="n">
        <v>36709</v>
      </c>
      <c r="E2418" s="7" t="inlineStr">
        <is>
          <t>TRUEVALUE GB GREEN TEA 100 DC SF HS ENV TBGS</t>
        </is>
      </c>
      <c r="F2418" s="7" t="n">
        <v>18</v>
      </c>
      <c r="G2418" s="7" t="inlineStr">
        <is>
          <t>CTN</t>
        </is>
      </c>
      <c r="H2418" t="inlineStr">
        <is>
          <t>BLEND TEAME GREEN</t>
        </is>
      </c>
    </row>
    <row r="2419" ht="14.25" customHeight="1" s="5">
      <c r="A2419" s="7" t="n">
        <v>36716</v>
      </c>
      <c r="B2419" s="7" t="inlineStr">
        <is>
          <t>TRUEVALUE GB LEMON TEA 18/100 DC SF HS ENV TBGS</t>
        </is>
      </c>
      <c r="C2419" s="7" t="inlineStr">
        <is>
          <t>TRUEVALUE</t>
        </is>
      </c>
      <c r="D2419" s="7" t="n">
        <v>36708</v>
      </c>
      <c r="E2419" s="7" t="inlineStr">
        <is>
          <t>TRUEVALUE GB LEMON TEA 100 DC SF HS ENV TBGS</t>
        </is>
      </c>
      <c r="F2419" s="7" t="n">
        <v>18</v>
      </c>
      <c r="G2419" s="7" t="inlineStr">
        <is>
          <t>CTN</t>
        </is>
      </c>
      <c r="H2419" t="inlineStr">
        <is>
          <t>BLEND CCD LEMON</t>
        </is>
      </c>
    </row>
    <row r="2420" ht="14.25" customHeight="1" s="5">
      <c r="A2420" s="7" t="n">
        <v>17858</v>
      </c>
      <c r="B2420" s="7" t="inlineStr">
        <is>
          <t>TRUEVALUE GRANULES BEANS GREEN TEA 18/100 SC HS ENV TBGS</t>
        </is>
      </c>
      <c r="C2420" s="7" t="inlineStr">
        <is>
          <t>TRUEVALUE</t>
        </is>
      </c>
      <c r="D2420" s="7" t="n">
        <v>17857</v>
      </c>
      <c r="E2420" s="7" t="inlineStr">
        <is>
          <t>TRUEVALUE GRANULES BEANS GREEN TEA 100 SC HS ENV TBGS</t>
        </is>
      </c>
      <c r="F2420" s="7" t="n">
        <v>18</v>
      </c>
      <c r="G2420" s="7" t="inlineStr">
        <is>
          <t>CTN</t>
        </is>
      </c>
      <c r="H2420" t="inlineStr">
        <is>
          <t>BLEND TEAME GREEN</t>
        </is>
      </c>
    </row>
    <row r="2421" ht="14.25" customHeight="1" s="5">
      <c r="A2421" s="7" t="n">
        <v>17861</v>
      </c>
      <c r="B2421" s="7" t="inlineStr">
        <is>
          <t>TRUEVALUE GRANULES BEANS LEMON TEA 18/100 SC HS ENV TBGS</t>
        </is>
      </c>
      <c r="C2421" s="7" t="inlineStr">
        <is>
          <t>TRUEVALUE</t>
        </is>
      </c>
      <c r="D2421" s="7" t="n">
        <v>17860</v>
      </c>
      <c r="E2421" s="7" t="inlineStr">
        <is>
          <t>TRUEVALUE GRANULES BEANS LEMON TEA 100 SC HS ENV TBGS</t>
        </is>
      </c>
      <c r="F2421" s="7" t="n">
        <v>18</v>
      </c>
      <c r="G2421" s="7" t="inlineStr">
        <is>
          <t>CTN</t>
        </is>
      </c>
      <c r="H2421" t="inlineStr">
        <is>
          <t>BLEND CCD LEMON</t>
        </is>
      </c>
    </row>
    <row r="2422" ht="14.25" customHeight="1" s="5">
      <c r="A2422" s="7" t="n">
        <v>23000</v>
      </c>
      <c r="B2422" s="7" t="inlineStr">
        <is>
          <t>TRUEVALUE GRANULES BEANS PF TV [90 X 100 GM LAMINATE POUCH] CFC</t>
        </is>
      </c>
      <c r="C2422" s="7" t="inlineStr">
        <is>
          <t>TRUEVALUE</t>
        </is>
      </c>
      <c r="D2422" s="7" t="n">
        <v>22999</v>
      </c>
      <c r="E2422" s="7" t="inlineStr">
        <is>
          <t>TRUEVALUE GRANULES BEANS PF TV 100 GM POUCH</t>
        </is>
      </c>
      <c r="F2422" s="7" t="n">
        <v>90</v>
      </c>
      <c r="G2422" s="7" t="inlineStr">
        <is>
          <t>POUCH</t>
        </is>
      </c>
      <c r="H2422" t="inlineStr">
        <is>
          <t>BLEND STD-TV (NEW)</t>
        </is>
      </c>
    </row>
    <row r="2423" ht="14.25" customHeight="1" s="5">
      <c r="A2423" s="7" t="n">
        <v>32397</v>
      </c>
      <c r="B2423" s="7" t="inlineStr">
        <is>
          <t>VEDAKA DETOX KAHWA 18/100 DC SF HS ENV TBGS</t>
        </is>
      </c>
      <c r="C2423" s="7" t="inlineStr">
        <is>
          <t>VEDAKA</t>
        </is>
      </c>
      <c r="D2423" s="7" t="n">
        <v>32371</v>
      </c>
      <c r="E2423" s="7" t="inlineStr">
        <is>
          <t>VEDAKA DETOX KAHWA 100 DC SF HS ENV TBGS</t>
        </is>
      </c>
      <c r="F2423" s="7" t="n">
        <v>18</v>
      </c>
      <c r="G2423" s="7" t="inlineStr">
        <is>
          <t>CTN</t>
        </is>
      </c>
      <c r="H2423" t="inlineStr">
        <is>
          <t>BLEND DETOX KAHWA AMAZON TB</t>
        </is>
      </c>
    </row>
    <row r="2424" ht="14.25" customHeight="1" s="5">
      <c r="A2424" s="7" t="n">
        <v>32398</v>
      </c>
      <c r="B2424" s="7" t="inlineStr">
        <is>
          <t>VEDAKA DETOX KAHWA 18/36 DC SF HS ENV TBGS</t>
        </is>
      </c>
      <c r="C2424" s="7" t="inlineStr">
        <is>
          <t>VEDAKA</t>
        </is>
      </c>
      <c r="D2424" s="7" t="n">
        <v>32388</v>
      </c>
      <c r="E2424" s="7" t="inlineStr">
        <is>
          <t>VEDAKA DETOX KAHWA 36 DC SF HS ENV TBGS</t>
        </is>
      </c>
      <c r="F2424" s="7" t="n">
        <v>18</v>
      </c>
      <c r="G2424" s="7" t="inlineStr">
        <is>
          <t>CTN</t>
        </is>
      </c>
      <c r="H2424" t="inlineStr">
        <is>
          <t>BLEND DETOX KAHWA AMAZON TB</t>
        </is>
      </c>
    </row>
    <row r="2425" ht="14.25" customHeight="1" s="5">
      <c r="A2425" s="7" t="n">
        <v>65</v>
      </c>
      <c r="B2425" s="7" t="inlineStr">
        <is>
          <t>VEDAKA GREEN TEA HONEY &amp; LEMON 18/100 DC SF HS ENV TBGS-B07KJ5S8P7-PANTRY</t>
        </is>
      </c>
      <c r="C2425" s="7" t="inlineStr">
        <is>
          <t>VEDAKA</t>
        </is>
      </c>
      <c r="D2425" s="7" t="n">
        <v>66</v>
      </c>
      <c r="E2425" s="7" t="inlineStr">
        <is>
          <t>VEDAKA GREEN TEA HONEY &amp; LEMON 100 DC SF HS ENV TBGS-B07KJ5S8P7-PANTRY</t>
        </is>
      </c>
      <c r="F2425" s="7" t="n">
        <v>18</v>
      </c>
      <c r="G2425" s="7" t="inlineStr">
        <is>
          <t>CTN</t>
        </is>
      </c>
      <c r="H2425" t="inlineStr">
        <is>
          <t>BLEND GREEN TEA HONEY LEMON AMAZON TBC</t>
        </is>
      </c>
    </row>
    <row r="2426" ht="14.25" customHeight="1" s="5">
      <c r="A2426" s="7" t="n">
        <v>76</v>
      </c>
      <c r="B2426" s="7" t="inlineStr">
        <is>
          <t>VEDAKA GREEN TEA HONEY &amp; LEMON 18/100 DC SF HS ENV TBGS-B07KJRWMF3-FBA</t>
        </is>
      </c>
      <c r="C2426" s="7" t="inlineStr">
        <is>
          <t>VEDAKA</t>
        </is>
      </c>
      <c r="D2426" s="7" t="n">
        <v>77</v>
      </c>
      <c r="E2426" s="7" t="inlineStr">
        <is>
          <t>VEDAKA GREEN TEA HONEY &amp; LEMON 100 DC SF HS ENV TBGS-B07KJRWMF3-FBA</t>
        </is>
      </c>
      <c r="F2426" s="7" t="n">
        <v>18</v>
      </c>
      <c r="G2426" s="7" t="inlineStr">
        <is>
          <t>CTN</t>
        </is>
      </c>
      <c r="H2426" t="inlineStr">
        <is>
          <t>BLEND GREEN TEA HONEY LEMON AMAZON TBC</t>
        </is>
      </c>
    </row>
    <row r="2427" ht="14.25" customHeight="1" s="5">
      <c r="A2427" s="7" t="n">
        <v>78</v>
      </c>
      <c r="B2427" s="7" t="inlineStr">
        <is>
          <t>VEDAKA GREEN TEA HONEY &amp; LEMON 24/25 DC SF HS ENV TBGS-B07KJ5KKQF-PANTRY</t>
        </is>
      </c>
      <c r="C2427" s="7" t="inlineStr">
        <is>
          <t>VEDAKA</t>
        </is>
      </c>
      <c r="D2427" s="7" t="n">
        <v>79</v>
      </c>
      <c r="E2427" s="7" t="inlineStr">
        <is>
          <t>VEDAKA GREEN TEA HONEY &amp; LEMON 25 DC SF HS ENV TBGS-B07KJ5KKQF-PANTRY</t>
        </is>
      </c>
      <c r="F2427" s="7" t="n">
        <v>24</v>
      </c>
      <c r="G2427" s="7" t="inlineStr">
        <is>
          <t>CTN</t>
        </is>
      </c>
      <c r="H2427" t="inlineStr">
        <is>
          <t>BLEND GREEN TEA HONEY LEMON AMAZON TBC</t>
        </is>
      </c>
    </row>
    <row r="2428" ht="14.25" customHeight="1" s="5">
      <c r="A2428" s="7" t="n">
        <v>84</v>
      </c>
      <c r="B2428" s="7" t="inlineStr">
        <is>
          <t>VEDAKA GREEN TEA HONEY &amp; LEMON 24/25 DC SF HS ENV TBGS-B07KJRXD9V-FBA</t>
        </is>
      </c>
      <c r="C2428" s="7" t="inlineStr">
        <is>
          <t>VEDAKA</t>
        </is>
      </c>
      <c r="D2428" s="7" t="n">
        <v>85</v>
      </c>
      <c r="E2428" s="7" t="inlineStr">
        <is>
          <t>VEDAKA GREEN TEA HONEY &amp; LEMON 25 DC SF HS ENV TBGS-B07KJRXD9V-FBA</t>
        </is>
      </c>
      <c r="F2428" s="7" t="n">
        <v>24</v>
      </c>
      <c r="G2428" s="7" t="inlineStr">
        <is>
          <t>CTN</t>
        </is>
      </c>
      <c r="H2428" t="inlineStr">
        <is>
          <t>BLEND GREEN TEA HONEY LEMON AMAZON TBC</t>
        </is>
      </c>
    </row>
    <row r="2429" ht="14.25" customHeight="1" s="5">
      <c r="A2429" s="7" t="n">
        <v>17937</v>
      </c>
      <c r="B2429" s="7" t="inlineStr">
        <is>
          <t>VEDAKA GREEN TEA LEMON 24/25 DC SF HS ENV TBGS-B07KJ2KK4D-PANTRY</t>
        </is>
      </c>
      <c r="C2429" s="7" t="inlineStr">
        <is>
          <t>VEDAKA</t>
        </is>
      </c>
      <c r="D2429" s="7" t="n">
        <v>17938</v>
      </c>
      <c r="E2429" s="7" t="inlineStr">
        <is>
          <t>VEDAKA GREEN TEA LEMON 25 DC SF HS ENV TBGS-B07KJ2KK4D-PANTRY</t>
        </is>
      </c>
      <c r="F2429" s="7" t="n">
        <v>24</v>
      </c>
      <c r="G2429" s="7" t="inlineStr">
        <is>
          <t>CTN</t>
        </is>
      </c>
      <c r="H2429" t="inlineStr">
        <is>
          <t>BLEND GREEN TEA LEMON AMAZON TBC</t>
        </is>
      </c>
    </row>
    <row r="2430" ht="14.25" customHeight="1" s="5">
      <c r="A2430" s="7" t="n">
        <v>23004</v>
      </c>
      <c r="B2430" s="7" t="inlineStr">
        <is>
          <t>VEDAKA GREEN TEA LEMON 24/25 DC SF HS ENV TBGS-B08MXKS8TX-PANTRY</t>
        </is>
      </c>
      <c r="C2430" s="7" t="inlineStr">
        <is>
          <t>VEDAKA</t>
        </is>
      </c>
      <c r="D2430" s="7" t="n">
        <v>23005</v>
      </c>
      <c r="E2430" s="7" t="inlineStr">
        <is>
          <t>VEDAKA GREEN TEA LEMON 25 DC SF HS ENV TBGS-B08MXKS8TX-PANTRY</t>
        </is>
      </c>
      <c r="F2430" s="7" t="n">
        <v>24</v>
      </c>
      <c r="G2430" s="7" t="inlineStr">
        <is>
          <t>CTN</t>
        </is>
      </c>
      <c r="H2430" t="inlineStr">
        <is>
          <t>BLEND GREEN TEA LEMON AMAZON TBC</t>
        </is>
      </c>
    </row>
    <row r="2431" ht="14.25" customHeight="1" s="5">
      <c r="A2431" s="7" t="n">
        <v>86</v>
      </c>
      <c r="B2431" s="7" t="inlineStr">
        <is>
          <t>VEDAKA GREEN TEA NATURAL 18/100 DC SF HS ENV TBGS-B07KJ2KK4C-PANTRY</t>
        </is>
      </c>
      <c r="C2431" s="7" t="inlineStr">
        <is>
          <t>VEDAKA</t>
        </is>
      </c>
      <c r="D2431" s="7" t="n">
        <v>87</v>
      </c>
      <c r="E2431" s="7" t="inlineStr">
        <is>
          <t>VEDAKA GREEN TEA NATURAL 100 DC SF HS ENV TBGS-B07KJ2KK4C-PANTRY</t>
        </is>
      </c>
      <c r="F2431" s="7" t="n">
        <v>18</v>
      </c>
      <c r="G2431" s="7" t="inlineStr">
        <is>
          <t>CTN</t>
        </is>
      </c>
      <c r="H2431" t="inlineStr">
        <is>
          <t>BLEND TEAME GREEN</t>
        </is>
      </c>
    </row>
    <row r="2432" ht="14.25" customHeight="1" s="5">
      <c r="A2432" s="7" t="n">
        <v>92</v>
      </c>
      <c r="B2432" s="7" t="inlineStr">
        <is>
          <t>VEDAKA GREEN TEA NATURAL 18/100 DC SF HS ENV TBGS-B07KJYF3QT-FBA</t>
        </is>
      </c>
      <c r="C2432" s="7" t="inlineStr">
        <is>
          <t>VEDAKA</t>
        </is>
      </c>
      <c r="D2432" s="7" t="n">
        <v>93</v>
      </c>
      <c r="E2432" s="7" t="inlineStr">
        <is>
          <t>VEDAKA GREEN TEA NATURAL 100 DC SF HS ENV TBGS-B07KJYF3QT-FBA</t>
        </is>
      </c>
      <c r="F2432" s="7" t="n">
        <v>18</v>
      </c>
      <c r="G2432" s="7" t="inlineStr">
        <is>
          <t>CTN</t>
        </is>
      </c>
      <c r="H2432" t="inlineStr">
        <is>
          <t>BLEND 7434 GREEN - 90% UTZ</t>
        </is>
      </c>
    </row>
    <row r="2433" ht="14.25" customHeight="1" s="5">
      <c r="A2433" s="7" t="n">
        <v>94</v>
      </c>
      <c r="B2433" s="7" t="inlineStr">
        <is>
          <t>VEDAKA GREEN TEA NATURAL 24/25 DC SF HS ENV TBGS-B07KJ2KK4G-PANTRY</t>
        </is>
      </c>
      <c r="C2433" s="7" t="inlineStr">
        <is>
          <t>VEDAKA</t>
        </is>
      </c>
      <c r="D2433" s="7" t="n">
        <v>95</v>
      </c>
      <c r="E2433" s="7" t="inlineStr">
        <is>
          <t>VEDAKA GREEN TEA NATURAL 25 DC SF HS ENV TBGS-B07KJ2KK4G-PANTRY</t>
        </is>
      </c>
      <c r="F2433" s="7" t="n">
        <v>24</v>
      </c>
      <c r="G2433" s="7" t="inlineStr">
        <is>
          <t>CTN</t>
        </is>
      </c>
      <c r="H2433" t="inlineStr">
        <is>
          <t>BLEND TEAME GREEN</t>
        </is>
      </c>
    </row>
    <row r="2434" ht="14.25" customHeight="1" s="5">
      <c r="A2434" s="7" t="n">
        <v>97</v>
      </c>
      <c r="B2434" s="7" t="inlineStr">
        <is>
          <t>VEDAKA GREEN TEA NATURAL 24/25 DC SF HS ENV TBGS-B07KK22H65-FBA</t>
        </is>
      </c>
      <c r="C2434" s="7" t="inlineStr">
        <is>
          <t>VEDAKA</t>
        </is>
      </c>
      <c r="D2434" s="7" t="n">
        <v>98</v>
      </c>
      <c r="E2434" s="7" t="inlineStr">
        <is>
          <t>VEDAKA GREEN TEA NATURAL 25 DC SF HS ENV TBGS-B07KK22H65-FBA</t>
        </is>
      </c>
      <c r="F2434" s="7" t="n">
        <v>24</v>
      </c>
      <c r="G2434" s="7" t="inlineStr">
        <is>
          <t>CTN</t>
        </is>
      </c>
      <c r="H2434" t="inlineStr">
        <is>
          <t>BLEND 7434 GREEN - 90% UTZ</t>
        </is>
      </c>
    </row>
    <row r="2435" ht="14.25" customHeight="1" s="5">
      <c r="A2435" s="7" t="n">
        <v>17940</v>
      </c>
      <c r="B2435" s="7" t="inlineStr">
        <is>
          <t>VEDAKA GREEN TEA TULSI 24/25 DC SF HS ENV TBGS-B07KJ84B92-PANTRY</t>
        </is>
      </c>
      <c r="C2435" s="7" t="inlineStr">
        <is>
          <t>VEDAKA</t>
        </is>
      </c>
      <c r="D2435" s="7" t="n">
        <v>17941</v>
      </c>
      <c r="E2435" s="7" t="inlineStr">
        <is>
          <t>VEDAKA GREEN TEA TULSI 25 DC SF HS ENV TBGS-B07KJ84B92-PANTRY</t>
        </is>
      </c>
      <c r="F2435" s="7" t="n">
        <v>24</v>
      </c>
      <c r="G2435" s="7" t="inlineStr">
        <is>
          <t>CTN</t>
        </is>
      </c>
      <c r="H2435" t="inlineStr">
        <is>
          <t>BLEND GREEN TEA TULSI TBC</t>
        </is>
      </c>
    </row>
    <row r="2436" ht="14.25" customHeight="1" s="5">
      <c r="A2436" s="7" t="n">
        <v>23006</v>
      </c>
      <c r="B2436" s="7" t="inlineStr">
        <is>
          <t>VEDAKA GREEN TEA TULSI 24/25 DC SF HS ENV TBGS-B08R11597T-PANTRY</t>
        </is>
      </c>
      <c r="C2436" s="7" t="inlineStr">
        <is>
          <t>VEDAKA</t>
        </is>
      </c>
      <c r="D2436" s="7" t="n">
        <v>23007</v>
      </c>
      <c r="E2436" s="7" t="inlineStr">
        <is>
          <t>VEDAKA GREEN TEA TULSI 25 DC SF HS ENV TBGS-B08R11597T-PANTRY</t>
        </is>
      </c>
      <c r="F2436" s="7" t="n">
        <v>24</v>
      </c>
      <c r="G2436" s="7" t="inlineStr">
        <is>
          <t>CTN</t>
        </is>
      </c>
      <c r="H2436" t="inlineStr">
        <is>
          <t>BLEND GREEN TEA TULSI TBC</t>
        </is>
      </c>
    </row>
    <row r="2437" ht="14.25" customHeight="1" s="5">
      <c r="A2437" s="7" t="n">
        <v>20626</v>
      </c>
      <c r="B2437" s="7" t="inlineStr">
        <is>
          <t>VEGO 24/106 SC TAGLESS TBGS</t>
        </is>
      </c>
      <c r="C2437" s="7" t="inlineStr">
        <is>
          <t>VEGO</t>
        </is>
      </c>
      <c r="D2437" s="7" t="n">
        <v>18687</v>
      </c>
      <c r="E2437" s="7" t="inlineStr">
        <is>
          <t>VEGO 106 SC TBGS TAGLESS TBGS</t>
        </is>
      </c>
      <c r="F2437" s="7" t="n">
        <v>24</v>
      </c>
      <c r="G2437" s="7" t="inlineStr">
        <is>
          <t>CTN</t>
        </is>
      </c>
      <c r="H2437" t="inlineStr">
        <is>
          <t>BLEND 786</t>
        </is>
      </c>
    </row>
    <row r="2438" ht="14.25" customHeight="1" s="5">
      <c r="A2438" s="7" t="n">
        <v>18688</v>
      </c>
      <c r="B2438" s="7" t="inlineStr">
        <is>
          <t>VEGO 24/106 SC TAGLESS TBGS WITH T-SHIRT</t>
        </is>
      </c>
      <c r="C2438" s="7" t="inlineStr">
        <is>
          <t>VEGO</t>
        </is>
      </c>
      <c r="D2438" s="7" t="n">
        <v>18687</v>
      </c>
      <c r="E2438" s="7" t="inlineStr">
        <is>
          <t>VEGO 106 SC TBGS TAGLESS TBGS</t>
        </is>
      </c>
      <c r="F2438" s="7" t="n">
        <v>24</v>
      </c>
      <c r="G2438" s="7" t="inlineStr">
        <is>
          <t>CTN</t>
        </is>
      </c>
      <c r="H2438" t="inlineStr">
        <is>
          <t>BLEND 786</t>
        </is>
      </c>
    </row>
    <row r="2439" ht="14.25" customHeight="1" s="5">
      <c r="A2439" s="7" t="n">
        <v>20625</v>
      </c>
      <c r="B2439" s="7" t="inlineStr">
        <is>
          <t>VEGO PREMIUM 12/106 DC ENV TBGS</t>
        </is>
      </c>
      <c r="C2439" s="7" t="inlineStr">
        <is>
          <t>VEGO</t>
        </is>
      </c>
      <c r="D2439" s="7" t="n">
        <v>18690</v>
      </c>
      <c r="E2439" s="7" t="inlineStr">
        <is>
          <t>VEGO PREMIUM 106 DC ENV TBGS</t>
        </is>
      </c>
      <c r="F2439" s="7" t="n">
        <v>12</v>
      </c>
      <c r="G2439" s="7" t="inlineStr">
        <is>
          <t>CTN</t>
        </is>
      </c>
      <c r="H2439" t="inlineStr">
        <is>
          <t>BLEND 786</t>
        </is>
      </c>
    </row>
    <row r="2440" ht="14.25" customHeight="1" s="5">
      <c r="A2440" s="7" t="n">
        <v>18691</v>
      </c>
      <c r="B2440" s="7" t="inlineStr">
        <is>
          <t>VEGO PREMIUM 12/106 DC ENV TBGS WITH T-SHIRT</t>
        </is>
      </c>
      <c r="C2440" s="7" t="inlineStr">
        <is>
          <t>VEGO</t>
        </is>
      </c>
      <c r="D2440" s="7" t="n">
        <v>18690</v>
      </c>
      <c r="E2440" s="7" t="inlineStr">
        <is>
          <t>VEGO PREMIUM 106 DC ENV TBGS</t>
        </is>
      </c>
      <c r="F2440" s="7" t="n">
        <v>12</v>
      </c>
      <c r="G2440" s="7" t="inlineStr">
        <is>
          <t>CTN</t>
        </is>
      </c>
      <c r="H2440" t="inlineStr">
        <is>
          <t>BLEND 786</t>
        </is>
      </c>
    </row>
    <row r="2441" ht="14.25" customHeight="1" s="5">
      <c r="A2441" s="7" t="n">
        <v>34165</v>
      </c>
      <c r="B2441" s="7" t="inlineStr">
        <is>
          <t>VIVO 12/100 DC ENV TBGS</t>
        </is>
      </c>
      <c r="C2441" s="7" t="inlineStr">
        <is>
          <t>Vivo</t>
        </is>
      </c>
      <c r="D2441" s="7" t="n">
        <v>34210</v>
      </c>
      <c r="E2441" s="7" t="inlineStr">
        <is>
          <t>VIVO 100 DC ENV TBGS</t>
        </is>
      </c>
      <c r="F2441" s="7" t="n">
        <v>12</v>
      </c>
      <c r="G2441" s="7" t="inlineStr">
        <is>
          <t>CTN</t>
        </is>
      </c>
      <c r="H2441" t="inlineStr">
        <is>
          <t>BLEND 786</t>
        </is>
      </c>
    </row>
    <row r="2442" ht="14.25" customHeight="1" s="5">
      <c r="A2442" s="7" t="n">
        <v>26731</v>
      </c>
      <c r="B2442" s="7" t="inlineStr">
        <is>
          <t>VIVO 24/25 DC ENV TBGS</t>
        </is>
      </c>
      <c r="C2442" s="7" t="inlineStr">
        <is>
          <t>Vivo</t>
        </is>
      </c>
      <c r="D2442" s="7" t="n">
        <v>26753</v>
      </c>
      <c r="E2442" s="7" t="inlineStr">
        <is>
          <t>VIVO 25 DC ENV TBGS</t>
        </is>
      </c>
      <c r="F2442" s="7" t="n">
        <v>24</v>
      </c>
      <c r="G2442" s="7" t="inlineStr">
        <is>
          <t>CTN</t>
        </is>
      </c>
      <c r="H2442" t="inlineStr">
        <is>
          <t>BLEND 786</t>
        </is>
      </c>
    </row>
    <row r="2443" ht="14.25" customHeight="1" s="5">
      <c r="A2443" s="7" t="n">
        <v>27642</v>
      </c>
      <c r="B2443" s="7" t="inlineStr">
        <is>
          <t>VOMA 12/100 DC ENV TBGS</t>
        </is>
      </c>
      <c r="C2443" s="7" t="inlineStr">
        <is>
          <t>VOMA</t>
        </is>
      </c>
      <c r="D2443" s="7" t="n">
        <v>27671</v>
      </c>
      <c r="E2443" s="7" t="inlineStr">
        <is>
          <t>VOMA 100 DC ENV TBGS</t>
        </is>
      </c>
      <c r="F2443" s="7" t="n">
        <v>12</v>
      </c>
      <c r="G2443" s="7" t="inlineStr">
        <is>
          <t>CTN</t>
        </is>
      </c>
      <c r="H2443" t="inlineStr">
        <is>
          <t>BLEND 786</t>
        </is>
      </c>
    </row>
    <row r="2444" ht="14.25" customHeight="1" s="5">
      <c r="A2444" s="7" t="n">
        <v>27641</v>
      </c>
      <c r="B2444" s="7" t="inlineStr">
        <is>
          <t>VOMA 24/25 DC ENV TBGS</t>
        </is>
      </c>
      <c r="C2444" s="7" t="inlineStr">
        <is>
          <t>VOMA</t>
        </is>
      </c>
      <c r="D2444" s="7" t="n">
        <v>27670</v>
      </c>
      <c r="E2444" s="7" t="inlineStr">
        <is>
          <t>VOMA 25 DC ENV TBGS</t>
        </is>
      </c>
      <c r="F2444" s="7" t="n">
        <v>24</v>
      </c>
      <c r="G2444" s="7" t="inlineStr">
        <is>
          <t>CTN</t>
        </is>
      </c>
      <c r="H2444" t="inlineStr">
        <is>
          <t>BLEND 786</t>
        </is>
      </c>
    </row>
    <row r="2445" ht="14.25" customHeight="1" s="5">
      <c r="A2445" s="7" t="n">
        <v>27645</v>
      </c>
      <c r="B2445" s="7" t="inlineStr">
        <is>
          <t>VOMA GINGER 24/25 DC ENV TBGS</t>
        </is>
      </c>
      <c r="C2445" s="7" t="inlineStr">
        <is>
          <t>VOMA</t>
        </is>
      </c>
      <c r="D2445" s="7" t="n">
        <v>27674</v>
      </c>
      <c r="E2445" s="7" t="inlineStr">
        <is>
          <t>VOMA GINGER 25 DC ENV TBGS</t>
        </is>
      </c>
      <c r="F2445" s="7" t="n">
        <v>24</v>
      </c>
      <c r="G2445" s="7" t="inlineStr">
        <is>
          <t>CTN</t>
        </is>
      </c>
      <c r="H2445" t="inlineStr">
        <is>
          <t>BLEND AF BLACK TEA  GINGER TBGS</t>
        </is>
      </c>
    </row>
    <row r="2446" ht="14.25" customHeight="1" s="5">
      <c r="A2446" s="7" t="n">
        <v>27646</v>
      </c>
      <c r="B2446" s="7" t="inlineStr">
        <is>
          <t>VOMA GREEN TEA 24/25 DC ENV TBGS</t>
        </is>
      </c>
      <c r="C2446" s="7" t="inlineStr">
        <is>
          <t>VOMA</t>
        </is>
      </c>
      <c r="D2446" s="7" t="n">
        <v>27675</v>
      </c>
      <c r="E2446" s="7" t="inlineStr">
        <is>
          <t>VOMA GREEN TEA 25 DC ENV TBGS</t>
        </is>
      </c>
      <c r="F2446" s="7" t="n">
        <v>24</v>
      </c>
      <c r="G2446" s="7" t="inlineStr">
        <is>
          <t>CTN</t>
        </is>
      </c>
      <c r="H2446" t="inlineStr">
        <is>
          <t>BLEND 7434 GREEN - 90% UTZ</t>
        </is>
      </c>
    </row>
    <row r="2447" ht="14.25" customHeight="1" s="5">
      <c r="A2447" s="7" t="n">
        <v>27644</v>
      </c>
      <c r="B2447" s="7" t="inlineStr">
        <is>
          <t>VOMA LEMON 24/25 DC ENV TBGS</t>
        </is>
      </c>
      <c r="C2447" s="7" t="inlineStr">
        <is>
          <t>VOMA</t>
        </is>
      </c>
      <c r="D2447" s="7" t="n">
        <v>27673</v>
      </c>
      <c r="E2447" s="7" t="inlineStr">
        <is>
          <t>VOMA LEMON 25 DC ENV TBGS</t>
        </is>
      </c>
      <c r="F2447" s="7" t="n">
        <v>24</v>
      </c>
      <c r="G2447" s="7" t="inlineStr">
        <is>
          <t>CTN</t>
        </is>
      </c>
      <c r="H2447" t="inlineStr">
        <is>
          <t>BLEND BLACK TEA LEMON TB</t>
        </is>
      </c>
    </row>
    <row r="2448" ht="14.25" customHeight="1" s="5">
      <c r="A2448" s="7" t="n">
        <v>27643</v>
      </c>
      <c r="B2448" s="7" t="inlineStr">
        <is>
          <t>VOMA MINT 24/25 DC ENV TBGS</t>
        </is>
      </c>
      <c r="C2448" s="7" t="inlineStr">
        <is>
          <t>VOMA</t>
        </is>
      </c>
      <c r="D2448" s="7" t="n">
        <v>27672</v>
      </c>
      <c r="E2448" s="7" t="inlineStr">
        <is>
          <t>VOMA MINT 25 DC ENV TBGS</t>
        </is>
      </c>
      <c r="F2448" s="7" t="n">
        <v>24</v>
      </c>
      <c r="G2448" s="7" t="inlineStr">
        <is>
          <t>CTN</t>
        </is>
      </c>
      <c r="H2448" t="inlineStr">
        <is>
          <t>BLEND AF BLACK TEA MINT TBGS</t>
        </is>
      </c>
    </row>
    <row r="2449" ht="14.25" customHeight="1" s="5">
      <c r="A2449" s="7" t="n">
        <v>22061</v>
      </c>
      <c r="B2449" s="7" t="inlineStr">
        <is>
          <t>WEIS 12/100 PENV TBGS</t>
        </is>
      </c>
      <c r="C2449" s="7" t="inlineStr">
        <is>
          <t>WEIS</t>
        </is>
      </c>
      <c r="D2449" s="7" t="n">
        <v>22460</v>
      </c>
      <c r="E2449" s="7" t="inlineStr">
        <is>
          <t>WEIS 100 PENV TBGS</t>
        </is>
      </c>
      <c r="F2449" s="7" t="n">
        <v>12</v>
      </c>
      <c r="G2449" s="7" t="inlineStr">
        <is>
          <t>CTN</t>
        </is>
      </c>
      <c r="H2449" t="inlineStr">
        <is>
          <t>BLEND 7004</t>
        </is>
      </c>
    </row>
    <row r="2450" ht="14.25" customHeight="1" s="5">
      <c r="A2450" s="7" t="n">
        <v>33753</v>
      </c>
      <c r="B2450" s="7" t="inlineStr">
        <is>
          <t>WILDBEAN CAFE ASSAM TEA 12/100 DC HS SF TAG TBGS</t>
        </is>
      </c>
      <c r="C2450" s="7" t="inlineStr">
        <is>
          <t>WILDBEAN CAFE</t>
        </is>
      </c>
      <c r="D2450" s="7" t="n">
        <v>34086</v>
      </c>
      <c r="E2450" s="7" t="inlineStr">
        <is>
          <t>WILDBEAN CAFE ASSAM TEA 100 STAPLE LESS TAG TBGS</t>
        </is>
      </c>
      <c r="F2450" s="7" t="n">
        <v>12</v>
      </c>
      <c r="G2450" s="7" t="inlineStr">
        <is>
          <t>CTN</t>
        </is>
      </c>
      <c r="H2450" t="inlineStr">
        <is>
          <t>BLEND PL R</t>
        </is>
      </c>
    </row>
    <row r="2451" ht="14.25" customHeight="1" s="5">
      <c r="A2451" s="7" t="n">
        <v>33752</v>
      </c>
      <c r="B2451" s="7" t="inlineStr">
        <is>
          <t>WILDBEAN CAFE CARDAMOM TEA 12/100 DC HS SF TAG TBGS</t>
        </is>
      </c>
      <c r="C2451" s="7" t="inlineStr">
        <is>
          <t>WILDBEAN CAFE</t>
        </is>
      </c>
      <c r="D2451" s="7" t="n">
        <v>34085</v>
      </c>
      <c r="E2451" s="7" t="inlineStr">
        <is>
          <t>WILDBEAN CAFE CARDAMOM TEA 100 STAPLE LESS TAG TBGS</t>
        </is>
      </c>
      <c r="F2451" s="7" t="n">
        <v>12</v>
      </c>
      <c r="G2451" s="7" t="inlineStr">
        <is>
          <t>CTN</t>
        </is>
      </c>
      <c r="H2451" t="inlineStr">
        <is>
          <t>BLEND BLACK TEA CARDAMOM FLV TBC</t>
        </is>
      </c>
    </row>
    <row r="2452" ht="14.25" customHeight="1" s="5">
      <c r="A2452" s="7" t="n">
        <v>33750</v>
      </c>
      <c r="B2452" s="7" t="inlineStr">
        <is>
          <t>WILDBEAN CAFE GINGER TEA 12/100 DC HS SF TAG TBGS</t>
        </is>
      </c>
      <c r="C2452" s="7" t="inlineStr">
        <is>
          <t>WILDBEAN CAFE</t>
        </is>
      </c>
      <c r="D2452" s="7" t="n">
        <v>34083</v>
      </c>
      <c r="E2452" s="7" t="inlineStr">
        <is>
          <t>WILDBEAN CAFE GINGER TEA 100 STAPLE LESS TAG TBGS</t>
        </is>
      </c>
      <c r="F2452" s="7" t="n">
        <v>12</v>
      </c>
      <c r="G2452" s="7" t="inlineStr">
        <is>
          <t>CTN</t>
        </is>
      </c>
      <c r="H2452" t="inlineStr">
        <is>
          <t>BLEND BLACK TEA GINGER FLVR TBC</t>
        </is>
      </c>
    </row>
    <row r="2453" ht="14.25" customHeight="1" s="5">
      <c r="A2453" s="7" t="n">
        <v>33745</v>
      </c>
      <c r="B2453" s="7" t="inlineStr">
        <is>
          <t>WILDBEAN CAFE GREEN TEA 24/25 DC HS SF ENV TBGS</t>
        </is>
      </c>
      <c r="C2453" s="7" t="inlineStr">
        <is>
          <t>WILDBEAN CAFE</t>
        </is>
      </c>
      <c r="D2453" s="7" t="n">
        <v>33607</v>
      </c>
      <c r="E2453" s="7" t="inlineStr">
        <is>
          <t>WILDBEAN CAFE GREEN TEA 25 DC HS SF ENV. TBGS</t>
        </is>
      </c>
      <c r="F2453" s="7" t="n">
        <v>24</v>
      </c>
      <c r="G2453" s="7" t="inlineStr">
        <is>
          <t>CTN</t>
        </is>
      </c>
      <c r="H2453" t="inlineStr">
        <is>
          <t>BLEND TEAME GREEN</t>
        </is>
      </c>
    </row>
    <row r="2454" ht="14.25" customHeight="1" s="5">
      <c r="A2454" s="7" t="n">
        <v>33749</v>
      </c>
      <c r="B2454" s="7" t="inlineStr">
        <is>
          <t>WILDBEAN CAFE LEMON &amp; HONEY GREEN TEA 24/25 DC HS SF ENV TBGS</t>
        </is>
      </c>
      <c r="C2454" s="7" t="inlineStr">
        <is>
          <t>WILDBEAN CAFE</t>
        </is>
      </c>
      <c r="D2454" s="7" t="n">
        <v>33610</v>
      </c>
      <c r="E2454" s="7" t="inlineStr">
        <is>
          <t>WILDBEAN CAFE LEMON &amp; HONEY GREEN TEA 25 DC HS SF ENV TBGS</t>
        </is>
      </c>
      <c r="F2454" s="7" t="n">
        <v>24</v>
      </c>
      <c r="G2454" s="7" t="inlineStr">
        <is>
          <t>CTN</t>
        </is>
      </c>
      <c r="H2454" t="inlineStr">
        <is>
          <t>BLEND TE-A-ME GREEN TEA HONEY LEMON</t>
        </is>
      </c>
    </row>
    <row r="2455" ht="14.25" customHeight="1" s="5">
      <c r="A2455" s="7" t="n">
        <v>33748</v>
      </c>
      <c r="B2455" s="7" t="inlineStr">
        <is>
          <t>WILDBEAN CAFE LEMON TEA 24/25 DC HS SF ENV TBGS</t>
        </is>
      </c>
      <c r="C2455" s="7" t="inlineStr">
        <is>
          <t>WILDBEAN CAFE</t>
        </is>
      </c>
      <c r="D2455" s="7" t="n">
        <v>33609</v>
      </c>
      <c r="E2455" s="7" t="inlineStr">
        <is>
          <t>WILDBEAN CAFE LEMON TEA 25 DC HS SF ENV TBGS</t>
        </is>
      </c>
      <c r="F2455" s="7" t="n">
        <v>24</v>
      </c>
      <c r="G2455" s="7" t="inlineStr">
        <is>
          <t>CTN</t>
        </is>
      </c>
      <c r="H2455" t="inlineStr">
        <is>
          <t>BLEND BLACK TEA LEMON TEAME NEW TB</t>
        </is>
      </c>
    </row>
    <row r="2456" ht="14.25" customHeight="1" s="5">
      <c r="A2456" s="7" t="n">
        <v>33751</v>
      </c>
      <c r="B2456" s="7" t="inlineStr">
        <is>
          <t>WILDBEAN CAFE MASALA TEA 12/100 DC HS SF TAG TBGS</t>
        </is>
      </c>
      <c r="C2456" s="7" t="inlineStr">
        <is>
          <t>WILDBEAN CAFE</t>
        </is>
      </c>
      <c r="D2456" s="7" t="n">
        <v>34084</v>
      </c>
      <c r="E2456" s="7" t="inlineStr">
        <is>
          <t>WILDBEAN CAFE MASALA TEA 100 STAPLE LESS TAG TBGS</t>
        </is>
      </c>
      <c r="F2456" s="7" t="n">
        <v>12</v>
      </c>
      <c r="G2456" s="7" t="inlineStr">
        <is>
          <t>CTN</t>
        </is>
      </c>
      <c r="H2456" t="inlineStr">
        <is>
          <t>BLEND BLACK TEA MASALA TBC</t>
        </is>
      </c>
    </row>
    <row r="2457" ht="14.25" customHeight="1" s="5">
      <c r="A2457" s="7" t="n">
        <v>33746</v>
      </c>
      <c r="B2457" s="7" t="inlineStr">
        <is>
          <t>WILDBEAN CAFE MINT GREEN TEA 24/25 DC HS SF ENV TBGS</t>
        </is>
      </c>
      <c r="C2457" s="7" t="inlineStr">
        <is>
          <t>WILDBEAN CAFE</t>
        </is>
      </c>
      <c r="D2457" s="7" t="n">
        <v>33606</v>
      </c>
      <c r="E2457" s="7" t="inlineStr">
        <is>
          <t>WILDBEAN CAFE MINT GREEN TEA 25 DC HS SF ENV TBGS</t>
        </is>
      </c>
      <c r="F2457" s="7" t="n">
        <v>24</v>
      </c>
      <c r="G2457" s="7" t="inlineStr">
        <is>
          <t>CTN</t>
        </is>
      </c>
      <c r="H2457" t="inlineStr">
        <is>
          <t>BLEND GREEN TEA MINT WILDBEAN TB</t>
        </is>
      </c>
    </row>
    <row r="2458" ht="14.25" customHeight="1" s="5">
      <c r="A2458" s="7" t="n">
        <v>33747</v>
      </c>
      <c r="B2458" s="7" t="inlineStr">
        <is>
          <t>WILDBEAN CAFE TULSI GREEN TEA 24/25 DC HS SF ENV TBGS</t>
        </is>
      </c>
      <c r="C2458" s="7" t="inlineStr">
        <is>
          <t>WILDBEAN CAFE</t>
        </is>
      </c>
      <c r="D2458" s="7" t="n">
        <v>33608</v>
      </c>
      <c r="E2458" s="7" t="inlineStr">
        <is>
          <t>WILDBEAN CAFE TULSI GREEN TEA 25 DC HS SF ENV TBGS</t>
        </is>
      </c>
      <c r="F2458" s="7" t="n">
        <v>24</v>
      </c>
      <c r="G2458" s="7" t="inlineStr">
        <is>
          <t>CTN</t>
        </is>
      </c>
      <c r="H2458" t="inlineStr">
        <is>
          <t>BLEND GREEN TEA TULSI WILDBEAN TB</t>
        </is>
      </c>
    </row>
    <row r="2459" ht="14.25" customHeight="1" s="5">
      <c r="A2459" s="7" t="n">
        <v>22671</v>
      </c>
      <c r="B2459" s="7" t="inlineStr">
        <is>
          <t>WINCO 12/100 PTAG TBGS</t>
        </is>
      </c>
      <c r="C2459" s="7" t="inlineStr">
        <is>
          <t>WINCO</t>
        </is>
      </c>
      <c r="D2459" s="7" t="n">
        <v>22672</v>
      </c>
      <c r="E2459" s="7" t="inlineStr">
        <is>
          <t>WINCO 100 PTAG TBGS</t>
        </is>
      </c>
      <c r="F2459" s="7" t="n">
        <v>12</v>
      </c>
      <c r="G2459" s="7" t="inlineStr">
        <is>
          <t>CTN</t>
        </is>
      </c>
      <c r="H2459" t="inlineStr">
        <is>
          <t>BLEND 7004</t>
        </is>
      </c>
    </row>
    <row r="2460" ht="14.25" customHeight="1" s="5">
      <c r="A2460" s="7" t="n">
        <v>31719</v>
      </c>
      <c r="B2460" s="7" t="inlineStr">
        <is>
          <t>WORLD OF FOODS CARDAMOM TEA 12/100 DC HS SF ENV</t>
        </is>
      </c>
      <c r="C2460" s="7" t="inlineStr">
        <is>
          <t>GLOBE TECH</t>
        </is>
      </c>
      <c r="D2460" s="7" t="n">
        <v>31707</v>
      </c>
      <c r="E2460" s="7" t="inlineStr">
        <is>
          <t>WORLD OF FOODS CARDAMOM TEA 100 DC HS SF ENV</t>
        </is>
      </c>
      <c r="F2460" s="7" t="n">
        <v>12</v>
      </c>
      <c r="G2460" s="7" t="inlineStr">
        <is>
          <t>CTN</t>
        </is>
      </c>
      <c r="H2460" t="inlineStr">
        <is>
          <t>BLEND BLACK TEA CARDAMOM FLV TBC</t>
        </is>
      </c>
    </row>
    <row r="2461" ht="14.25" customHeight="1" s="5">
      <c r="A2461" s="7" t="n">
        <v>31711</v>
      </c>
      <c r="B2461" s="7" t="inlineStr">
        <is>
          <t>WORLD OF FOODS CARDAMOM TEA 24/25 DC HS SF ENV</t>
        </is>
      </c>
      <c r="C2461" s="7" t="inlineStr">
        <is>
          <t>GLOBE TECH</t>
        </is>
      </c>
      <c r="D2461" s="7" t="n">
        <v>31697</v>
      </c>
      <c r="E2461" s="7" t="inlineStr">
        <is>
          <t>WORLD OF FOODS CARDAMOM TEA 25 DC HS SF ENV</t>
        </is>
      </c>
      <c r="F2461" s="7" t="n">
        <v>24</v>
      </c>
      <c r="G2461" s="7" t="inlineStr">
        <is>
          <t>CTN</t>
        </is>
      </c>
      <c r="H2461" t="inlineStr">
        <is>
          <t>BLEND BLACK TEA CARDAMOM FLV TBC</t>
        </is>
      </c>
    </row>
    <row r="2462" ht="14.25" customHeight="1" s="5">
      <c r="A2462" s="7" t="n">
        <v>31720</v>
      </c>
      <c r="B2462" s="7" t="inlineStr">
        <is>
          <t>WORLD OF FOODS EARL GREY TEA 12/100 DC HS SF ENV</t>
        </is>
      </c>
      <c r="C2462" s="7" t="inlineStr">
        <is>
          <t>GLOBE TECH</t>
        </is>
      </c>
      <c r="D2462" s="7" t="n">
        <v>31708</v>
      </c>
      <c r="E2462" s="7" t="inlineStr">
        <is>
          <t>WORLD OF FOODS EARL GREY TEA 100 DC HS SF ENV</t>
        </is>
      </c>
      <c r="F2462" s="7" t="n">
        <v>12</v>
      </c>
      <c r="G2462" s="7" t="inlineStr">
        <is>
          <t>CTN</t>
        </is>
      </c>
      <c r="H2462" t="inlineStr">
        <is>
          <t>BLEND BLACK TEA EARL GREY TBC</t>
        </is>
      </c>
    </row>
    <row r="2463" ht="14.25" customHeight="1" s="5">
      <c r="A2463" s="7" t="n">
        <v>31712</v>
      </c>
      <c r="B2463" s="7" t="inlineStr">
        <is>
          <t>WORLD OF FOODS EARL GREY TEA 24/25 DC HS SF ENV</t>
        </is>
      </c>
      <c r="C2463" s="7" t="inlineStr">
        <is>
          <t>GLOBE TECH</t>
        </is>
      </c>
      <c r="D2463" s="7" t="n">
        <v>31698</v>
      </c>
      <c r="E2463" s="7" t="inlineStr">
        <is>
          <t>WORLD OF FOODS EARL GREY TEA 25 DC HS SF ENV</t>
        </is>
      </c>
      <c r="F2463" s="7" t="n">
        <v>24</v>
      </c>
      <c r="G2463" s="7" t="inlineStr">
        <is>
          <t>CTN</t>
        </is>
      </c>
      <c r="H2463" t="inlineStr">
        <is>
          <t>BLEND BLACK TEA EARL GREY TBC</t>
        </is>
      </c>
    </row>
    <row r="2464" ht="14.25" customHeight="1" s="5">
      <c r="A2464" s="7" t="n">
        <v>31713</v>
      </c>
      <c r="B2464" s="7" t="inlineStr">
        <is>
          <t>WORLD OF FOODS JASMINE TEA 24/25 DC HS SF ENV</t>
        </is>
      </c>
      <c r="C2464" s="7" t="inlineStr">
        <is>
          <t>GLOBE TECH</t>
        </is>
      </c>
      <c r="D2464" s="7" t="n">
        <v>31699</v>
      </c>
      <c r="E2464" s="7" t="inlineStr">
        <is>
          <t>WORLD OF FOODS JASMINE TEA 25 DC HS SF ENV</t>
        </is>
      </c>
      <c r="F2464" s="7" t="n">
        <v>24</v>
      </c>
      <c r="G2464" s="7" t="inlineStr">
        <is>
          <t>CTN</t>
        </is>
      </c>
      <c r="H2464" t="inlineStr">
        <is>
          <t>BLEND GREEN TEA JASMINE GLOBETECH TB</t>
        </is>
      </c>
    </row>
    <row r="2465" ht="14.25" customHeight="1" s="5">
      <c r="A2465" s="7" t="n">
        <v>31721</v>
      </c>
      <c r="B2465" s="7" t="inlineStr">
        <is>
          <t>WORLD OF FOODS MASALA CHAI 12/100 DC HS SF ENV</t>
        </is>
      </c>
      <c r="C2465" s="7" t="inlineStr">
        <is>
          <t>GLOBE TECH</t>
        </is>
      </c>
      <c r="D2465" s="7" t="n">
        <v>31709</v>
      </c>
      <c r="E2465" s="7" t="inlineStr">
        <is>
          <t>WORLD OF FOODS MASALA CHAI 100 DC HS SF ENV</t>
        </is>
      </c>
      <c r="F2465" s="7" t="n">
        <v>12</v>
      </c>
      <c r="G2465" s="7" t="inlineStr">
        <is>
          <t>CTN</t>
        </is>
      </c>
      <c r="H2465" t="inlineStr">
        <is>
          <t>BLEND BLACK TEA MASALA GLOBETECH TB</t>
        </is>
      </c>
    </row>
    <row r="2466" ht="14.25" customHeight="1" s="5">
      <c r="A2466" s="7" t="n">
        <v>31714</v>
      </c>
      <c r="B2466" s="7" t="inlineStr">
        <is>
          <t>WORLD OF FOODS MASALA CHAI 24/25 DC HS SF ENV</t>
        </is>
      </c>
      <c r="C2466" s="7" t="inlineStr">
        <is>
          <t>GLOBE TECH</t>
        </is>
      </c>
      <c r="D2466" s="7" t="n">
        <v>31700</v>
      </c>
      <c r="E2466" s="7" t="inlineStr">
        <is>
          <t>WORLD OF FOODS MASALA CHAI 25 DC HS SF ENV</t>
        </is>
      </c>
      <c r="F2466" s="7" t="n">
        <v>24</v>
      </c>
      <c r="G2466" s="7" t="inlineStr">
        <is>
          <t>CTN</t>
        </is>
      </c>
      <c r="H2466" t="inlineStr">
        <is>
          <t>BLEND BLACK TEA MASALA GLOBETECH TB</t>
        </is>
      </c>
    </row>
    <row r="2467" ht="14.25" customHeight="1" s="5">
      <c r="A2467" s="7" t="n">
        <v>31718</v>
      </c>
      <c r="B2467" s="7" t="inlineStr">
        <is>
          <t>WORLD OF FOODS ORANGE PEKOE TEA 12/100 DC HS SF ENV</t>
        </is>
      </c>
      <c r="C2467" s="7" t="inlineStr">
        <is>
          <t>GLOBE TECH</t>
        </is>
      </c>
      <c r="D2467" s="7" t="n">
        <v>31706</v>
      </c>
      <c r="E2467" s="7" t="inlineStr">
        <is>
          <t>WORLD OF FOODS ORANGE PEKOE TEA 100 DC HS SF ENV</t>
        </is>
      </c>
      <c r="F2467" s="7" t="n">
        <v>12</v>
      </c>
      <c r="G2467" s="7" t="inlineStr">
        <is>
          <t>CTN</t>
        </is>
      </c>
      <c r="H2467" t="inlineStr">
        <is>
          <t>BLEND TEAME 909</t>
        </is>
      </c>
    </row>
    <row r="2468" ht="14.25" customHeight="1" s="5">
      <c r="A2468" s="7" t="n">
        <v>31710</v>
      </c>
      <c r="B2468" s="7" t="inlineStr">
        <is>
          <t>WORLD OF FOODS ORANGE PEKOE TEA 24/25 DC HS SF ENV</t>
        </is>
      </c>
      <c r="C2468" s="7" t="inlineStr">
        <is>
          <t>GLOBE TECH</t>
        </is>
      </c>
      <c r="D2468" s="7" t="n">
        <v>31696</v>
      </c>
      <c r="E2468" s="7" t="inlineStr">
        <is>
          <t>WORLD OF FOODS ORANGE PEKOE TEA 25 DC HS SF ENV</t>
        </is>
      </c>
      <c r="F2468" s="7" t="n">
        <v>24</v>
      </c>
      <c r="G2468" s="7" t="inlineStr">
        <is>
          <t>CTN</t>
        </is>
      </c>
      <c r="H2468" t="inlineStr">
        <is>
          <t>BLEND TEAME 909</t>
        </is>
      </c>
    </row>
    <row r="2469" ht="14.25" customHeight="1" s="5">
      <c r="A2469" s="7" t="n">
        <v>35082</v>
      </c>
      <c r="B2469" s="7" t="inlineStr">
        <is>
          <t>ZUHUUR CRANBERRY APPLE HERBAL 45/25 DC ENV TBGS</t>
        </is>
      </c>
      <c r="C2469" s="7" t="inlineStr">
        <is>
          <t>ZUHUUR</t>
        </is>
      </c>
      <c r="D2469" s="7" t="n">
        <v>35085</v>
      </c>
      <c r="E2469" s="7" t="inlineStr">
        <is>
          <t>ZUHUUR CRANBERRY APPLE HERBAL 25 DC ENV TBGS</t>
        </is>
      </c>
      <c r="F2469" s="7" t="n">
        <v>45</v>
      </c>
      <c r="G2469" s="7" t="inlineStr">
        <is>
          <t>CTN</t>
        </is>
      </c>
      <c r="H2469" t="inlineStr">
        <is>
          <t>BLEND CRANBERRY APPLE</t>
        </is>
      </c>
    </row>
    <row r="2470" ht="14.25" customHeight="1" s="5">
      <c r="A2470" s="7" t="n">
        <v>35084</v>
      </c>
      <c r="B2470" s="7" t="inlineStr">
        <is>
          <t>ZUHUUR CRANBERRY MINT HERBAL 45/25 DC ENV TBGS</t>
        </is>
      </c>
      <c r="C2470" s="7" t="inlineStr">
        <is>
          <t>ZUHUUR</t>
        </is>
      </c>
      <c r="D2470" s="7" t="n">
        <v>35087</v>
      </c>
      <c r="E2470" s="7" t="inlineStr">
        <is>
          <t>ZUHUUR CRANBERRY MINT HERBAL 25 DC ENV TBGS</t>
        </is>
      </c>
      <c r="F2470" s="7" t="n">
        <v>45</v>
      </c>
      <c r="G2470" s="7" t="inlineStr">
        <is>
          <t>CTN</t>
        </is>
      </c>
      <c r="H2470" t="inlineStr">
        <is>
          <t>BLEND FRUITY CRANBERRY MINT TB</t>
        </is>
      </c>
    </row>
    <row r="2471" ht="14.25" customHeight="1" s="5">
      <c r="A2471" s="7" t="n">
        <v>35083</v>
      </c>
      <c r="B2471" s="7" t="inlineStr">
        <is>
          <t>ZUHUUR FRUITY CRANBERRY HERBAL 45/25 DC ENV TBGS</t>
        </is>
      </c>
      <c r="C2471" s="7" t="inlineStr">
        <is>
          <t>ZUHUUR</t>
        </is>
      </c>
      <c r="D2471" s="7" t="n">
        <v>35086</v>
      </c>
      <c r="E2471" s="7" t="inlineStr">
        <is>
          <t>ZUHUUR FRUITY CRANBERRY HERBAL 25 DC ENV TBGS</t>
        </is>
      </c>
      <c r="F2471" s="7" t="n">
        <v>45</v>
      </c>
      <c r="G2471" s="7" t="inlineStr">
        <is>
          <t>CTN</t>
        </is>
      </c>
      <c r="H2471" t="inlineStr">
        <is>
          <t>BLEND FRUITY CRANBERRY HERBAL TBC</t>
        </is>
      </c>
    </row>
  </sheetData>
  <autoFilter ref="A1:H2471"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C1590"/>
  <sheetViews>
    <sheetView tabSelected="0" zoomScaleNormal="100" workbookViewId="0">
      <selection activeCell="C421" sqref="C421"/>
    </sheetView>
  </sheetViews>
  <sheetFormatPr baseColWidth="8" defaultColWidth="8.5546875" defaultRowHeight="14.4"/>
  <cols>
    <col width="88.33203125" customWidth="1" style="5" min="2" max="2"/>
  </cols>
  <sheetData>
    <row r="1" ht="14.25" customHeight="1" s="5">
      <c r="A1" s="6" t="inlineStr">
        <is>
          <t>Item Id</t>
        </is>
      </c>
      <c r="B1" s="6" t="inlineStr">
        <is>
          <t>Item_Name</t>
        </is>
      </c>
      <c r="C1" s="6" t="inlineStr">
        <is>
          <t>Count For Capacity</t>
        </is>
      </c>
    </row>
    <row r="2" hidden="1" ht="14.25" customHeight="1" s="5">
      <c r="A2" s="7" t="n">
        <v>34831</v>
      </c>
      <c r="B2" s="8" t="inlineStr">
        <is>
          <t xml:space="preserve">
TE-A-ME CHAI GINGER 100 DC STAPLE FREE TBGS-XS</t>
        </is>
      </c>
      <c r="C2" s="7" t="n">
        <v>100</v>
      </c>
    </row>
    <row r="3" hidden="1" ht="14.25" customHeight="1" s="5">
      <c r="A3" s="7" t="n">
        <v>34543</v>
      </c>
      <c r="B3" s="7" t="inlineStr">
        <is>
          <t>108 LIFE DETOX 30 PYRAMID ENV TBGS</t>
        </is>
      </c>
      <c r="C3" s="7" t="n">
        <v>30</v>
      </c>
    </row>
    <row r="4" hidden="1" ht="14.25" customHeight="1" s="5">
      <c r="A4" s="7" t="n">
        <v>34542</v>
      </c>
      <c r="B4" s="7" t="inlineStr">
        <is>
          <t>108 LIFE HIBISCUS LEMON GINGER 30 PYRAMID ENV TBGS</t>
        </is>
      </c>
      <c r="C4" s="7" t="n">
        <v>30</v>
      </c>
    </row>
    <row r="5" hidden="1" ht="14.25" customHeight="1" s="5">
      <c r="A5" s="7" t="n">
        <v>34544</v>
      </c>
      <c r="B5" s="7" t="inlineStr">
        <is>
          <t>108 LIFE KASHMIRI KAHWA 30 PYRAMID ENV TBGS</t>
        </is>
      </c>
      <c r="C5" s="7" t="n">
        <v>30</v>
      </c>
    </row>
    <row r="6" hidden="1" ht="14.25" customHeight="1" s="5">
      <c r="A6" s="7" t="n">
        <v>2739</v>
      </c>
      <c r="B6" s="7" t="inlineStr">
        <is>
          <t>AARAMBHA ASSAM 25  DC SF TAG TBGS</t>
        </is>
      </c>
      <c r="C6" s="7" t="n">
        <v>25</v>
      </c>
    </row>
    <row r="7" hidden="1" ht="14.25" customHeight="1" s="5">
      <c r="A7" s="7" t="n">
        <v>19191</v>
      </c>
      <c r="B7" s="7" t="inlineStr">
        <is>
          <t>AARAMBHA ASSAM CTC TEA 100 DC SF HS TAG TBGS</t>
        </is>
      </c>
      <c r="C7" s="7" t="n">
        <v>100</v>
      </c>
    </row>
    <row r="8" hidden="1" ht="14.25" customHeight="1" s="5">
      <c r="A8" s="7" t="n">
        <v>2752</v>
      </c>
      <c r="B8" s="7" t="inlineStr">
        <is>
          <t>AARAMBHA GREEN 25 DC SF HS ENV TBGS</t>
        </is>
      </c>
      <c r="C8" s="7" t="n">
        <v>25</v>
      </c>
    </row>
    <row r="9" hidden="1" ht="14.25" customHeight="1" s="5">
      <c r="A9" s="7" t="n">
        <v>2758</v>
      </c>
      <c r="B9" s="7" t="inlineStr">
        <is>
          <t>AARAMBHA HONEY LEMON GREEN 25 DC SF HS ENV TBGS</t>
        </is>
      </c>
      <c r="C9" s="7" t="n">
        <v>25</v>
      </c>
    </row>
    <row r="10" hidden="1" ht="14.25" customHeight="1" s="5">
      <c r="A10" s="7" t="n">
        <v>26752</v>
      </c>
      <c r="B10" s="7" t="inlineStr">
        <is>
          <t>AFRICA  CHOICE 25 DC ENV TBGS</t>
        </is>
      </c>
      <c r="C10" s="7" t="n">
        <v>25</v>
      </c>
    </row>
    <row r="11" hidden="1" ht="14.25" customHeight="1" s="5">
      <c r="A11" s="7" t="n">
        <v>28717</v>
      </c>
      <c r="B11" s="7" t="inlineStr">
        <is>
          <t>AFRICA CHOICE 100 DC ENV TBGS</t>
        </is>
      </c>
      <c r="C11" s="7" t="n">
        <v>100</v>
      </c>
    </row>
    <row r="12" hidden="1" ht="14.25" customHeight="1" s="5">
      <c r="A12" s="7" t="n">
        <v>21757</v>
      </c>
      <c r="B12" s="7" t="inlineStr">
        <is>
          <t>AHOLD RFA 100 DCF PENV TBGS</t>
        </is>
      </c>
      <c r="C12" s="7" t="n">
        <v>100</v>
      </c>
    </row>
    <row r="13" hidden="1" ht="14.25" customHeight="1" s="5">
      <c r="A13" s="7" t="n">
        <v>21765</v>
      </c>
      <c r="B13" s="7" t="inlineStr">
        <is>
          <t>AHOLD RFA 100 PENV TBGS</t>
        </is>
      </c>
      <c r="C13" s="7" t="n">
        <v>100</v>
      </c>
    </row>
    <row r="14" hidden="1" ht="14.25" customHeight="1" s="5">
      <c r="A14" s="7" t="n">
        <v>22801</v>
      </c>
      <c r="B14" s="7" t="inlineStr">
        <is>
          <t>AHOLD STOP SHOP 24 PFSTAG TBGS</t>
        </is>
      </c>
      <c r="C14" s="7" t="n">
        <v>24</v>
      </c>
    </row>
    <row r="15" hidden="1" ht="14.25" customHeight="1" s="5">
      <c r="A15" s="7" t="n">
        <v>264</v>
      </c>
      <c r="B15" s="7" t="inlineStr">
        <is>
          <t>AKOUNA 100 DC ENV TBGS</t>
        </is>
      </c>
      <c r="C15" s="7" t="n">
        <v>100</v>
      </c>
    </row>
    <row r="16" hidden="1" ht="14.25" customHeight="1" s="5">
      <c r="A16" s="7" t="n">
        <v>275</v>
      </c>
      <c r="B16" s="7" t="inlineStr">
        <is>
          <t>AKOUNA 100 SC TBGS TAGLESS</t>
        </is>
      </c>
      <c r="C16" s="7" t="n">
        <v>100</v>
      </c>
    </row>
    <row r="17" hidden="1" ht="14.25" customHeight="1" s="5">
      <c r="A17" s="7" t="n">
        <v>35294</v>
      </c>
      <c r="B17" s="7" t="inlineStr">
        <is>
          <t>AKOUNA CAPPUCCINO 3 IN 1 (25GMS)</t>
        </is>
      </c>
      <c r="C17" s="7" t="n">
        <v>1</v>
      </c>
    </row>
    <row r="18" hidden="1" ht="14.25" customHeight="1" s="5">
      <c r="A18" s="7" t="n">
        <v>35293</v>
      </c>
      <c r="B18" s="7" t="inlineStr">
        <is>
          <t>AKOUNA CAPPUCCINO CHOCO GRANULE (0.5 GMS)</t>
        </is>
      </c>
      <c r="C18" s="7" t="n">
        <v>1</v>
      </c>
    </row>
    <row r="19" hidden="1" ht="14.25" customHeight="1" s="5">
      <c r="A19" s="7" t="n">
        <v>34598</v>
      </c>
      <c r="B19" s="7" t="inlineStr">
        <is>
          <t>AKOUNA COFFEE 3 IN 1 (25GMS)</t>
        </is>
      </c>
      <c r="C19" s="7" t="n">
        <v>1</v>
      </c>
    </row>
    <row r="20" hidden="1" ht="14.25" customHeight="1" s="5">
      <c r="A20" s="7" t="n">
        <v>34599</v>
      </c>
      <c r="B20" s="7" t="inlineStr">
        <is>
          <t>AKOUNA COFFEE 3 IN 1 (32GMS)</t>
        </is>
      </c>
      <c r="C20" s="7" t="n">
        <v>1</v>
      </c>
    </row>
    <row r="21" hidden="1" ht="14.25" customHeight="1" s="5">
      <c r="A21" s="7" t="n">
        <v>34600</v>
      </c>
      <c r="B21" s="7" t="inlineStr">
        <is>
          <t>AKOUNA HOT CHOCOLATE 3 IN 1 (15GMS)</t>
        </is>
      </c>
      <c r="C21" s="7" t="n">
        <v>1</v>
      </c>
    </row>
    <row r="22" hidden="1" ht="14.25" customHeight="1" s="5">
      <c r="A22" s="7" t="n">
        <v>36052</v>
      </c>
      <c r="B22" s="7" t="inlineStr">
        <is>
          <t>AKOUNA INSTANT COFFEE 150 SACHETS (1.5 GMS)</t>
        </is>
      </c>
      <c r="C22" s="7" t="n">
        <v>150</v>
      </c>
    </row>
    <row r="23" hidden="1" ht="14.25" customHeight="1" s="5">
      <c r="A23" s="7" t="n">
        <v>22430</v>
      </c>
      <c r="B23" s="7" t="inlineStr">
        <is>
          <t>AL FINA 100 DC ENV TBGS WITH SPOON (NPBQ)</t>
        </is>
      </c>
      <c r="C23" s="7" t="n">
        <v>100</v>
      </c>
    </row>
    <row r="24" hidden="1" ht="14.25" customHeight="1" s="5">
      <c r="A24" s="7" t="n">
        <v>20488</v>
      </c>
      <c r="B24" s="7" t="inlineStr">
        <is>
          <t>AL FINA 100 DC ENV TBGS WITHOUT SPOON</t>
        </is>
      </c>
      <c r="C24" s="7" t="n">
        <v>100</v>
      </c>
    </row>
    <row r="25" hidden="1" ht="14.25" customHeight="1" s="5">
      <c r="A25" s="7" t="n">
        <v>17872</v>
      </c>
      <c r="B25" s="7" t="inlineStr">
        <is>
          <t>AL FINA 107 DC ENV TBGS (SKV)</t>
        </is>
      </c>
      <c r="C25" s="7" t="n">
        <v>107</v>
      </c>
    </row>
    <row r="26" hidden="1" ht="14.25" customHeight="1" s="5">
      <c r="A26" s="7" t="n">
        <v>22948</v>
      </c>
      <c r="B26" s="7" t="inlineStr">
        <is>
          <t>AL FINA 12/100 DC ENV TBGS WITH SPOON NPBQ</t>
        </is>
      </c>
      <c r="C26" s="7" t="n">
        <v>1</v>
      </c>
    </row>
    <row r="27" hidden="1" ht="14.25" customHeight="1" s="5">
      <c r="A27" s="7" t="n">
        <v>1021</v>
      </c>
      <c r="B27" s="7" t="inlineStr">
        <is>
          <t>AL FINA 25 DC ENV TBGS</t>
        </is>
      </c>
      <c r="C27" s="7" t="n">
        <v>25</v>
      </c>
    </row>
    <row r="28" hidden="1" ht="14.25" customHeight="1" s="5">
      <c r="A28" s="7" t="n">
        <v>17873</v>
      </c>
      <c r="B28" s="7" t="inlineStr">
        <is>
          <t>AL FINA 25 DC ENV TBGS (SKV)</t>
        </is>
      </c>
      <c r="C28" s="7" t="n">
        <v>25</v>
      </c>
    </row>
    <row r="29" hidden="1" ht="14.25" customHeight="1" s="5">
      <c r="A29" s="7" t="n">
        <v>1027</v>
      </c>
      <c r="B29" s="7" t="inlineStr">
        <is>
          <t>AL FINA 50 DC ENV TBGS</t>
        </is>
      </c>
      <c r="C29" s="7" t="n">
        <v>50</v>
      </c>
    </row>
    <row r="30" hidden="1" ht="14.25" customHeight="1" s="5">
      <c r="A30" s="7" t="n">
        <v>33862</v>
      </c>
      <c r="B30" s="7" t="inlineStr">
        <is>
          <t>AL FINA CAPPUCCINO 3 IN 1 (25GMS)</t>
        </is>
      </c>
      <c r="C30" s="7" t="n">
        <v>1</v>
      </c>
    </row>
    <row r="31" hidden="1" ht="14.25" customHeight="1" s="5">
      <c r="A31" s="7" t="n">
        <v>33863</v>
      </c>
      <c r="B31" s="7" t="inlineStr">
        <is>
          <t>AL FINA CAPPUCCINO CHOCO GRANULE (0.5 GMS)</t>
        </is>
      </c>
      <c r="C31" s="7" t="n">
        <v>1</v>
      </c>
    </row>
    <row r="32" hidden="1" ht="14.25" customHeight="1" s="5">
      <c r="A32" s="7" t="n">
        <v>26526</v>
      </c>
      <c r="B32" s="7" t="inlineStr">
        <is>
          <t>AL FINA CHAMOMILE 25 DC ENV TBGS</t>
        </is>
      </c>
      <c r="C32" s="7" t="n">
        <v>25</v>
      </c>
    </row>
    <row r="33" hidden="1" ht="14.25" customHeight="1" s="5">
      <c r="A33" s="7" t="n">
        <v>28052</v>
      </c>
      <c r="B33" s="7" t="inlineStr">
        <is>
          <t>AL FINA CINNAMON 25 DC ENV TBGS</t>
        </is>
      </c>
      <c r="C33" s="7" t="n">
        <v>25</v>
      </c>
    </row>
    <row r="34" hidden="1" ht="14.25" customHeight="1" s="5">
      <c r="A34" s="7" t="n">
        <v>20862</v>
      </c>
      <c r="B34" s="7" t="inlineStr">
        <is>
          <t>AL FINA CLASSIC 100 DC ENV TBGS</t>
        </is>
      </c>
      <c r="C34" s="7" t="n">
        <v>100</v>
      </c>
    </row>
    <row r="35" hidden="1" ht="14.25" customHeight="1" s="5">
      <c r="A35" s="7" t="n">
        <v>20863</v>
      </c>
      <c r="B35" s="7" t="inlineStr">
        <is>
          <t>AL FINA CLASSIC 25 DC ENV TBGS</t>
        </is>
      </c>
      <c r="C35" s="7" t="n">
        <v>25</v>
      </c>
    </row>
    <row r="36" hidden="1" ht="14.25" customHeight="1" s="5">
      <c r="A36" s="7" t="n">
        <v>31030</v>
      </c>
      <c r="B36" s="7" t="inlineStr">
        <is>
          <t>AL FINA CLOVE 25 DC ENV TBGS</t>
        </is>
      </c>
      <c r="C36" s="7" t="n">
        <v>25</v>
      </c>
    </row>
    <row r="37" hidden="1" ht="14.25" customHeight="1" s="5">
      <c r="A37" s="7" t="n">
        <v>23166</v>
      </c>
      <c r="B37" s="7" t="inlineStr">
        <is>
          <t>AL FINA COCKTAIL 25 DC ENV TBGS</t>
        </is>
      </c>
      <c r="C37" s="7" t="n">
        <v>25</v>
      </c>
    </row>
    <row r="38" hidden="1" ht="14.25" customHeight="1" s="5">
      <c r="A38" s="7" t="n">
        <v>32936</v>
      </c>
      <c r="B38" s="7" t="inlineStr">
        <is>
          <t>AL FINA COFFEE 3 IN 1 (20GMS)</t>
        </is>
      </c>
      <c r="C38" s="7" t="n">
        <v>1</v>
      </c>
    </row>
    <row r="39" hidden="1" ht="14.25" customHeight="1" s="5">
      <c r="A39" s="7" t="n">
        <v>26060</v>
      </c>
      <c r="B39" s="7" t="inlineStr">
        <is>
          <t>AL FINA CRANBERRY APPLE 25 DC ENV TBGS</t>
        </is>
      </c>
      <c r="C39" s="7" t="n">
        <v>25</v>
      </c>
    </row>
    <row r="40" hidden="1" ht="14.25" customHeight="1" s="5">
      <c r="A40" s="7" t="n">
        <v>24559</v>
      </c>
      <c r="B40" s="7" t="inlineStr">
        <is>
          <t>AL FINA DIGESTIVE 25 DC ENV TBGS</t>
        </is>
      </c>
      <c r="C40" s="7" t="n">
        <v>25</v>
      </c>
    </row>
    <row r="41" hidden="1" ht="14.25" customHeight="1" s="5">
      <c r="A41" s="7" t="n">
        <v>21498</v>
      </c>
      <c r="B41" s="7" t="inlineStr">
        <is>
          <t>AL FINA ECONOMY 100 DC ENV TBGS</t>
        </is>
      </c>
      <c r="C41" s="7" t="n">
        <v>100</v>
      </c>
    </row>
    <row r="42" hidden="1" ht="14.25" customHeight="1" s="5">
      <c r="A42" s="7" t="n">
        <v>21921</v>
      </c>
      <c r="B42" s="7" t="inlineStr">
        <is>
          <t>AL FINA ECONOMY 25 DC ENV TBGS</t>
        </is>
      </c>
      <c r="C42" s="7" t="n">
        <v>25</v>
      </c>
    </row>
    <row r="43" hidden="1" ht="14.25" customHeight="1" s="5">
      <c r="A43" s="7" t="n">
        <v>24562</v>
      </c>
      <c r="B43" s="7" t="inlineStr">
        <is>
          <t>AL FINA ENERGIZER 25 DC ENV TBGS</t>
        </is>
      </c>
      <c r="C43" s="7" t="n">
        <v>25</v>
      </c>
    </row>
    <row r="44" hidden="1" ht="14.25" customHeight="1" s="5">
      <c r="A44" s="7" t="n">
        <v>32848</v>
      </c>
      <c r="B44" s="7" t="inlineStr">
        <is>
          <t>AL FINA FRUITY CRANBERRY HERBAL 25 DC ENV TBGS</t>
        </is>
      </c>
      <c r="C44" s="7" t="n">
        <v>25</v>
      </c>
    </row>
    <row r="45" hidden="1" ht="14.25" customHeight="1" s="5">
      <c r="A45" s="7" t="n">
        <v>33649</v>
      </c>
      <c r="B45" s="7" t="inlineStr">
        <is>
          <t>AL FINA GIFT BOX 36 DC ENV TBGS</t>
        </is>
      </c>
      <c r="C45" s="7" t="n">
        <v>1</v>
      </c>
    </row>
    <row r="46" hidden="1" ht="14.25" customHeight="1" s="5">
      <c r="A46" s="7" t="n">
        <v>23167</v>
      </c>
      <c r="B46" s="7" t="inlineStr">
        <is>
          <t>AL FINA GINGER 25 DC ENV TBGS</t>
        </is>
      </c>
      <c r="C46" s="7" t="n">
        <v>25</v>
      </c>
    </row>
    <row r="47" hidden="1" ht="14.25" customHeight="1" s="5">
      <c r="A47" s="7" t="n">
        <v>26161</v>
      </c>
      <c r="B47" s="7" t="inlineStr">
        <is>
          <t>AL FINA GREEN LEMON GRASS 25 DC ENV TBGS</t>
        </is>
      </c>
      <c r="C47" s="7" t="n">
        <v>25</v>
      </c>
    </row>
    <row r="48" hidden="1" ht="14.25" customHeight="1" s="5">
      <c r="A48" s="7" t="n">
        <v>24556</v>
      </c>
      <c r="B48" s="7" t="inlineStr">
        <is>
          <t>AL FINA GREEN TEA 25 DC ENV TBGS</t>
        </is>
      </c>
      <c r="C48" s="7" t="n">
        <v>25</v>
      </c>
    </row>
    <row r="49" hidden="1" ht="14.25" customHeight="1" s="5">
      <c r="A49" s="7" t="n">
        <v>24558</v>
      </c>
      <c r="B49" s="7" t="inlineStr">
        <is>
          <t>AL FINA GREEN TEA LEMON 25 DC ENV TBGS</t>
        </is>
      </c>
      <c r="C49" s="7" t="n">
        <v>25</v>
      </c>
    </row>
    <row r="50" hidden="1" ht="14.25" customHeight="1" s="5">
      <c r="A50" s="7" t="n">
        <v>24557</v>
      </c>
      <c r="B50" s="7" t="inlineStr">
        <is>
          <t>AL FINA GREEN TEA MINT 25 DC ENV TBGS</t>
        </is>
      </c>
      <c r="C50" s="7" t="n">
        <v>25</v>
      </c>
    </row>
    <row r="51" hidden="1" ht="14.25" customHeight="1" s="5">
      <c r="A51" s="7" t="n">
        <v>23176</v>
      </c>
      <c r="B51" s="7" t="inlineStr">
        <is>
          <t>AL FINA GREEN TEA MORINGA 25 DC ENV TBGS</t>
        </is>
      </c>
      <c r="C51" s="7" t="n">
        <v>25</v>
      </c>
    </row>
    <row r="52" hidden="1" ht="14.25" customHeight="1" s="5">
      <c r="A52" s="7" t="n">
        <v>24561</v>
      </c>
      <c r="B52" s="7" t="inlineStr">
        <is>
          <t>AL FINA IMMUNIITY 25 DC ENV TBGS</t>
        </is>
      </c>
      <c r="C52" s="7" t="n">
        <v>25</v>
      </c>
    </row>
    <row r="53" hidden="1" ht="14.25" customHeight="1" s="5">
      <c r="A53" s="7" t="n">
        <v>23168</v>
      </c>
      <c r="B53" s="7" t="inlineStr">
        <is>
          <t>AL FINA LEMON 25 DC ENV TBGS</t>
        </is>
      </c>
      <c r="C53" s="7" t="n">
        <v>25</v>
      </c>
    </row>
    <row r="54" hidden="1" ht="14.25" customHeight="1" s="5">
      <c r="A54" s="7" t="n">
        <v>33653</v>
      </c>
      <c r="B54" s="7" t="inlineStr">
        <is>
          <t>AL FINA LOOSE ENV BLACK TEA DC ENV TBGS</t>
        </is>
      </c>
      <c r="C54" s="7" t="n">
        <v>1</v>
      </c>
    </row>
    <row r="55" hidden="1" ht="14.25" customHeight="1" s="5">
      <c r="A55" s="7" t="n">
        <v>33662</v>
      </c>
      <c r="B55" s="7" t="inlineStr">
        <is>
          <t>AL FINA LOOSE ENV CLOVE DC ENV TBGS</t>
        </is>
      </c>
      <c r="C55" s="7" t="n">
        <v>1</v>
      </c>
    </row>
    <row r="56" hidden="1" ht="14.25" customHeight="1" s="5">
      <c r="A56" s="7" t="n">
        <v>33660</v>
      </c>
      <c r="B56" s="7" t="inlineStr">
        <is>
          <t>AL FINA LOOSE ENV COCKTAIL DC ENV TBGS</t>
        </is>
      </c>
      <c r="C56" s="7" t="n">
        <v>1</v>
      </c>
    </row>
    <row r="57" hidden="1" ht="14.25" customHeight="1" s="5">
      <c r="A57" s="7" t="n">
        <v>33663</v>
      </c>
      <c r="B57" s="7" t="inlineStr">
        <is>
          <t>AL FINA LOOSE ENV CRANBERRY APPLE DC ENV TBGS</t>
        </is>
      </c>
      <c r="C57" s="7" t="n">
        <v>1</v>
      </c>
    </row>
    <row r="58" hidden="1" ht="14.25" customHeight="1" s="5">
      <c r="A58" s="7" t="n">
        <v>1227</v>
      </c>
      <c r="B58" s="7" t="inlineStr">
        <is>
          <t>AL FINA LOOSE ENV DC ENV TBGS</t>
        </is>
      </c>
      <c r="C58" s="7" t="n">
        <v>1</v>
      </c>
    </row>
    <row r="59" hidden="1" ht="14.25" customHeight="1" s="5">
      <c r="A59" s="7" t="n">
        <v>17874</v>
      </c>
      <c r="B59" s="7" t="inlineStr">
        <is>
          <t>AL FINA LOOSE ENV DC ENV TBGS (SKV)</t>
        </is>
      </c>
      <c r="C59" s="7" t="n">
        <v>1</v>
      </c>
    </row>
    <row r="60" hidden="1" ht="14.25" customHeight="1" s="5">
      <c r="A60" s="7" t="n">
        <v>33658</v>
      </c>
      <c r="B60" s="7" t="inlineStr">
        <is>
          <t>AL FINA LOOSE ENV GINGER DC ENV TBGS</t>
        </is>
      </c>
      <c r="C60" s="7" t="n">
        <v>1</v>
      </c>
    </row>
    <row r="61" hidden="1" ht="14.25" customHeight="1" s="5">
      <c r="A61" s="7" t="n">
        <v>33661</v>
      </c>
      <c r="B61" s="7" t="inlineStr">
        <is>
          <t>AL FINA LOOSE ENV GREEN LEMON DC ENV TBGS</t>
        </is>
      </c>
      <c r="C61" s="7" t="n">
        <v>1</v>
      </c>
    </row>
    <row r="62" hidden="1" ht="14.25" customHeight="1" s="5">
      <c r="A62" s="7" t="n">
        <v>33656</v>
      </c>
      <c r="B62" s="7" t="inlineStr">
        <is>
          <t>AL FINA LOOSE ENV MINT DC ENV TBGS</t>
        </is>
      </c>
      <c r="C62" s="7" t="n">
        <v>1</v>
      </c>
    </row>
    <row r="63" hidden="1" ht="14.25" customHeight="1" s="5">
      <c r="A63" s="7" t="n">
        <v>33657</v>
      </c>
      <c r="B63" s="7" t="inlineStr">
        <is>
          <t>AL FINA LOOSE ENV STRAWBERRY DC ENV TBGS</t>
        </is>
      </c>
      <c r="C63" s="7" t="n">
        <v>1</v>
      </c>
    </row>
    <row r="64" hidden="1" ht="14.25" customHeight="1" s="5">
      <c r="A64" s="7" t="n">
        <v>23169</v>
      </c>
      <c r="B64" s="7" t="inlineStr">
        <is>
          <t>AL FINA MANGO 25 DC ENV TBGS</t>
        </is>
      </c>
      <c r="C64" s="7" t="n">
        <v>25</v>
      </c>
    </row>
    <row r="65" hidden="1" ht="14.25" customHeight="1" s="5">
      <c r="A65" s="7" t="n">
        <v>23170</v>
      </c>
      <c r="B65" s="7" t="inlineStr">
        <is>
          <t>AL FINA MINT 25 DC ENV TBGS</t>
        </is>
      </c>
      <c r="C65" s="7" t="n">
        <v>25</v>
      </c>
    </row>
    <row r="66" hidden="1" ht="14.25" customHeight="1" s="5">
      <c r="A66" s="7" t="n">
        <v>23171</v>
      </c>
      <c r="B66" s="7" t="inlineStr">
        <is>
          <t>AL FINA ORANGE 25 DC ENV TBGS</t>
        </is>
      </c>
      <c r="C66" s="7" t="n">
        <v>25</v>
      </c>
    </row>
    <row r="67" hidden="1" ht="14.25" customHeight="1" s="5">
      <c r="A67" s="7" t="n">
        <v>32847</v>
      </c>
      <c r="B67" s="7" t="inlineStr">
        <is>
          <t>AL FINA ORANGE PEACH 25 DC ENV TBGS</t>
        </is>
      </c>
      <c r="C67" s="7" t="n">
        <v>25</v>
      </c>
    </row>
    <row r="68" hidden="1" ht="14.25" customHeight="1" s="5">
      <c r="A68" s="7" t="n">
        <v>24555</v>
      </c>
      <c r="B68" s="7" t="inlineStr">
        <is>
          <t>AL FINA PEACH 25 DC ENV TBGS</t>
        </is>
      </c>
      <c r="C68" s="7" t="n">
        <v>25</v>
      </c>
    </row>
    <row r="69" hidden="1" ht="14.25" customHeight="1" s="5">
      <c r="A69" s="7" t="n">
        <v>26167</v>
      </c>
      <c r="B69" s="7" t="inlineStr">
        <is>
          <t>AL FINA PINEAPPLE 25 DC ENV TBGS</t>
        </is>
      </c>
      <c r="C69" s="7" t="n">
        <v>25</v>
      </c>
    </row>
    <row r="70" hidden="1" ht="14.25" customHeight="1" s="5">
      <c r="A70" s="7" t="n">
        <v>32845</v>
      </c>
      <c r="B70" s="7" t="inlineStr">
        <is>
          <t>AL FINA PINEAPPLE COCONUT 25 DC ENV TBGS</t>
        </is>
      </c>
      <c r="C70" s="7" t="n">
        <v>25</v>
      </c>
    </row>
    <row r="71" hidden="1" ht="14.25" customHeight="1" s="5">
      <c r="A71" s="7" t="n">
        <v>23172</v>
      </c>
      <c r="B71" s="7" t="inlineStr">
        <is>
          <t>AL FINA ROSE 25 DC ENV TBGS</t>
        </is>
      </c>
      <c r="C71" s="7" t="n">
        <v>25</v>
      </c>
    </row>
    <row r="72" hidden="1" ht="14.25" customHeight="1" s="5">
      <c r="A72" s="7" t="n">
        <v>1224</v>
      </c>
      <c r="B72" s="7" t="inlineStr">
        <is>
          <t>AL FINA SACHET (UNP) 24 x 10 x 5 DC ENV TBGS WITH TSHIRT</t>
        </is>
      </c>
      <c r="C72" s="7" t="n">
        <v>0</v>
      </c>
    </row>
    <row r="73" hidden="1" ht="14.25" customHeight="1" s="5">
      <c r="A73" s="7" t="n">
        <v>1229</v>
      </c>
      <c r="B73" s="7" t="inlineStr">
        <is>
          <t>AL FINA SACHET 5 DC ENV TBGS WITH TSHIRT</t>
        </is>
      </c>
      <c r="C73" s="7" t="n">
        <v>0</v>
      </c>
    </row>
    <row r="74" hidden="1" ht="14.25" customHeight="1" s="5">
      <c r="A74" s="7" t="n">
        <v>23173</v>
      </c>
      <c r="B74" s="7" t="inlineStr">
        <is>
          <t>AL FINA STRAWBERRY 25 DC ENV TBGS</t>
        </is>
      </c>
      <c r="C74" s="7" t="n">
        <v>25</v>
      </c>
    </row>
    <row r="75" hidden="1" ht="14.25" customHeight="1" s="5">
      <c r="A75" s="7" t="n">
        <v>18658</v>
      </c>
      <c r="B75" s="7" t="inlineStr">
        <is>
          <t>AL FINA STRIP WITH 5 TBGS X 10 SACHET</t>
        </is>
      </c>
      <c r="C75" s="7" t="n">
        <v>50</v>
      </c>
    </row>
    <row r="76" hidden="1" ht="14.25" customHeight="1" s="5">
      <c r="A76" s="7" t="n">
        <v>17875</v>
      </c>
      <c r="B76" s="7" t="inlineStr">
        <is>
          <t>AL FINA STRIP WITH 5 TBGS X 10 SACHET (SKV)</t>
        </is>
      </c>
      <c r="C76" s="7" t="n">
        <v>50</v>
      </c>
    </row>
    <row r="77" hidden="1" ht="14.25" customHeight="1" s="5">
      <c r="A77" s="7" t="n">
        <v>23174</v>
      </c>
      <c r="B77" s="7" t="inlineStr">
        <is>
          <t>AL FINA TAMARIND 25 DC ENV TBGS</t>
        </is>
      </c>
      <c r="C77" s="7" t="n">
        <v>25</v>
      </c>
    </row>
    <row r="78" hidden="1" ht="14.25" customHeight="1" s="5">
      <c r="A78" s="7" t="n">
        <v>23175</v>
      </c>
      <c r="B78" s="7" t="inlineStr">
        <is>
          <t>AL FINA WATER MELON 25 DC ENV TBGS</t>
        </is>
      </c>
      <c r="C78" s="7" t="n">
        <v>25</v>
      </c>
    </row>
    <row r="79" hidden="1" ht="14.25" customHeight="1" s="5">
      <c r="A79" s="7" t="n">
        <v>28670</v>
      </c>
      <c r="B79" s="7" t="inlineStr">
        <is>
          <t>ALDI AUTUMN 20 DC SF ENV TBGS</t>
        </is>
      </c>
      <c r="C79" s="7" t="n">
        <v>20</v>
      </c>
    </row>
    <row r="80" hidden="1" ht="14.25" customHeight="1" s="5">
      <c r="A80" s="7" t="n">
        <v>28671</v>
      </c>
      <c r="B80" s="7" t="inlineStr">
        <is>
          <t>ALDI CARAMELISED PEAR 20 DC SF ENV TBGS</t>
        </is>
      </c>
      <c r="C80" s="7" t="n">
        <v>20</v>
      </c>
    </row>
    <row r="81" hidden="1" ht="14.25" customHeight="1" s="5">
      <c r="A81" s="7" t="n">
        <v>28383</v>
      </c>
      <c r="B81" s="7" t="inlineStr">
        <is>
          <t>ALDI CLASSIC TEA INFUSION 40 DC SF HS ENV TBGS</t>
        </is>
      </c>
      <c r="C81" s="7" t="n">
        <v>1</v>
      </c>
    </row>
    <row r="82" hidden="1" ht="14.25" customHeight="1" s="5">
      <c r="A82" s="7" t="n">
        <v>28384</v>
      </c>
      <c r="B82" s="7" t="inlineStr">
        <is>
          <t>ALDI CLASSIC TEA INFUSION LOOSE ENV DARJELING DC SF HS ENV TBGS</t>
        </is>
      </c>
      <c r="C82" s="7" t="n">
        <v>1</v>
      </c>
    </row>
    <row r="83" hidden="1" ht="14.25" customHeight="1" s="5">
      <c r="A83" s="7" t="n">
        <v>28385</v>
      </c>
      <c r="B83" s="7" t="inlineStr">
        <is>
          <t>ALDI CLASSIC TEA INFUSION LOOSE ENV FRUITY ROSHIP DC SF HS ENV TBGS</t>
        </is>
      </c>
      <c r="C83" s="7" t="n">
        <v>1</v>
      </c>
    </row>
    <row r="84" hidden="1" ht="14.25" customHeight="1" s="5">
      <c r="A84" s="7" t="n">
        <v>28386</v>
      </c>
      <c r="B84" s="7" t="inlineStr">
        <is>
          <t>ALDI CLASSIC TEA INFUSION LOOSE ENV GREEN TEA LEMON DC SF HS ENV TBGS</t>
        </is>
      </c>
      <c r="C84" s="7" t="n">
        <v>1</v>
      </c>
    </row>
    <row r="85" hidden="1" ht="14.25" customHeight="1" s="5">
      <c r="A85" s="7" t="n">
        <v>28387</v>
      </c>
      <c r="B85" s="7" t="inlineStr">
        <is>
          <t>ALDI CLASSIC TEA INFUSION LOOSE ENV RED FRUIT DC SF HS ENV TBGS</t>
        </is>
      </c>
      <c r="C85" s="7" t="n">
        <v>1</v>
      </c>
    </row>
    <row r="86" hidden="1" ht="14.25" customHeight="1" s="5">
      <c r="A86" s="7" t="n">
        <v>28338</v>
      </c>
      <c r="B86" s="7" t="inlineStr">
        <is>
          <t>ALDI PREMIIUM TEA INFUSION LOOSE ENV ROOIBOS SPICE DC SF HS ENV TBGS</t>
        </is>
      </c>
      <c r="C86" s="7" t="n">
        <v>1</v>
      </c>
    </row>
    <row r="87" hidden="1" ht="14.25" customHeight="1" s="5">
      <c r="A87" s="7" t="n">
        <v>28336</v>
      </c>
      <c r="B87" s="7" t="inlineStr">
        <is>
          <t>ALDI PREMIUM TEA INFUSION 30 DC SF HS ENV TBGS</t>
        </is>
      </c>
      <c r="C87" s="7" t="n">
        <v>1</v>
      </c>
    </row>
    <row r="88" hidden="1" ht="14.25" customHeight="1" s="5">
      <c r="A88" s="7" t="n">
        <v>28340</v>
      </c>
      <c r="B88" s="7" t="inlineStr">
        <is>
          <t>ALDI PREMIUM TEA INFUSION LOOSE ENV BLACK TEA CINNAMON DC SF HS ENV TBGS</t>
        </is>
      </c>
      <c r="C88" s="7" t="n">
        <v>1</v>
      </c>
    </row>
    <row r="89" hidden="1" ht="14.25" customHeight="1" s="5">
      <c r="A89" s="7" t="n">
        <v>28341</v>
      </c>
      <c r="B89" s="7" t="inlineStr">
        <is>
          <t>ALDI PREMIUM TEA INFUSION LOOSE ENV GREEN TEA CHAI DC SF HS ENV TBGS</t>
        </is>
      </c>
      <c r="C89" s="7" t="n">
        <v>1</v>
      </c>
    </row>
    <row r="90" hidden="1" ht="14.25" customHeight="1" s="5">
      <c r="A90" s="7" t="n">
        <v>28339</v>
      </c>
      <c r="B90" s="7" t="inlineStr">
        <is>
          <t>ALDI PREMIUM TEA INFUSION LOOSE ENV GREEN TEA JASMINE DC SF HS ENV TBGS</t>
        </is>
      </c>
      <c r="C90" s="7" t="n">
        <v>1</v>
      </c>
    </row>
    <row r="91" hidden="1" ht="14.25" customHeight="1" s="5">
      <c r="A91" s="7" t="n">
        <v>28342</v>
      </c>
      <c r="B91" s="7" t="inlineStr">
        <is>
          <t>ALDI PREMIUM TEA INFUSION LOOSE ENV MINT DC SF HS ENV TBGS</t>
        </is>
      </c>
      <c r="C91" s="7" t="n">
        <v>1</v>
      </c>
    </row>
    <row r="92" hidden="1" ht="14.25" customHeight="1" s="5">
      <c r="A92" s="7" t="n">
        <v>28343</v>
      </c>
      <c r="B92" s="7" t="inlineStr">
        <is>
          <t>ALDI PREMIUM TEA INFUSION LOOSE ENV ROOIBOS LEMON GRASS DC SF HS ENV TBGS</t>
        </is>
      </c>
      <c r="C92" s="7" t="n">
        <v>1</v>
      </c>
    </row>
    <row r="93" hidden="1" ht="14.25" customHeight="1" s="5">
      <c r="A93" s="7" t="n">
        <v>26346</v>
      </c>
      <c r="B93" s="7" t="inlineStr">
        <is>
          <t>ALDI TE-A-ME LOOSE ENV BLACK TEA CINNAMON DC SF HS ENV TBGS</t>
        </is>
      </c>
      <c r="C93" s="7" t="n">
        <v>1</v>
      </c>
    </row>
    <row r="94" hidden="1" ht="14.25" customHeight="1" s="5">
      <c r="A94" s="7" t="n">
        <v>26347</v>
      </c>
      <c r="B94" s="7" t="inlineStr">
        <is>
          <t>ALDI TE-A-ME LOOSE ENV GREEN TEA CHAI DC SF HS ENV TBGS</t>
        </is>
      </c>
      <c r="C94" s="7" t="n">
        <v>1</v>
      </c>
    </row>
    <row r="95" hidden="1" ht="14.25" customHeight="1" s="5">
      <c r="A95" s="7" t="n">
        <v>26345</v>
      </c>
      <c r="B95" s="7" t="inlineStr">
        <is>
          <t>ALDI TE-A-ME LOOSE ENV GREEN TEA JASMINE DC SF HS ENV TBGS</t>
        </is>
      </c>
      <c r="C95" s="7" t="n">
        <v>1</v>
      </c>
    </row>
    <row r="96" hidden="1" ht="14.25" customHeight="1" s="5">
      <c r="A96" s="7" t="n">
        <v>26348</v>
      </c>
      <c r="B96" s="7" t="inlineStr">
        <is>
          <t>ALDI TE-A-ME LOOSE ENV MINT DC SF HS ENV TBGS</t>
        </is>
      </c>
      <c r="C96" s="7" t="n">
        <v>1</v>
      </c>
    </row>
    <row r="97" hidden="1" ht="14.25" customHeight="1" s="5">
      <c r="A97" s="7" t="n">
        <v>26349</v>
      </c>
      <c r="B97" s="7" t="inlineStr">
        <is>
          <t>ALDI TE-A-ME LOOSE ENV ROOIBOS LEMON GRASS DC SF HS ENV TBGS</t>
        </is>
      </c>
      <c r="C97" s="7" t="n">
        <v>1</v>
      </c>
    </row>
    <row r="98" hidden="1" ht="14.25" customHeight="1" s="5">
      <c r="A98" s="7" t="n">
        <v>26343</v>
      </c>
      <c r="B98" s="7" t="inlineStr">
        <is>
          <t>ALDI TE-A-ME LOOSE ENV ROOIBOS SPICE DC SF HS ENV TBGS</t>
        </is>
      </c>
      <c r="C98" s="7" t="n">
        <v>1</v>
      </c>
    </row>
    <row r="99" hidden="1" ht="14.25" customHeight="1" s="5">
      <c r="A99" s="7" t="n">
        <v>26340</v>
      </c>
      <c r="B99" s="7" t="inlineStr">
        <is>
          <t>ALDI TE-A-ME TEATREATS 24 DC SF HS ENV TBGS</t>
        </is>
      </c>
      <c r="C99" s="7" t="n">
        <v>24</v>
      </c>
    </row>
    <row r="100" hidden="1" ht="14.25" customHeight="1" s="5">
      <c r="A100" s="7" t="n">
        <v>28187</v>
      </c>
      <c r="B100" s="7" t="inlineStr">
        <is>
          <t>ALDI VRUCHTENTHEE FOREST FRUIT 25 DC SF ENV TBGS</t>
        </is>
      </c>
      <c r="C100" s="7" t="n">
        <v>25</v>
      </c>
    </row>
    <row r="101" hidden="1" ht="14.25" customHeight="1" s="5">
      <c r="A101" s="7" t="n">
        <v>26883</v>
      </c>
      <c r="B101" s="7" t="inlineStr">
        <is>
          <t>ALDI VRUCHTENTHEE LOOSE ENV CHERRY DC SF ENV TBGS</t>
        </is>
      </c>
      <c r="C101" s="7" t="n">
        <v>1</v>
      </c>
    </row>
    <row r="102" hidden="1" ht="14.25" customHeight="1" s="5">
      <c r="A102" s="7" t="n">
        <v>26882</v>
      </c>
      <c r="B102" s="7" t="inlineStr">
        <is>
          <t>ALDI VRUCHTENTHEE LOOSE ENV FOREST FRUIT DC SF ENV TBGS</t>
        </is>
      </c>
      <c r="C102" s="7" t="n">
        <v>1</v>
      </c>
    </row>
    <row r="103" hidden="1" ht="14.25" customHeight="1" s="5">
      <c r="A103" s="7" t="n">
        <v>26878</v>
      </c>
      <c r="B103" s="7" t="inlineStr">
        <is>
          <t>ALDI VRUCHTENTHEE LOOSE ENV LEMON DC SF ENV TBGS</t>
        </is>
      </c>
      <c r="C103" s="7" t="n">
        <v>1</v>
      </c>
    </row>
    <row r="104" hidden="1" ht="14.25" customHeight="1" s="5">
      <c r="A104" s="7" t="n">
        <v>26877</v>
      </c>
      <c r="B104" s="7" t="inlineStr">
        <is>
          <t>ALDI VRUCHTENTHEE LOOSE ENV MANGO DC SF ENV TBGS</t>
        </is>
      </c>
      <c r="C104" s="7" t="n">
        <v>1</v>
      </c>
    </row>
    <row r="105" hidden="1" ht="14.25" customHeight="1" s="5">
      <c r="A105" s="7" t="n">
        <v>26879</v>
      </c>
      <c r="B105" s="7" t="inlineStr">
        <is>
          <t>ALDI VRUCHTENTHEE LOOSE ENV MELON DC SF ENV TBGS</t>
        </is>
      </c>
      <c r="C105" s="7" t="n">
        <v>1</v>
      </c>
    </row>
    <row r="106" hidden="1" ht="14.25" customHeight="1" s="5">
      <c r="A106" s="7" t="n">
        <v>26880</v>
      </c>
      <c r="B106" s="7" t="inlineStr">
        <is>
          <t>ALDI VRUCHTENTHEE LOOSE ENV ORANGE DC SF ENV TBGS</t>
        </is>
      </c>
      <c r="C106" s="7" t="n">
        <v>1</v>
      </c>
    </row>
    <row r="107" hidden="1" ht="14.25" customHeight="1" s="5">
      <c r="A107" s="7" t="n">
        <v>26884</v>
      </c>
      <c r="B107" s="7" t="inlineStr">
        <is>
          <t>ALDI VRUCHTENTHEE LOOSE ENV RASPBERRY DC SF ENV TBGS</t>
        </is>
      </c>
      <c r="C107" s="7" t="n">
        <v>1</v>
      </c>
    </row>
    <row r="108" hidden="1" ht="14.25" customHeight="1" s="5">
      <c r="A108" s="7" t="n">
        <v>26881</v>
      </c>
      <c r="B108" s="7" t="inlineStr">
        <is>
          <t>ALDI VRUCHTENTHEE LOOSE ENV STRAWBERRY DC SF ENV TBGS</t>
        </is>
      </c>
      <c r="C108" s="7" t="n">
        <v>1</v>
      </c>
    </row>
    <row r="109" hidden="1" ht="14.25" customHeight="1" s="5">
      <c r="A109" s="7" t="n">
        <v>26868</v>
      </c>
      <c r="B109" s="7" t="inlineStr">
        <is>
          <t>ALDI VRUCHTENTHEE RED FRUIT 20 DC SF ENV TBGS</t>
        </is>
      </c>
      <c r="C109" s="7" t="n">
        <v>20</v>
      </c>
    </row>
    <row r="110" hidden="1" ht="14.25" customHeight="1" s="5">
      <c r="A110" s="7" t="n">
        <v>28188</v>
      </c>
      <c r="B110" s="7" t="inlineStr">
        <is>
          <t>ALDI VRUCHTENTHEE STRAWBERRY 25 DC SF ENV TBGS</t>
        </is>
      </c>
      <c r="C110" s="7" t="n">
        <v>25</v>
      </c>
    </row>
    <row r="111" hidden="1" ht="14.25" customHeight="1" s="5">
      <c r="A111" s="7" t="n">
        <v>26867</v>
      </c>
      <c r="B111" s="7" t="inlineStr">
        <is>
          <t>ALDI VRUCHTENTHEE YELLOW FRUIT 20 DC SF ENV TBGS</t>
        </is>
      </c>
      <c r="C111" s="7" t="n">
        <v>20</v>
      </c>
    </row>
    <row r="112" hidden="1" ht="14.25" customHeight="1" s="5">
      <c r="A112" s="7" t="n">
        <v>32184</v>
      </c>
      <c r="B112" s="7" t="inlineStr">
        <is>
          <t>ALDI WESTIMINSTER MAROKKOMUNT 20 DC SF ENV TBGS</t>
        </is>
      </c>
      <c r="C112" s="7" t="n">
        <v>20</v>
      </c>
    </row>
    <row r="113" hidden="1" ht="14.25" customHeight="1" s="5">
      <c r="A113" s="7" t="n">
        <v>32185</v>
      </c>
      <c r="B113" s="7" t="inlineStr">
        <is>
          <t>ALDI WESTIMINSTER VENKEL 20 DC SF ENV TBGS</t>
        </is>
      </c>
      <c r="C113" s="7" t="n">
        <v>20</v>
      </c>
    </row>
    <row r="114" hidden="1" ht="14.25" customHeight="1" s="5">
      <c r="A114" s="7" t="n">
        <v>32186</v>
      </c>
      <c r="B114" s="7" t="inlineStr">
        <is>
          <t>ALDI WESTIMINSTER ZOETHOUT 20 DC SF ENV TBGS</t>
        </is>
      </c>
      <c r="C114" s="7" t="n">
        <v>20</v>
      </c>
    </row>
    <row r="115" hidden="1" ht="14.25" customHeight="1" s="5">
      <c r="A115" s="7" t="n">
        <v>32183</v>
      </c>
      <c r="B115" s="7" t="inlineStr">
        <is>
          <t>ALDI WESTMINSTER BRANDNETHEL 20 DC SF ENV TBGS</t>
        </is>
      </c>
      <c r="C115" s="7" t="n">
        <v>20</v>
      </c>
    </row>
    <row r="116" hidden="1" ht="14.25" customHeight="1" s="5">
      <c r="A116" s="7" t="n">
        <v>28669</v>
      </c>
      <c r="B116" s="7" t="inlineStr">
        <is>
          <t>ALDI WINTER 20 DC SF ENV TBGS</t>
        </is>
      </c>
      <c r="C116" s="7" t="n">
        <v>20</v>
      </c>
    </row>
    <row r="117" hidden="1" ht="14.25" customHeight="1" s="5">
      <c r="A117" s="7" t="n">
        <v>26744</v>
      </c>
      <c r="B117" s="7" t="inlineStr">
        <is>
          <t>ALIA 100  DC ENV TBGS</t>
        </is>
      </c>
      <c r="C117" s="7" t="n">
        <v>100</v>
      </c>
    </row>
    <row r="118" hidden="1" ht="14.25" customHeight="1" s="5">
      <c r="A118" s="7" t="n">
        <v>32625</v>
      </c>
      <c r="B118" s="7" t="inlineStr">
        <is>
          <t>ALIA COCKTAIL 25 DC ENV TBGS</t>
        </is>
      </c>
      <c r="C118" s="7" t="n">
        <v>25</v>
      </c>
    </row>
    <row r="119" hidden="1" ht="14.25" customHeight="1" s="5">
      <c r="A119" s="7" t="n">
        <v>26750</v>
      </c>
      <c r="B119" s="7" t="inlineStr">
        <is>
          <t>ALIA GINGER 25 DC ENV TBGS</t>
        </is>
      </c>
      <c r="C119" s="7" t="n">
        <v>25</v>
      </c>
    </row>
    <row r="120" hidden="1" ht="14.25" customHeight="1" s="5">
      <c r="A120" s="7" t="n">
        <v>36051</v>
      </c>
      <c r="B120" s="7" t="inlineStr">
        <is>
          <t>ALIA INSTANT COFFEE 120 SACHETS (2 GMS)</t>
        </is>
      </c>
      <c r="C120" s="7" t="n">
        <v>120</v>
      </c>
    </row>
    <row r="121" hidden="1" ht="14.25" customHeight="1" s="5">
      <c r="A121" s="7" t="n">
        <v>26748</v>
      </c>
      <c r="B121" s="7" t="inlineStr">
        <is>
          <t>ALIA LEMON 25 DC ENV TBGS</t>
        </is>
      </c>
      <c r="C121" s="7" t="n">
        <v>25</v>
      </c>
    </row>
    <row r="122" hidden="1" ht="14.25" customHeight="1" s="5">
      <c r="A122" s="7" t="n">
        <v>26749</v>
      </c>
      <c r="B122" s="7" t="inlineStr">
        <is>
          <t>ALIA MINT 25 DC ENV TBGS</t>
        </is>
      </c>
      <c r="C122" s="7" t="n">
        <v>25</v>
      </c>
    </row>
    <row r="123" hidden="1" ht="14.25" customHeight="1" s="5">
      <c r="A123" s="7" t="n">
        <v>26751</v>
      </c>
      <c r="B123" s="7" t="inlineStr">
        <is>
          <t>ALIA ORANGE 25 DC ENV TBGS</t>
        </is>
      </c>
      <c r="C123" s="7" t="n">
        <v>25</v>
      </c>
    </row>
    <row r="124" hidden="1" ht="14.25" customHeight="1" s="5">
      <c r="A124" s="7" t="n">
        <v>26747</v>
      </c>
      <c r="B124" s="7" t="inlineStr">
        <is>
          <t>ALIA PEACH  25 DC ENV TBGS</t>
        </is>
      </c>
      <c r="C124" s="7" t="n">
        <v>25</v>
      </c>
    </row>
    <row r="125" hidden="1" ht="14.25" customHeight="1" s="5">
      <c r="A125" s="7" t="n">
        <v>26745</v>
      </c>
      <c r="B125" s="7" t="inlineStr">
        <is>
          <t>ALIA PINEAPPLE 25 DC ENV TBGS</t>
        </is>
      </c>
      <c r="C125" s="7" t="n">
        <v>25</v>
      </c>
    </row>
    <row r="126" hidden="1" ht="14.25" customHeight="1" s="5">
      <c r="A126" s="7" t="n">
        <v>26746</v>
      </c>
      <c r="B126" s="7" t="inlineStr">
        <is>
          <t>ALIA STRAWBERRY 25 DC ENV TBGS</t>
        </is>
      </c>
      <c r="C126" s="7" t="n">
        <v>25</v>
      </c>
    </row>
    <row r="127" hidden="1" ht="14.25" customHeight="1" s="5">
      <c r="A127" s="7" t="n">
        <v>22485</v>
      </c>
      <c r="B127" s="7" t="inlineStr">
        <is>
          <t>ALIMO 100 DC ENV TBGS</t>
        </is>
      </c>
      <c r="C127" s="7" t="n">
        <v>100</v>
      </c>
    </row>
    <row r="128" hidden="1" ht="14.25" customHeight="1" s="5">
      <c r="A128" s="7" t="n">
        <v>281</v>
      </c>
      <c r="B128" s="7" t="inlineStr">
        <is>
          <t>AMIGO 100 DC ENV TBGS</t>
        </is>
      </c>
      <c r="C128" s="7" t="n">
        <v>100</v>
      </c>
    </row>
    <row r="129" hidden="1" ht="14.25" customHeight="1" s="5">
      <c r="A129" s="7" t="n">
        <v>1262</v>
      </c>
      <c r="B129" s="7" t="inlineStr">
        <is>
          <t>AMWAY ENGLISH BREAKFAST 40 POUCH TBGS</t>
        </is>
      </c>
      <c r="C129" s="7" t="n">
        <v>40</v>
      </c>
    </row>
    <row r="130" hidden="1" ht="14.25" customHeight="1" s="5">
      <c r="A130" s="7" t="n">
        <v>19382</v>
      </c>
      <c r="B130" s="7" t="inlineStr">
        <is>
          <t>ARAMBHA FLAVOURED TEA 250 GMS PKT</t>
        </is>
      </c>
      <c r="C130" s="7" t="n">
        <v>1</v>
      </c>
    </row>
    <row r="131" hidden="1" ht="14.25" customHeight="1" s="5">
      <c r="A131" s="7" t="n">
        <v>19388</v>
      </c>
      <c r="B131" s="7" t="inlineStr">
        <is>
          <t>ARAMBHA FLAVOURED TEA 500 GMS PKT</t>
        </is>
      </c>
      <c r="C131" s="7" t="n">
        <v>1</v>
      </c>
    </row>
    <row r="132" hidden="1" ht="14.25" customHeight="1" s="5">
      <c r="A132" s="7" t="n">
        <v>32708</v>
      </c>
      <c r="B132" s="7" t="inlineStr">
        <is>
          <t>ARROBA DUST TEA 250 GMS PKT TEA</t>
        </is>
      </c>
      <c r="C132" s="7" t="n">
        <v>1</v>
      </c>
    </row>
    <row r="133" hidden="1" ht="14.25" customHeight="1" s="5">
      <c r="A133" s="7" t="n">
        <v>36322</v>
      </c>
      <c r="B133" s="7" t="inlineStr">
        <is>
          <t>ARROBA PREMIUM DUST TV (NEW) 250 GM POUCH</t>
        </is>
      </c>
      <c r="C133" s="7" t="n">
        <v>1</v>
      </c>
    </row>
    <row r="134" hidden="1" ht="14.25" customHeight="1" s="5">
      <c r="A134" s="7" t="n">
        <v>287</v>
      </c>
      <c r="B134" s="7" t="inlineStr">
        <is>
          <t>BLUE DIAMOND 100 DC ENV TBGS</t>
        </is>
      </c>
      <c r="C134" s="7" t="n">
        <v>100</v>
      </c>
    </row>
    <row r="135" hidden="1" ht="14.25" customHeight="1" s="5">
      <c r="A135" s="7" t="n">
        <v>20320</v>
      </c>
      <c r="B135" s="7" t="inlineStr">
        <is>
          <t>BLUE DIAMOND 50 DC ENV TBGS</t>
        </is>
      </c>
      <c r="C135" s="7" t="n">
        <v>50</v>
      </c>
    </row>
    <row r="136" hidden="1" ht="14.25" customHeight="1" s="5">
      <c r="A136" s="7" t="n">
        <v>23106</v>
      </c>
      <c r="B136" s="7" t="inlineStr">
        <is>
          <t>BLUE DIAMOND GINGER 25 DC ENV TBGS</t>
        </is>
      </c>
      <c r="C136" s="7" t="n">
        <v>25</v>
      </c>
    </row>
    <row r="137" hidden="1" ht="14.25" customHeight="1" s="5">
      <c r="A137" s="7" t="n">
        <v>23107</v>
      </c>
      <c r="B137" s="7" t="inlineStr">
        <is>
          <t>BLUE DIAMOND LEMON 25 DC ENV TBGS</t>
        </is>
      </c>
      <c r="C137" s="7" t="n">
        <v>25</v>
      </c>
    </row>
    <row r="138" hidden="1" ht="14.25" customHeight="1" s="5">
      <c r="A138" s="7" t="n">
        <v>26178</v>
      </c>
      <c r="B138" s="7" t="inlineStr">
        <is>
          <t>BLUE DIAMOND MANGO 25 DC ENV TBGS</t>
        </is>
      </c>
      <c r="C138" s="7" t="n">
        <v>25</v>
      </c>
    </row>
    <row r="139" hidden="1" ht="14.25" customHeight="1" s="5">
      <c r="A139" s="7" t="n">
        <v>23108</v>
      </c>
      <c r="B139" s="7" t="inlineStr">
        <is>
          <t>BLUE DIAMOND MINT 25 DC ENV TBGS</t>
        </is>
      </c>
      <c r="C139" s="7" t="n">
        <v>25</v>
      </c>
    </row>
    <row r="140" hidden="1" ht="14.25" customHeight="1" s="5">
      <c r="A140" s="7" t="n">
        <v>23109</v>
      </c>
      <c r="B140" s="7" t="inlineStr">
        <is>
          <t>BLUE DIAMOND ORANGE 25 DC ENV TBGS</t>
        </is>
      </c>
      <c r="C140" s="7" t="n">
        <v>25</v>
      </c>
    </row>
    <row r="141" hidden="1" ht="14.25" customHeight="1" s="5">
      <c r="A141" s="7" t="n">
        <v>26182</v>
      </c>
      <c r="B141" s="7" t="inlineStr">
        <is>
          <t>BLUE DIAMOND PINEAPPLE 25 DC ENV TBGS</t>
        </is>
      </c>
      <c r="C141" s="7" t="n">
        <v>25</v>
      </c>
    </row>
    <row r="142" hidden="1" ht="14.25" customHeight="1" s="5">
      <c r="A142" s="7" t="n">
        <v>23110</v>
      </c>
      <c r="B142" s="7" t="inlineStr">
        <is>
          <t>BLUE DIAMOND STRAWBERRY 25 DC ENV TBGS</t>
        </is>
      </c>
      <c r="C142" s="7" t="n">
        <v>25</v>
      </c>
    </row>
    <row r="143" hidden="1" ht="14.25" customHeight="1" s="5">
      <c r="A143" s="7" t="n">
        <v>23111</v>
      </c>
      <c r="B143" s="7" t="inlineStr">
        <is>
          <t>BLUE DIAMOND TAMARIND 25 DC ENV TBGS</t>
        </is>
      </c>
      <c r="C143" s="7" t="n">
        <v>25</v>
      </c>
    </row>
    <row r="144" hidden="1" ht="14.25" customHeight="1" s="5">
      <c r="A144" s="7" t="n">
        <v>21767</v>
      </c>
      <c r="B144" s="7" t="inlineStr">
        <is>
          <t>BNNR 100 PTAG TBGS</t>
        </is>
      </c>
      <c r="C144" s="7" t="n">
        <v>100</v>
      </c>
    </row>
    <row r="145" hidden="1" ht="14.25" customHeight="1" s="5">
      <c r="A145" s="7" t="n">
        <v>33577</v>
      </c>
      <c r="B145" s="7" t="inlineStr">
        <is>
          <t>BNNR 24 PFSTAG TBGS</t>
        </is>
      </c>
      <c r="C145" s="7" t="n">
        <v>24</v>
      </c>
    </row>
    <row r="146" hidden="1" ht="14.25" customHeight="1" s="5">
      <c r="A146" s="7" t="n">
        <v>31523</v>
      </c>
      <c r="B146" s="7" t="inlineStr">
        <is>
          <t>BOM DIA 25 DC ENV TBGS</t>
        </is>
      </c>
      <c r="C146" s="7" t="n">
        <v>25</v>
      </c>
    </row>
    <row r="147" hidden="1" ht="14.25" customHeight="1" s="5">
      <c r="A147" s="7" t="n">
        <v>32408</v>
      </c>
      <c r="B147" s="7" t="inlineStr">
        <is>
          <t>BOM DIA 25 DC ENV TBGS (ANGOLA)</t>
        </is>
      </c>
      <c r="C147" s="7" t="n">
        <v>25</v>
      </c>
    </row>
    <row r="148" hidden="1" ht="14.25" customHeight="1" s="5">
      <c r="A148" s="7" t="n">
        <v>37606</v>
      </c>
      <c r="B148" s="7" t="inlineStr">
        <is>
          <t>BOM DIA 25 DC ENV TBGS (MATADI)</t>
        </is>
      </c>
      <c r="C148" s="7" t="n">
        <v>25</v>
      </c>
    </row>
    <row r="149" hidden="1" ht="14.25" customHeight="1" s="5">
      <c r="A149" s="7" t="n">
        <v>28277</v>
      </c>
      <c r="B149" s="7" t="inlineStr">
        <is>
          <t>BON GOUT 100 DC ENV TBGS</t>
        </is>
      </c>
      <c r="C149" s="7" t="n">
        <v>100</v>
      </c>
    </row>
    <row r="150" hidden="1" ht="14.25" customHeight="1" s="5">
      <c r="A150" s="7" t="n">
        <v>311</v>
      </c>
      <c r="B150" s="7" t="inlineStr">
        <is>
          <t>BON GOUT 105 DC ENV TBGS</t>
        </is>
      </c>
      <c r="C150" s="7" t="n">
        <v>105</v>
      </c>
    </row>
    <row r="151" hidden="1" ht="14.25" customHeight="1" s="5">
      <c r="A151" s="7" t="n">
        <v>20774</v>
      </c>
      <c r="B151" s="7" t="inlineStr">
        <is>
          <t>BONI SELECTION ENGLISH BREAKFAST 25 DC ENV TBGS</t>
        </is>
      </c>
      <c r="C151" s="7" t="n">
        <v>25</v>
      </c>
    </row>
    <row r="152" hidden="1" ht="14.25" customHeight="1" s="5">
      <c r="A152" s="7" t="n">
        <v>1309</v>
      </c>
      <c r="B152" s="7" t="inlineStr">
        <is>
          <t>BONI SELECTION KAMILLE 25 DC ENV TBGS</t>
        </is>
      </c>
      <c r="C152" s="7" t="n">
        <v>25</v>
      </c>
    </row>
    <row r="153" hidden="1" ht="14.25" customHeight="1" s="5">
      <c r="A153" s="7" t="n">
        <v>1317</v>
      </c>
      <c r="B153" s="7" t="inlineStr">
        <is>
          <t>BONI SELECTION MUNT MENTHE 25 DC ENV TBGS</t>
        </is>
      </c>
      <c r="C153" s="7" t="n">
        <v>25</v>
      </c>
    </row>
    <row r="154" hidden="1" ht="14.25" customHeight="1" s="5">
      <c r="A154" s="7" t="n">
        <v>1323</v>
      </c>
      <c r="B154" s="7" t="inlineStr">
        <is>
          <t>BONI SELECTION ROZENBOTTEL EGLANTIER 25 DC ENV TBGS</t>
        </is>
      </c>
      <c r="C154" s="7" t="n">
        <v>25</v>
      </c>
    </row>
    <row r="155" hidden="1" ht="14.25" customHeight="1" s="5">
      <c r="A155" s="7" t="n">
        <v>319</v>
      </c>
      <c r="B155" s="7" t="inlineStr">
        <is>
          <t>BONJOURNE 100 DC ENV TBGS</t>
        </is>
      </c>
      <c r="C155" s="7" t="n">
        <v>100</v>
      </c>
    </row>
    <row r="156" hidden="1" ht="14.25" customHeight="1" s="5">
      <c r="A156" s="7" t="n">
        <v>33100</v>
      </c>
      <c r="B156" s="7" t="inlineStr">
        <is>
          <t>BREW360 3 OZ BLK RND ITBS COPACK</t>
        </is>
      </c>
      <c r="C156" s="7" t="n">
        <v>8</v>
      </c>
    </row>
    <row r="157" hidden="1" ht="14.25" customHeight="1" s="5">
      <c r="A157" s="7" t="n">
        <v>37034</v>
      </c>
      <c r="B157" s="7" t="inlineStr">
        <is>
          <t>CAFE COFFEE DAY KAHWA INFUSION 25 DC SF HS ENV TBGS</t>
        </is>
      </c>
      <c r="C157" s="7" t="n">
        <v>25</v>
      </c>
    </row>
    <row r="158" hidden="1" ht="14.25" customHeight="1" s="5">
      <c r="A158" s="7" t="n">
        <v>34841</v>
      </c>
      <c r="B158" s="7" t="inlineStr">
        <is>
          <t>CELEST ASSAM 25 DC SF HS ENV TBGS</t>
        </is>
      </c>
      <c r="C158" s="7" t="n">
        <v>25</v>
      </c>
    </row>
    <row r="159" hidden="1" ht="14.25" customHeight="1" s="5">
      <c r="A159" s="7" t="n">
        <v>37029</v>
      </c>
      <c r="B159" s="7" t="inlineStr">
        <is>
          <t>CELEST ASSAM 25 DC SF HS ENV TBGS PK-2</t>
        </is>
      </c>
      <c r="C159" s="7" t="n">
        <v>50</v>
      </c>
    </row>
    <row r="160" hidden="1" ht="14.25" customHeight="1" s="5">
      <c r="A160" s="7" t="n">
        <v>36992</v>
      </c>
      <c r="B160" s="7" t="inlineStr">
        <is>
          <t>CELEST BREW BLUE PEA DANDELION MINT 36 PYRAMID TBGS</t>
        </is>
      </c>
      <c r="C160" s="7" t="n">
        <v>36</v>
      </c>
    </row>
    <row r="161" hidden="1" ht="14.25" customHeight="1" s="5">
      <c r="A161" s="7" t="n">
        <v>34422</v>
      </c>
      <c r="B161" s="7" t="inlineStr">
        <is>
          <t>CELEST BREW FRESH ASSAM TEA 100 DC HS SF ENV TBGS</t>
        </is>
      </c>
      <c r="C161" s="7" t="n">
        <v>100</v>
      </c>
    </row>
    <row r="162" hidden="1" ht="14.25" customHeight="1" s="5">
      <c r="A162" s="7" t="n">
        <v>34443</v>
      </c>
      <c r="B162" s="7" t="inlineStr">
        <is>
          <t>CELEST BREW FRESH CHAMOMILE 50 SQUARE TEA BAGS</t>
        </is>
      </c>
      <c r="C162" s="7" t="n">
        <v>50</v>
      </c>
    </row>
    <row r="163" hidden="1" ht="14.25" customHeight="1" s="5">
      <c r="A163" s="7" t="n">
        <v>32616</v>
      </c>
      <c r="B163" s="7" t="inlineStr">
        <is>
          <t>CELEST BREW FRESH DETOX KAHWA GREEN TEA 36 DC HS SF ENV TBGS</t>
        </is>
      </c>
      <c r="C163" s="7" t="n">
        <v>36</v>
      </c>
    </row>
    <row r="164" hidden="1" ht="14.25" customHeight="1" s="5">
      <c r="A164" s="7" t="n">
        <v>31977</v>
      </c>
      <c r="B164" s="7" t="inlineStr">
        <is>
          <t>CELEST BREW FRESH GREEN TEA 100 DC HS SF ENV TBGS</t>
        </is>
      </c>
      <c r="C164" s="7" t="n">
        <v>100</v>
      </c>
    </row>
    <row r="165" hidden="1" ht="14.25" customHeight="1" s="5">
      <c r="A165" s="7" t="n">
        <v>34444</v>
      </c>
      <c r="B165" s="7" t="inlineStr">
        <is>
          <t>CELEST BREW FRESH HIBISCUS 50 PYRAMID TEA BAGS</t>
        </is>
      </c>
      <c r="C165" s="7" t="n">
        <v>1</v>
      </c>
    </row>
    <row r="166" hidden="1" ht="14.25" customHeight="1" s="5">
      <c r="A166" s="7" t="n">
        <v>32012</v>
      </c>
      <c r="B166" s="7" t="inlineStr">
        <is>
          <t>CELEST BREW FRESH HONEY LEMON GREEN TEA 100 DC HS SF ENV TBGS-</t>
        </is>
      </c>
      <c r="C166" s="7" t="n">
        <v>100</v>
      </c>
    </row>
    <row r="167" hidden="1" ht="14.25" customHeight="1" s="5">
      <c r="A167" s="7" t="n">
        <v>36688</v>
      </c>
      <c r="B167" s="7" t="inlineStr">
        <is>
          <t>CELEST BREW FRESH KAHWA GREEN TEA 20 DC HS SF ENV TBGS</t>
        </is>
      </c>
      <c r="C167" s="7" t="n">
        <v>20</v>
      </c>
    </row>
    <row r="168" hidden="1" ht="14.25" customHeight="1" s="5">
      <c r="A168" s="7" t="n">
        <v>36643</v>
      </c>
      <c r="B168" s="7" t="inlineStr">
        <is>
          <t>CELEST BREW FRESH KAHWA GREEN TEA 36 DC HS SF ENV TBGS - NEW(PACK-3)</t>
        </is>
      </c>
      <c r="C168" s="7" t="n">
        <v>3</v>
      </c>
    </row>
    <row r="169" hidden="1" ht="14.25" customHeight="1" s="5">
      <c r="A169" s="7" t="n">
        <v>36644</v>
      </c>
      <c r="B169" s="7" t="inlineStr">
        <is>
          <t>CELEST BREW FRESH KAHWA GREEN TEA 36 DC HS SF ENV TBGS - NEW(PACK-4)</t>
        </is>
      </c>
      <c r="C169" s="7" t="n">
        <v>144</v>
      </c>
    </row>
    <row r="170" hidden="1" ht="14.25" customHeight="1" s="5">
      <c r="A170" s="7" t="n">
        <v>34426</v>
      </c>
      <c r="B170" s="7" t="inlineStr">
        <is>
          <t>CELEST BREW FRESH KAHWA GREEN TEA 36 DC HS SF ENV TBGS- NEW</t>
        </is>
      </c>
      <c r="C170" s="7" t="n">
        <v>36</v>
      </c>
    </row>
    <row r="171" hidden="1" ht="14.25" customHeight="1" s="5">
      <c r="A171" s="7" t="n">
        <v>36691</v>
      </c>
      <c r="B171" s="7" t="inlineStr">
        <is>
          <t>CELEST BREW FRESH LEMON GREEN TEA 100 DC HS SF ENV TBGS</t>
        </is>
      </c>
      <c r="C171" s="7" t="n">
        <v>100</v>
      </c>
    </row>
    <row r="172" hidden="1" ht="14.25" customHeight="1" s="5">
      <c r="A172" s="7" t="n">
        <v>31975</v>
      </c>
      <c r="B172" s="7" t="inlineStr">
        <is>
          <t>CELEST BREW FRESH MINT LEMON GINGER GREEN TEA 100 DC HS SF ENV TBGS</t>
        </is>
      </c>
      <c r="C172" s="7" t="n">
        <v>100</v>
      </c>
    </row>
    <row r="173" hidden="1" ht="14.25" customHeight="1" s="5">
      <c r="A173" s="7" t="n">
        <v>34458</v>
      </c>
      <c r="B173" s="7" t="inlineStr">
        <is>
          <t>CELEST BREW FRESH NETTLE LEAF 50 PYRAMID TEA BAGS</t>
        </is>
      </c>
      <c r="C173" s="7" t="n">
        <v>50</v>
      </c>
    </row>
    <row r="174" hidden="1" ht="14.25" customHeight="1" s="5">
      <c r="A174" s="7" t="n">
        <v>34462</v>
      </c>
      <c r="B174" s="7" t="inlineStr">
        <is>
          <t>CELEST BREW FRESH PEPPERMINT 50 PYRAMID TEA BAGS</t>
        </is>
      </c>
      <c r="C174" s="7" t="n">
        <v>1</v>
      </c>
    </row>
    <row r="175" hidden="1" ht="14.25" customHeight="1" s="5">
      <c r="A175" s="7" t="n">
        <v>34464</v>
      </c>
      <c r="B175" s="7" t="inlineStr">
        <is>
          <t>CELEST BREW FRESH RASPBERRY LEAF 50 PYRAMID TEA BAGS</t>
        </is>
      </c>
      <c r="C175" s="7" t="n">
        <v>1</v>
      </c>
    </row>
    <row r="176" hidden="1" ht="14.25" customHeight="1" s="5">
      <c r="A176" s="7" t="n">
        <v>34465</v>
      </c>
      <c r="B176" s="7" t="inlineStr">
        <is>
          <t>CELEST BREW FRESH SPEARMINT LEAF 50 PYRAMID TEA BAGS</t>
        </is>
      </c>
      <c r="C176" s="7" t="n">
        <v>50</v>
      </c>
    </row>
    <row r="177" hidden="1" ht="14.25" customHeight="1" s="5">
      <c r="A177" s="7" t="n">
        <v>31976</v>
      </c>
      <c r="B177" s="7" t="inlineStr">
        <is>
          <t>CELEST BREW FRESH TULSI GREEN TEA 100 DC HS SF ENV TBGS</t>
        </is>
      </c>
      <c r="C177" s="7" t="n">
        <v>100</v>
      </c>
    </row>
    <row r="178" hidden="1" ht="14.25" customHeight="1" s="5">
      <c r="A178" s="7" t="n">
        <v>33562</v>
      </c>
      <c r="B178" s="7" t="inlineStr">
        <is>
          <t>CELEST BREW FRESH VITAMIN C GREEN TEA GINGER MINT LEMON 100 DC HS SF ENV TBGS-</t>
        </is>
      </c>
      <c r="C178" s="7" t="n">
        <v>100</v>
      </c>
    </row>
    <row r="179" hidden="1" ht="14.25" customHeight="1" s="5">
      <c r="A179" s="7" t="n">
        <v>33561</v>
      </c>
      <c r="B179" s="7" t="inlineStr">
        <is>
          <t>CELEST BREW FRESH VITAMIN C GREEN TEA LEMON HONEY 100 DC HS SF ENV TBGS-</t>
        </is>
      </c>
      <c r="C179" s="7" t="n">
        <v>100</v>
      </c>
    </row>
    <row r="180" hidden="1" ht="14.25" customHeight="1" s="5">
      <c r="A180" s="7" t="n">
        <v>36307</v>
      </c>
      <c r="B180" s="7" t="inlineStr">
        <is>
          <t>CELEST CHAMOMILE 36 DC SF HS ENV TBGS</t>
        </is>
      </c>
      <c r="C180" s="7" t="n">
        <v>36</v>
      </c>
    </row>
    <row r="181" hidden="1" ht="14.25" customHeight="1" s="5">
      <c r="A181" s="7" t="n">
        <v>34843</v>
      </c>
      <c r="B181" s="7" t="inlineStr">
        <is>
          <t>CELEST GREEN TEA 25 DC HS SF ENV TBGS</t>
        </is>
      </c>
      <c r="C181" s="7" t="n">
        <v>25</v>
      </c>
    </row>
    <row r="182" hidden="1" ht="14.25" customHeight="1" s="5">
      <c r="A182" s="7" t="n">
        <v>37028</v>
      </c>
      <c r="B182" s="7" t="inlineStr">
        <is>
          <t>CELEST GREEN TEA 25 DC HS SF ENV TBGS PK-2</t>
        </is>
      </c>
      <c r="C182" s="7" t="n">
        <v>50</v>
      </c>
    </row>
    <row r="183" hidden="1" ht="14.25" customHeight="1" s="5">
      <c r="A183" s="7" t="n">
        <v>35022</v>
      </c>
      <c r="B183" s="7" t="inlineStr">
        <is>
          <t>CELEST HONEY LEMON GREEN 25 DC SF HS ENV TBGS</t>
        </is>
      </c>
      <c r="C183" s="7" t="n">
        <v>25</v>
      </c>
    </row>
    <row r="184" hidden="1" ht="14.25" customHeight="1" s="5">
      <c r="A184" s="7" t="n">
        <v>37020</v>
      </c>
      <c r="B184" s="7" t="inlineStr">
        <is>
          <t>CELEST HONEY LEMON GREEN 25 DC SF HS ENV TBGS PK-2</t>
        </is>
      </c>
      <c r="C184" s="7" t="n">
        <v>50</v>
      </c>
    </row>
    <row r="185" hidden="1" ht="14.25" customHeight="1" s="5">
      <c r="A185" s="7" t="n">
        <v>35023</v>
      </c>
      <c r="B185" s="7" t="inlineStr">
        <is>
          <t>CELEST LEMON GREEN TEA 25 DC HS SF ENV TBGS</t>
        </is>
      </c>
      <c r="C185" s="7" t="n">
        <v>25</v>
      </c>
    </row>
    <row r="186" hidden="1" ht="14.25" customHeight="1" s="5">
      <c r="A186" s="7" t="n">
        <v>37030</v>
      </c>
      <c r="B186" s="7" t="inlineStr">
        <is>
          <t>CELEST LEMON GREEN TEA 25 DC HS SF ENV TBGS PK-2</t>
        </is>
      </c>
      <c r="C186" s="7" t="n">
        <v>50</v>
      </c>
    </row>
    <row r="187" hidden="1" ht="14.25" customHeight="1" s="5">
      <c r="A187" s="7" t="n">
        <v>35203</v>
      </c>
      <c r="B187" s="7" t="inlineStr">
        <is>
          <t>CELEST LEMON ICE TEA PREMIX 12/800GM PKT</t>
        </is>
      </c>
      <c r="C187" s="7" t="n">
        <v>1</v>
      </c>
    </row>
    <row r="188" hidden="1" ht="14.25" customHeight="1" s="5">
      <c r="A188" s="7" t="n">
        <v>35202</v>
      </c>
      <c r="B188" s="7" t="inlineStr">
        <is>
          <t>CELEST LEMON ICE TEA PREMIX 24/400GM PKT</t>
        </is>
      </c>
      <c r="C188" s="7" t="n">
        <v>1</v>
      </c>
    </row>
    <row r="189" hidden="1" ht="14.25" customHeight="1" s="5">
      <c r="A189" s="7" t="n">
        <v>35024</v>
      </c>
      <c r="B189" s="7" t="inlineStr">
        <is>
          <t>CELEST MINT LEMON GINGER GREEN 25 DC SF HS ENV TBGS</t>
        </is>
      </c>
      <c r="C189" s="7" t="n">
        <v>25</v>
      </c>
    </row>
    <row r="190" hidden="1" ht="14.25" customHeight="1" s="5">
      <c r="A190" s="7" t="n">
        <v>37027</v>
      </c>
      <c r="B190" s="7" t="inlineStr">
        <is>
          <t>CELEST MINT LEMON GINGER GREEN 25 DC SF HS ENV TBGS PK-2</t>
        </is>
      </c>
      <c r="C190" s="7" t="n">
        <v>50</v>
      </c>
    </row>
    <row r="191" hidden="1" ht="14.25" customHeight="1" s="5">
      <c r="A191" s="7" t="n">
        <v>35025</v>
      </c>
      <c r="B191" s="7" t="inlineStr">
        <is>
          <t>CELEST TULSI GREEN TEA 25 DC HS SF ENV TBGS</t>
        </is>
      </c>
      <c r="C191" s="7" t="n">
        <v>25</v>
      </c>
    </row>
    <row r="192" hidden="1" ht="14.25" customHeight="1" s="5">
      <c r="A192" s="7" t="n">
        <v>37026</v>
      </c>
      <c r="B192" s="7" t="inlineStr">
        <is>
          <t>CELEST TULSI GREEN TEA 25 DC HS SF ENV TBGS PK-2</t>
        </is>
      </c>
      <c r="C192" s="7" t="n">
        <v>50</v>
      </c>
    </row>
    <row r="193" hidden="1" ht="14.25" customHeight="1" s="5">
      <c r="A193" s="7" t="n">
        <v>34262</v>
      </c>
      <c r="B193" s="7" t="inlineStr">
        <is>
          <t>CENTRA GOLD BLEND TEA 80 TAGLESS TBGS</t>
        </is>
      </c>
      <c r="C193" s="7" t="n">
        <v>80</v>
      </c>
    </row>
    <row r="194" hidden="1" ht="14.25" customHeight="1" s="5">
      <c r="A194" s="7" t="n">
        <v>35484</v>
      </c>
      <c r="B194" s="7" t="inlineStr">
        <is>
          <t>CHAI POINT BLACK TEA GUJARATI MASALA PKT 500 GM POUCH</t>
        </is>
      </c>
      <c r="C194" s="7" t="n">
        <v>1</v>
      </c>
    </row>
    <row r="195" hidden="1" ht="14.25" customHeight="1" s="5">
      <c r="A195" s="7" t="n">
        <v>34920</v>
      </c>
      <c r="B195" s="7" t="inlineStr">
        <is>
          <t>CHAI POINT BLACK TEA PUNJABI MASALA PKT 500 GM POUCH</t>
        </is>
      </c>
      <c r="C195" s="7" t="n">
        <v>1</v>
      </c>
    </row>
    <row r="196" hidden="1" ht="14.25" customHeight="1" s="5">
      <c r="A196" s="7" t="n">
        <v>34607</v>
      </c>
      <c r="B196" s="7" t="inlineStr">
        <is>
          <t>CHAI POINT PREMIUM VENDING 100 GM POUCH</t>
        </is>
      </c>
      <c r="C196" s="7" t="n">
        <v>1</v>
      </c>
    </row>
    <row r="197" hidden="1" ht="14.25" customHeight="1" s="5">
      <c r="A197" s="7" t="n">
        <v>1329</v>
      </c>
      <c r="B197" s="7" t="inlineStr">
        <is>
          <t>CHAYA 100 DC ENV TBGS</t>
        </is>
      </c>
      <c r="C197" s="7" t="n">
        <v>100</v>
      </c>
    </row>
    <row r="198" hidden="1" ht="14.25" customHeight="1" s="5">
      <c r="A198" s="7" t="n">
        <v>20049</v>
      </c>
      <c r="B198" s="7" t="inlineStr">
        <is>
          <t>CHAYA 100 DC ENV TBGS WITH SPOON</t>
        </is>
      </c>
      <c r="C198" s="7" t="n">
        <v>100</v>
      </c>
    </row>
    <row r="199" hidden="1" ht="14.25" customHeight="1" s="5">
      <c r="A199" s="7" t="n">
        <v>363</v>
      </c>
      <c r="B199" s="7" t="inlineStr">
        <is>
          <t>CHAYA 106 DC ENV TBGS</t>
        </is>
      </c>
      <c r="C199" s="7" t="n">
        <v>106</v>
      </c>
    </row>
    <row r="200" hidden="1" ht="14.25" customHeight="1" s="5">
      <c r="A200" s="7" t="n">
        <v>369</v>
      </c>
      <c r="B200" s="7" t="inlineStr">
        <is>
          <t>CHAYA 108 DC ENV TBGS</t>
        </is>
      </c>
      <c r="C200" s="7" t="n">
        <v>108</v>
      </c>
    </row>
    <row r="201" hidden="1" ht="14.25" customHeight="1" s="5">
      <c r="A201" s="7" t="n">
        <v>373</v>
      </c>
      <c r="B201" s="7" t="inlineStr">
        <is>
          <t>CHAYA 25  DC ENV TBGS</t>
        </is>
      </c>
      <c r="C201" s="7" t="n">
        <v>25</v>
      </c>
    </row>
    <row r="202" hidden="1" ht="14.25" customHeight="1" s="5">
      <c r="A202" s="7" t="n">
        <v>380</v>
      </c>
      <c r="B202" s="7" t="inlineStr">
        <is>
          <t>CHAYA 50 DC ENV TBGS</t>
        </is>
      </c>
      <c r="C202" s="7" t="n">
        <v>50</v>
      </c>
    </row>
    <row r="203" hidden="1" ht="14.25" customHeight="1" s="5">
      <c r="A203" s="7" t="n">
        <v>26189</v>
      </c>
      <c r="B203" s="7" t="inlineStr">
        <is>
          <t>CHAYA COCKTAIL 25 DC ENV TBGS</t>
        </is>
      </c>
      <c r="C203" s="7" t="n">
        <v>25</v>
      </c>
    </row>
    <row r="204" hidden="1" ht="14.25" customHeight="1" s="5">
      <c r="A204" s="7" t="n">
        <v>1350</v>
      </c>
      <c r="B204" s="7" t="inlineStr">
        <is>
          <t>CHAYA CRANBERRY APPLE 25 DC ENV TBGS</t>
        </is>
      </c>
      <c r="C204" s="7" t="n">
        <v>25</v>
      </c>
    </row>
    <row r="205" hidden="1" ht="14.25" customHeight="1" s="5">
      <c r="A205" s="7" t="n">
        <v>32058</v>
      </c>
      <c r="B205" s="7" t="inlineStr">
        <is>
          <t>CHAYA GIFT BOX 40 DC ENV TBGS</t>
        </is>
      </c>
      <c r="C205" s="7" t="n">
        <v>1</v>
      </c>
    </row>
    <row r="206" hidden="1" ht="14.25" customHeight="1" s="5">
      <c r="A206" s="7" t="n">
        <v>1367</v>
      </c>
      <c r="B206" s="7" t="inlineStr">
        <is>
          <t>CHAYA GINGER 25 DC ENV TBGS</t>
        </is>
      </c>
      <c r="C206" s="7" t="n">
        <v>25</v>
      </c>
    </row>
    <row r="207" hidden="1" ht="14.25" customHeight="1" s="5">
      <c r="A207" s="7" t="n">
        <v>26192</v>
      </c>
      <c r="B207" s="7" t="inlineStr">
        <is>
          <t>CHAYA GREEN TEA LEMON GRASS 25 DC ENV TBGS</t>
        </is>
      </c>
      <c r="C207" s="7" t="n">
        <v>25</v>
      </c>
    </row>
    <row r="208" hidden="1" ht="14.25" customHeight="1" s="5">
      <c r="A208" s="7" t="n">
        <v>26200</v>
      </c>
      <c r="B208" s="7" t="inlineStr">
        <is>
          <t>CHAYA HIBISCUS APPLE 25 DC ENV TBGS</t>
        </is>
      </c>
      <c r="C208" s="7" t="n">
        <v>25</v>
      </c>
    </row>
    <row r="209" hidden="1" ht="14.25" customHeight="1" s="5">
      <c r="A209" s="7" t="n">
        <v>1378</v>
      </c>
      <c r="B209" s="7" t="inlineStr">
        <is>
          <t>CHAYA LEMON 25 DC ENV TBGS</t>
        </is>
      </c>
      <c r="C209" s="7" t="n">
        <v>25</v>
      </c>
    </row>
    <row r="210" hidden="1" ht="14.25" customHeight="1" s="5">
      <c r="A210" s="7" t="n">
        <v>32059</v>
      </c>
      <c r="B210" s="7" t="inlineStr">
        <is>
          <t>CHAYA LOOSE ENV BLACK TEA DC ENV TBGS</t>
        </is>
      </c>
      <c r="C210" s="7" t="n">
        <v>1</v>
      </c>
    </row>
    <row r="211" hidden="1" ht="14.25" customHeight="1" s="5">
      <c r="A211" s="7" t="n">
        <v>32063</v>
      </c>
      <c r="B211" s="7" t="inlineStr">
        <is>
          <t>CHAYA LOOSE ENV COCKTAIL DC ENV TBGS</t>
        </is>
      </c>
      <c r="C211" s="7" t="n">
        <v>1</v>
      </c>
    </row>
    <row r="212" hidden="1" ht="14.25" customHeight="1" s="5">
      <c r="A212" s="7" t="n">
        <v>32062</v>
      </c>
      <c r="B212" s="7" t="inlineStr">
        <is>
          <t>CHAYA LOOSE ENV GINGER DC ENV TBGS</t>
        </is>
      </c>
      <c r="C212" s="7" t="n">
        <v>1</v>
      </c>
    </row>
    <row r="213" hidden="1" ht="14.25" customHeight="1" s="5">
      <c r="A213" s="7" t="n">
        <v>32064</v>
      </c>
      <c r="B213" s="7" t="inlineStr">
        <is>
          <t>CHAYA LOOSE ENV LEMON DC ENV TBGS</t>
        </is>
      </c>
      <c r="C213" s="7" t="n">
        <v>1</v>
      </c>
    </row>
    <row r="214" hidden="1" ht="14.25" customHeight="1" s="5">
      <c r="A214" s="7" t="n">
        <v>32060</v>
      </c>
      <c r="B214" s="7" t="inlineStr">
        <is>
          <t>CHAYA LOOSE ENV MINT DC ENV TBGS</t>
        </is>
      </c>
      <c r="C214" s="7" t="n">
        <v>1</v>
      </c>
    </row>
    <row r="215" hidden="1" ht="14.25" customHeight="1" s="5">
      <c r="A215" s="7" t="n">
        <v>32067</v>
      </c>
      <c r="B215" s="7" t="inlineStr">
        <is>
          <t>CHAYA LOOSE ENV ORANGE DC ENV TBGS</t>
        </is>
      </c>
      <c r="C215" s="7" t="n">
        <v>1</v>
      </c>
    </row>
    <row r="216" hidden="1" ht="14.25" customHeight="1" s="5">
      <c r="A216" s="7" t="n">
        <v>32066</v>
      </c>
      <c r="B216" s="7" t="inlineStr">
        <is>
          <t>CHAYA LOOSE ENV PINEAPPLE DC ENV TBGS</t>
        </is>
      </c>
      <c r="C216" s="7" t="n">
        <v>1</v>
      </c>
    </row>
    <row r="217" hidden="1" ht="14.25" customHeight="1" s="5">
      <c r="A217" s="7" t="n">
        <v>32061</v>
      </c>
      <c r="B217" s="7" t="inlineStr">
        <is>
          <t>CHAYA LOOSE ENV STRAWBERRY DC ENV TBGS</t>
        </is>
      </c>
      <c r="C217" s="7" t="n">
        <v>1</v>
      </c>
    </row>
    <row r="218" hidden="1" ht="14.25" customHeight="1" s="5">
      <c r="A218" s="7" t="n">
        <v>1362</v>
      </c>
      <c r="B218" s="7" t="inlineStr">
        <is>
          <t>CHAYA LOOSE TBGS CRANBERRY APPLE SC ENV TBGS</t>
        </is>
      </c>
      <c r="C218" s="7" t="n">
        <v>0</v>
      </c>
    </row>
    <row r="219" hidden="1" ht="14.25" customHeight="1" s="5">
      <c r="A219" s="7" t="n">
        <v>1361</v>
      </c>
      <c r="B219" s="7" t="inlineStr">
        <is>
          <t>CHAYA LOOSE TBGS DC ENV TBGS</t>
        </is>
      </c>
      <c r="C219" s="7" t="n">
        <v>0</v>
      </c>
    </row>
    <row r="220" hidden="1" ht="14.25" customHeight="1" s="5">
      <c r="A220" s="7" t="n">
        <v>1365</v>
      </c>
      <c r="B220" s="7" t="inlineStr">
        <is>
          <t>CHAYA LOOSE TBGS GINGER SC ENV TBGS</t>
        </is>
      </c>
      <c r="C220" s="7" t="n">
        <v>0</v>
      </c>
    </row>
    <row r="221" hidden="1" ht="14.25" customHeight="1" s="5">
      <c r="A221" s="7" t="n">
        <v>1360</v>
      </c>
      <c r="B221" s="7" t="inlineStr">
        <is>
          <t>CHAYA LOOSE TBGS LEMON SC ENV TBGS</t>
        </is>
      </c>
      <c r="C221" s="7" t="n">
        <v>0</v>
      </c>
    </row>
    <row r="222" hidden="1" ht="14.25" customHeight="1" s="5">
      <c r="A222" s="7" t="n">
        <v>1364</v>
      </c>
      <c r="B222" s="7" t="inlineStr">
        <is>
          <t>CHAYA LOOSE TBGS MINT SC ENV TBGS</t>
        </is>
      </c>
      <c r="C222" s="7" t="n">
        <v>0</v>
      </c>
    </row>
    <row r="223" hidden="1" ht="14.25" customHeight="1" s="5">
      <c r="A223" s="7" t="n">
        <v>1363</v>
      </c>
      <c r="B223" s="7" t="inlineStr">
        <is>
          <t>CHAYA LOOSE TBGS STRAWBERRY SC ENV TBGS</t>
        </is>
      </c>
      <c r="C223" s="7" t="n">
        <v>0</v>
      </c>
    </row>
    <row r="224" hidden="1" ht="14.25" customHeight="1" s="5">
      <c r="A224" s="7" t="n">
        <v>23451</v>
      </c>
      <c r="B224" s="7" t="inlineStr">
        <is>
          <t>CHAYA MANGO 25 DC ENV TBGS</t>
        </is>
      </c>
      <c r="C224" s="7" t="n">
        <v>25</v>
      </c>
    </row>
    <row r="225" hidden="1" ht="14.25" customHeight="1" s="5">
      <c r="A225" s="7" t="n">
        <v>1391</v>
      </c>
      <c r="B225" s="7" t="inlineStr">
        <is>
          <t>CHAYA MINT 25 DC ENV TBGS</t>
        </is>
      </c>
      <c r="C225" s="7" t="n">
        <v>25</v>
      </c>
    </row>
    <row r="226" hidden="1" ht="14.25" customHeight="1" s="5">
      <c r="A226" s="7" t="n">
        <v>1400</v>
      </c>
      <c r="B226" s="7" t="inlineStr">
        <is>
          <t>CHAYA ORANGE 25 DC ENV TBGS</t>
        </is>
      </c>
      <c r="C226" s="7" t="n">
        <v>25</v>
      </c>
    </row>
    <row r="227" hidden="1" ht="14.25" customHeight="1" s="5">
      <c r="A227" s="7" t="n">
        <v>23454</v>
      </c>
      <c r="B227" s="7" t="inlineStr">
        <is>
          <t>CHAYA PINEAPPLE 25 DC ENV TBGS</t>
        </is>
      </c>
      <c r="C227" s="7" t="n">
        <v>25</v>
      </c>
    </row>
    <row r="228" hidden="1" ht="14.25" customHeight="1" s="5">
      <c r="A228" s="7" t="n">
        <v>1413</v>
      </c>
      <c r="B228" s="7" t="inlineStr">
        <is>
          <t>CHAYA STRAWBERRY 25 DC ENV TBGS</t>
        </is>
      </c>
      <c r="C228" s="7" t="n">
        <v>25</v>
      </c>
    </row>
    <row r="229" hidden="1" ht="14.25" customHeight="1" s="5">
      <c r="A229" s="7" t="n">
        <v>23455</v>
      </c>
      <c r="B229" s="7" t="inlineStr">
        <is>
          <t>CHAYA TAMARIND 25 DC ENV TBGS</t>
        </is>
      </c>
      <c r="C229" s="7" t="n">
        <v>25</v>
      </c>
    </row>
    <row r="230" hidden="1" ht="14.25" customHeight="1" s="5">
      <c r="A230" s="7" t="n">
        <v>23014</v>
      </c>
      <c r="B230" s="7" t="inlineStr">
        <is>
          <t>CHESTNUT HILL 24 PFSTAG TBGS</t>
        </is>
      </c>
      <c r="C230" s="7" t="n">
        <v>24</v>
      </c>
    </row>
    <row r="231" hidden="1" ht="14.25" customHeight="1" s="5">
      <c r="A231" s="7" t="n">
        <v>24542</v>
      </c>
      <c r="B231" s="7" t="inlineStr">
        <is>
          <t>COFFEEDAY ROOSH ASSAM 100 DC HS SF ENV TBGS</t>
        </is>
      </c>
      <c r="C231" s="7" t="n">
        <v>25</v>
      </c>
    </row>
    <row r="232" hidden="1" ht="14.25" customHeight="1" s="5">
      <c r="A232" s="7" t="n">
        <v>2854</v>
      </c>
      <c r="B232" s="7" t="inlineStr">
        <is>
          <t>COFFEEDAY ROOSH DIP TEA ASSAM 100 DC TAG TBGS</t>
        </is>
      </c>
      <c r="C232" s="7" t="n">
        <v>100</v>
      </c>
    </row>
    <row r="233" hidden="1" ht="14.25" customHeight="1" s="5">
      <c r="A233" s="7" t="n">
        <v>26027</v>
      </c>
      <c r="B233" s="7" t="inlineStr">
        <is>
          <t>COFFEEDAY ROOSH GREEN 25 DC SF HS ENV TBGS</t>
        </is>
      </c>
      <c r="C233" s="7" t="n">
        <v>25</v>
      </c>
    </row>
    <row r="234" hidden="1" ht="14.25" customHeight="1" s="5">
      <c r="A234" s="7" t="n">
        <v>34518</v>
      </c>
      <c r="B234" s="7" t="inlineStr">
        <is>
          <t>COFFEEDAY ROOSH GREEN 25 DC SF HS ENV TBGS -- 1.5g</t>
        </is>
      </c>
      <c r="C234" s="7" t="n">
        <v>25</v>
      </c>
    </row>
    <row r="235" hidden="1" ht="14.25" customHeight="1" s="5">
      <c r="A235" s="7" t="n">
        <v>2866</v>
      </c>
      <c r="B235" s="7" t="inlineStr">
        <is>
          <t>COFFEEDAY ROOSH GREEN 25 SC HS ENV TBGS</t>
        </is>
      </c>
      <c r="C235" s="7" t="n">
        <v>25</v>
      </c>
    </row>
    <row r="236" hidden="1" ht="14.25" customHeight="1" s="5">
      <c r="A236" s="7" t="n">
        <v>34715</v>
      </c>
      <c r="B236" s="7" t="inlineStr">
        <is>
          <t>COFFEEDAY ROOSH GREEN 25 SC HS ENV TBGS -- 1.5g</t>
        </is>
      </c>
      <c r="C236" s="7" t="n">
        <v>25</v>
      </c>
    </row>
    <row r="237" hidden="1" ht="14.25" customHeight="1" s="5">
      <c r="A237" s="7" t="n">
        <v>25967</v>
      </c>
      <c r="B237" s="7" t="inlineStr">
        <is>
          <t>COFFEEDAY ROOSH GREEN TEA HONEY LEMON 25 DC SF HS ENV TBGS</t>
        </is>
      </c>
      <c r="C237" s="7" t="n">
        <v>25</v>
      </c>
    </row>
    <row r="238" hidden="1" ht="14.25" customHeight="1" s="5">
      <c r="A238" s="7" t="n">
        <v>25968</v>
      </c>
      <c r="B238" s="7" t="inlineStr">
        <is>
          <t>COFFEEDAY ROOSH GREEN TEA LEMON 25 DC SF HS ENV TBGS</t>
        </is>
      </c>
      <c r="C238" s="7" t="n">
        <v>25</v>
      </c>
    </row>
    <row r="239" hidden="1" ht="14.25" customHeight="1" s="5">
      <c r="A239" s="7" t="n">
        <v>25969</v>
      </c>
      <c r="B239" s="7" t="inlineStr">
        <is>
          <t>COFFEEDAY ROOSH GREEN TEA MINT 25 DC SF HS ENV TBGS</t>
        </is>
      </c>
      <c r="C239" s="7" t="n">
        <v>25</v>
      </c>
    </row>
    <row r="240" hidden="1" ht="14.25" customHeight="1" s="5">
      <c r="A240" s="7" t="n">
        <v>24541</v>
      </c>
      <c r="B240" s="7" t="inlineStr">
        <is>
          <t>COFFEEDAY ROOSH LEMON DIP TEA 25 DC HS SF ENV TBGS</t>
        </is>
      </c>
      <c r="C240" s="7" t="n">
        <v>25</v>
      </c>
    </row>
    <row r="241" hidden="1" ht="14.25" customHeight="1" s="5">
      <c r="A241" s="7" t="n">
        <v>31872</v>
      </c>
      <c r="B241" s="7" t="inlineStr">
        <is>
          <t>CONTINENTAL CHAAY 250 GMS PKT TEA</t>
        </is>
      </c>
      <c r="C241" s="7" t="n">
        <v>1</v>
      </c>
    </row>
    <row r="242" hidden="1" ht="14.25" customHeight="1" s="5">
      <c r="A242" s="7" t="n">
        <v>31873</v>
      </c>
      <c r="B242" s="7" t="inlineStr">
        <is>
          <t>CONTINENTAL CHAAY 500 GMS PKT TEA</t>
        </is>
      </c>
      <c r="C242" s="7" t="n">
        <v>1</v>
      </c>
    </row>
    <row r="243" hidden="1" ht="14.25" customHeight="1" s="5">
      <c r="A243" s="7" t="n">
        <v>28642</v>
      </c>
      <c r="B243" s="7" t="inlineStr">
        <is>
          <t>CONTINENTAL CHAAY ASSAM GOLD 100 DC SF TAG TBGS</t>
        </is>
      </c>
      <c r="C243" s="7" t="n">
        <v>100</v>
      </c>
    </row>
    <row r="244" hidden="1" ht="14.25" customHeight="1" s="5">
      <c r="A244" s="7" t="n">
        <v>28644</v>
      </c>
      <c r="B244" s="7" t="inlineStr">
        <is>
          <t>CONTINENTAL CHAAY CARDAMOM 100 DC SF TAG TBGS</t>
        </is>
      </c>
      <c r="C244" s="7" t="n">
        <v>100</v>
      </c>
    </row>
    <row r="245" hidden="1" ht="14.25" customHeight="1" s="5">
      <c r="A245" s="7" t="n">
        <v>28646</v>
      </c>
      <c r="B245" s="7" t="inlineStr">
        <is>
          <t>CONTINENTAL CHAAY GINGER 100 DC SF TAG TBGS</t>
        </is>
      </c>
      <c r="C245" s="7" t="n">
        <v>100</v>
      </c>
    </row>
    <row r="246" hidden="1" ht="14.25" customHeight="1" s="5">
      <c r="A246" s="7" t="n">
        <v>28643</v>
      </c>
      <c r="B246" s="7" t="inlineStr">
        <is>
          <t>CONTINENTAL CHAAY GREEN 100 DC SF TAG TBGS</t>
        </is>
      </c>
      <c r="C246" s="7" t="n">
        <v>100</v>
      </c>
    </row>
    <row r="247" hidden="1" ht="14.25" customHeight="1" s="5">
      <c r="A247" s="7" t="n">
        <v>28645</v>
      </c>
      <c r="B247" s="7" t="inlineStr">
        <is>
          <t>CONTINENTAL CHAAY LEMON 100 DC SF TAG TBGS</t>
        </is>
      </c>
      <c r="C247" s="7" t="n">
        <v>100</v>
      </c>
    </row>
    <row r="248" hidden="1" ht="14.25" customHeight="1" s="5">
      <c r="A248" s="7" t="n">
        <v>28647</v>
      </c>
      <c r="B248" s="7" t="inlineStr">
        <is>
          <t>CONTINENTAL CHAAY MASALA 100 DC SF TAG TBGS</t>
        </is>
      </c>
      <c r="C248" s="7" t="n">
        <v>100</v>
      </c>
    </row>
    <row r="249" hidden="1" ht="14.25" customHeight="1" s="5">
      <c r="A249" s="7" t="n">
        <v>1432</v>
      </c>
      <c r="B249" s="7" t="inlineStr">
        <is>
          <t>COTTERLEY - THE BREAKFAST 25 DC SF HS ENV TBGS</t>
        </is>
      </c>
      <c r="C249" s="7" t="n">
        <v>25</v>
      </c>
    </row>
    <row r="250" hidden="1" ht="14.25" customHeight="1" s="5">
      <c r="A250" s="7" t="n">
        <v>1439</v>
      </c>
      <c r="B250" s="7" t="inlineStr">
        <is>
          <t>COTTERLEY - THE BREAKFAST 50 DC SF HS ENV TBGS</t>
        </is>
      </c>
      <c r="C250" s="7" t="n">
        <v>50</v>
      </c>
    </row>
    <row r="251" hidden="1" ht="14.25" customHeight="1" s="5">
      <c r="A251" s="7" t="n">
        <v>1443</v>
      </c>
      <c r="B251" s="7" t="inlineStr">
        <is>
          <t>COTTERLEY - THE EARL GREY 25 DC SF HS ENV TBGS</t>
        </is>
      </c>
      <c r="C251" s="7" t="n">
        <v>25</v>
      </c>
    </row>
    <row r="252" hidden="1" ht="14.25" customHeight="1" s="5">
      <c r="A252" s="7" t="n">
        <v>34765</v>
      </c>
      <c r="B252" s="7" t="inlineStr">
        <is>
          <t>DABUR 1884 CLEANSE 20 HERBAL PYRAMID TAG TBGS</t>
        </is>
      </c>
      <c r="C252" s="7" t="n">
        <v>20</v>
      </c>
    </row>
    <row r="253" hidden="1" ht="14.25" customHeight="1" s="5">
      <c r="A253" s="7" t="n">
        <v>34776</v>
      </c>
      <c r="B253" s="7" t="inlineStr">
        <is>
          <t>DABUR 1884 CLEANSE 50 HERBAL PYRAMID ENV TBGS</t>
        </is>
      </c>
      <c r="C253" s="7" t="n">
        <v>50</v>
      </c>
    </row>
    <row r="254" hidden="1" ht="14.25" customHeight="1" s="5">
      <c r="A254" s="7" t="n">
        <v>34766</v>
      </c>
      <c r="B254" s="7" t="inlineStr">
        <is>
          <t>DABUR 1884 DE-STRESS 20 HERBAL PYRAMID TAG TBGS</t>
        </is>
      </c>
      <c r="C254" s="7" t="n">
        <v>20</v>
      </c>
    </row>
    <row r="255" hidden="1" ht="14.25" customHeight="1" s="5">
      <c r="A255" s="7" t="n">
        <v>34775</v>
      </c>
      <c r="B255" s="7" t="inlineStr">
        <is>
          <t>DABUR 1884 DE-STRESS 50 HERBAL PYRAMID ENV TBGS</t>
        </is>
      </c>
      <c r="C255" s="7" t="n">
        <v>50</v>
      </c>
    </row>
    <row r="256" hidden="1" ht="14.25" customHeight="1" s="5">
      <c r="A256" s="7" t="n">
        <v>34767</v>
      </c>
      <c r="B256" s="7" t="inlineStr">
        <is>
          <t>DABUR 1884 ENERGIZE 20 HERBAL PYRAMID TAG TBGS</t>
        </is>
      </c>
      <c r="C256" s="7" t="n">
        <v>20</v>
      </c>
    </row>
    <row r="257" hidden="1" ht="14.25" customHeight="1" s="5">
      <c r="A257" s="7" t="n">
        <v>34774</v>
      </c>
      <c r="B257" s="7" t="inlineStr">
        <is>
          <t>DABUR 1884 ENERGIZE 50 HERBAL PYRAMID ENV TBGS</t>
        </is>
      </c>
      <c r="C257" s="7" t="n">
        <v>50</v>
      </c>
    </row>
    <row r="258" hidden="1" ht="14.25" customHeight="1" s="5">
      <c r="A258" s="7" t="n">
        <v>34768</v>
      </c>
      <c r="B258" s="7" t="inlineStr">
        <is>
          <t>DABUR 1884 IMMUNITY BOOSTER 20 HERBAL PYRAMID TAG TBGS</t>
        </is>
      </c>
      <c r="C258" s="7" t="n">
        <v>20</v>
      </c>
    </row>
    <row r="259" hidden="1" ht="14.25" customHeight="1" s="5">
      <c r="A259" s="7" t="n">
        <v>34773</v>
      </c>
      <c r="B259" s="7" t="inlineStr">
        <is>
          <t>DABUR 1884 IMMUNITY BOOSTER 50 HERBAL PYRAMID ENV TBGS</t>
        </is>
      </c>
      <c r="C259" s="7" t="n">
        <v>50</v>
      </c>
    </row>
    <row r="260" hidden="1" ht="14.25" customHeight="1" s="5">
      <c r="A260" s="7" t="n">
        <v>34769</v>
      </c>
      <c r="B260" s="7" t="inlineStr">
        <is>
          <t>DABUR 1884 LADIES’ SPECIAL 20 HERBAL PYRAMID TAG TBGS</t>
        </is>
      </c>
      <c r="C260" s="7" t="n">
        <v>20</v>
      </c>
    </row>
    <row r="261" hidden="1" ht="14.25" customHeight="1" s="5">
      <c r="A261" s="7" t="n">
        <v>34772</v>
      </c>
      <c r="B261" s="7" t="inlineStr">
        <is>
          <t>DABUR 1884 LADIES’ SPECIAL 50 HERBAL PYRAMID ENV TBGS</t>
        </is>
      </c>
      <c r="C261" s="7" t="n">
        <v>50</v>
      </c>
    </row>
    <row r="262" hidden="1" ht="14.25" customHeight="1" s="5">
      <c r="A262" s="7" t="n">
        <v>34770</v>
      </c>
      <c r="B262" s="7" t="inlineStr">
        <is>
          <t>DABUR 1884 TUMMY COMFORT 20 HERBAL PYRAMID TAG TBGS</t>
        </is>
      </c>
      <c r="C262" s="7" t="n">
        <v>20</v>
      </c>
    </row>
    <row r="263" hidden="1" ht="14.25" customHeight="1" s="5">
      <c r="A263" s="7" t="n">
        <v>34771</v>
      </c>
      <c r="B263" s="7" t="inlineStr">
        <is>
          <t>DABUR 1884 TUMMY COMFORT 50 HERBAL PYRAMID ENV TBGS</t>
        </is>
      </c>
      <c r="C263" s="7" t="n">
        <v>50</v>
      </c>
    </row>
    <row r="264" hidden="1" ht="14.25" customHeight="1" s="5">
      <c r="A264" s="7" t="n">
        <v>32081</v>
      </c>
      <c r="B264" s="7" t="inlineStr">
        <is>
          <t>DASTA FAIRTRADE 500 DC ENV TBGS</t>
        </is>
      </c>
      <c r="C264" s="7" t="n">
        <v>500</v>
      </c>
    </row>
    <row r="265" hidden="1" ht="14.25" customHeight="1" s="5">
      <c r="A265" s="7" t="n">
        <v>1451</v>
      </c>
      <c r="B265" s="7" t="inlineStr">
        <is>
          <t>DASTA LOOSE ENV TBGS DC ENV</t>
        </is>
      </c>
      <c r="C265" s="7" t="n">
        <v>1</v>
      </c>
    </row>
    <row r="266" hidden="1" ht="14.25" customHeight="1" s="5">
      <c r="A266" s="7" t="n">
        <v>23013</v>
      </c>
      <c r="B266" s="7" t="inlineStr">
        <is>
          <t>DELIGHT 100 DC ENV TBGS</t>
        </is>
      </c>
      <c r="C266" s="7" t="n">
        <v>100</v>
      </c>
    </row>
    <row r="267" hidden="1" ht="14.25" customHeight="1" s="5">
      <c r="A267" s="7" t="n">
        <v>22701</v>
      </c>
      <c r="B267" s="7" t="inlineStr">
        <is>
          <t>DELIGHT 25 DC ENV TBGS</t>
        </is>
      </c>
      <c r="C267" s="7" t="n">
        <v>25</v>
      </c>
    </row>
    <row r="268" hidden="1" ht="14.25" customHeight="1" s="5">
      <c r="A268" s="7" t="n">
        <v>35353</v>
      </c>
      <c r="B268" s="7" t="inlineStr">
        <is>
          <t>DILMAH ASSAM 100 DC SF ENV TBGS</t>
        </is>
      </c>
      <c r="C268" s="7" t="n">
        <v>100</v>
      </c>
    </row>
    <row r="269" hidden="1" ht="14.25" customHeight="1" s="5">
      <c r="A269" s="7" t="n">
        <v>35330</v>
      </c>
      <c r="B269" s="7" t="inlineStr">
        <is>
          <t>DILMAH CHAMOMILE 100 DC SF ENV TBGS</t>
        </is>
      </c>
      <c r="C269" s="7" t="n">
        <v>100</v>
      </c>
    </row>
    <row r="270" hidden="1" ht="14.25" customHeight="1" s="5">
      <c r="A270" s="7" t="n">
        <v>35354</v>
      </c>
      <c r="B270" s="7" t="inlineStr">
        <is>
          <t>DILMAH DARJEELING 100 DC SF ENV TBGS</t>
        </is>
      </c>
      <c r="C270" s="7" t="n">
        <v>100</v>
      </c>
    </row>
    <row r="271" hidden="1" ht="14.25" customHeight="1" s="5">
      <c r="A271" s="7" t="n">
        <v>35351</v>
      </c>
      <c r="B271" s="7" t="inlineStr">
        <is>
          <t>DILMAH EARL GREY 100 DC SF ENV TBGS</t>
        </is>
      </c>
      <c r="C271" s="7" t="n">
        <v>100</v>
      </c>
    </row>
    <row r="272" hidden="1" ht="14.25" customHeight="1" s="5">
      <c r="A272" s="7" t="n">
        <v>35352</v>
      </c>
      <c r="B272" s="7" t="inlineStr">
        <is>
          <t>DILMAH ENGLISH BREAK FAST 100 DC SF ENV TBGS</t>
        </is>
      </c>
      <c r="C272" s="7" t="n">
        <v>100</v>
      </c>
    </row>
    <row r="273" hidden="1" ht="14.25" customHeight="1" s="5">
      <c r="A273" s="7" t="n">
        <v>35335</v>
      </c>
      <c r="B273" s="7" t="inlineStr">
        <is>
          <t>DILMAH GINGER 100 DC SF ENV TBGS</t>
        </is>
      </c>
      <c r="C273" s="7" t="n">
        <v>100</v>
      </c>
    </row>
    <row r="274" hidden="1" ht="14.25" customHeight="1" s="5">
      <c r="A274" s="7" t="n">
        <v>35350</v>
      </c>
      <c r="B274" s="7" t="inlineStr">
        <is>
          <t>DILMAH GREEN 100 DC SF ENV TBGS</t>
        </is>
      </c>
      <c r="C274" s="7" t="n">
        <v>100</v>
      </c>
    </row>
    <row r="275" hidden="1" ht="14.25" customHeight="1" s="5">
      <c r="A275" s="7" t="n">
        <v>35355</v>
      </c>
      <c r="B275" s="7" t="inlineStr">
        <is>
          <t>DILMAH GREEN TEA JASMINE 100 DC SF ENV TBGS</t>
        </is>
      </c>
      <c r="C275" s="7" t="n">
        <v>100</v>
      </c>
    </row>
    <row r="276" hidden="1" ht="14.25" customHeight="1" s="5">
      <c r="A276" s="7" t="n">
        <v>35332</v>
      </c>
      <c r="B276" s="7" t="inlineStr">
        <is>
          <t>DILMAH GREEN TEA TULSI 100 DC SF ENV TBGS</t>
        </is>
      </c>
      <c r="C276" s="7" t="n">
        <v>100</v>
      </c>
    </row>
    <row r="277" hidden="1" ht="14.25" customHeight="1" s="5">
      <c r="A277" s="7" t="n">
        <v>35333</v>
      </c>
      <c r="B277" s="7" t="inlineStr">
        <is>
          <t>DILMAH LEMON 100 DC SF ENV TBGS</t>
        </is>
      </c>
      <c r="C277" s="7" t="n">
        <v>100</v>
      </c>
    </row>
    <row r="278" hidden="1" ht="14.25" customHeight="1" s="5">
      <c r="A278" s="7" t="n">
        <v>35334</v>
      </c>
      <c r="B278" s="7" t="inlineStr">
        <is>
          <t>DILMAH MASALA 100 DC SF ENV TBGS</t>
        </is>
      </c>
      <c r="C278" s="7" t="n">
        <v>100</v>
      </c>
    </row>
    <row r="279" hidden="1" ht="14.25" customHeight="1" s="5">
      <c r="A279" s="7" t="n">
        <v>35331</v>
      </c>
      <c r="B279" s="7" t="inlineStr">
        <is>
          <t>DILMAH PEPPERMINT 100 DC SF ENV TBGS</t>
        </is>
      </c>
      <c r="C279" s="7" t="n">
        <v>100</v>
      </c>
    </row>
    <row r="280" hidden="1" ht="14.25" customHeight="1" s="5">
      <c r="A280" s="7" t="n">
        <v>1453</v>
      </c>
      <c r="B280" s="7" t="inlineStr">
        <is>
          <t>DIPLOMAT 100 ROUND TBGS</t>
        </is>
      </c>
      <c r="C280" s="7" t="n">
        <v>100</v>
      </c>
    </row>
    <row r="281" hidden="1" ht="14.25" customHeight="1" s="5">
      <c r="A281" s="7" t="n">
        <v>1467</v>
      </c>
      <c r="B281" s="7" t="inlineStr">
        <is>
          <t>DIPLOMAT EARL GREY 50 CONS TAG TBGS</t>
        </is>
      </c>
      <c r="C281" s="7" t="n">
        <v>50</v>
      </c>
    </row>
    <row r="282" hidden="1" ht="14.25" customHeight="1" s="5">
      <c r="A282" s="7" t="n">
        <v>1459</v>
      </c>
      <c r="B282" s="7" t="inlineStr">
        <is>
          <t>DIPLOMAT ENGLISH BREAKFAST 100 DC TAG TBGS</t>
        </is>
      </c>
      <c r="C282" s="7" t="n">
        <v>100</v>
      </c>
    </row>
    <row r="283" hidden="1" ht="14.25" customHeight="1" s="5">
      <c r="A283" s="7" t="n">
        <v>1468</v>
      </c>
      <c r="B283" s="7" t="inlineStr">
        <is>
          <t>DIPLOMAT ENGLISH BREAKFAST 50 CONS TAG TBGS</t>
        </is>
      </c>
      <c r="C283" s="7" t="n">
        <v>50</v>
      </c>
    </row>
    <row r="284" hidden="1" ht="14.25" customHeight="1" s="5">
      <c r="A284" s="7" t="n">
        <v>27945</v>
      </c>
      <c r="B284" s="7" t="inlineStr">
        <is>
          <t>ELANI 25 DC ENV TBGS</t>
        </is>
      </c>
      <c r="C284" s="7" t="n">
        <v>25</v>
      </c>
    </row>
    <row r="285" hidden="1" ht="14.25" customHeight="1" s="5">
      <c r="A285" s="7" t="n">
        <v>34203</v>
      </c>
      <c r="B285" s="7" t="inlineStr">
        <is>
          <t>ELANI GREEN TEA 25 DC ENV TBGS</t>
        </is>
      </c>
      <c r="C285" s="7" t="n">
        <v>25</v>
      </c>
    </row>
    <row r="286" hidden="1" ht="14.25" customHeight="1" s="5">
      <c r="A286" s="7" t="n">
        <v>34977</v>
      </c>
      <c r="B286" s="7" t="inlineStr">
        <is>
          <t>ELDORADO 100 DC TAG TBGS</t>
        </is>
      </c>
      <c r="C286" s="7" t="n">
        <v>100</v>
      </c>
    </row>
    <row r="287" hidden="1" ht="14.25" customHeight="1" s="5">
      <c r="A287" s="7" t="n">
        <v>1470</v>
      </c>
      <c r="B287" s="7" t="inlineStr">
        <is>
          <t>ELDORADO 100 SC TAG TBGS</t>
        </is>
      </c>
      <c r="C287" s="7" t="n">
        <v>100</v>
      </c>
    </row>
    <row r="288" hidden="1" ht="14.25" customHeight="1" s="5">
      <c r="A288" s="7" t="n">
        <v>34452</v>
      </c>
      <c r="B288" s="7" t="inlineStr">
        <is>
          <t>ELDORADO EARL GREY 100 DC TAG TBGS</t>
        </is>
      </c>
      <c r="C288" s="7" t="n">
        <v>100</v>
      </c>
    </row>
    <row r="289" hidden="1" ht="14.25" customHeight="1" s="5">
      <c r="A289" s="7" t="n">
        <v>1476</v>
      </c>
      <c r="B289" s="7" t="inlineStr">
        <is>
          <t>ELDORADO ENGLISH BREAKFAST 20 SC TAG TBGS</t>
        </is>
      </c>
      <c r="C289" s="7" t="n">
        <v>20</v>
      </c>
    </row>
    <row r="290" hidden="1" ht="14.25" customHeight="1" s="5">
      <c r="A290" s="7" t="n">
        <v>21902</v>
      </c>
      <c r="B290" s="7" t="inlineStr">
        <is>
          <t>EMPERIA GREEN TEA 25 DC SF HS ENV TBGS</t>
        </is>
      </c>
      <c r="C290" s="7" t="n">
        <v>25</v>
      </c>
    </row>
    <row r="291" hidden="1" ht="14.25" customHeight="1" s="5">
      <c r="A291" s="7" t="n">
        <v>21904</v>
      </c>
      <c r="B291" s="7" t="inlineStr">
        <is>
          <t>EMPERIA HONEY LEMON  GREEN TEA 25 DC SF HS ENV TBGS</t>
        </is>
      </c>
      <c r="C291" s="7" t="n">
        <v>25</v>
      </c>
    </row>
    <row r="292" hidden="1" ht="14.25" customHeight="1" s="5">
      <c r="A292" s="7" t="n">
        <v>27300</v>
      </c>
      <c r="B292" s="7" t="inlineStr">
        <is>
          <t>EMPERIA LOOSE ASSORTED GREEN FLAVOUR TEA 1/5 DC SF HS ENV TBGS</t>
        </is>
      </c>
      <c r="C292" s="7" t="n">
        <v>1</v>
      </c>
    </row>
    <row r="293" hidden="1" ht="14.25" customHeight="1" s="5">
      <c r="A293" s="7" t="n">
        <v>20269</v>
      </c>
      <c r="B293" s="7" t="inlineStr">
        <is>
          <t>EMPERIA LOOSE TBGS ASSAM PYRAMID</t>
        </is>
      </c>
      <c r="C293" s="7" t="n">
        <v>1</v>
      </c>
    </row>
    <row r="294" hidden="1" ht="14.25" customHeight="1" s="5">
      <c r="A294" s="7" t="n">
        <v>20270</v>
      </c>
      <c r="B294" s="7" t="inlineStr">
        <is>
          <t>EMPERIA LOOSE TBGS DARJEELING PYRAMID</t>
        </is>
      </c>
      <c r="C294" s="7" t="n">
        <v>1</v>
      </c>
    </row>
    <row r="295" hidden="1" ht="14.25" customHeight="1" s="5">
      <c r="A295" s="7" t="n">
        <v>20272</v>
      </c>
      <c r="B295" s="7" t="inlineStr">
        <is>
          <t>EMPERIA LOOSE TBGS EARL GREY PYRAMID</t>
        </is>
      </c>
      <c r="C295" s="7" t="n">
        <v>1</v>
      </c>
    </row>
    <row r="296" hidden="1" ht="14.25" customHeight="1" s="5">
      <c r="A296" s="7" t="n">
        <v>20273</v>
      </c>
      <c r="B296" s="7" t="inlineStr">
        <is>
          <t>EMPERIA LOOSE TBGS ENGLISH BREAK FAST PYRAMID</t>
        </is>
      </c>
      <c r="C296" s="7" t="n">
        <v>1</v>
      </c>
    </row>
    <row r="297" hidden="1" ht="14.25" customHeight="1" s="5">
      <c r="A297" s="7" t="n">
        <v>20274</v>
      </c>
      <c r="B297" s="7" t="inlineStr">
        <is>
          <t>EMPERIA LOOSE TBGS JASMINE GREEN PYRAMID</t>
        </is>
      </c>
      <c r="C297" s="7" t="n">
        <v>1</v>
      </c>
    </row>
    <row r="298" hidden="1" ht="14.25" customHeight="1" s="5">
      <c r="A298" s="7" t="n">
        <v>20275</v>
      </c>
      <c r="B298" s="7" t="inlineStr">
        <is>
          <t>EMPERIA LOOSE TBGS KASHMIRI KAWA GREEN TEA PYRAMID</t>
        </is>
      </c>
      <c r="C298" s="7" t="n">
        <v>1</v>
      </c>
    </row>
    <row r="299" hidden="1" ht="14.25" customHeight="1" s="5">
      <c r="A299" s="7" t="n">
        <v>20271</v>
      </c>
      <c r="B299" s="7" t="inlineStr">
        <is>
          <t>EMPERIA LOOSE TBGS MASALA PYRAMID</t>
        </is>
      </c>
      <c r="C299" s="7" t="n">
        <v>1</v>
      </c>
    </row>
    <row r="300" hidden="1" ht="14.25" customHeight="1" s="5">
      <c r="A300" s="7" t="n">
        <v>20276</v>
      </c>
      <c r="B300" s="7" t="inlineStr">
        <is>
          <t>EMPERIA LOOSE TBGS MINT ROSE PYRAMID</t>
        </is>
      </c>
      <c r="C300" s="7" t="n">
        <v>1</v>
      </c>
    </row>
    <row r="301" hidden="1" ht="14.25" customHeight="1" s="5">
      <c r="A301" s="7" t="n">
        <v>20277</v>
      </c>
      <c r="B301" s="7" t="inlineStr">
        <is>
          <t>EMPERIA LOOSE TBGS ORANGE SPICER PYRAMID</t>
        </is>
      </c>
      <c r="C301" s="7" t="n">
        <v>1</v>
      </c>
    </row>
    <row r="302" hidden="1" ht="14.25" customHeight="1" s="5">
      <c r="A302" s="7" t="n">
        <v>20278</v>
      </c>
      <c r="B302" s="7" t="inlineStr">
        <is>
          <t>EMPERIA LOOSE TBGS PASSION FRUIT PYRAMID</t>
        </is>
      </c>
      <c r="C302" s="7" t="n">
        <v>1</v>
      </c>
    </row>
    <row r="303" hidden="1" ht="14.25" customHeight="1" s="5">
      <c r="A303" s="7" t="n">
        <v>20279</v>
      </c>
      <c r="B303" s="7" t="inlineStr">
        <is>
          <t>EMPERIA LOOSE TBGS TROPICAL FRUIT PYRAMID</t>
        </is>
      </c>
      <c r="C303" s="7" t="n">
        <v>1</v>
      </c>
    </row>
    <row r="304" hidden="1" ht="14.25" customHeight="1" s="5">
      <c r="A304" s="7" t="n">
        <v>21903</v>
      </c>
      <c r="B304" s="7" t="inlineStr">
        <is>
          <t>EMPERIA TULSI GREEN TEA 25 DC SF HS ENV TBGS</t>
        </is>
      </c>
      <c r="C304" s="7" t="n">
        <v>25</v>
      </c>
    </row>
    <row r="305" hidden="1" ht="14.25" customHeight="1" s="5">
      <c r="A305" s="7" t="n">
        <v>22461</v>
      </c>
      <c r="B305" s="7" t="inlineStr">
        <is>
          <t>ESSNTL EVERYDAY 100 PENV TBGS</t>
        </is>
      </c>
      <c r="C305" s="7" t="n">
        <v>100</v>
      </c>
    </row>
    <row r="306" hidden="1" ht="14.25" customHeight="1" s="5">
      <c r="A306" s="7" t="n">
        <v>36318</v>
      </c>
      <c r="B306" s="7" t="inlineStr">
        <is>
          <t>ETERNAL GOLD NATURE PROTECT LEAF EGNP MASALA PKT 20 GM POUCH</t>
        </is>
      </c>
      <c r="C306" s="7" t="n">
        <v>1</v>
      </c>
    </row>
    <row r="307" hidden="1" ht="14.25" customHeight="1" s="5">
      <c r="A307" s="7" t="n">
        <v>36016</v>
      </c>
      <c r="B307" s="7" t="inlineStr">
        <is>
          <t>ETERNAL GOLD NATURE PROTECT LEAF EGNP MASALA PKT 250 GM CTN</t>
        </is>
      </c>
      <c r="C307" s="7" t="n">
        <v>1</v>
      </c>
    </row>
    <row r="308" hidden="1" ht="14.25" customHeight="1" s="5">
      <c r="A308" s="7" t="n">
        <v>36317</v>
      </c>
      <c r="B308" s="7" t="inlineStr">
        <is>
          <t>ETERNAL GOLD PREMIUM ELAICHI LEAF EGNP ELAICHI PKT 20 GM POUCH</t>
        </is>
      </c>
      <c r="C308" s="7" t="n">
        <v>1</v>
      </c>
    </row>
    <row r="309" hidden="1" ht="14.25" customHeight="1" s="5">
      <c r="A309" s="7" t="n">
        <v>35935</v>
      </c>
      <c r="B309" s="7" t="inlineStr">
        <is>
          <t>ETERNAL GOLD PREMIUM ELAICHI LEAF EGNP ELAICHI PKT 250 GM POUCH</t>
        </is>
      </c>
      <c r="C309" s="7" t="n">
        <v>1</v>
      </c>
    </row>
    <row r="310" hidden="1" ht="14.25" customHeight="1" s="5">
      <c r="A310" s="7" t="n">
        <v>36319</v>
      </c>
      <c r="B310" s="7" t="inlineStr">
        <is>
          <t>ETERNAL GOLD PREMIUM LEAF TEA 20 GM POUCH</t>
        </is>
      </c>
      <c r="C310" s="7" t="n">
        <v>1</v>
      </c>
    </row>
    <row r="311" hidden="1" ht="14.25" customHeight="1" s="5">
      <c r="A311" s="7" t="n">
        <v>36065</v>
      </c>
      <c r="B311" s="7" t="inlineStr">
        <is>
          <t>ETERNAL GOLD PREMIUM LEAF TEA 250 GM STANDEE POUCH</t>
        </is>
      </c>
      <c r="C311" s="7" t="n">
        <v>1</v>
      </c>
    </row>
    <row r="312" hidden="1" ht="14.25" customHeight="1" s="5">
      <c r="A312" s="7" t="n">
        <v>17868</v>
      </c>
      <c r="B312" s="7" t="inlineStr">
        <is>
          <t>FESTIVA 100 DC ENV TBGS</t>
        </is>
      </c>
      <c r="C312" s="7" t="n">
        <v>100</v>
      </c>
    </row>
    <row r="313" hidden="1" ht="14.25" customHeight="1" s="5">
      <c r="A313" s="7" t="n">
        <v>17870</v>
      </c>
      <c r="B313" s="7" t="inlineStr">
        <is>
          <t>FESTIVA 25 DC TAG TBGS</t>
        </is>
      </c>
      <c r="C313" s="7" t="n">
        <v>25</v>
      </c>
    </row>
    <row r="314" hidden="1" ht="14.25" customHeight="1" s="5">
      <c r="A314" s="7" t="n">
        <v>19733</v>
      </c>
      <c r="B314" s="7" t="inlineStr">
        <is>
          <t>FESTIVA GINGER 25 DC ENV TBGS</t>
        </is>
      </c>
      <c r="C314" s="7" t="n">
        <v>25</v>
      </c>
    </row>
    <row r="315" hidden="1" ht="14.25" customHeight="1" s="5">
      <c r="A315" s="7" t="n">
        <v>19743</v>
      </c>
      <c r="B315" s="7" t="inlineStr">
        <is>
          <t>FESTIVA MINT 25 DC ENV TBGS</t>
        </is>
      </c>
      <c r="C315" s="7" t="n">
        <v>25</v>
      </c>
    </row>
    <row r="316" hidden="1" ht="14.25" customHeight="1" s="5">
      <c r="A316" s="7" t="n">
        <v>19753</v>
      </c>
      <c r="B316" s="7" t="inlineStr">
        <is>
          <t>FESTIVA STRAWBERRY 25 DC ENV TBGS</t>
        </is>
      </c>
      <c r="C316" s="7" t="n">
        <v>25</v>
      </c>
    </row>
    <row r="317" hidden="1" ht="14.25" customHeight="1" s="5">
      <c r="A317" s="7" t="n">
        <v>3018</v>
      </c>
      <c r="B317" s="7" t="inlineStr">
        <is>
          <t>FINE LIFE ASSAM 1 KG PKT TEA</t>
        </is>
      </c>
      <c r="C317" s="7" t="n">
        <v>0</v>
      </c>
    </row>
    <row r="318" hidden="1" ht="14.25" customHeight="1" s="5">
      <c r="A318" s="7" t="n">
        <v>22581</v>
      </c>
      <c r="B318" s="7" t="inlineStr">
        <is>
          <t>FINE LIFE ASSAM 2 KG PKT TEA</t>
        </is>
      </c>
      <c r="C318" s="7" t="n">
        <v>1</v>
      </c>
    </row>
    <row r="319" hidden="1" ht="14.25" customHeight="1" s="5">
      <c r="A319" s="7" t="n">
        <v>17884</v>
      </c>
      <c r="B319" s="7" t="inlineStr">
        <is>
          <t>FINE LIFE ASSAM TEA 100 DC SF HS TAG TBGS</t>
        </is>
      </c>
      <c r="C319" s="7" t="n">
        <v>100</v>
      </c>
    </row>
    <row r="320" hidden="1" ht="14.25" customHeight="1" s="5">
      <c r="A320" s="7" t="n">
        <v>17886</v>
      </c>
      <c r="B320" s="7" t="inlineStr">
        <is>
          <t>FINE LIFE GREEN TEA 25 DC SF HS ENV TBGS</t>
        </is>
      </c>
      <c r="C320" s="7" t="n">
        <v>25</v>
      </c>
    </row>
    <row r="321" hidden="1" ht="14.25" customHeight="1" s="5">
      <c r="A321" s="7" t="n">
        <v>17888</v>
      </c>
      <c r="B321" s="7" t="inlineStr">
        <is>
          <t>FINE LIFE HONEY LEMON GREEN TEA 25 DC SF HS ENV TBGS</t>
        </is>
      </c>
      <c r="C321" s="7" t="n">
        <v>25</v>
      </c>
    </row>
    <row r="322" hidden="1" ht="14.25" customHeight="1" s="5">
      <c r="A322" s="7" t="n">
        <v>1566</v>
      </c>
      <c r="B322" s="7" t="inlineStr">
        <is>
          <t>FIRST PRICE EARL GREY 50 DC ENV TBGS FAIRTRADE</t>
        </is>
      </c>
      <c r="C322" s="7" t="n">
        <v>50</v>
      </c>
    </row>
    <row r="323" hidden="1" ht="14.25" customHeight="1" s="5">
      <c r="A323" s="7" t="n">
        <v>22462</v>
      </c>
      <c r="B323" s="7" t="inlineStr">
        <is>
          <t>FOOD CLUB 100 ENV TBGS</t>
        </is>
      </c>
      <c r="C323" s="7" t="n">
        <v>100</v>
      </c>
    </row>
    <row r="324" hidden="1" ht="14.25" customHeight="1" s="5">
      <c r="A324" s="7" t="n">
        <v>22465</v>
      </c>
      <c r="B324" s="7" t="inlineStr">
        <is>
          <t>FOOD LION 100 PTAG TBGS 775830</t>
        </is>
      </c>
      <c r="C324" s="7" t="n">
        <v>100</v>
      </c>
    </row>
    <row r="325" hidden="1" ht="14.25" customHeight="1" s="5">
      <c r="A325" s="7" t="n">
        <v>22861</v>
      </c>
      <c r="B325" s="7" t="inlineStr">
        <is>
          <t>FOOD LION 48 DCF PTAG TBGS 775460</t>
        </is>
      </c>
      <c r="C325" s="7" t="n">
        <v>48</v>
      </c>
    </row>
    <row r="326" hidden="1" ht="14.25" customHeight="1" s="5">
      <c r="A326" s="7" t="n">
        <v>21766</v>
      </c>
      <c r="B326" s="7" t="inlineStr">
        <is>
          <t>FOOD LION RFA 24 PFSTAG TBGS</t>
        </is>
      </c>
      <c r="C326" s="7" t="n">
        <v>24</v>
      </c>
    </row>
    <row r="327" hidden="1" ht="14.25" customHeight="1" s="5">
      <c r="A327" s="7" t="n">
        <v>511</v>
      </c>
      <c r="B327" s="7" t="inlineStr">
        <is>
          <t>FORCE 100 DC ENV TBGS 1.5 GMS</t>
        </is>
      </c>
      <c r="C327" s="7" t="n">
        <v>100</v>
      </c>
    </row>
    <row r="328" hidden="1" ht="14.25" customHeight="1" s="5">
      <c r="A328" s="7" t="n">
        <v>516</v>
      </c>
      <c r="B328" s="7" t="inlineStr">
        <is>
          <t>FORCE TEA 106 DC ENV TBGS</t>
        </is>
      </c>
      <c r="C328" s="7" t="n">
        <v>106</v>
      </c>
    </row>
    <row r="329" hidden="1" ht="14.25" customHeight="1" s="5">
      <c r="A329" s="7" t="n">
        <v>36310</v>
      </c>
      <c r="B329" s="7" t="inlineStr">
        <is>
          <t>FRESH &amp; HONEST ASSAM 100 DC SF HS ENV TBGS</t>
        </is>
      </c>
      <c r="C329" s="7" t="n">
        <v>100</v>
      </c>
    </row>
    <row r="330" hidden="1" ht="14.25" customHeight="1" s="5">
      <c r="A330" s="7" t="n">
        <v>36313</v>
      </c>
      <c r="B330" s="7" t="inlineStr">
        <is>
          <t>FRESH &amp; HONEST CARDAMOM 100 DC SF HS ENV TBGS</t>
        </is>
      </c>
      <c r="C330" s="7" t="n">
        <v>100</v>
      </c>
    </row>
    <row r="331" hidden="1" ht="14.25" customHeight="1" s="5">
      <c r="A331" s="7" t="n">
        <v>36685</v>
      </c>
      <c r="B331" s="7" t="inlineStr">
        <is>
          <t>FRESH &amp; HONEST DUST MWB2 200 GM POUCH</t>
        </is>
      </c>
      <c r="C331" s="7" t="n">
        <v>1</v>
      </c>
    </row>
    <row r="332" hidden="1" ht="14.25" customHeight="1" s="5">
      <c r="A332" s="7" t="n">
        <v>36315</v>
      </c>
      <c r="B332" s="7" t="inlineStr">
        <is>
          <t>FRESH &amp; HONEST GINGER 100 DC SF HS ENV TBGS</t>
        </is>
      </c>
      <c r="C332" s="7" t="n">
        <v>100</v>
      </c>
    </row>
    <row r="333" hidden="1" ht="14.25" customHeight="1" s="5">
      <c r="A333" s="7" t="n">
        <v>36309</v>
      </c>
      <c r="B333" s="7" t="inlineStr">
        <is>
          <t>FRESH &amp; HONEST GREEN 100 DC SF HS ENV TBGS</t>
        </is>
      </c>
      <c r="C333" s="7" t="n">
        <v>100</v>
      </c>
    </row>
    <row r="334" hidden="1" ht="14.25" customHeight="1" s="5">
      <c r="A334" s="7" t="n">
        <v>36311</v>
      </c>
      <c r="B334" s="7" t="inlineStr">
        <is>
          <t>FRESH &amp; HONEST LEMON 100 DC SF HS ENV TBGS</t>
        </is>
      </c>
      <c r="C334" s="7" t="n">
        <v>100</v>
      </c>
    </row>
    <row r="335" hidden="1" ht="14.25" customHeight="1" s="5">
      <c r="A335" s="7" t="n">
        <v>36312</v>
      </c>
      <c r="B335" s="7" t="inlineStr">
        <is>
          <t>FRESH &amp; HONEST MASALA 100 DC SF HS ENV TBGS</t>
        </is>
      </c>
      <c r="C335" s="7" t="n">
        <v>100</v>
      </c>
    </row>
    <row r="336" hidden="1" ht="14.25" customHeight="1" s="5">
      <c r="A336" s="7" t="n">
        <v>36572</v>
      </c>
      <c r="B336" s="7" t="inlineStr">
        <is>
          <t>FRESH &amp; HONEST PREMIUM DUST MWB2 1 KG POUCH</t>
        </is>
      </c>
      <c r="C336" s="7" t="n">
        <v>1</v>
      </c>
    </row>
    <row r="337" hidden="1" ht="14.25" customHeight="1" s="5">
      <c r="A337" s="7" t="n">
        <v>27285</v>
      </c>
      <c r="B337" s="7" t="inlineStr">
        <is>
          <t>FRESH AND HONEST ASSAM 100 DC SF TAG TBGS</t>
        </is>
      </c>
      <c r="C337" s="7" t="n">
        <v>100</v>
      </c>
    </row>
    <row r="338" hidden="1" ht="14.25" customHeight="1" s="5">
      <c r="A338" s="7" t="n">
        <v>36435</v>
      </c>
      <c r="B338" s="7" t="inlineStr">
        <is>
          <t>FRESH AND HONEST CARDAMOM 100 DC STAPLE FREE TAG TBGS</t>
        </is>
      </c>
      <c r="C338" s="7" t="n">
        <v>100</v>
      </c>
    </row>
    <row r="339" hidden="1" ht="14.25" customHeight="1" s="5">
      <c r="A339" s="7" t="n">
        <v>36436</v>
      </c>
      <c r="B339" s="7" t="inlineStr">
        <is>
          <t>FRESH AND HONEST GINGER 100 DC STAPLE FREE TAG TBGS</t>
        </is>
      </c>
      <c r="C339" s="7" t="n">
        <v>100</v>
      </c>
    </row>
    <row r="340" hidden="1" ht="14.25" customHeight="1" s="5">
      <c r="A340" s="7" t="n">
        <v>37035</v>
      </c>
      <c r="B340" s="7" t="inlineStr">
        <is>
          <t>FRESH AND HONEST MASALA 100 DC STAPLE FREE TAG TBGS-</t>
        </is>
      </c>
      <c r="C340" s="7" t="n">
        <v>100</v>
      </c>
    </row>
    <row r="341" hidden="1" ht="14.25" customHeight="1" s="5">
      <c r="A341" s="7" t="n">
        <v>35664</v>
      </c>
      <c r="B341" s="7" t="inlineStr">
        <is>
          <t>FRESH TEA LEAF TEA 250 GM POUCH</t>
        </is>
      </c>
      <c r="C341" s="7" t="n">
        <v>1</v>
      </c>
    </row>
    <row r="342" hidden="1" ht="14.25" customHeight="1" s="5">
      <c r="A342" s="7" t="n">
        <v>36109</v>
      </c>
      <c r="B342" s="7" t="inlineStr">
        <is>
          <t>FRESHTEA LEAF TEA 100 GM POUCH</t>
        </is>
      </c>
      <c r="C342" s="7" t="n">
        <v>1</v>
      </c>
    </row>
    <row r="343" hidden="1" ht="14.25" customHeight="1" s="5">
      <c r="A343" s="7" t="n">
        <v>36698</v>
      </c>
      <c r="B343" s="7" t="inlineStr">
        <is>
          <t>FRESHTEA LEAF TEA 20 GM POUCH</t>
        </is>
      </c>
      <c r="C343" s="7" t="n">
        <v>1</v>
      </c>
    </row>
    <row r="344" hidden="1" ht="14.25" customHeight="1" s="5">
      <c r="A344" s="7" t="n">
        <v>522</v>
      </c>
      <c r="B344" s="7" t="inlineStr">
        <is>
          <t>GALILA 103 DC ENV TBGS</t>
        </is>
      </c>
      <c r="C344" s="7" t="n">
        <v>103</v>
      </c>
    </row>
    <row r="345" hidden="1" ht="14.25" customHeight="1" s="5">
      <c r="A345" s="7" t="n">
        <v>35573</v>
      </c>
      <c r="B345" s="7" t="inlineStr">
        <is>
          <t>GARANT BLACK CURRANT 20 DC ENV TBGS-FT</t>
        </is>
      </c>
      <c r="C345" s="7" t="n">
        <v>20</v>
      </c>
    </row>
    <row r="346" hidden="1" ht="14.25" customHeight="1" s="5">
      <c r="A346" s="7" t="n">
        <v>1573</v>
      </c>
      <c r="B346" s="7" t="inlineStr">
        <is>
          <t>GARANT BLACK CURRANT 20 DC ENV TBGS-RFA</t>
        </is>
      </c>
      <c r="C346" s="7" t="n">
        <v>20</v>
      </c>
    </row>
    <row r="347" hidden="1" ht="14.25" customHeight="1" s="5">
      <c r="A347" s="7" t="n">
        <v>23040</v>
      </c>
      <c r="B347" s="7" t="inlineStr">
        <is>
          <t>GARANT BLACK TEA CINNAMON APPLE 20 DC SF ENV TBGS - RFA</t>
        </is>
      </c>
      <c r="C347" s="7" t="n">
        <v>20</v>
      </c>
    </row>
    <row r="348" hidden="1" ht="14.25" customHeight="1" s="5">
      <c r="A348" s="7" t="n">
        <v>35603</v>
      </c>
      <c r="B348" s="7" t="inlineStr">
        <is>
          <t>GARANT BLACK TEA CINNAMON APPLE 20 DC SF ENV TBGS-FT</t>
        </is>
      </c>
      <c r="C348" s="7" t="n">
        <v>20</v>
      </c>
    </row>
    <row r="349" hidden="1" ht="14.25" customHeight="1" s="5">
      <c r="A349" s="7" t="n">
        <v>23041</v>
      </c>
      <c r="B349" s="7" t="inlineStr">
        <is>
          <t>GARANT BLACK TEA MANGO STRAWBERRY 20 DC SF ENV TBGS - RFA</t>
        </is>
      </c>
      <c r="C349" s="7" t="n">
        <v>20</v>
      </c>
    </row>
    <row r="350" hidden="1" ht="14.25" customHeight="1" s="5">
      <c r="A350" s="7" t="n">
        <v>35604</v>
      </c>
      <c r="B350" s="7" t="inlineStr">
        <is>
          <t>GARANT BLACK TEA MANGO STRAWBERRY 20 DC SF ENV TBGS-FT</t>
        </is>
      </c>
      <c r="C350" s="7" t="n">
        <v>20</v>
      </c>
    </row>
    <row r="351" hidden="1" ht="14.25" customHeight="1" s="5">
      <c r="A351" s="7" t="n">
        <v>1579</v>
      </c>
      <c r="B351" s="7" t="inlineStr">
        <is>
          <t>GARANT CHAI MASALA 150 GMS POUCH-100% RFA</t>
        </is>
      </c>
      <c r="C351" s="7" t="n">
        <v>1</v>
      </c>
    </row>
    <row r="352" hidden="1" ht="14.25" customHeight="1" s="5">
      <c r="A352" s="7" t="n">
        <v>1595</v>
      </c>
      <c r="B352" s="7" t="inlineStr">
        <is>
          <t>GARANT CHAI MASALA 20 DC ENV TBGS - RFA</t>
        </is>
      </c>
      <c r="C352" s="7" t="n">
        <v>20</v>
      </c>
    </row>
    <row r="353" hidden="1" ht="14.25" customHeight="1" s="5">
      <c r="A353" s="7" t="n">
        <v>35611</v>
      </c>
      <c r="B353" s="7" t="inlineStr">
        <is>
          <t>GARANT CHAI MASALA 20 DC SF ENV TBGS-FT</t>
        </is>
      </c>
      <c r="C353" s="7" t="n">
        <v>20</v>
      </c>
    </row>
    <row r="354" hidden="1" ht="14.25" customHeight="1" s="5">
      <c r="A354" s="7" t="n">
        <v>1609</v>
      </c>
      <c r="B354" s="7" t="inlineStr">
        <is>
          <t>GARANT EARL GREY 100 DC TAG TBGS-RFA</t>
        </is>
      </c>
      <c r="C354" s="7" t="n">
        <v>100</v>
      </c>
    </row>
    <row r="355" hidden="1" ht="14.25" customHeight="1" s="5">
      <c r="A355" s="7" t="n">
        <v>1600</v>
      </c>
      <c r="B355" s="7" t="inlineStr">
        <is>
          <t>GARANT EARL GREY 150 GMS POUCH-100% RFA</t>
        </is>
      </c>
      <c r="C355" s="7" t="n">
        <v>1</v>
      </c>
    </row>
    <row r="356" hidden="1" ht="14.25" customHeight="1" s="5">
      <c r="A356" s="7" t="n">
        <v>36169</v>
      </c>
      <c r="B356" s="7" t="inlineStr">
        <is>
          <t>GARANT EARL GREY 20 DC ENV TBGS-FT</t>
        </is>
      </c>
      <c r="C356" s="7" t="n">
        <v>20</v>
      </c>
    </row>
    <row r="357" hidden="1" ht="14.25" customHeight="1" s="5">
      <c r="A357" s="7" t="n">
        <v>1604</v>
      </c>
      <c r="B357" s="7" t="inlineStr">
        <is>
          <t>GARANT EARL GREY 20 DC ENV TBGS-RFA</t>
        </is>
      </c>
      <c r="C357" s="7" t="n">
        <v>20</v>
      </c>
    </row>
    <row r="358" hidden="1" ht="14.25" customHeight="1" s="5">
      <c r="A358" s="7" t="n">
        <v>1614</v>
      </c>
      <c r="B358" s="7" t="inlineStr">
        <is>
          <t>GARANT ECOLOGICAL ASSAM 20 DC SF HS ENV TBGS</t>
        </is>
      </c>
      <c r="C358" s="7" t="n">
        <v>20</v>
      </c>
    </row>
    <row r="359" hidden="1" ht="14.25" customHeight="1" s="5">
      <c r="A359" s="7" t="n">
        <v>1622</v>
      </c>
      <c r="B359" s="7" t="inlineStr">
        <is>
          <t>GARANT ECOLOGICAL DARJEELING 20 DC SF HS ENV TBGS</t>
        </is>
      </c>
      <c r="C359" s="7" t="n">
        <v>20</v>
      </c>
    </row>
    <row r="360" hidden="1" ht="14.25" customHeight="1" s="5">
      <c r="A360" s="7" t="n">
        <v>37769</v>
      </c>
      <c r="B360" s="7" t="inlineStr">
        <is>
          <t>GARANT EKO ENGLISH BREAKFAST 20 DC SF ENV TBGS</t>
        </is>
      </c>
      <c r="C360" s="7" t="n">
        <v>20</v>
      </c>
    </row>
    <row r="361" hidden="1" ht="14.25" customHeight="1" s="5">
      <c r="A361" s="7" t="n">
        <v>1628</v>
      </c>
      <c r="B361" s="7" t="inlineStr">
        <is>
          <t>GARANT EKO ENGLISH BREAKFAST 50 SF DC TBGS</t>
        </is>
      </c>
      <c r="C361" s="7" t="n">
        <v>50</v>
      </c>
    </row>
    <row r="362" hidden="1" ht="14.25" customHeight="1" s="5">
      <c r="A362" s="7" t="n">
        <v>37770</v>
      </c>
      <c r="B362" s="7" t="inlineStr">
        <is>
          <t>GARANT EKO GRONT TE 20 DC SF ENV TBGS</t>
        </is>
      </c>
      <c r="C362" s="7" t="n">
        <v>20</v>
      </c>
    </row>
    <row r="363" hidden="1" ht="14.25" customHeight="1" s="5">
      <c r="A363" s="7" t="n">
        <v>36171</v>
      </c>
      <c r="B363" s="7" t="inlineStr">
        <is>
          <t>GARANT ENGLISH BREAKFAST 100 DC TAG TBGS-FT</t>
        </is>
      </c>
      <c r="C363" s="7" t="n">
        <v>100</v>
      </c>
    </row>
    <row r="364" hidden="1" ht="14.25" customHeight="1" s="5">
      <c r="A364" s="7" t="n">
        <v>1633</v>
      </c>
      <c r="B364" s="7" t="inlineStr">
        <is>
          <t>GARANT ENGLISH BREAKFAST 100 DC TAG TBGS-RFA</t>
        </is>
      </c>
      <c r="C364" s="7" t="n">
        <v>100</v>
      </c>
    </row>
    <row r="365" hidden="1" ht="14.25" customHeight="1" s="5">
      <c r="A365" s="7" t="n">
        <v>1638</v>
      </c>
      <c r="B365" s="7" t="inlineStr">
        <is>
          <t>GARANT GAMLA SODER 150 GMS POUCH-100% RFA</t>
        </is>
      </c>
      <c r="C365" s="7" t="n">
        <v>1</v>
      </c>
    </row>
    <row r="366" hidden="1" ht="14.25" customHeight="1" s="5">
      <c r="A366" s="7" t="n">
        <v>36170</v>
      </c>
      <c r="B366" s="7" t="inlineStr">
        <is>
          <t>GARANT GAMLA SODER 20 DC ENV TBGS-FT</t>
        </is>
      </c>
      <c r="C366" s="7" t="n">
        <v>20</v>
      </c>
    </row>
    <row r="367" hidden="1" ht="14.25" customHeight="1" s="5">
      <c r="A367" s="7" t="n">
        <v>1642</v>
      </c>
      <c r="B367" s="7" t="inlineStr">
        <is>
          <t>GARANT GAMLA SODER 20 DC ENV TBGS-RFA</t>
        </is>
      </c>
      <c r="C367" s="7" t="n">
        <v>20</v>
      </c>
    </row>
    <row r="368" hidden="1" ht="14.25" customHeight="1" s="5">
      <c r="A368" s="7" t="n">
        <v>1647</v>
      </c>
      <c r="B368" s="7" t="inlineStr">
        <is>
          <t>GARANT GREEN CITRUS 150 GMS POUCH-100% RFA</t>
        </is>
      </c>
      <c r="C368" s="7" t="n">
        <v>1</v>
      </c>
    </row>
    <row r="369" hidden="1" ht="14.25" customHeight="1" s="5">
      <c r="A369" s="7" t="n">
        <v>23042</v>
      </c>
      <c r="B369" s="7" t="inlineStr">
        <is>
          <t>GARANT GREEN TEA GINGER LEMON 20 DC SF ENV TBGS - RFA</t>
        </is>
      </c>
      <c r="C369" s="7" t="n">
        <v>20</v>
      </c>
    </row>
    <row r="370" hidden="1" ht="14.25" customHeight="1" s="5">
      <c r="A370" s="7" t="n">
        <v>35605</v>
      </c>
      <c r="B370" s="7" t="inlineStr">
        <is>
          <t>GARANT GREEN TEA GINGER LEMON 20 DC SF ENV TBGS-FT</t>
        </is>
      </c>
      <c r="C370" s="7" t="n">
        <v>20</v>
      </c>
    </row>
    <row r="371" hidden="1" ht="14.25" customHeight="1" s="5">
      <c r="A371" s="7" t="n">
        <v>1656</v>
      </c>
      <c r="B371" s="7" t="inlineStr">
        <is>
          <t>GARANT GRONT CITRUS 20 DC ENV TBGS-RFA</t>
        </is>
      </c>
      <c r="C371" s="7" t="n">
        <v>20</v>
      </c>
    </row>
    <row r="372" hidden="1" ht="14.25" customHeight="1" s="5">
      <c r="A372" s="7" t="n">
        <v>35607</v>
      </c>
      <c r="B372" s="7" t="inlineStr">
        <is>
          <t>GARANT GRONT CITRUS 20 DC SF ENV TBGS-FT</t>
        </is>
      </c>
      <c r="C372" s="7" t="n">
        <v>20</v>
      </c>
    </row>
    <row r="373" hidden="1" ht="14.25" customHeight="1" s="5">
      <c r="A373" s="7" t="n">
        <v>1665</v>
      </c>
      <c r="B373" s="7" t="inlineStr">
        <is>
          <t>GARANT GRONT TE VANILJ 20 DC ENV TBGS-RFA</t>
        </is>
      </c>
      <c r="C373" s="7" t="n">
        <v>20</v>
      </c>
    </row>
    <row r="374" hidden="1" ht="14.25" customHeight="1" s="5">
      <c r="A374" s="7" t="n">
        <v>35610</v>
      </c>
      <c r="B374" s="7" t="inlineStr">
        <is>
          <t>GARANT GRONT TE VANILJ 20 DC SF ENV TBGS-FT</t>
        </is>
      </c>
      <c r="C374" s="7" t="n">
        <v>20</v>
      </c>
    </row>
    <row r="375" hidden="1" ht="14.25" customHeight="1" s="5">
      <c r="A375" s="7" t="n">
        <v>1670</v>
      </c>
      <c r="B375" s="7" t="inlineStr">
        <is>
          <t>GARANT KAMOMILL TE 20 DC ENV TBGS</t>
        </is>
      </c>
      <c r="C375" s="7" t="n">
        <v>20</v>
      </c>
    </row>
    <row r="376" hidden="1" ht="14.25" customHeight="1" s="5">
      <c r="A376" s="7" t="n">
        <v>35617</v>
      </c>
      <c r="B376" s="7" t="inlineStr">
        <is>
          <t>GARANT KAMOMILL TE 20 DC ENV TBGS (V2)</t>
        </is>
      </c>
      <c r="C376" s="7" t="n">
        <v>20</v>
      </c>
    </row>
    <row r="377" hidden="1" ht="14.25" customHeight="1" s="5">
      <c r="A377" s="7" t="n">
        <v>1679</v>
      </c>
      <c r="B377" s="7" t="inlineStr">
        <is>
          <t>GARANT PEPPARMYNT TE 20 DC ENV TBGS</t>
        </is>
      </c>
      <c r="C377" s="7" t="n">
        <v>20</v>
      </c>
    </row>
    <row r="378" hidden="1" ht="14.25" customHeight="1" s="5">
      <c r="A378" s="7" t="n">
        <v>35618</v>
      </c>
      <c r="B378" s="7" t="inlineStr">
        <is>
          <t>GARANT PEPPARMYNT TE 20 DC ENV TBGS (v2)</t>
        </is>
      </c>
      <c r="C378" s="7" t="n">
        <v>20</v>
      </c>
    </row>
    <row r="379" hidden="1" ht="14.25" customHeight="1" s="5">
      <c r="A379" s="7" t="n">
        <v>35612</v>
      </c>
      <c r="B379" s="7" t="inlineStr">
        <is>
          <t>GARANT RABARBERGRADD 20 DC ENV TBGS-FT</t>
        </is>
      </c>
      <c r="C379" s="7" t="n">
        <v>20</v>
      </c>
    </row>
    <row r="380" hidden="1" ht="14.25" customHeight="1" s="5">
      <c r="A380" s="7" t="n">
        <v>1683</v>
      </c>
      <c r="B380" s="7" t="inlineStr">
        <is>
          <t>GARANT RABARBERGRADD 20 DC ENV TBGS-RFA</t>
        </is>
      </c>
      <c r="C380" s="7" t="n">
        <v>20</v>
      </c>
    </row>
    <row r="381" hidden="1" ht="14.25" customHeight="1" s="5">
      <c r="A381" s="7" t="n">
        <v>1693</v>
      </c>
      <c r="B381" s="7" t="inlineStr">
        <is>
          <t>GARANT RHUBARBER 150 GMS POUCH-100% RFA</t>
        </is>
      </c>
      <c r="C381" s="7" t="n">
        <v>1</v>
      </c>
    </row>
    <row r="382" hidden="1" ht="14.25" customHeight="1" s="5">
      <c r="A382" s="7" t="n">
        <v>35615</v>
      </c>
      <c r="B382" s="7" t="inlineStr">
        <is>
          <t>GARANT ROOIBOS LEMONGRASS CORNFLOWER 20 DC SF ENV TBGS-FT</t>
        </is>
      </c>
      <c r="C382" s="7" t="n">
        <v>20</v>
      </c>
    </row>
    <row r="383" hidden="1" ht="14.25" customHeight="1" s="5">
      <c r="A383" s="7" t="n">
        <v>35614</v>
      </c>
      <c r="B383" s="7" t="inlineStr">
        <is>
          <t>GARANT ROOIBOS RABARBER &amp; VANILJ 20 DC ENV TBGS- FT</t>
        </is>
      </c>
      <c r="C383" s="7" t="n">
        <v>20</v>
      </c>
    </row>
    <row r="384" hidden="1" ht="14.25" customHeight="1" s="5">
      <c r="A384" s="7" t="n">
        <v>1697</v>
      </c>
      <c r="B384" s="7" t="inlineStr">
        <is>
          <t>GARANT ROOIBOS TEA BLAKLINT 20 DC ENV TBGS-RFA</t>
        </is>
      </c>
      <c r="C384" s="7" t="n">
        <v>20</v>
      </c>
    </row>
    <row r="385" hidden="1" ht="14.25" customHeight="1" s="5">
      <c r="A385" s="7" t="n">
        <v>35613</v>
      </c>
      <c r="B385" s="7" t="inlineStr">
        <is>
          <t>GARANT ROOIBOS TEA BLAKLINT 20 DC SF ENV TBGS-FT</t>
        </is>
      </c>
      <c r="C385" s="7" t="n">
        <v>20</v>
      </c>
    </row>
    <row r="386" hidden="1" ht="14.25" customHeight="1" s="5">
      <c r="A386" s="7" t="n">
        <v>1702</v>
      </c>
      <c r="B386" s="7" t="inlineStr">
        <is>
          <t>GARANT SKOGSBAR 20 DC ENV TBGS-RFA</t>
        </is>
      </c>
      <c r="C386" s="7" t="n">
        <v>20</v>
      </c>
    </row>
    <row r="387" hidden="1" ht="14.25" customHeight="1" s="5">
      <c r="A387" s="7" t="n">
        <v>1707</v>
      </c>
      <c r="B387" s="7" t="inlineStr">
        <is>
          <t>GARANT STRAWBERRY 20 DC ENV TBGS-RFA</t>
        </is>
      </c>
      <c r="C387" s="7" t="n">
        <v>20</v>
      </c>
    </row>
    <row r="388" hidden="1" ht="14.25" customHeight="1" s="5">
      <c r="A388" s="7" t="n">
        <v>35645</v>
      </c>
      <c r="B388" s="7" t="inlineStr">
        <is>
          <t>GARANT SVART TE BLODAPELSIN 20 DC ENV TBGS- FT</t>
        </is>
      </c>
      <c r="C388" s="7" t="n">
        <v>20</v>
      </c>
    </row>
    <row r="389" hidden="1" ht="14.25" customHeight="1" s="5">
      <c r="A389" s="7" t="n">
        <v>35616</v>
      </c>
      <c r="B389" s="7" t="inlineStr">
        <is>
          <t>GARANT SVART TE HALLON &amp; LAKRITS 20 DC ENV TBGS- FT</t>
        </is>
      </c>
      <c r="C389" s="7" t="n">
        <v>20</v>
      </c>
    </row>
    <row r="390" hidden="1" ht="14.25" customHeight="1" s="5">
      <c r="A390" s="7" t="n">
        <v>1712</v>
      </c>
      <c r="B390" s="7" t="inlineStr">
        <is>
          <t>GARANT TE APLESIN 20 DC ENV TBGS-RFA</t>
        </is>
      </c>
      <c r="C390" s="7" t="n">
        <v>20</v>
      </c>
    </row>
    <row r="391" hidden="1" ht="14.25" customHeight="1" s="5">
      <c r="A391" s="7" t="n">
        <v>26741</v>
      </c>
      <c r="B391" s="7" t="inlineStr">
        <is>
          <t>GINNY  100 SC TAGLESS TBGS-1.5 GMS</t>
        </is>
      </c>
      <c r="C391" s="7" t="n">
        <v>100</v>
      </c>
    </row>
    <row r="392" hidden="1" ht="14.25" customHeight="1" s="5">
      <c r="A392" s="7" t="n">
        <v>1722</v>
      </c>
      <c r="B392" s="7" t="inlineStr">
        <is>
          <t>GINNY 100 DC ENV TBGS</t>
        </is>
      </c>
      <c r="C392" s="7" t="n">
        <v>100</v>
      </c>
    </row>
    <row r="393" hidden="1" ht="14.25" customHeight="1" s="5">
      <c r="A393" s="7" t="n">
        <v>528</v>
      </c>
      <c r="B393" s="7" t="inlineStr">
        <is>
          <t>GINNY 106 DC ENV TBGS</t>
        </is>
      </c>
      <c r="C393" s="7" t="n">
        <v>106</v>
      </c>
    </row>
    <row r="394" hidden="1" ht="14.25" customHeight="1" s="5">
      <c r="A394" s="7" t="n">
        <v>22553</v>
      </c>
      <c r="B394" s="7" t="inlineStr">
        <is>
          <t>GINNY 110 SC TAGLESS TBGS-1.5 GMS</t>
        </is>
      </c>
      <c r="C394" s="7" t="n">
        <v>110</v>
      </c>
    </row>
    <row r="395" hidden="1" ht="14.25" customHeight="1" s="5">
      <c r="A395" s="7" t="n">
        <v>27126</v>
      </c>
      <c r="B395" s="7" t="inlineStr">
        <is>
          <t>GINNY 50 DC ENV TBGS</t>
        </is>
      </c>
      <c r="C395" s="7" t="n">
        <v>50</v>
      </c>
    </row>
    <row r="396" hidden="1" ht="14.25" customHeight="1" s="5">
      <c r="A396" s="7" t="n">
        <v>28664</v>
      </c>
      <c r="B396" s="7" t="inlineStr">
        <is>
          <t>GINNY CLOVE 25 DC ENV TBGS</t>
        </is>
      </c>
      <c r="C396" s="7" t="n">
        <v>25</v>
      </c>
    </row>
    <row r="397" hidden="1" ht="14.25" customHeight="1" s="5">
      <c r="A397" s="7" t="n">
        <v>28057</v>
      </c>
      <c r="B397" s="7" t="inlineStr">
        <is>
          <t>GINNY CRANBERRY APPLE 25 DC ENV TBGS</t>
        </is>
      </c>
      <c r="C397" s="7" t="n">
        <v>25</v>
      </c>
    </row>
    <row r="398" hidden="1" ht="14.25" customHeight="1" s="5">
      <c r="A398" s="7" t="n">
        <v>27593</v>
      </c>
      <c r="B398" s="7" t="inlineStr">
        <is>
          <t>GINNY GINGER 25 DC ENV TBGS</t>
        </is>
      </c>
      <c r="C398" s="7" t="n">
        <v>25</v>
      </c>
    </row>
    <row r="399" hidden="1" ht="14.25" customHeight="1" s="5">
      <c r="A399" s="7" t="n">
        <v>1747</v>
      </c>
      <c r="B399" s="7" t="inlineStr">
        <is>
          <t>GINNY GOLD 102 DC ENV TBGS</t>
        </is>
      </c>
      <c r="C399" s="7" t="n">
        <v>102</v>
      </c>
    </row>
    <row r="400" hidden="1" ht="14.25" customHeight="1" s="5">
      <c r="A400" s="7" t="n">
        <v>21517</v>
      </c>
      <c r="B400" s="7" t="inlineStr">
        <is>
          <t>GINNY GOLD(S) 100 DC ENV TBGS</t>
        </is>
      </c>
      <c r="C400" s="7" t="n">
        <v>100</v>
      </c>
    </row>
    <row r="401" hidden="1" ht="14.25" customHeight="1" s="5">
      <c r="A401" s="7" t="n">
        <v>27596</v>
      </c>
      <c r="B401" s="7" t="inlineStr">
        <is>
          <t>GINNY LEMON 25 DC ENV TBGS</t>
        </is>
      </c>
      <c r="C401" s="7" t="n">
        <v>25</v>
      </c>
    </row>
    <row r="402" hidden="1" ht="14.25" customHeight="1" s="5">
      <c r="A402" s="7" t="n">
        <v>27594</v>
      </c>
      <c r="B402" s="7" t="inlineStr">
        <is>
          <t>GINNY MINT 25 DC ENV TBGS</t>
        </is>
      </c>
      <c r="C402" s="7" t="n">
        <v>25</v>
      </c>
    </row>
    <row r="403" hidden="1" ht="14.25" customHeight="1" s="5">
      <c r="A403" s="7" t="n">
        <v>27595</v>
      </c>
      <c r="B403" s="7" t="inlineStr">
        <is>
          <t>GINNY STRAWBERRY 25 DC ENV TBGS</t>
        </is>
      </c>
      <c r="C403" s="7" t="n">
        <v>25</v>
      </c>
    </row>
    <row r="404" hidden="1" ht="14.25" customHeight="1" s="5">
      <c r="A404" s="7" t="n">
        <v>31546</v>
      </c>
      <c r="B404" s="7" t="inlineStr">
        <is>
          <t>GLOBETECH CARDAMOM LEAF BLACK TEA ELAICHI PKT 250 GM POUCH</t>
        </is>
      </c>
      <c r="C404" s="7" t="n">
        <v>1</v>
      </c>
    </row>
    <row r="405" hidden="1" ht="14.25" customHeight="1" s="5">
      <c r="A405" s="7" t="n">
        <v>31548</v>
      </c>
      <c r="B405" s="7" t="inlineStr">
        <is>
          <t>GLOBETECH CARDAMOM LEAF BLACK TEA ELAICHI PKT 500 GM POUCH</t>
        </is>
      </c>
      <c r="C405" s="7" t="n">
        <v>1</v>
      </c>
    </row>
    <row r="406" hidden="1" ht="14.25" customHeight="1" s="5">
      <c r="A406" s="7" t="n">
        <v>31540</v>
      </c>
      <c r="B406" s="7" t="inlineStr">
        <is>
          <t>GLOBETECH MASALA LEAF BLACK TEA MASALA GLOBETECH PKT 250 GM POUCH</t>
        </is>
      </c>
      <c r="C406" s="7" t="n">
        <v>1</v>
      </c>
    </row>
    <row r="407" hidden="1" ht="14.25" customHeight="1" s="5">
      <c r="A407" s="7" t="n">
        <v>31547</v>
      </c>
      <c r="B407" s="7" t="inlineStr">
        <is>
          <t>GLOBETECH MASALA LEAF BLACK TEA MASALA GLOBETECH PKT 500 GM POUCH</t>
        </is>
      </c>
      <c r="C407" s="7" t="n">
        <v>1</v>
      </c>
    </row>
    <row r="408" hidden="1" ht="14.25" customHeight="1" s="5">
      <c r="A408" s="7" t="n">
        <v>534</v>
      </c>
      <c r="B408" s="7" t="inlineStr">
        <is>
          <t>GOLD BOND 100 DC ENV TBGS</t>
        </is>
      </c>
      <c r="C408" s="7" t="n">
        <v>100</v>
      </c>
    </row>
    <row r="409" hidden="1" ht="14.25" customHeight="1" s="5">
      <c r="A409" s="7" t="n">
        <v>19763</v>
      </c>
      <c r="B409" s="7" t="inlineStr">
        <is>
          <t>GOLD BOND 100 SC POT TBGS</t>
        </is>
      </c>
      <c r="C409" s="7" t="n">
        <v>100</v>
      </c>
    </row>
    <row r="410" hidden="1" ht="14.25" customHeight="1" s="5">
      <c r="A410" s="7" t="n">
        <v>20382</v>
      </c>
      <c r="B410" s="7" t="inlineStr">
        <is>
          <t>GOLD BOND 100 SC TBGS TAGLESS</t>
        </is>
      </c>
      <c r="C410" s="7" t="n">
        <v>100</v>
      </c>
    </row>
    <row r="411" hidden="1" ht="14.25" customHeight="1" s="5">
      <c r="A411" s="7" t="n">
        <v>22283</v>
      </c>
      <c r="B411" s="7" t="inlineStr">
        <is>
          <t>GOLD BOND 100 SC TBGS TAGLESS 1.5GMS</t>
        </is>
      </c>
      <c r="C411" s="7" t="n">
        <v>100</v>
      </c>
    </row>
    <row r="412" hidden="1" ht="14.25" customHeight="1" s="5">
      <c r="A412" s="7" t="n">
        <v>543</v>
      </c>
      <c r="B412" s="7" t="inlineStr">
        <is>
          <t>GOLD BOND 25 DC ENV TBGS</t>
        </is>
      </c>
      <c r="C412" s="7" t="n">
        <v>25</v>
      </c>
    </row>
    <row r="413" hidden="1" ht="14.25" customHeight="1" s="5">
      <c r="A413" s="7" t="n">
        <v>32994</v>
      </c>
      <c r="B413" s="7" t="inlineStr">
        <is>
          <t>GOLD BOND 25 DC SF TAG TBGS</t>
        </is>
      </c>
      <c r="C413" s="7" t="n">
        <v>25</v>
      </c>
    </row>
    <row r="414" hidden="1" ht="14.25" customHeight="1" s="5">
      <c r="A414" s="7" t="n">
        <v>20728</v>
      </c>
      <c r="B414" s="7" t="inlineStr">
        <is>
          <t>GOLD BOND 50 DC ENV TBGS</t>
        </is>
      </c>
      <c r="C414" s="7" t="n">
        <v>50</v>
      </c>
    </row>
    <row r="415" hidden="1" ht="14.25" customHeight="1" s="5">
      <c r="A415" s="7" t="n">
        <v>32995</v>
      </c>
      <c r="B415" s="7" t="inlineStr">
        <is>
          <t>GOLD BOND 50 DC SF TAG TBGS</t>
        </is>
      </c>
      <c r="C415" s="7" t="n">
        <v>50</v>
      </c>
    </row>
    <row r="416" hidden="1" ht="14.25" customHeight="1" s="5">
      <c r="A416" s="7" t="n">
        <v>33102</v>
      </c>
      <c r="B416" s="7" t="inlineStr">
        <is>
          <t>GOLD BOND ASSAM 100 DC TAG TBGS</t>
        </is>
      </c>
      <c r="C416" s="7" t="n">
        <v>100</v>
      </c>
    </row>
    <row r="417" hidden="1" ht="14.25" customHeight="1" s="5">
      <c r="A417" s="7" t="n">
        <v>27681</v>
      </c>
      <c r="B417" s="7" t="inlineStr">
        <is>
          <t>GOLD BOND CLOVE 25 DC ENV TBGS</t>
        </is>
      </c>
      <c r="C417" s="7" t="n">
        <v>25</v>
      </c>
    </row>
    <row r="418" hidden="1" ht="14.25" customHeight="1" s="5">
      <c r="A418" s="7" t="n">
        <v>20030</v>
      </c>
      <c r="B418" s="7" t="inlineStr">
        <is>
          <t>GOLD BOND DUST 250 GMS POUCH</t>
        </is>
      </c>
      <c r="C418" s="7" t="n">
        <v>1</v>
      </c>
    </row>
    <row r="419" hidden="1" ht="14.25" customHeight="1" s="5">
      <c r="A419" s="7" t="n">
        <v>31964</v>
      </c>
      <c r="B419" s="7" t="inlineStr">
        <is>
          <t>GOLD BOND TAMARIND 25 DC ENV TBGS</t>
        </is>
      </c>
      <c r="C419" s="7" t="n">
        <v>25</v>
      </c>
    </row>
    <row r="420" ht="14.25" customHeight="1" s="5">
      <c r="A420" s="7" t="n">
        <v>37529</v>
      </c>
      <c r="B420" s="7" t="inlineStr">
        <is>
          <t>GREAT VALUE 20 VARIETY HERBAL TEA COLLECTIONS DC SF HS ENV TBGS</t>
        </is>
      </c>
      <c r="C420" s="7" t="n">
        <v>20</v>
      </c>
    </row>
    <row r="421" ht="14.25" customHeight="1" s="5">
      <c r="A421" s="7" t="n">
        <v>37532</v>
      </c>
      <c r="B421" s="7" t="inlineStr">
        <is>
          <t>GREAT VALUE LOOSE ENV CHAMOMILE DC SF HS ENV TBGS</t>
        </is>
      </c>
      <c r="C421" s="7" t="n">
        <v>1</v>
      </c>
    </row>
    <row r="422" ht="14.25" customHeight="1" s="5">
      <c r="A422" s="7" t="n">
        <v>37533</v>
      </c>
      <c r="B422" s="7" t="inlineStr">
        <is>
          <t>GREAT VALUE LOOSE ENV HIBISCUS DC SF HS ENV TBGS</t>
        </is>
      </c>
      <c r="C422" s="7" t="n">
        <v>1</v>
      </c>
    </row>
    <row r="423" ht="14.25" customHeight="1" s="5">
      <c r="A423" s="7" t="n">
        <v>37534</v>
      </c>
      <c r="B423" s="7" t="inlineStr">
        <is>
          <t>GREAT VALUE LOOSE ENV LEMON GINGER DC SF HS ENV TBGS</t>
        </is>
      </c>
      <c r="C423" s="7" t="n">
        <v>1</v>
      </c>
    </row>
    <row r="424" ht="14.25" customHeight="1" s="5">
      <c r="A424" s="7" t="n">
        <v>37535</v>
      </c>
      <c r="B424" s="7" t="inlineStr">
        <is>
          <t>GREAT VALUE LOOSE ENV PEPPERMINT DC SF HS ENV TBGS</t>
        </is>
      </c>
      <c r="C424" s="7" t="n">
        <v>1</v>
      </c>
    </row>
    <row r="425" hidden="1" ht="14.25" customHeight="1" s="5">
      <c r="A425" s="7" t="n">
        <v>547</v>
      </c>
      <c r="B425" s="7" t="inlineStr">
        <is>
          <t>GUEMILA 100 DC ENV TBGS WITH SHOPPING BAG</t>
        </is>
      </c>
      <c r="C425" s="7" t="n">
        <v>100</v>
      </c>
    </row>
    <row r="426" hidden="1" ht="14.25" customHeight="1" s="5">
      <c r="A426" s="7" t="n">
        <v>20742</v>
      </c>
      <c r="B426" s="7" t="inlineStr">
        <is>
          <t>GUEMILA 50 DC ENV TBGS</t>
        </is>
      </c>
      <c r="C426" s="7" t="n">
        <v>50</v>
      </c>
    </row>
    <row r="427" hidden="1" ht="14.25" customHeight="1" s="5">
      <c r="A427" s="7" t="n">
        <v>23409</v>
      </c>
      <c r="B427" s="7" t="inlineStr">
        <is>
          <t>GUEMILA GINGER 25 DC ENV TBGS</t>
        </is>
      </c>
      <c r="C427" s="7" t="n">
        <v>25</v>
      </c>
    </row>
    <row r="428" hidden="1" ht="14.25" customHeight="1" s="5">
      <c r="A428" s="7" t="n">
        <v>23410</v>
      </c>
      <c r="B428" s="7" t="inlineStr">
        <is>
          <t>GUEMILA MINT 25 DC ENV TBGS</t>
        </is>
      </c>
      <c r="C428" s="7" t="n">
        <v>25</v>
      </c>
    </row>
    <row r="429" hidden="1" ht="14.25" customHeight="1" s="5">
      <c r="A429" s="7" t="n">
        <v>23411</v>
      </c>
      <c r="B429" s="7" t="inlineStr">
        <is>
          <t>GUEMILA ORANGE 25 DC ENV TBGS</t>
        </is>
      </c>
      <c r="C429" s="7" t="n">
        <v>25</v>
      </c>
    </row>
    <row r="430" hidden="1" ht="14.25" customHeight="1" s="5">
      <c r="A430" s="7" t="n">
        <v>23412</v>
      </c>
      <c r="B430" s="7" t="inlineStr">
        <is>
          <t>GUEMILA STRAWBERRY 25 DC ENV TBGS</t>
        </is>
      </c>
      <c r="C430" s="7" t="n">
        <v>25</v>
      </c>
    </row>
    <row r="431" hidden="1" ht="14.25" customHeight="1" s="5">
      <c r="A431" s="7" t="n">
        <v>23413</v>
      </c>
      <c r="B431" s="7" t="inlineStr">
        <is>
          <t>GUEMILA TAMARIND 25 DC ENV TBGS</t>
        </is>
      </c>
      <c r="C431" s="7" t="n">
        <v>25</v>
      </c>
    </row>
    <row r="432" hidden="1" ht="14.25" customHeight="1" s="5">
      <c r="A432" s="7" t="n">
        <v>19024</v>
      </c>
      <c r="B432" s="7" t="inlineStr">
        <is>
          <t>GV 100 DC TAG TBGS (AR)</t>
        </is>
      </c>
      <c r="C432" s="7" t="n">
        <v>100</v>
      </c>
    </row>
    <row r="433" hidden="1" ht="14.25" customHeight="1" s="5">
      <c r="A433" s="7" t="n">
        <v>35854</v>
      </c>
      <c r="B433" s="7" t="inlineStr">
        <is>
          <t>GV 100 DC TAG TBGS (MOLDOVA)</t>
        </is>
      </c>
      <c r="C433" s="7" t="n">
        <v>100</v>
      </c>
    </row>
    <row r="434" hidden="1" ht="14.25" customHeight="1" s="5">
      <c r="A434" s="7" t="n">
        <v>19815</v>
      </c>
      <c r="B434" s="7" t="inlineStr">
        <is>
          <t>GV 25 DC TAG TBGS (AR)</t>
        </is>
      </c>
      <c r="C434" s="7" t="n">
        <v>25</v>
      </c>
    </row>
    <row r="435" hidden="1" ht="14.25" customHeight="1" s="5">
      <c r="A435" s="7" t="n">
        <v>18947</v>
      </c>
      <c r="B435" s="7" t="inlineStr">
        <is>
          <t>GV 25 DC TAG TBGS (INNER PCH)</t>
        </is>
      </c>
      <c r="C435" s="7" t="n">
        <v>25</v>
      </c>
    </row>
    <row r="436" hidden="1" ht="14.25" customHeight="1" s="5">
      <c r="A436" s="7" t="n">
        <v>35850</v>
      </c>
      <c r="B436" s="7" t="inlineStr">
        <is>
          <t>GV 25 DC TAG TBGS (MOLDOVA)</t>
        </is>
      </c>
      <c r="C436" s="7" t="n">
        <v>25</v>
      </c>
    </row>
    <row r="437" hidden="1" ht="14.25" customHeight="1" s="5">
      <c r="A437" s="7" t="n">
        <v>19811</v>
      </c>
      <c r="B437" s="7" t="inlineStr">
        <is>
          <t>GV 50 DC TAG TBGS (AR)</t>
        </is>
      </c>
      <c r="C437" s="7" t="n">
        <v>50</v>
      </c>
    </row>
    <row r="438" hidden="1" ht="14.25" customHeight="1" s="5">
      <c r="A438" s="7" t="n">
        <v>1831</v>
      </c>
      <c r="B438" s="7" t="inlineStr">
        <is>
          <t>GV BERRY DELIGHT 25 DC SF HS ENV TBGS</t>
        </is>
      </c>
      <c r="C438" s="7" t="n">
        <v>25</v>
      </c>
    </row>
    <row r="439" hidden="1" ht="14.25" customHeight="1" s="5">
      <c r="A439" s="7" t="n">
        <v>35319</v>
      </c>
      <c r="B439" s="7" t="inlineStr">
        <is>
          <t>GV BERRY DELIGHT 25 DC SF HS ENV TBGS (AF)</t>
        </is>
      </c>
      <c r="C439" s="7" t="n">
        <v>25</v>
      </c>
    </row>
    <row r="440" hidden="1" ht="14.25" customHeight="1" s="5">
      <c r="A440" s="7" t="n">
        <v>33835</v>
      </c>
      <c r="B440" s="7" t="inlineStr">
        <is>
          <t>GV BERRY DELIGHT 25 DC SF HS ENV TBGS (F-ENV)</t>
        </is>
      </c>
      <c r="C440" s="7" t="n">
        <v>25</v>
      </c>
    </row>
    <row r="441" hidden="1" ht="14.25" customHeight="1" s="5">
      <c r="A441" s="7" t="n">
        <v>35801</v>
      </c>
      <c r="B441" s="7" t="inlineStr">
        <is>
          <t>GV BERRY DELIGHT 25 DC SF HS ENV TBGS (MOLDOVA)</t>
        </is>
      </c>
      <c r="C441" s="7" t="n">
        <v>25</v>
      </c>
    </row>
    <row r="442" hidden="1" ht="14.25" customHeight="1" s="5">
      <c r="A442" s="7" t="n">
        <v>19866</v>
      </c>
      <c r="B442" s="7" t="inlineStr">
        <is>
          <t>GV BLOOD PRESSURE 25 DC ENV TBGS (AR)</t>
        </is>
      </c>
      <c r="C442" s="7" t="n">
        <v>25</v>
      </c>
    </row>
    <row r="443" hidden="1" ht="14.25" customHeight="1" s="5">
      <c r="A443" s="7" t="n">
        <v>20565</v>
      </c>
      <c r="B443" s="7" t="inlineStr">
        <is>
          <t>GV CARDAMOM 200 GMS POUCH</t>
        </is>
      </c>
      <c r="C443" s="7" t="n">
        <v>1</v>
      </c>
    </row>
    <row r="444" hidden="1" ht="14.25" customHeight="1" s="5">
      <c r="A444" s="7" t="n">
        <v>20561</v>
      </c>
      <c r="B444" s="7" t="inlineStr">
        <is>
          <t>GV CARDAMOM 400 GMS PKT TEA</t>
        </is>
      </c>
      <c r="C444" s="7" t="n">
        <v>1</v>
      </c>
    </row>
    <row r="445" hidden="1" ht="14.25" customHeight="1" s="5">
      <c r="A445" s="7" t="n">
        <v>19837</v>
      </c>
      <c r="B445" s="7" t="inlineStr">
        <is>
          <t>GV CHAMOMILE 25 DC ENV TBGS</t>
        </is>
      </c>
      <c r="C445" s="7" t="n">
        <v>25</v>
      </c>
    </row>
    <row r="446" hidden="1" ht="14.25" customHeight="1" s="5">
      <c r="A446" s="7" t="n">
        <v>22503</v>
      </c>
      <c r="B446" s="7" t="inlineStr">
        <is>
          <t>GV CINNAMON 24/25 DC ENV TBGS</t>
        </is>
      </c>
      <c r="C446" s="7" t="n">
        <v>1</v>
      </c>
    </row>
    <row r="447" hidden="1" ht="14.25" customHeight="1" s="5">
      <c r="A447" s="7" t="n">
        <v>21853</v>
      </c>
      <c r="B447" s="7" t="inlineStr">
        <is>
          <t>GV CINNAMON 25 DC ENV TBGS</t>
        </is>
      </c>
      <c r="C447" s="7" t="n">
        <v>25</v>
      </c>
    </row>
    <row r="448" hidden="1" ht="14.25" customHeight="1" s="5">
      <c r="A448" s="7" t="n">
        <v>32077</v>
      </c>
      <c r="B448" s="7" t="inlineStr">
        <is>
          <t>GV CLASSIC EARL GREY 25 DC TAG TBGS</t>
        </is>
      </c>
      <c r="C448" s="7" t="n">
        <v>25</v>
      </c>
    </row>
    <row r="449" hidden="1" ht="14.25" customHeight="1" s="5">
      <c r="A449" s="7" t="n">
        <v>21586</v>
      </c>
      <c r="B449" s="7" t="inlineStr">
        <is>
          <t>GV CLOVE 24/25 DC ENV TBGS</t>
        </is>
      </c>
      <c r="C449" s="7" t="n">
        <v>1</v>
      </c>
    </row>
    <row r="450" hidden="1" ht="14.25" customHeight="1" s="5">
      <c r="A450" s="7" t="n">
        <v>21592</v>
      </c>
      <c r="B450" s="7" t="inlineStr">
        <is>
          <t>GV CLOVE 25 DC ENV TBGS</t>
        </is>
      </c>
      <c r="C450" s="7" t="n">
        <v>25</v>
      </c>
    </row>
    <row r="451" hidden="1" ht="14.25" customHeight="1" s="5">
      <c r="A451" s="7" t="n">
        <v>36627</v>
      </c>
      <c r="B451" s="7" t="inlineStr">
        <is>
          <t>GV CLOVE 25 DC SF ENV TBGS</t>
        </is>
      </c>
      <c r="C451" s="7" t="n">
        <v>25</v>
      </c>
    </row>
    <row r="452" hidden="1" ht="14.25" customHeight="1" s="5">
      <c r="A452" s="7" t="n">
        <v>37004</v>
      </c>
      <c r="B452" s="7" t="inlineStr">
        <is>
          <t>GV CLOVE 25 DC SF ENV TBGS (VINDEMIA)</t>
        </is>
      </c>
      <c r="C452" s="7" t="n">
        <v>25</v>
      </c>
    </row>
    <row r="453" hidden="1" ht="14.25" customHeight="1" s="5">
      <c r="A453" s="7" t="n">
        <v>1845</v>
      </c>
      <c r="B453" s="7" t="inlineStr">
        <is>
          <t>GV COCKTAIL 25 DC ENV TBGS</t>
        </is>
      </c>
      <c r="C453" s="7" t="n">
        <v>25</v>
      </c>
    </row>
    <row r="454" hidden="1" ht="14.25" customHeight="1" s="5">
      <c r="A454" s="7" t="n">
        <v>1866</v>
      </c>
      <c r="B454" s="7" t="inlineStr">
        <is>
          <t>GV CRANBERRY APPLE 25 DC ENV TBGS</t>
        </is>
      </c>
      <c r="C454" s="7" t="n">
        <v>25</v>
      </c>
    </row>
    <row r="455" hidden="1" ht="14.25" customHeight="1" s="5">
      <c r="A455" s="7" t="n">
        <v>20023</v>
      </c>
      <c r="B455" s="7" t="inlineStr">
        <is>
          <t>GV CRANBERRY APPLE 25 DC ENV TBGS - 2GM</t>
        </is>
      </c>
      <c r="C455" s="7" t="n">
        <v>25</v>
      </c>
    </row>
    <row r="456" hidden="1" ht="14.25" customHeight="1" s="5">
      <c r="A456" s="7" t="n">
        <v>21932</v>
      </c>
      <c r="B456" s="7" t="inlineStr">
        <is>
          <t>GV CRANBERRY APPLE LOOSE DC ENV TBGS</t>
        </is>
      </c>
      <c r="C456" s="7" t="n">
        <v>1</v>
      </c>
    </row>
    <row r="457" hidden="1" ht="14.25" customHeight="1" s="5">
      <c r="A457" s="7" t="n">
        <v>21929</v>
      </c>
      <c r="B457" s="7" t="inlineStr">
        <is>
          <t>GV CRANBERRY APPLE STRIP 3TBGS X 10 SACHET</t>
        </is>
      </c>
      <c r="C457" s="7" t="n">
        <v>30</v>
      </c>
    </row>
    <row r="458" hidden="1" ht="14.25" customHeight="1" s="5">
      <c r="A458" s="7" t="n">
        <v>33597</v>
      </c>
      <c r="B458" s="7" t="inlineStr">
        <is>
          <t>GV CRANBERRY MINT HERBAL 25 DC ENV TBGS</t>
        </is>
      </c>
      <c r="C458" s="7" t="n">
        <v>25</v>
      </c>
    </row>
    <row r="459" hidden="1" ht="14.25" customHeight="1" s="5">
      <c r="A459" s="7" t="n">
        <v>1878</v>
      </c>
      <c r="B459" s="7" t="inlineStr">
        <is>
          <t>GV DIABETIC 24/25 SC ENV TBGS</t>
        </is>
      </c>
      <c r="C459" s="7" t="n">
        <v>0</v>
      </c>
    </row>
    <row r="460" hidden="1" ht="14.25" customHeight="1" s="5">
      <c r="A460" s="7" t="n">
        <v>1874</v>
      </c>
      <c r="B460" s="7" t="inlineStr">
        <is>
          <t>GV DIABETIC 25 DC ENV TBGS</t>
        </is>
      </c>
      <c r="C460" s="7" t="n">
        <v>25</v>
      </c>
    </row>
    <row r="461" hidden="1" ht="14.25" customHeight="1" s="5">
      <c r="A461" s="7" t="n">
        <v>1888</v>
      </c>
      <c r="B461" s="7" t="inlineStr">
        <is>
          <t>GV DIGESTIVE 24/25 SC ENV TBGS</t>
        </is>
      </c>
      <c r="C461" s="7" t="n">
        <v>0</v>
      </c>
    </row>
    <row r="462" hidden="1" ht="14.25" customHeight="1" s="5">
      <c r="A462" s="7" t="n">
        <v>1884</v>
      </c>
      <c r="B462" s="7" t="inlineStr">
        <is>
          <t>GV DIGESTIVE 25 DC ENV TBGS</t>
        </is>
      </c>
      <c r="C462" s="7" t="n">
        <v>25</v>
      </c>
    </row>
    <row r="463" hidden="1" ht="14.25" customHeight="1" s="5">
      <c r="A463" s="7" t="n">
        <v>20564</v>
      </c>
      <c r="B463" s="7" t="inlineStr">
        <is>
          <t>GV EARL GREY 200 GMS POUCH</t>
        </is>
      </c>
      <c r="C463" s="7" t="n">
        <v>1</v>
      </c>
    </row>
    <row r="464" hidden="1" ht="14.25" customHeight="1" s="5">
      <c r="A464" s="7" t="n">
        <v>20560</v>
      </c>
      <c r="B464" s="7" t="inlineStr">
        <is>
          <t>GV EARL GREY 400 GMS PKT TEA</t>
        </is>
      </c>
      <c r="C464" s="7" t="n">
        <v>1</v>
      </c>
    </row>
    <row r="465" hidden="1" ht="14.25" customHeight="1" s="5">
      <c r="A465" s="7" t="n">
        <v>1894</v>
      </c>
      <c r="B465" s="7" t="inlineStr">
        <is>
          <t>GV EARL GREY TEA WITH LEMON 100 DC TAG TBGS</t>
        </is>
      </c>
      <c r="C465" s="7" t="n">
        <v>100</v>
      </c>
    </row>
    <row r="466" hidden="1" ht="14.25" customHeight="1" s="5">
      <c r="A466" s="7" t="n">
        <v>1902</v>
      </c>
      <c r="B466" s="7" t="inlineStr">
        <is>
          <t>GV EARL GREY TEA WITH LEMON 25 DC TAG TBGS</t>
        </is>
      </c>
      <c r="C466" s="7" t="n">
        <v>25</v>
      </c>
    </row>
    <row r="467" hidden="1" ht="14.25" customHeight="1" s="5">
      <c r="A467" s="7" t="n">
        <v>21148</v>
      </c>
      <c r="B467" s="7" t="inlineStr">
        <is>
          <t>GV ECONOMY 100 DC TAG TBGS</t>
        </is>
      </c>
      <c r="C467" s="7" t="n">
        <v>100</v>
      </c>
    </row>
    <row r="468" hidden="1" ht="14.25" customHeight="1" s="5">
      <c r="A468" s="7" t="n">
        <v>27873</v>
      </c>
      <c r="B468" s="7" t="inlineStr">
        <is>
          <t>GV ECONOMY 25 DC ENV TBGS</t>
        </is>
      </c>
      <c r="C468" s="7" t="n">
        <v>25</v>
      </c>
    </row>
    <row r="469" hidden="1" ht="14.25" customHeight="1" s="5">
      <c r="A469" s="7" t="n">
        <v>21149</v>
      </c>
      <c r="B469" s="7" t="inlineStr">
        <is>
          <t>GV ECONOMY 25 DC TAG TBGS</t>
        </is>
      </c>
      <c r="C469" s="7" t="n">
        <v>25</v>
      </c>
    </row>
    <row r="470" hidden="1" ht="14.25" customHeight="1" s="5">
      <c r="A470" s="7" t="n">
        <v>21150</v>
      </c>
      <c r="B470" s="7" t="inlineStr">
        <is>
          <t>GV ECONOMY LEAF 200 GMS POUCH TEA</t>
        </is>
      </c>
      <c r="C470" s="7" t="n">
        <v>1</v>
      </c>
    </row>
    <row r="471" hidden="1" ht="14.25" customHeight="1" s="5">
      <c r="A471" s="7" t="n">
        <v>21151</v>
      </c>
      <c r="B471" s="7" t="inlineStr">
        <is>
          <t>GV ECONOMY LEAF 400 GMS POUCH TEA</t>
        </is>
      </c>
      <c r="C471" s="7" t="n">
        <v>1</v>
      </c>
    </row>
    <row r="472" hidden="1" ht="14.25" customHeight="1" s="5">
      <c r="A472" s="7" t="n">
        <v>21152</v>
      </c>
      <c r="B472" s="7" t="inlineStr">
        <is>
          <t>GV ECONOMY LEAF 800 GMS POUCH TEA</t>
        </is>
      </c>
      <c r="C472" s="7" t="n">
        <v>1</v>
      </c>
    </row>
    <row r="473" hidden="1" ht="14.25" customHeight="1" s="5">
      <c r="A473" s="7" t="n">
        <v>1907</v>
      </c>
      <c r="B473" s="7" t="inlineStr">
        <is>
          <t>GV ENERGIZER 25 DC ENV TBGS</t>
        </is>
      </c>
      <c r="C473" s="7" t="n">
        <v>25</v>
      </c>
    </row>
    <row r="474" hidden="1" ht="14.25" customHeight="1" s="5">
      <c r="A474" s="7" t="n">
        <v>1915</v>
      </c>
      <c r="B474" s="7" t="inlineStr">
        <is>
          <t>GV EXOTIC EARL GREY 25 DC SF HS ENV TBGS</t>
        </is>
      </c>
      <c r="C474" s="7" t="n">
        <v>25</v>
      </c>
    </row>
    <row r="475" hidden="1" ht="14.25" customHeight="1" s="5">
      <c r="A475" s="7" t="n">
        <v>18963</v>
      </c>
      <c r="B475" s="7" t="inlineStr">
        <is>
          <t>GV EXOTIC EARL GREY 25 DC SF HS ENV TBGS (AF)</t>
        </is>
      </c>
      <c r="C475" s="7" t="n">
        <v>25</v>
      </c>
    </row>
    <row r="476" hidden="1" ht="14.25" customHeight="1" s="5">
      <c r="A476" s="7" t="n">
        <v>19794</v>
      </c>
      <c r="B476" s="7" t="inlineStr">
        <is>
          <t>GV EXOTIC EARL GREY 25 DC SF HS ENV TBGS (AR)</t>
        </is>
      </c>
      <c r="C476" s="7" t="n">
        <v>25</v>
      </c>
    </row>
    <row r="477" hidden="1" ht="14.25" customHeight="1" s="5">
      <c r="A477" s="7" t="n">
        <v>27551</v>
      </c>
      <c r="B477" s="7" t="inlineStr">
        <is>
          <t>GV EXOTIC EARL GREY 25 DC SF HS ENV TBGS (UKR)</t>
        </is>
      </c>
      <c r="C477" s="7" t="n">
        <v>25</v>
      </c>
    </row>
    <row r="478" hidden="1" ht="14.25" customHeight="1" s="5">
      <c r="A478" s="7" t="n">
        <v>23233</v>
      </c>
      <c r="B478" s="7" t="inlineStr">
        <is>
          <t>GV FRUITY CRANBERRY HERBAL 24/25 DC ENV TBGS</t>
        </is>
      </c>
      <c r="C478" s="7" t="n">
        <v>1</v>
      </c>
    </row>
    <row r="479" hidden="1" ht="14.25" customHeight="1" s="5">
      <c r="A479" s="7" t="n">
        <v>23346</v>
      </c>
      <c r="B479" s="7" t="inlineStr">
        <is>
          <t>GV FRUITY CRANBERRY HERBAL 25 DC ENV TBGS</t>
        </is>
      </c>
      <c r="C479" s="7" t="n">
        <v>25</v>
      </c>
    </row>
    <row r="480" hidden="1" ht="14.25" customHeight="1" s="5">
      <c r="A480" s="7" t="n">
        <v>1925</v>
      </c>
      <c r="B480" s="7" t="inlineStr">
        <is>
          <t>GV GARDEN STRAWBERRY 24/25 DC ENV TBGS</t>
        </is>
      </c>
      <c r="C480" s="7" t="n">
        <v>0</v>
      </c>
    </row>
    <row r="481" hidden="1" ht="14.25" customHeight="1" s="5">
      <c r="A481" s="7" t="n">
        <v>1926</v>
      </c>
      <c r="B481" s="7" t="inlineStr">
        <is>
          <t>GV GARDEN STRAWBERRY 25 DC ENV TBGS</t>
        </is>
      </c>
      <c r="C481" s="7" t="n">
        <v>25</v>
      </c>
    </row>
    <row r="482" hidden="1" ht="14.25" customHeight="1" s="5">
      <c r="A482" s="7" t="n">
        <v>36618</v>
      </c>
      <c r="B482" s="7" t="inlineStr">
        <is>
          <t>GV GARDEN STRAWBERRY 25 DC SF ENV TBGS (v2)</t>
        </is>
      </c>
      <c r="C482" s="7" t="n">
        <v>25</v>
      </c>
    </row>
    <row r="483" hidden="1" ht="14.25" customHeight="1" s="5">
      <c r="A483" s="7" t="n">
        <v>37005</v>
      </c>
      <c r="B483" s="7" t="inlineStr">
        <is>
          <t>GV GARDEN STRAWBERRY 25 DC SF ENV TBGS (VINDEMIA)</t>
        </is>
      </c>
      <c r="C483" s="7" t="n">
        <v>25</v>
      </c>
    </row>
    <row r="484" hidden="1" ht="14.25" customHeight="1" s="5">
      <c r="A484" s="7" t="n">
        <v>19632</v>
      </c>
      <c r="B484" s="7" t="inlineStr">
        <is>
          <t>GV GINGER 25 DC SF HS ENV TBGS (AF)</t>
        </is>
      </c>
      <c r="C484" s="7" t="n">
        <v>25</v>
      </c>
    </row>
    <row r="485" hidden="1" ht="14.25" customHeight="1" s="5">
      <c r="A485" s="7" t="n">
        <v>33958</v>
      </c>
      <c r="B485" s="7" t="inlineStr">
        <is>
          <t>GV GINGER CLOVE 25 DC ENV TBGS</t>
        </is>
      </c>
      <c r="C485" s="7" t="n">
        <v>25</v>
      </c>
    </row>
    <row r="486" hidden="1" ht="14.25" customHeight="1" s="5">
      <c r="A486" s="7" t="n">
        <v>20563</v>
      </c>
      <c r="B486" s="7" t="inlineStr">
        <is>
          <t>GV GOLDEN CEYLON 200 GMS POUCH</t>
        </is>
      </c>
      <c r="C486" s="7" t="n">
        <v>1</v>
      </c>
    </row>
    <row r="487" hidden="1" ht="14.25" customHeight="1" s="5">
      <c r="A487" s="7" t="n">
        <v>19832</v>
      </c>
      <c r="B487" s="7" t="inlineStr">
        <is>
          <t>GV GREEN LEMON 24/25 DC ENV TBGS (AR)</t>
        </is>
      </c>
      <c r="C487" s="7" t="n">
        <v>1</v>
      </c>
    </row>
    <row r="488" hidden="1" ht="14.25" customHeight="1" s="5">
      <c r="A488" s="7" t="n">
        <v>36624</v>
      </c>
      <c r="B488" s="7" t="inlineStr">
        <is>
          <t>GV GREEN LEMON 25 DC SF ENV TBGS</t>
        </is>
      </c>
      <c r="C488" s="7" t="n">
        <v>25</v>
      </c>
    </row>
    <row r="489" hidden="1" ht="14.25" customHeight="1" s="5">
      <c r="A489" s="7" t="n">
        <v>37006</v>
      </c>
      <c r="B489" s="7" t="inlineStr">
        <is>
          <t>GV GREEN LEMON 25 DC SF ENV TBGS (VINDEMIA)</t>
        </is>
      </c>
      <c r="C489" s="7" t="n">
        <v>25</v>
      </c>
    </row>
    <row r="490" hidden="1" ht="14.25" customHeight="1" s="5">
      <c r="A490" s="7" t="n">
        <v>21072</v>
      </c>
      <c r="B490" s="7" t="inlineStr">
        <is>
          <t>GV GREEN MORINGA 25 DC ENV TBGS</t>
        </is>
      </c>
      <c r="C490" s="7" t="n">
        <v>25</v>
      </c>
    </row>
    <row r="491" hidden="1" ht="14.25" customHeight="1" s="5">
      <c r="A491" s="7" t="n">
        <v>36626</v>
      </c>
      <c r="B491" s="7" t="inlineStr">
        <is>
          <t>GV GREEN MORINGA 25 DC SF ENV TBGS</t>
        </is>
      </c>
      <c r="C491" s="7" t="n">
        <v>25</v>
      </c>
    </row>
    <row r="492" hidden="1" ht="14.25" customHeight="1" s="5">
      <c r="A492" s="7" t="n">
        <v>37008</v>
      </c>
      <c r="B492" s="7" t="inlineStr">
        <is>
          <t>GV GREEN MORINGA 25 DC SF ENV TBGS (VINDEMIA)</t>
        </is>
      </c>
      <c r="C492" s="7" t="n">
        <v>25</v>
      </c>
    </row>
    <row r="493" hidden="1" ht="14.25" customHeight="1" s="5">
      <c r="A493" s="7" t="n">
        <v>1956</v>
      </c>
      <c r="B493" s="7" t="inlineStr">
        <is>
          <t>GV GREEN TEA 25 DC ENV TBGS</t>
        </is>
      </c>
      <c r="C493" s="7" t="n">
        <v>25</v>
      </c>
    </row>
    <row r="494" hidden="1" ht="14.25" customHeight="1" s="5">
      <c r="A494" s="7" t="n">
        <v>36625</v>
      </c>
      <c r="B494" s="7" t="inlineStr">
        <is>
          <t>GV GREEN TEA 25 DC SF ENV TBGS</t>
        </is>
      </c>
      <c r="C494" s="7" t="n">
        <v>25</v>
      </c>
    </row>
    <row r="495" hidden="1" ht="14.25" customHeight="1" s="5">
      <c r="A495" s="7" t="n">
        <v>37007</v>
      </c>
      <c r="B495" s="7" t="inlineStr">
        <is>
          <t>GV GREEN TEA 25 DC SF ENV TBGS (VINDEMIA)</t>
        </is>
      </c>
      <c r="C495" s="7" t="n">
        <v>25</v>
      </c>
    </row>
    <row r="496" hidden="1" ht="14.25" customHeight="1" s="5">
      <c r="A496" s="7" t="n">
        <v>1973</v>
      </c>
      <c r="B496" s="7" t="inlineStr">
        <is>
          <t>GV GREEN TEA LEMON 25 DC ENV TBGS</t>
        </is>
      </c>
      <c r="C496" s="7" t="n">
        <v>25</v>
      </c>
    </row>
    <row r="497" hidden="1" ht="14.25" customHeight="1" s="5">
      <c r="A497" s="7" t="n">
        <v>22318</v>
      </c>
      <c r="B497" s="7" t="inlineStr">
        <is>
          <t>GV GREEN TEA MINT 25 DC ENV TBGS</t>
        </is>
      </c>
      <c r="C497" s="7" t="n">
        <v>25</v>
      </c>
    </row>
    <row r="498" hidden="1" ht="14.25" customHeight="1" s="5">
      <c r="A498" s="7" t="n">
        <v>31539</v>
      </c>
      <c r="B498" s="7" t="inlineStr">
        <is>
          <t>GV GREEN TEA MINT 25 DC ENV TBGS (1.5 GMS)</t>
        </is>
      </c>
      <c r="C498" s="7" t="n">
        <v>25</v>
      </c>
    </row>
    <row r="499" hidden="1" ht="14.25" customHeight="1" s="5">
      <c r="A499" s="7" t="n">
        <v>21686</v>
      </c>
      <c r="B499" s="7" t="inlineStr">
        <is>
          <t>GV GREEN TEA MORINGA 24/25 DC ENV TBGS</t>
        </is>
      </c>
      <c r="C499" s="7" t="n">
        <v>1</v>
      </c>
    </row>
    <row r="500" hidden="1" ht="14.25" customHeight="1" s="5">
      <c r="A500" s="7" t="n">
        <v>21166</v>
      </c>
      <c r="B500" s="7" t="inlineStr">
        <is>
          <t>GV LEMON GRASS 24/25 DC ENV TBGS</t>
        </is>
      </c>
      <c r="C500" s="7" t="n">
        <v>1</v>
      </c>
    </row>
    <row r="501" hidden="1" ht="14.25" customHeight="1" s="5">
      <c r="A501" s="7" t="n">
        <v>20724</v>
      </c>
      <c r="B501" s="7" t="inlineStr">
        <is>
          <t>GV LEMON GRASS 25 DC ENV TBGS</t>
        </is>
      </c>
      <c r="C501" s="7" t="n">
        <v>25</v>
      </c>
    </row>
    <row r="502" hidden="1" ht="14.25" customHeight="1" s="5">
      <c r="A502" s="7" t="n">
        <v>1996</v>
      </c>
      <c r="B502" s="7" t="inlineStr">
        <is>
          <t>GV LEMON JAZZ 25 DC SF HS ENV TBGS</t>
        </is>
      </c>
      <c r="C502" s="7" t="n">
        <v>25</v>
      </c>
    </row>
    <row r="503" hidden="1" ht="14.25" customHeight="1" s="5">
      <c r="A503" s="7" t="n">
        <v>18961</v>
      </c>
      <c r="B503" s="7" t="inlineStr">
        <is>
          <t>GV LEMON JAZZ 25 DC SF HS ENV TBGS (AF)</t>
        </is>
      </c>
      <c r="C503" s="7" t="n">
        <v>25</v>
      </c>
    </row>
    <row r="504" hidden="1" ht="14.25" customHeight="1" s="5">
      <c r="A504" s="7" t="n">
        <v>19788</v>
      </c>
      <c r="B504" s="7" t="inlineStr">
        <is>
          <t>GV LEMON JAZZ 25 DC SF HS ENV TBGS (AR)</t>
        </is>
      </c>
      <c r="C504" s="7" t="n">
        <v>25</v>
      </c>
    </row>
    <row r="505" hidden="1" ht="14.25" customHeight="1" s="5">
      <c r="A505" s="7" t="n">
        <v>33837</v>
      </c>
      <c r="B505" s="7" t="inlineStr">
        <is>
          <t>GV LEMON JAZZ 25 DC SF HS ENV TBGS (F-ENV)</t>
        </is>
      </c>
      <c r="C505" s="7" t="n">
        <v>25</v>
      </c>
    </row>
    <row r="506" hidden="1" ht="14.25" customHeight="1" s="5">
      <c r="A506" s="7" t="n">
        <v>35804</v>
      </c>
      <c r="B506" s="7" t="inlineStr">
        <is>
          <t>GV LEMON JAZZ 25 DC SF HS ENV TBGS (MOLDOVA)</t>
        </is>
      </c>
      <c r="C506" s="7" t="n">
        <v>25</v>
      </c>
    </row>
    <row r="507" hidden="1" ht="14.25" customHeight="1" s="5">
      <c r="A507" s="7" t="n">
        <v>27552</v>
      </c>
      <c r="B507" s="7" t="inlineStr">
        <is>
          <t>GV LEMON JAZZ 25 DC SF HS ENV TBGS (UKR)</t>
        </is>
      </c>
      <c r="C507" s="7" t="n">
        <v>25</v>
      </c>
    </row>
    <row r="508" hidden="1" ht="14.25" customHeight="1" s="5">
      <c r="A508" s="7" t="n">
        <v>1829</v>
      </c>
      <c r="B508" s="7" t="inlineStr">
        <is>
          <t>GV LOOSE TBGS BERRY DELIGHT DC SF HS ENV TBGS</t>
        </is>
      </c>
      <c r="C508" s="7" t="n">
        <v>0</v>
      </c>
    </row>
    <row r="509" hidden="1" ht="14.25" customHeight="1" s="5">
      <c r="A509" s="7" t="n">
        <v>1839</v>
      </c>
      <c r="B509" s="7" t="inlineStr">
        <is>
          <t>GV LOOSE TBGS CLASSIC EARL GREY IMA HS TBGS</t>
        </is>
      </c>
      <c r="C509" s="7" t="n">
        <v>0</v>
      </c>
    </row>
    <row r="510" hidden="1" ht="14.25" customHeight="1" s="5">
      <c r="A510" s="7" t="n">
        <v>1841</v>
      </c>
      <c r="B510" s="7" t="inlineStr">
        <is>
          <t>GV LOOSE TBGS CLASSIC ENGLISH IMA HS TBGS</t>
        </is>
      </c>
      <c r="C510" s="7" t="n">
        <v>1</v>
      </c>
    </row>
    <row r="511" hidden="1" ht="14.25" customHeight="1" s="5">
      <c r="A511" s="7" t="n">
        <v>1843</v>
      </c>
      <c r="B511" s="7" t="inlineStr">
        <is>
          <t>GV LOOSE TBGS CLASSIC GREEN IMA HS TBGS</t>
        </is>
      </c>
      <c r="C511" s="7" t="n">
        <v>0</v>
      </c>
    </row>
    <row r="512" hidden="1" ht="14.25" customHeight="1" s="5">
      <c r="A512" s="7" t="n">
        <v>2123</v>
      </c>
      <c r="B512" s="7" t="inlineStr">
        <is>
          <t>GV LOOSE TBGS DC ENV TBGS</t>
        </is>
      </c>
      <c r="C512" s="7" t="n">
        <v>1</v>
      </c>
    </row>
    <row r="513" hidden="1" ht="14.25" customHeight="1" s="5">
      <c r="A513" s="7" t="n">
        <v>2082</v>
      </c>
      <c r="B513" s="7" t="inlineStr">
        <is>
          <t>GV LOOSE TBGS RASPBERRY BLISS DC SF HS ENV TBGS</t>
        </is>
      </c>
      <c r="C513" s="7" t="n">
        <v>0</v>
      </c>
    </row>
    <row r="514" hidden="1" ht="14.25" customHeight="1" s="5">
      <c r="A514" s="7" t="n">
        <v>2149</v>
      </c>
      <c r="B514" s="7" t="inlineStr">
        <is>
          <t>GV LOOSE TBGS STRAWBERRY ZEN DC SF HS ENV TBGS</t>
        </is>
      </c>
      <c r="C514" s="7" t="n">
        <v>0</v>
      </c>
    </row>
    <row r="515" hidden="1" ht="14.25" customHeight="1" s="5">
      <c r="A515" s="7" t="n">
        <v>2001</v>
      </c>
      <c r="B515" s="7" t="inlineStr">
        <is>
          <t>GV MANGO 25 DC ENV TBGS</t>
        </is>
      </c>
      <c r="C515" s="7" t="n">
        <v>25</v>
      </c>
    </row>
    <row r="516" hidden="1" ht="14.25" customHeight="1" s="5">
      <c r="A516" s="7" t="n">
        <v>2016</v>
      </c>
      <c r="B516" s="7" t="inlineStr">
        <is>
          <t>GV MINT 24/25 DC ENV TBGS</t>
        </is>
      </c>
      <c r="C516" s="7" t="n">
        <v>0</v>
      </c>
    </row>
    <row r="517" hidden="1" ht="14.25" customHeight="1" s="5">
      <c r="A517" s="7" t="n">
        <v>2017</v>
      </c>
      <c r="B517" s="7" t="inlineStr">
        <is>
          <t>GV MINT 25 DC ENV TBGS</t>
        </is>
      </c>
      <c r="C517" s="7" t="n">
        <v>25</v>
      </c>
    </row>
    <row r="518" hidden="1" ht="14.25" customHeight="1" s="5">
      <c r="A518" s="7" t="n">
        <v>36619</v>
      </c>
      <c r="B518" s="7" t="inlineStr">
        <is>
          <t>GV MINT 25 DC SF ENV TBGS (V2)</t>
        </is>
      </c>
      <c r="C518" s="7" t="n">
        <v>25</v>
      </c>
    </row>
    <row r="519" hidden="1" ht="14.25" customHeight="1" s="5">
      <c r="A519" s="7" t="n">
        <v>37009</v>
      </c>
      <c r="B519" s="7" t="inlineStr">
        <is>
          <t>GV MINT 25 DC SF ENV TBGS (VINDEMIA)</t>
        </is>
      </c>
      <c r="C519" s="7" t="n">
        <v>25</v>
      </c>
    </row>
    <row r="520" hidden="1" ht="14.25" customHeight="1" s="5">
      <c r="A520" s="7" t="n">
        <v>2039</v>
      </c>
      <c r="B520" s="7" t="inlineStr">
        <is>
          <t>GV MINT BREEZE 25 DC SF HS ENV TBGS</t>
        </is>
      </c>
      <c r="C520" s="7" t="n">
        <v>25</v>
      </c>
    </row>
    <row r="521" hidden="1" ht="14.25" customHeight="1" s="5">
      <c r="A521" s="7" t="n">
        <v>18965</v>
      </c>
      <c r="B521" s="7" t="inlineStr">
        <is>
          <t>GV MINT BREEZE 25 DC SF HS ENV TBGS (AF)</t>
        </is>
      </c>
      <c r="C521" s="7" t="n">
        <v>25</v>
      </c>
    </row>
    <row r="522" hidden="1" ht="14.25" customHeight="1" s="5">
      <c r="A522" s="7" t="n">
        <v>19800</v>
      </c>
      <c r="B522" s="7" t="inlineStr">
        <is>
          <t>GV MINT BREEZE 25 DC SF HS ENV TBGS (AR)</t>
        </is>
      </c>
      <c r="C522" s="7" t="n">
        <v>25</v>
      </c>
    </row>
    <row r="523" hidden="1" ht="14.25" customHeight="1" s="5">
      <c r="A523" s="7" t="n">
        <v>27696</v>
      </c>
      <c r="B523" s="7" t="inlineStr">
        <is>
          <t>GV MINT BREEZE 25 DC SF HS ENV TBGS (UKR)</t>
        </is>
      </c>
      <c r="C523" s="7" t="n">
        <v>25</v>
      </c>
    </row>
    <row r="524" hidden="1" ht="14.25" customHeight="1" s="5">
      <c r="A524" s="7" t="n">
        <v>22298</v>
      </c>
      <c r="B524" s="7" t="inlineStr">
        <is>
          <t>GV MINT LOOSE ENV DC ENV TBGS</t>
        </is>
      </c>
      <c r="C524" s="7" t="n">
        <v>1</v>
      </c>
    </row>
    <row r="525" hidden="1" ht="14.25" customHeight="1" s="5">
      <c r="A525" s="7" t="n">
        <v>22295</v>
      </c>
      <c r="B525" s="7" t="inlineStr">
        <is>
          <t>GV MINT STRIP 3TBGS X 10 SACHET</t>
        </is>
      </c>
      <c r="C525" s="7" t="n">
        <v>30</v>
      </c>
    </row>
    <row r="526" hidden="1" ht="14.25" customHeight="1" s="5">
      <c r="A526" s="7" t="n">
        <v>2045</v>
      </c>
      <c r="B526" s="7" t="inlineStr">
        <is>
          <t>GV ORANGE 25 DC ENV TBGS</t>
        </is>
      </c>
      <c r="C526" s="7" t="n">
        <v>25</v>
      </c>
    </row>
    <row r="527" hidden="1" ht="14.25" customHeight="1" s="5">
      <c r="A527" s="7" t="n">
        <v>36620</v>
      </c>
      <c r="B527" s="7" t="inlineStr">
        <is>
          <t>GV ORANGE 25 DC SF ENV TBGS (V2)</t>
        </is>
      </c>
      <c r="C527" s="7" t="n">
        <v>25</v>
      </c>
    </row>
    <row r="528" hidden="1" ht="14.25" customHeight="1" s="5">
      <c r="A528" s="7" t="n">
        <v>37010</v>
      </c>
      <c r="B528" s="7" t="inlineStr">
        <is>
          <t>GV ORANGE 25 DC SF ENV TBGS (VINDEMIA)</t>
        </is>
      </c>
      <c r="C528" s="7" t="n">
        <v>25</v>
      </c>
    </row>
    <row r="529" hidden="1" ht="14.25" customHeight="1" s="5">
      <c r="A529" s="7" t="n">
        <v>28419</v>
      </c>
      <c r="B529" s="7" t="inlineStr">
        <is>
          <t>GV PASSION FRUIT 25 DC SF HS ENV TBGS</t>
        </is>
      </c>
      <c r="C529" s="7" t="n">
        <v>25</v>
      </c>
    </row>
    <row r="530" hidden="1" ht="14.25" customHeight="1" s="5">
      <c r="A530" s="7" t="n">
        <v>35322</v>
      </c>
      <c r="B530" s="7" t="inlineStr">
        <is>
          <t>GV PASSION FRUIT 25 DC SF HS ENV TBGS (AF)</t>
        </is>
      </c>
      <c r="C530" s="7" t="n">
        <v>25</v>
      </c>
    </row>
    <row r="531" hidden="1" ht="14.25" customHeight="1" s="5">
      <c r="A531" s="7" t="n">
        <v>33842</v>
      </c>
      <c r="B531" s="7" t="inlineStr">
        <is>
          <t>GV PASSION FRUIT 25 DC SF HS ENV TBGS (F-ENV)</t>
        </is>
      </c>
      <c r="C531" s="7" t="n">
        <v>25</v>
      </c>
    </row>
    <row r="532" hidden="1" ht="14.25" customHeight="1" s="5">
      <c r="A532" s="7" t="n">
        <v>35806</v>
      </c>
      <c r="B532" s="7" t="inlineStr">
        <is>
          <t>GV PASSION FRUIT 25 DC SF HS ENV TBGS (MOLDOVA)</t>
        </is>
      </c>
      <c r="C532" s="7" t="n">
        <v>25</v>
      </c>
    </row>
    <row r="533" hidden="1" ht="14.25" customHeight="1" s="5">
      <c r="A533" s="7" t="n">
        <v>2065</v>
      </c>
      <c r="B533" s="7" t="inlineStr">
        <is>
          <t>GV PINEAPPLE 25 DC ENV TBGS</t>
        </is>
      </c>
      <c r="C533" s="7" t="n">
        <v>25</v>
      </c>
    </row>
    <row r="534" hidden="1" ht="14.25" customHeight="1" s="5">
      <c r="A534" s="7" t="n">
        <v>36623</v>
      </c>
      <c r="B534" s="7" t="inlineStr">
        <is>
          <t>GV PINEAPPLE 25 DC SF ENV TBGS</t>
        </is>
      </c>
      <c r="C534" s="7" t="n">
        <v>25</v>
      </c>
    </row>
    <row r="535" hidden="1" ht="14.25" customHeight="1" s="5">
      <c r="A535" s="7" t="n">
        <v>37011</v>
      </c>
      <c r="B535" s="7" t="inlineStr">
        <is>
          <t>GV PINEAPPLE 25 DC SF ENV TBGS (VINEDMIA)</t>
        </is>
      </c>
      <c r="C535" s="7" t="n">
        <v>25</v>
      </c>
    </row>
    <row r="536" hidden="1" ht="14.25" customHeight="1" s="5">
      <c r="A536" s="7" t="n">
        <v>2078</v>
      </c>
      <c r="B536" s="7" t="inlineStr">
        <is>
          <t>GV PURE GREEN 25 DC SF HS ENV TBGS</t>
        </is>
      </c>
      <c r="C536" s="7" t="n">
        <v>25</v>
      </c>
    </row>
    <row r="537" hidden="1" ht="14.25" customHeight="1" s="5">
      <c r="A537" s="7" t="n">
        <v>18967</v>
      </c>
      <c r="B537" s="7" t="inlineStr">
        <is>
          <t>GV PURE GREEN 25 DC SF HS ENV TBGS (AF)</t>
        </is>
      </c>
      <c r="C537" s="7" t="n">
        <v>25</v>
      </c>
    </row>
    <row r="538" hidden="1" ht="14.25" customHeight="1" s="5">
      <c r="A538" s="7" t="n">
        <v>19806</v>
      </c>
      <c r="B538" s="7" t="inlineStr">
        <is>
          <t>GV PURE GREEN 25 DC SF HS ENV TBGS (AR)</t>
        </is>
      </c>
      <c r="C538" s="7" t="n">
        <v>25</v>
      </c>
    </row>
    <row r="539" hidden="1" ht="14.25" customHeight="1" s="5">
      <c r="A539" s="7" t="n">
        <v>2084</v>
      </c>
      <c r="B539" s="7" t="inlineStr">
        <is>
          <t>GV RASPBERRY BLISS 25 DC SF HS ENV TBGS</t>
        </is>
      </c>
      <c r="C539" s="7" t="n">
        <v>25</v>
      </c>
    </row>
    <row r="540" hidden="1" ht="14.25" customHeight="1" s="5">
      <c r="A540" s="7" t="n">
        <v>35320</v>
      </c>
      <c r="B540" s="7" t="inlineStr">
        <is>
          <t>GV RASPBERRY BLISS 25 DC SF HS ENV TBGS (AF)</t>
        </is>
      </c>
      <c r="C540" s="7" t="n">
        <v>25</v>
      </c>
    </row>
    <row r="541" hidden="1" ht="14.25" customHeight="1" s="5">
      <c r="A541" s="7" t="n">
        <v>33843</v>
      </c>
      <c r="B541" s="7" t="inlineStr">
        <is>
          <t>GV RASPBERRY BLISS 25 DC SF HS ENV TBGS (F-ENV)</t>
        </is>
      </c>
      <c r="C541" s="7" t="n">
        <v>25</v>
      </c>
    </row>
    <row r="542" hidden="1" ht="14.25" customHeight="1" s="5">
      <c r="A542" s="7" t="n">
        <v>35803</v>
      </c>
      <c r="B542" s="7" t="inlineStr">
        <is>
          <t>GV RASPBERRY BLISS 25 DC SF HS ENV TBGS (MOLDOVA)</t>
        </is>
      </c>
      <c r="C542" s="7" t="n">
        <v>25</v>
      </c>
    </row>
    <row r="543" hidden="1" ht="14.25" customHeight="1" s="5">
      <c r="A543" s="7" t="n">
        <v>27549</v>
      </c>
      <c r="B543" s="7" t="inlineStr">
        <is>
          <t>GV RASPBERRY BLISS 25 DC SF HS ENV TBGS (UKR)</t>
        </is>
      </c>
      <c r="C543" s="7" t="n">
        <v>25</v>
      </c>
    </row>
    <row r="544" hidden="1" ht="14.25" customHeight="1" s="5">
      <c r="A544" s="7" t="n">
        <v>2094</v>
      </c>
      <c r="B544" s="7" t="inlineStr">
        <is>
          <t>GV ROMANTIC ASSAM 100 DC SF HS ENV TBGS</t>
        </is>
      </c>
      <c r="C544" s="7" t="n">
        <v>100</v>
      </c>
    </row>
    <row r="545" hidden="1" ht="14.25" customHeight="1" s="5">
      <c r="A545" s="7" t="n">
        <v>2089</v>
      </c>
      <c r="B545" s="7" t="inlineStr">
        <is>
          <t>GV ROMANTIC ASSAM 25 DC SF HS ENV TBGS</t>
        </is>
      </c>
      <c r="C545" s="7" t="n">
        <v>25</v>
      </c>
    </row>
    <row r="546" hidden="1" ht="14.25" customHeight="1" s="5">
      <c r="A546" s="7" t="n">
        <v>23348</v>
      </c>
      <c r="B546" s="7" t="inlineStr">
        <is>
          <t>GV ROSE 25 DC ENV TBGS</t>
        </is>
      </c>
      <c r="C546" s="7" t="n">
        <v>25</v>
      </c>
    </row>
    <row r="547" hidden="1" ht="14.25" customHeight="1" s="5">
      <c r="A547" s="7" t="n">
        <v>2098</v>
      </c>
      <c r="B547" s="7" t="inlineStr">
        <is>
          <t>GV ROYAL CEYLON 100 DC SF HS ENV TBGS</t>
        </is>
      </c>
      <c r="C547" s="7" t="n">
        <v>100</v>
      </c>
    </row>
    <row r="548" hidden="1" ht="14.25" customHeight="1" s="5">
      <c r="A548" s="7" t="n">
        <v>18950</v>
      </c>
      <c r="B548" s="7" t="inlineStr">
        <is>
          <t>GV ROYAL CEYLON 100 DC SF HS ENV TBGS (AF)</t>
        </is>
      </c>
      <c r="C548" s="7" t="n">
        <v>100</v>
      </c>
    </row>
    <row r="549" hidden="1" ht="14.25" customHeight="1" s="5">
      <c r="A549" s="7" t="n">
        <v>19772</v>
      </c>
      <c r="B549" s="7" t="inlineStr">
        <is>
          <t>GV ROYAL CEYLON 100 DC SF HS ENV TBGS (AR)</t>
        </is>
      </c>
      <c r="C549" s="7" t="n">
        <v>100</v>
      </c>
    </row>
    <row r="550" hidden="1" ht="14.25" customHeight="1" s="5">
      <c r="A550" s="7" t="n">
        <v>1920</v>
      </c>
      <c r="B550" s="7" t="inlineStr">
        <is>
          <t>GV ROYAL CEYLON 25 DC SF HS ENV TBGS</t>
        </is>
      </c>
      <c r="C550" s="7" t="n">
        <v>25</v>
      </c>
    </row>
    <row r="551" hidden="1" ht="14.25" customHeight="1" s="5">
      <c r="A551" s="7" t="n">
        <v>18952</v>
      </c>
      <c r="B551" s="7" t="inlineStr">
        <is>
          <t>GV ROYAL CEYLON 25 DC SF HS ENV TBGS (AF)</t>
        </is>
      </c>
      <c r="C551" s="7" t="n">
        <v>25</v>
      </c>
    </row>
    <row r="552" hidden="1" ht="14.25" customHeight="1" s="5">
      <c r="A552" s="7" t="n">
        <v>19777</v>
      </c>
      <c r="B552" s="7" t="inlineStr">
        <is>
          <t>GV ROYAL CEYLON 25 DC SF HS ENV TBGS (AR)</t>
        </is>
      </c>
      <c r="C552" s="7" t="n">
        <v>25</v>
      </c>
    </row>
    <row r="553" hidden="1" ht="14.25" customHeight="1" s="5">
      <c r="A553" s="7" t="n">
        <v>27554</v>
      </c>
      <c r="B553" s="7" t="inlineStr">
        <is>
          <t>GV ROYAL CEYLON 25 DC SF HS ENV TBGS (UKR)</t>
        </is>
      </c>
      <c r="C553" s="7" t="n">
        <v>25</v>
      </c>
    </row>
    <row r="554" hidden="1" ht="14.25" customHeight="1" s="5">
      <c r="A554" s="7" t="n">
        <v>2100</v>
      </c>
      <c r="B554" s="7" t="inlineStr">
        <is>
          <t>GV ROYAL LEMON 24/25 DC ENV TBGS</t>
        </is>
      </c>
      <c r="C554" s="7" t="n">
        <v>0</v>
      </c>
    </row>
    <row r="555" hidden="1" ht="14.25" customHeight="1" s="5">
      <c r="A555" s="7" t="n">
        <v>2101</v>
      </c>
      <c r="B555" s="7" t="inlineStr">
        <is>
          <t>GV ROYAL LEMON 25 DC ENV TBGS</t>
        </is>
      </c>
      <c r="C555" s="7" t="n">
        <v>25</v>
      </c>
    </row>
    <row r="556" hidden="1" ht="14.25" customHeight="1" s="5">
      <c r="A556" s="7" t="n">
        <v>22271</v>
      </c>
      <c r="B556" s="7" t="inlineStr">
        <is>
          <t>GV ROYAL LEMON LOOSE DC ENV TBGS</t>
        </is>
      </c>
      <c r="C556" s="7" t="n">
        <v>1</v>
      </c>
    </row>
    <row r="557" hidden="1" ht="14.25" customHeight="1" s="5">
      <c r="A557" s="7" t="n">
        <v>22296</v>
      </c>
      <c r="B557" s="7" t="inlineStr">
        <is>
          <t>GV ROYAL LEMON STRIP 3TBGS X 10 SACHET</t>
        </is>
      </c>
      <c r="C557" s="7" t="n">
        <v>30</v>
      </c>
    </row>
    <row r="558" hidden="1" ht="14.25" customHeight="1" s="5">
      <c r="A558" s="7" t="n">
        <v>2115</v>
      </c>
      <c r="B558" s="7" t="inlineStr">
        <is>
          <t>GV ROYAL LEMON STRIP 5TBGS X 10 SACHET</t>
        </is>
      </c>
      <c r="C558" s="7" t="n">
        <v>50</v>
      </c>
    </row>
    <row r="559" hidden="1" ht="14.25" customHeight="1" s="5">
      <c r="A559" s="7" t="n">
        <v>35059</v>
      </c>
      <c r="B559" s="7" t="inlineStr">
        <is>
          <t>GV SLIM CARE GREEN TEA HONEY LEMON 25 DC SF HS ENV TBGS</t>
        </is>
      </c>
      <c r="C559" s="7" t="n">
        <v>25</v>
      </c>
    </row>
    <row r="560" hidden="1" ht="14.25" customHeight="1" s="5">
      <c r="A560" s="7" t="n">
        <v>36461</v>
      </c>
      <c r="B560" s="7" t="inlineStr">
        <is>
          <t>GV SLIM CARE GREEN TEA HONEY LEMON 25 SC HS ENV TBGS</t>
        </is>
      </c>
      <c r="C560" s="7" t="n">
        <v>25</v>
      </c>
    </row>
    <row r="561" hidden="1" ht="14.25" customHeight="1" s="5">
      <c r="A561" s="7" t="n">
        <v>19824</v>
      </c>
      <c r="B561" s="7" t="inlineStr">
        <is>
          <t>GV SPICY GINGER 24/25 DC ENV TBGS (AR)</t>
        </is>
      </c>
      <c r="C561" s="7" t="n">
        <v>1</v>
      </c>
    </row>
    <row r="562" hidden="1" ht="14.25" customHeight="1" s="5">
      <c r="A562" s="7" t="n">
        <v>2127</v>
      </c>
      <c r="B562" s="7" t="inlineStr">
        <is>
          <t>GV SPICY GINGER 25 DC ENV TBGS</t>
        </is>
      </c>
      <c r="C562" s="7" t="n">
        <v>25</v>
      </c>
    </row>
    <row r="563" hidden="1" ht="14.25" customHeight="1" s="5">
      <c r="A563" s="7" t="n">
        <v>36621</v>
      </c>
      <c r="B563" s="7" t="inlineStr">
        <is>
          <t>GV SPICY GINGER 25 DC SF ENV TBGS (V2)</t>
        </is>
      </c>
      <c r="C563" s="7" t="n">
        <v>25</v>
      </c>
    </row>
    <row r="564" hidden="1" ht="14.25" customHeight="1" s="5">
      <c r="A564" s="7" t="n">
        <v>37012</v>
      </c>
      <c r="B564" s="7" t="inlineStr">
        <is>
          <t>GV SPICY GINGER 25 DC SF ENV TBGS (VINDEMIA)</t>
        </is>
      </c>
      <c r="C564" s="7" t="n">
        <v>25</v>
      </c>
    </row>
    <row r="565" hidden="1" ht="14.25" customHeight="1" s="5">
      <c r="A565" s="7" t="n">
        <v>21930</v>
      </c>
      <c r="B565" s="7" t="inlineStr">
        <is>
          <t>GV SPICY GINGER LOOSE DC ENV TBGS</t>
        </is>
      </c>
      <c r="C565" s="7" t="n">
        <v>1</v>
      </c>
    </row>
    <row r="566" hidden="1" ht="14.25" customHeight="1" s="5">
      <c r="A566" s="7" t="n">
        <v>21927</v>
      </c>
      <c r="B566" s="7" t="inlineStr">
        <is>
          <t>GV SPICY GINGER STRIP 3TBGS X 10 SACHET</t>
        </is>
      </c>
      <c r="C566" s="7" t="n">
        <v>30</v>
      </c>
    </row>
    <row r="567" hidden="1" ht="14.25" customHeight="1" s="5">
      <c r="A567" s="7" t="n">
        <v>2141</v>
      </c>
      <c r="B567" s="7" t="inlineStr">
        <is>
          <t>GV SPICY GINGER STRIP 5TBGS X 10 SACHET</t>
        </is>
      </c>
      <c r="C567" s="7" t="n">
        <v>50</v>
      </c>
    </row>
    <row r="568" hidden="1" ht="14.25" customHeight="1" s="5">
      <c r="A568" s="7" t="n">
        <v>21931</v>
      </c>
      <c r="B568" s="7" t="inlineStr">
        <is>
          <t>GV STRAWBERRY LOOSE DC ENV TBGS</t>
        </is>
      </c>
      <c r="C568" s="7" t="n">
        <v>1</v>
      </c>
    </row>
    <row r="569" hidden="1" ht="14.25" customHeight="1" s="5">
      <c r="A569" s="7" t="n">
        <v>22708</v>
      </c>
      <c r="B569" s="7" t="inlineStr">
        <is>
          <t>GV STRAWBERRY STRIP 2BGS X 10 SACHET</t>
        </is>
      </c>
      <c r="C569" s="7" t="n">
        <v>20</v>
      </c>
    </row>
    <row r="570" hidden="1" ht="14.25" customHeight="1" s="5">
      <c r="A570" s="7" t="n">
        <v>21928</v>
      </c>
      <c r="B570" s="7" t="inlineStr">
        <is>
          <t>GV STRAWBERRY STRIP 3TBGS X 10 SACHET</t>
        </is>
      </c>
      <c r="C570" s="7" t="n">
        <v>30</v>
      </c>
    </row>
    <row r="571" hidden="1" ht="14.25" customHeight="1" s="5">
      <c r="A571" s="7" t="n">
        <v>2151</v>
      </c>
      <c r="B571" s="7" t="inlineStr">
        <is>
          <t>GV STRAWBERRY ZEN 25 DC SF HS ENV TBGS</t>
        </is>
      </c>
      <c r="C571" s="7" t="n">
        <v>25</v>
      </c>
    </row>
    <row r="572" hidden="1" ht="14.25" customHeight="1" s="5">
      <c r="A572" s="7" t="n">
        <v>18953</v>
      </c>
      <c r="B572" s="7" t="inlineStr">
        <is>
          <t>GV STRAWBERRY ZEN 25 DC SF HS ENV TBGS (AF)</t>
        </is>
      </c>
      <c r="C572" s="7" t="n">
        <v>25</v>
      </c>
    </row>
    <row r="573" hidden="1" ht="14.25" customHeight="1" s="5">
      <c r="A573" s="7" t="n">
        <v>19782</v>
      </c>
      <c r="B573" s="7" t="inlineStr">
        <is>
          <t>GV STRAWBERRY ZEN 25 DC SF HS ENV TBGS (AR)</t>
        </is>
      </c>
      <c r="C573" s="7" t="n">
        <v>25</v>
      </c>
    </row>
    <row r="574" hidden="1" ht="14.25" customHeight="1" s="5">
      <c r="A574" s="7" t="n">
        <v>33844</v>
      </c>
      <c r="B574" s="7" t="inlineStr">
        <is>
          <t>GV STRAWBERRY ZEN 25 DC SF HS ENV TBGS (F-ENV)</t>
        </is>
      </c>
      <c r="C574" s="7" t="n">
        <v>25</v>
      </c>
    </row>
    <row r="575" hidden="1" ht="14.25" customHeight="1" s="5">
      <c r="A575" s="7" t="n">
        <v>35802</v>
      </c>
      <c r="B575" s="7" t="inlineStr">
        <is>
          <t>GV STRAWBERRY ZEN 25 DC SF HS ENV TBGS (MOLDOVA)</t>
        </is>
      </c>
      <c r="C575" s="7" t="n">
        <v>25</v>
      </c>
    </row>
    <row r="576" hidden="1" ht="14.25" customHeight="1" s="5">
      <c r="A576" s="7" t="n">
        <v>27553</v>
      </c>
      <c r="B576" s="7" t="inlineStr">
        <is>
          <t>GV STRAWBERRY ZEN 25 DC SF HS ENV TBGS (UKR)</t>
        </is>
      </c>
      <c r="C576" s="7" t="n">
        <v>25</v>
      </c>
    </row>
    <row r="577" hidden="1" ht="14.25" customHeight="1" s="5">
      <c r="A577" s="7" t="n">
        <v>22297</v>
      </c>
      <c r="B577" s="7" t="inlineStr">
        <is>
          <t>GV STRIP WITH 3 TBGS X 10 SACHET</t>
        </is>
      </c>
      <c r="C577" s="7" t="n">
        <v>30</v>
      </c>
    </row>
    <row r="578" hidden="1" ht="14.25" customHeight="1" s="5">
      <c r="A578" s="7" t="n">
        <v>19822</v>
      </c>
      <c r="B578" s="7" t="inlineStr">
        <is>
          <t>GV STRIP WITH 4 TBGS X 10 SACHET</t>
        </is>
      </c>
      <c r="C578" s="7" t="n">
        <v>40</v>
      </c>
    </row>
    <row r="579" hidden="1" ht="14.25" customHeight="1" s="5">
      <c r="A579" s="7" t="n">
        <v>5571</v>
      </c>
      <c r="B579" s="7" t="inlineStr">
        <is>
          <t>GV STRIP WITH 5 TBGS X 10 SACHET</t>
        </is>
      </c>
      <c r="C579" s="7" t="n">
        <v>50</v>
      </c>
    </row>
    <row r="580" hidden="1" ht="14.25" customHeight="1" s="5">
      <c r="A580" s="7" t="n">
        <v>2156</v>
      </c>
      <c r="B580" s="7" t="inlineStr">
        <is>
          <t>GV SUMMER MYSTERY 25 DC SF HS ENV TBGS</t>
        </is>
      </c>
      <c r="C580" s="7" t="n">
        <v>25</v>
      </c>
    </row>
    <row r="581" hidden="1" ht="14.25" customHeight="1" s="5">
      <c r="A581" s="7" t="n">
        <v>27550</v>
      </c>
      <c r="B581" s="7" t="inlineStr">
        <is>
          <t>GV SUMMER MYSTERY 25 DC SF HS ENV TBGS (UKR)</t>
        </is>
      </c>
      <c r="C581" s="7" t="n">
        <v>25</v>
      </c>
    </row>
    <row r="582" hidden="1" ht="14.25" customHeight="1" s="5">
      <c r="A582" s="7" t="n">
        <v>21048</v>
      </c>
      <c r="B582" s="7" t="inlineStr">
        <is>
          <t>GV TAMARIND 24/25 DC ENV TBGS</t>
        </is>
      </c>
      <c r="C582" s="7" t="n">
        <v>1</v>
      </c>
    </row>
    <row r="583" hidden="1" ht="14.25" customHeight="1" s="5">
      <c r="A583" s="7" t="n">
        <v>2161</v>
      </c>
      <c r="B583" s="7" t="inlineStr">
        <is>
          <t>GV TAMARIND 25 DC ENV TBGS</t>
        </is>
      </c>
      <c r="C583" s="7" t="n">
        <v>25</v>
      </c>
    </row>
    <row r="584" hidden="1" ht="14.25" customHeight="1" s="5">
      <c r="A584" s="7" t="n">
        <v>36622</v>
      </c>
      <c r="B584" s="7" t="inlineStr">
        <is>
          <t>GV TAMARIND 25 DC SF ENV TBGS (V2)</t>
        </is>
      </c>
      <c r="C584" s="7" t="n">
        <v>25</v>
      </c>
    </row>
    <row r="585" hidden="1" ht="14.25" customHeight="1" s="5">
      <c r="A585" s="7" t="n">
        <v>37013</v>
      </c>
      <c r="B585" s="7" t="inlineStr">
        <is>
          <t>GV TAMARIND 25 DC SF ENV TBGS (VINDEMIA)</t>
        </is>
      </c>
      <c r="C585" s="7" t="n">
        <v>25</v>
      </c>
    </row>
    <row r="586" hidden="1" ht="14.25" customHeight="1" s="5">
      <c r="A586" s="7" t="n">
        <v>28420</v>
      </c>
      <c r="B586" s="7" t="inlineStr">
        <is>
          <t>GV TROPICAL JOY 25 DC SF HS ENV TBGS</t>
        </is>
      </c>
      <c r="C586" s="7" t="n">
        <v>25</v>
      </c>
    </row>
    <row r="587" hidden="1" ht="14.25" customHeight="1" s="5">
      <c r="A587" s="7" t="n">
        <v>35321</v>
      </c>
      <c r="B587" s="7" t="inlineStr">
        <is>
          <t>GV TROPICAL JOY 25 DC SF HS ENV TBGS (AF)</t>
        </is>
      </c>
      <c r="C587" s="7" t="n">
        <v>25</v>
      </c>
    </row>
    <row r="588" hidden="1" ht="14.25" customHeight="1" s="5">
      <c r="A588" s="7" t="n">
        <v>33845</v>
      </c>
      <c r="B588" s="7" t="inlineStr">
        <is>
          <t>GV TROPICAL JOY 25 DC SF HS ENV TBGS (F-ENV)</t>
        </is>
      </c>
      <c r="C588" s="7" t="n">
        <v>25</v>
      </c>
    </row>
    <row r="589" hidden="1" ht="14.25" customHeight="1" s="5">
      <c r="A589" s="7" t="n">
        <v>35807</v>
      </c>
      <c r="B589" s="7" t="inlineStr">
        <is>
          <t>GV TROPICAL JOY 25 DC SF HS ENV TBGS (MOLDOVA)</t>
        </is>
      </c>
      <c r="C589" s="7" t="n">
        <v>25</v>
      </c>
    </row>
    <row r="590" hidden="1" ht="14.25" customHeight="1" s="5">
      <c r="A590" s="7" t="n">
        <v>23350</v>
      </c>
      <c r="B590" s="7" t="inlineStr">
        <is>
          <t>GV WATER MELON 25 DC ENV TBGS</t>
        </is>
      </c>
      <c r="C590" s="7" t="n">
        <v>25</v>
      </c>
    </row>
    <row r="591" hidden="1" ht="14.25" customHeight="1" s="5">
      <c r="A591" s="7" t="n">
        <v>36628</v>
      </c>
      <c r="B591" s="7" t="inlineStr">
        <is>
          <t>GV WATER MELON 25 DC SF ENV TBGS</t>
        </is>
      </c>
      <c r="C591" s="7" t="n">
        <v>25</v>
      </c>
    </row>
    <row r="592" hidden="1" ht="14.25" customHeight="1" s="5">
      <c r="A592" s="7" t="n">
        <v>37014</v>
      </c>
      <c r="B592" s="7" t="inlineStr">
        <is>
          <t>GV WATER MELON 25 DC SF ENV TBGS (VINDEMIA)</t>
        </is>
      </c>
      <c r="C592" s="7" t="n">
        <v>25</v>
      </c>
    </row>
    <row r="593" hidden="1" ht="14.25" customHeight="1" s="5">
      <c r="A593" s="7" t="n">
        <v>23232</v>
      </c>
      <c r="B593" s="7" t="inlineStr">
        <is>
          <t>GV WATERMELON 24/25 DC ENV TBGS</t>
        </is>
      </c>
      <c r="C593" s="7" t="n">
        <v>1</v>
      </c>
    </row>
    <row r="594" hidden="1" ht="14.25" customHeight="1" s="5">
      <c r="A594" s="7" t="n">
        <v>18949</v>
      </c>
      <c r="B594" s="7" t="inlineStr">
        <is>
          <t>GV WHOLE LEAF 400 GMS PKT TEA</t>
        </is>
      </c>
      <c r="C594" s="7" t="n">
        <v>1</v>
      </c>
    </row>
    <row r="595" hidden="1" ht="14.25" customHeight="1" s="5">
      <c r="A595" s="7" t="n">
        <v>19624</v>
      </c>
      <c r="B595" s="7" t="inlineStr">
        <is>
          <t>GV WHOLE LEAF CEYLON 1 KGS PKT TEA</t>
        </is>
      </c>
      <c r="C595" s="7" t="n">
        <v>1</v>
      </c>
    </row>
    <row r="596" hidden="1" ht="14.25" customHeight="1" s="5">
      <c r="A596" s="7" t="n">
        <v>19629</v>
      </c>
      <c r="B596" s="7" t="inlineStr">
        <is>
          <t>GV WHOLE LEAF CEYLON 200 GMS PKT TEA</t>
        </is>
      </c>
      <c r="C596" s="7" t="n">
        <v>1</v>
      </c>
    </row>
    <row r="597" hidden="1" ht="14.25" customHeight="1" s="5">
      <c r="A597" s="7" t="n">
        <v>20562</v>
      </c>
      <c r="B597" s="7" t="inlineStr">
        <is>
          <t>GV WHOLE LEAF GOLDEN CEYLON 1 KGS PKT TEA</t>
        </is>
      </c>
      <c r="C597" s="7" t="n">
        <v>1</v>
      </c>
    </row>
    <row r="598" hidden="1" ht="14.25" customHeight="1" s="5">
      <c r="A598" s="7" t="n">
        <v>19862</v>
      </c>
      <c r="B598" s="7" t="inlineStr">
        <is>
          <t>GV WHOLE LEAF GOLDEN CEYLON 400 GMS PKT TEA</t>
        </is>
      </c>
      <c r="C598" s="7" t="n">
        <v>1</v>
      </c>
    </row>
    <row r="599" hidden="1" ht="14.25" customHeight="1" s="5">
      <c r="A599" s="7" t="n">
        <v>27559</v>
      </c>
      <c r="B599" s="7" t="inlineStr">
        <is>
          <t>GV WHOLELEAF CEYLON 100 GMS PKT TEA</t>
        </is>
      </c>
      <c r="C599" s="7" t="n">
        <v>1</v>
      </c>
    </row>
    <row r="600" hidden="1" ht="14.25" customHeight="1" s="5">
      <c r="A600" s="7" t="n">
        <v>27558</v>
      </c>
      <c r="B600" s="7" t="inlineStr">
        <is>
          <t>GV WHOLELEAF CEYLON 250 GMS PKT TEA</t>
        </is>
      </c>
      <c r="C600" s="7" t="n">
        <v>1</v>
      </c>
    </row>
    <row r="601" hidden="1" ht="14.25" customHeight="1" s="5">
      <c r="A601" s="7" t="n">
        <v>2174</v>
      </c>
      <c r="B601" s="7" t="inlineStr">
        <is>
          <t>GV WILD CHERRY 25 DC ENV TBGS</t>
        </is>
      </c>
      <c r="C601" s="7" t="n">
        <v>25</v>
      </c>
    </row>
    <row r="602" hidden="1" ht="14.25" customHeight="1" s="5">
      <c r="A602" s="7" t="n">
        <v>22466</v>
      </c>
      <c r="B602" s="7" t="inlineStr">
        <is>
          <t>HANNAFORD 100 PTAG RFA TBGS 778170</t>
        </is>
      </c>
      <c r="C602" s="7" t="n">
        <v>100</v>
      </c>
    </row>
    <row r="603" hidden="1" ht="14.25" customHeight="1" s="5">
      <c r="A603" s="7" t="n">
        <v>22804</v>
      </c>
      <c r="B603" s="7" t="inlineStr">
        <is>
          <t>HANNAFORD 48 DCF PTAG TBGS 778160</t>
        </is>
      </c>
      <c r="C603" s="7" t="n">
        <v>48</v>
      </c>
    </row>
    <row r="604" hidden="1" ht="14.25" customHeight="1" s="5">
      <c r="A604" s="7" t="n">
        <v>22803</v>
      </c>
      <c r="B604" s="7" t="inlineStr">
        <is>
          <t>HANNAFORD 48 PTAG RFA TBGS 778180</t>
        </is>
      </c>
      <c r="C604" s="7" t="n">
        <v>48</v>
      </c>
    </row>
    <row r="605" hidden="1" ht="14.25" customHeight="1" s="5">
      <c r="A605" s="7" t="n">
        <v>556</v>
      </c>
      <c r="B605" s="7" t="inlineStr">
        <is>
          <t>HASANA 100 DC ENV TBGS</t>
        </is>
      </c>
      <c r="C605" s="7" t="n">
        <v>100</v>
      </c>
    </row>
    <row r="606" hidden="1" ht="14.25" customHeight="1" s="5">
      <c r="A606" s="7" t="n">
        <v>569</v>
      </c>
      <c r="B606" s="7" t="inlineStr">
        <is>
          <t>HASSANA PREMIUM GOLD TEA 100 DC ENV TBGS</t>
        </is>
      </c>
      <c r="C606" s="7" t="n">
        <v>100</v>
      </c>
    </row>
    <row r="607" hidden="1" ht="14.25" customHeight="1" s="5">
      <c r="A607" s="7" t="n">
        <v>31605</v>
      </c>
      <c r="B607" s="7" t="inlineStr">
        <is>
          <t>HELLO LIFE EXOTIC WHOLE LEAF TEA BLOOMER JASMINE 20 PYRAMID ENV TBGS</t>
        </is>
      </c>
      <c r="C607" s="7" t="n">
        <v>20</v>
      </c>
    </row>
    <row r="608" hidden="1" ht="14.25" customHeight="1" s="5">
      <c r="A608" s="7" t="n">
        <v>31603</v>
      </c>
      <c r="B608" s="7" t="inlineStr">
        <is>
          <t>HELLO LIFE EXOTIC WHOLE LEAF TEA FLORA HIBISCUS 20 PYRAMID ENV TBGS</t>
        </is>
      </c>
      <c r="C608" s="7" t="n">
        <v>20</v>
      </c>
    </row>
    <row r="609" hidden="1" ht="14.25" customHeight="1" s="5">
      <c r="A609" s="7" t="n">
        <v>31604</v>
      </c>
      <c r="B609" s="7" t="inlineStr">
        <is>
          <t>HELLO LIFE EXOTIC WHOLE LEAF TEA HABIBTEA LAVENDER ROSE MINT 20 PYRAMID ENV TBGS</t>
        </is>
      </c>
      <c r="C609" s="7" t="n">
        <v>20</v>
      </c>
    </row>
    <row r="610" hidden="1" ht="14.25" customHeight="1" s="5">
      <c r="A610" s="7" t="n">
        <v>31601</v>
      </c>
      <c r="B610" s="7" t="inlineStr">
        <is>
          <t>HELLO LIFE EXOTIC WHOLE LEAF TEA LATENIGHT CHAMOMILE 20 PYRAMID ENV TBGS</t>
        </is>
      </c>
      <c r="C610" s="7" t="n">
        <v>20</v>
      </c>
    </row>
    <row r="611" hidden="1" ht="14.25" customHeight="1" s="5">
      <c r="A611" s="7" t="n">
        <v>31609</v>
      </c>
      <c r="B611" s="7" t="inlineStr">
        <is>
          <t>HELLO LIFE FINE TEA 7 SPICES INDIAN MASALA TEA 100 DC HS SF TBGS</t>
        </is>
      </c>
      <c r="C611" s="7" t="n">
        <v>100</v>
      </c>
    </row>
    <row r="612" hidden="1" ht="14.25" customHeight="1" s="5">
      <c r="A612" s="7" t="n">
        <v>31611</v>
      </c>
      <c r="B612" s="7" t="inlineStr">
        <is>
          <t>HELLO LIFE FINE TEA BOOSTER GINGER HONEY GREEN 100 DC HS SF TBGS</t>
        </is>
      </c>
      <c r="C612" s="7" t="n">
        <v>100</v>
      </c>
    </row>
    <row r="613" hidden="1" ht="14.25" customHeight="1" s="5">
      <c r="A613" s="7" t="n">
        <v>31607</v>
      </c>
      <c r="B613" s="7" t="inlineStr">
        <is>
          <t>HELLO LIFE FINE TEA ENGLISH BREAK FAST MORNING BLEND 100 DC HS SF TBGS</t>
        </is>
      </c>
      <c r="C613" s="7" t="n">
        <v>100</v>
      </c>
    </row>
    <row r="614" hidden="1" ht="14.25" customHeight="1" s="5">
      <c r="A614" s="7" t="n">
        <v>31608</v>
      </c>
      <c r="B614" s="7" t="inlineStr">
        <is>
          <t>HELLO LIFE FINE TEA HIMALAYA DARJEELING 100 DC HS SF TBGS</t>
        </is>
      </c>
      <c r="C614" s="7" t="n">
        <v>100</v>
      </c>
    </row>
    <row r="615" hidden="1" ht="14.25" customHeight="1" s="5">
      <c r="A615" s="7" t="n">
        <v>31610</v>
      </c>
      <c r="B615" s="7" t="inlineStr">
        <is>
          <t>HELLO LIFE FINE TEA KADAK CHAI AFTERNOON BLEND 100 DC HS SF TBGS</t>
        </is>
      </c>
      <c r="C615" s="7" t="n">
        <v>100</v>
      </c>
    </row>
    <row r="616" hidden="1" ht="14.25" customHeight="1" s="5">
      <c r="A616" s="7" t="n">
        <v>31615</v>
      </c>
      <c r="B616" s="7" t="inlineStr">
        <is>
          <t>HELLO LIFE HERBAL COLD WATER ENHANCER LYCHEE 20 PYRAMID ENV TBGS</t>
        </is>
      </c>
      <c r="C616" s="7" t="n">
        <v>20</v>
      </c>
    </row>
    <row r="617" hidden="1" ht="14.25" customHeight="1" s="5">
      <c r="A617" s="7" t="n">
        <v>31612</v>
      </c>
      <c r="B617" s="7" t="inlineStr">
        <is>
          <t>HELLO LIFE HERBAL COLD WATER ENHANCER PEACH 20 PYRAMID ENV TBGS</t>
        </is>
      </c>
      <c r="C617" s="7" t="n">
        <v>20</v>
      </c>
    </row>
    <row r="618" hidden="1" ht="14.25" customHeight="1" s="5">
      <c r="A618" s="7" t="n">
        <v>31614</v>
      </c>
      <c r="B618" s="7" t="inlineStr">
        <is>
          <t>HELLO LIFE HERBAL COLD WATER ENHANCER WILD BERRY 20 PYRAMID ENV TBGS</t>
        </is>
      </c>
      <c r="C618" s="7" t="n">
        <v>20</v>
      </c>
    </row>
    <row r="619" hidden="1" ht="14.25" customHeight="1" s="5">
      <c r="A619" s="7" t="n">
        <v>583</v>
      </c>
      <c r="B619" s="7" t="inlineStr">
        <is>
          <t>HOFFER DARJEELING 25 DC SF ENV TBGS</t>
        </is>
      </c>
      <c r="C619" s="7" t="n">
        <v>25</v>
      </c>
    </row>
    <row r="620" hidden="1" ht="14.25" customHeight="1" s="5">
      <c r="A620" s="7" t="n">
        <v>582</v>
      </c>
      <c r="B620" s="7" t="inlineStr">
        <is>
          <t>HOFFER EARL GREY 25 DC SF ENV TBGS</t>
        </is>
      </c>
      <c r="C620" s="7" t="n">
        <v>25</v>
      </c>
    </row>
    <row r="621" hidden="1" ht="14.25" customHeight="1" s="5">
      <c r="A621" s="7" t="n">
        <v>595</v>
      </c>
      <c r="B621" s="7" t="inlineStr">
        <is>
          <t>HOFFER ENGLISH BREAK FAST 50 DC SF TAG TBGS</t>
        </is>
      </c>
      <c r="C621" s="7" t="n">
        <v>50</v>
      </c>
    </row>
    <row r="622" hidden="1" ht="14.25" customHeight="1" s="5">
      <c r="A622" s="7" t="n">
        <v>581</v>
      </c>
      <c r="B622" s="7" t="inlineStr">
        <is>
          <t>HOFFER GREEN TEA 25 DC SF ENV TBGS</t>
        </is>
      </c>
      <c r="C622" s="7" t="n">
        <v>25</v>
      </c>
    </row>
    <row r="623" hidden="1" ht="14.25" customHeight="1" s="5">
      <c r="A623" s="7" t="n">
        <v>23057</v>
      </c>
      <c r="B623" s="7" t="inlineStr">
        <is>
          <t>HOFFER GREEN TEA 25 DC SF TAG TBGS</t>
        </is>
      </c>
      <c r="C623" s="7" t="n">
        <v>25</v>
      </c>
    </row>
    <row r="624" hidden="1" ht="14.25" customHeight="1" s="5">
      <c r="A624" s="7" t="n">
        <v>584</v>
      </c>
      <c r="B624" s="7" t="inlineStr">
        <is>
          <t>HOFFER GREEN TEA JASMINE 25 DC SF ENV TBGS</t>
        </is>
      </c>
      <c r="C624" s="7" t="n">
        <v>25</v>
      </c>
    </row>
    <row r="625" hidden="1" ht="14.25" customHeight="1" s="5">
      <c r="A625" s="7" t="n">
        <v>588</v>
      </c>
      <c r="B625" s="7" t="inlineStr">
        <is>
          <t>HOFFER GREEN TEA LEMON 25 DC SF ENV TBGS</t>
        </is>
      </c>
      <c r="C625" s="7" t="n">
        <v>25</v>
      </c>
    </row>
    <row r="626" hidden="1" ht="14.25" customHeight="1" s="5">
      <c r="A626" s="7" t="n">
        <v>585</v>
      </c>
      <c r="B626" s="7" t="inlineStr">
        <is>
          <t>HOFFER GREEN TEA ORANGE 25 DC SF ENV TBGS</t>
        </is>
      </c>
      <c r="C626" s="7" t="n">
        <v>0</v>
      </c>
    </row>
    <row r="627" hidden="1" ht="14.25" customHeight="1" s="5">
      <c r="A627" s="7" t="n">
        <v>596</v>
      </c>
      <c r="B627" s="7" t="inlineStr">
        <is>
          <t>HOFFER INDIAN MELANGE 50 DC SF TAG TBGS</t>
        </is>
      </c>
      <c r="C627" s="7" t="n">
        <v>50</v>
      </c>
    </row>
    <row r="628" hidden="1" ht="14.25" customHeight="1" s="5">
      <c r="A628" s="7" t="n">
        <v>597</v>
      </c>
      <c r="B628" s="7" t="inlineStr">
        <is>
          <t>HOFFER RUSSIAN MELANGE 50 DC SF TAG TBGS</t>
        </is>
      </c>
      <c r="C628" s="7" t="n">
        <v>50</v>
      </c>
    </row>
    <row r="629" hidden="1" ht="14.25" customHeight="1" s="5">
      <c r="A629" s="7" t="n">
        <v>586</v>
      </c>
      <c r="B629" s="7" t="inlineStr">
        <is>
          <t>HOFFER WHITE TEA 25 DC SF ENV TBGS</t>
        </is>
      </c>
      <c r="C629" s="7" t="n">
        <v>0</v>
      </c>
    </row>
    <row r="630" hidden="1" ht="14.25" customHeight="1" s="5">
      <c r="A630" s="7" t="n">
        <v>36287</v>
      </c>
      <c r="B630" s="7" t="inlineStr">
        <is>
          <t>ICA CEYLON 100 DC SF TAG TBGS</t>
        </is>
      </c>
      <c r="C630" s="7" t="n">
        <v>100</v>
      </c>
    </row>
    <row r="631" hidden="1" ht="14.25" customHeight="1" s="5">
      <c r="A631" s="7" t="n">
        <v>36209</v>
      </c>
      <c r="B631" s="7" t="inlineStr">
        <is>
          <t>ICA CHAI 20 DC SF ENV TBGS</t>
        </is>
      </c>
      <c r="C631" s="7" t="n">
        <v>20</v>
      </c>
    </row>
    <row r="632" hidden="1" ht="14.25" customHeight="1" s="5">
      <c r="A632" s="7" t="n">
        <v>36212</v>
      </c>
      <c r="B632" s="7" t="inlineStr">
        <is>
          <t>ICA FOREST FRUIT 20 DC SF ENV TBGS</t>
        </is>
      </c>
      <c r="C632" s="7" t="n">
        <v>20</v>
      </c>
    </row>
    <row r="633" hidden="1" ht="14.25" customHeight="1" s="5">
      <c r="A633" s="7" t="n">
        <v>36213</v>
      </c>
      <c r="B633" s="7" t="inlineStr">
        <is>
          <t>ICA GREEN TEA LEMON 20 DC SF ENV TBGS</t>
        </is>
      </c>
      <c r="C633" s="7" t="n">
        <v>20</v>
      </c>
    </row>
    <row r="634" hidden="1" ht="14.25" customHeight="1" s="5">
      <c r="A634" s="7" t="n">
        <v>36214</v>
      </c>
      <c r="B634" s="7" t="inlineStr">
        <is>
          <t>ICA GREEN TEA ORANGE GINGER 20 DC SF ENV TBGS</t>
        </is>
      </c>
      <c r="C634" s="7" t="n">
        <v>20</v>
      </c>
    </row>
    <row r="635" hidden="1" ht="14.25" customHeight="1" s="5">
      <c r="A635" s="7" t="n">
        <v>36211</v>
      </c>
      <c r="B635" s="7" t="inlineStr">
        <is>
          <t>ICA ORTTE 20 DC SF ENV TBGS</t>
        </is>
      </c>
      <c r="C635" s="7" t="n">
        <v>20</v>
      </c>
    </row>
    <row r="636" hidden="1" ht="14.25" customHeight="1" s="5">
      <c r="A636" s="7" t="n">
        <v>36210</v>
      </c>
      <c r="B636" s="7" t="inlineStr">
        <is>
          <t>ICA SODERBLOM 20 DC SF ENV TBGS</t>
        </is>
      </c>
      <c r="C636" s="7" t="n">
        <v>20</v>
      </c>
    </row>
    <row r="637" hidden="1" ht="14.25" customHeight="1" s="5">
      <c r="A637" s="7" t="n">
        <v>31913</v>
      </c>
      <c r="B637" s="7" t="inlineStr">
        <is>
          <t>IKEA APPLE CINNAMON 25 DC SF HS ENV  TBGS</t>
        </is>
      </c>
      <c r="C637" s="7" t="n">
        <v>25</v>
      </c>
    </row>
    <row r="638" hidden="1" ht="14.25" customHeight="1" s="5">
      <c r="A638" s="7" t="n">
        <v>20110</v>
      </c>
      <c r="B638" s="7" t="inlineStr">
        <is>
          <t>IKEA ASSAM TEA 25 DC SF HS ENV TBGS</t>
        </is>
      </c>
      <c r="C638" s="7" t="n">
        <v>25</v>
      </c>
    </row>
    <row r="639" hidden="1" ht="14.25" customHeight="1" s="5">
      <c r="A639" s="7" t="n">
        <v>20108</v>
      </c>
      <c r="B639" s="7" t="inlineStr">
        <is>
          <t>IKEA GREEN TEA 25 DC SF HS ENV TBGS</t>
        </is>
      </c>
      <c r="C639" s="7" t="n">
        <v>25</v>
      </c>
    </row>
    <row r="640" hidden="1" ht="14.25" customHeight="1" s="5">
      <c r="A640" s="7" t="n">
        <v>22991</v>
      </c>
      <c r="B640" s="7" t="inlineStr">
        <is>
          <t>IKEA GREEN TEA TULSI 25 DC SF HS ENV TBGS</t>
        </is>
      </c>
      <c r="C640" s="7" t="n">
        <v>25</v>
      </c>
    </row>
    <row r="641" hidden="1" ht="14.25" customHeight="1" s="5">
      <c r="A641" s="7" t="n">
        <v>20109</v>
      </c>
      <c r="B641" s="7" t="inlineStr">
        <is>
          <t>IKEA HONEY LEMON GREEN TEA 25 DC SF HS ENV TBGS</t>
        </is>
      </c>
      <c r="C641" s="7" t="n">
        <v>25</v>
      </c>
    </row>
    <row r="642" hidden="1" ht="14.25" customHeight="1" s="5">
      <c r="A642" s="7" t="n">
        <v>22990</v>
      </c>
      <c r="B642" s="7" t="inlineStr">
        <is>
          <t>IKEA KASHMIRI KAHWA 25 DC SF HS ENV TBGS</t>
        </is>
      </c>
      <c r="C642" s="7" t="n">
        <v>25</v>
      </c>
    </row>
    <row r="643" hidden="1" ht="14.25" customHeight="1" s="5">
      <c r="A643" s="7" t="n">
        <v>31912</v>
      </c>
      <c r="B643" s="7" t="inlineStr">
        <is>
          <t>IKEA LEMON 25 DC SF HS ENV  TBGS</t>
        </is>
      </c>
      <c r="C643" s="7" t="n">
        <v>25</v>
      </c>
    </row>
    <row r="644" hidden="1" ht="14.25" customHeight="1" s="5">
      <c r="A644" s="7" t="n">
        <v>20111</v>
      </c>
      <c r="B644" s="7" t="inlineStr">
        <is>
          <t>IKEA MASALA TEA 25 DC SF HS ENV TBGS</t>
        </is>
      </c>
      <c r="C644" s="7" t="n">
        <v>25</v>
      </c>
    </row>
    <row r="645" hidden="1" ht="14.25" customHeight="1" s="5">
      <c r="A645" s="7" t="n">
        <v>31914</v>
      </c>
      <c r="B645" s="7" t="inlineStr">
        <is>
          <t>IKEA ORANGE GINGER 25 DC SF HS ENV  TBGS</t>
        </is>
      </c>
      <c r="C645" s="7" t="n">
        <v>25</v>
      </c>
    </row>
    <row r="646" hidden="1" ht="14.25" customHeight="1" s="5">
      <c r="A646" s="7" t="n">
        <v>22992</v>
      </c>
      <c r="B646" s="7" t="inlineStr">
        <is>
          <t>IKEA PEPPERMINT 25 DC SF HS ENV TBGS</t>
        </is>
      </c>
      <c r="C646" s="7" t="n">
        <v>25</v>
      </c>
    </row>
    <row r="647" hidden="1" ht="14.25" customHeight="1" s="5">
      <c r="A647" s="7" t="n">
        <v>28688</v>
      </c>
      <c r="B647" s="7" t="inlineStr">
        <is>
          <t>IKRUT PREMIUM LEAF MJ-MISRILAL 20 GM POUCH</t>
        </is>
      </c>
      <c r="C647" s="7" t="n">
        <v>1</v>
      </c>
    </row>
    <row r="648" hidden="1" ht="14.25" customHeight="1" s="5">
      <c r="A648" s="7" t="n">
        <v>28161</v>
      </c>
      <c r="B648" s="7" t="inlineStr">
        <is>
          <t>IKRUT PREMIUM LEAF MJ-MSL(MISRILAL) 250 GM POUCH</t>
        </is>
      </c>
      <c r="C648" s="7" t="n">
        <v>1</v>
      </c>
    </row>
    <row r="649" hidden="1" ht="14.25" customHeight="1" s="5">
      <c r="A649" s="7" t="n">
        <v>28162</v>
      </c>
      <c r="B649" s="7" t="inlineStr">
        <is>
          <t>IKRUT PREMIUM LEAF MJ-MSL(MISRILAL) 500 GM POUCH</t>
        </is>
      </c>
      <c r="C649" s="7" t="n">
        <v>1</v>
      </c>
    </row>
    <row r="650" hidden="1" ht="14.25" customHeight="1" s="5">
      <c r="A650" s="7" t="n">
        <v>28689</v>
      </c>
      <c r="B650" s="7" t="inlineStr">
        <is>
          <t>IKRUT ROYAL LEAF SFA 20 GM POUCH</t>
        </is>
      </c>
      <c r="C650" s="7" t="n">
        <v>1</v>
      </c>
    </row>
    <row r="651" hidden="1" ht="14.25" customHeight="1" s="5">
      <c r="A651" s="7" t="n">
        <v>28163</v>
      </c>
      <c r="B651" s="7" t="inlineStr">
        <is>
          <t>IKRUT ROYAL LEAF SFA 250 GM POUCH</t>
        </is>
      </c>
      <c r="C651" s="7" t="n">
        <v>1</v>
      </c>
    </row>
    <row r="652" hidden="1" ht="14.25" customHeight="1" s="5">
      <c r="A652" s="7" t="n">
        <v>28165</v>
      </c>
      <c r="B652" s="7" t="inlineStr">
        <is>
          <t>IKRUT ROYAL LEAF SFA 500 GM POUCH</t>
        </is>
      </c>
      <c r="C652" s="7" t="n">
        <v>1</v>
      </c>
    </row>
    <row r="653" hidden="1" ht="14.25" customHeight="1" s="5">
      <c r="A653" s="7" t="n">
        <v>599</v>
      </c>
      <c r="B653" s="7" t="inlineStr">
        <is>
          <t>IMANE 100 DC ENV TBGS</t>
        </is>
      </c>
      <c r="C653" s="7" t="n">
        <v>100</v>
      </c>
    </row>
    <row r="654" hidden="1" ht="14.25" customHeight="1" s="5">
      <c r="A654" s="7" t="n">
        <v>604</v>
      </c>
      <c r="B654" s="7" t="inlineStr">
        <is>
          <t>INDUS 100 DC ENV TBGS</t>
        </is>
      </c>
      <c r="C654" s="7" t="n">
        <v>100</v>
      </c>
    </row>
    <row r="655" hidden="1" ht="14.25" customHeight="1" s="5">
      <c r="A655" s="7" t="n">
        <v>19100</v>
      </c>
      <c r="B655" s="7" t="inlineStr">
        <is>
          <t>INDUS 100 DC ENV TBGS(BLEND 786)</t>
        </is>
      </c>
      <c r="C655" s="7" t="n">
        <v>100</v>
      </c>
    </row>
    <row r="656" hidden="1" ht="14.25" customHeight="1" s="5">
      <c r="A656" s="7" t="n">
        <v>20016</v>
      </c>
      <c r="B656" s="7" t="inlineStr">
        <is>
          <t>INDUS 105 DC ENV TBGS (BLEND 786)</t>
        </is>
      </c>
      <c r="C656" s="7" t="n">
        <v>105</v>
      </c>
    </row>
    <row r="657" hidden="1" ht="14.25" customHeight="1" s="5">
      <c r="A657" s="7" t="n">
        <v>20321</v>
      </c>
      <c r="B657" s="7" t="inlineStr">
        <is>
          <t>INDUS 106 DC ENV TBGS</t>
        </is>
      </c>
      <c r="C657" s="7" t="n">
        <v>106</v>
      </c>
    </row>
    <row r="658" hidden="1" ht="14.25" customHeight="1" s="5">
      <c r="A658" s="7" t="n">
        <v>20018</v>
      </c>
      <c r="B658" s="7" t="inlineStr">
        <is>
          <t>INDUS 25 DC ENV TBGS (BLEND 786)</t>
        </is>
      </c>
      <c r="C658" s="7" t="n">
        <v>25</v>
      </c>
    </row>
    <row r="659" hidden="1" ht="14.25" customHeight="1" s="5">
      <c r="A659" s="7" t="n">
        <v>21781</v>
      </c>
      <c r="B659" s="7" t="inlineStr">
        <is>
          <t>INDUS 25 DC TAG TBGS</t>
        </is>
      </c>
      <c r="C659" s="7" t="n">
        <v>25</v>
      </c>
    </row>
    <row r="660" hidden="1" ht="14.25" customHeight="1" s="5">
      <c r="A660" s="7" t="n">
        <v>20810</v>
      </c>
      <c r="B660" s="7" t="inlineStr">
        <is>
          <t>INDUS 50 DC ENV TBGS</t>
        </is>
      </c>
      <c r="C660" s="7" t="n">
        <v>50</v>
      </c>
    </row>
    <row r="661" hidden="1" ht="14.25" customHeight="1" s="5">
      <c r="A661" s="7" t="n">
        <v>32732</v>
      </c>
      <c r="B661" s="7" t="inlineStr">
        <is>
          <t>INDUS BLACKCURRENT 25 DC TAG TBGS</t>
        </is>
      </c>
      <c r="C661" s="7" t="n">
        <v>25</v>
      </c>
    </row>
    <row r="662" hidden="1" ht="14.25" customHeight="1" s="5">
      <c r="A662" s="7" t="n">
        <v>27555</v>
      </c>
      <c r="B662" s="7" t="inlineStr">
        <is>
          <t>INDUS CLASSIC 25 DC TAG TBGS</t>
        </is>
      </c>
      <c r="C662" s="7" t="n">
        <v>25</v>
      </c>
    </row>
    <row r="663" hidden="1" ht="14.25" customHeight="1" s="5">
      <c r="A663" s="7" t="n">
        <v>35875</v>
      </c>
      <c r="B663" s="7" t="inlineStr">
        <is>
          <t>INDUS CLOVE 25 DC ENV TBGS</t>
        </is>
      </c>
      <c r="C663" s="7" t="n">
        <v>25</v>
      </c>
    </row>
    <row r="664" hidden="1" ht="14.25" customHeight="1" s="5">
      <c r="A664" s="7" t="n">
        <v>35877</v>
      </c>
      <c r="B664" s="7" t="inlineStr">
        <is>
          <t>INDUS COCKTAIL 25 DC ENV TBGS</t>
        </is>
      </c>
      <c r="C664" s="7" t="n">
        <v>25</v>
      </c>
    </row>
    <row r="665" hidden="1" ht="14.25" customHeight="1" s="5">
      <c r="A665" s="7" t="n">
        <v>33125</v>
      </c>
      <c r="B665" s="7" t="inlineStr">
        <is>
          <t>INDUS CRANBERRY APPLE HERBAL 25 DC ENV TBGS</t>
        </is>
      </c>
      <c r="C665" s="7" t="n">
        <v>25</v>
      </c>
    </row>
    <row r="666" hidden="1" ht="14.25" customHeight="1" s="5">
      <c r="A666" s="7" t="n">
        <v>33126</v>
      </c>
      <c r="B666" s="7" t="inlineStr">
        <is>
          <t>INDUS CRANBERRY MINT HERBAL 25 DC ENV TBGS</t>
        </is>
      </c>
      <c r="C666" s="7" t="n">
        <v>25</v>
      </c>
    </row>
    <row r="667" hidden="1" ht="14.25" customHeight="1" s="5">
      <c r="A667" s="7" t="n">
        <v>26213</v>
      </c>
      <c r="B667" s="7" t="inlineStr">
        <is>
          <t>INDUS GINGER 25 DC ENV TBGS</t>
        </is>
      </c>
      <c r="C667" s="7" t="n">
        <v>25</v>
      </c>
    </row>
    <row r="668" hidden="1" ht="14.25" customHeight="1" s="5">
      <c r="A668" s="7" t="n">
        <v>27556</v>
      </c>
      <c r="B668" s="7" t="inlineStr">
        <is>
          <t>INDUS HIGHGROWN 100 DC TAG TBGS</t>
        </is>
      </c>
      <c r="C668" s="7" t="n">
        <v>100</v>
      </c>
    </row>
    <row r="669" hidden="1" ht="14.25" customHeight="1" s="5">
      <c r="A669" s="7" t="n">
        <v>35840</v>
      </c>
      <c r="B669" s="7" t="inlineStr">
        <is>
          <t>INDUS HIGHGROWN 100 DC TAG TBGS (MOLDOVA)</t>
        </is>
      </c>
      <c r="C669" s="7" t="n">
        <v>100</v>
      </c>
    </row>
    <row r="670" hidden="1" ht="14.25" customHeight="1" s="5">
      <c r="A670" s="7" t="n">
        <v>35837</v>
      </c>
      <c r="B670" s="7" t="inlineStr">
        <is>
          <t>INDUS HIGHGROWN 25 DC TAG TBG (MOLDOVA)</t>
        </is>
      </c>
      <c r="C670" s="7" t="n">
        <v>25</v>
      </c>
    </row>
    <row r="671" hidden="1" ht="14.25" customHeight="1" s="5">
      <c r="A671" s="7" t="n">
        <v>34048</v>
      </c>
      <c r="B671" s="7" t="inlineStr">
        <is>
          <t>INDUS HIGHGROWN 25 DC TAG TBG (RUSSIA)</t>
        </is>
      </c>
      <c r="C671" s="7" t="n">
        <v>25</v>
      </c>
    </row>
    <row r="672" hidden="1" ht="14.25" customHeight="1" s="5">
      <c r="A672" s="7" t="n">
        <v>27557</v>
      </c>
      <c r="B672" s="7" t="inlineStr">
        <is>
          <t>INDUS HIGHGROWN 25 DC TAG TBGS</t>
        </is>
      </c>
      <c r="C672" s="7" t="n">
        <v>25</v>
      </c>
    </row>
    <row r="673" hidden="1" ht="14.25" customHeight="1" s="5">
      <c r="A673" s="7" t="n">
        <v>34071</v>
      </c>
      <c r="B673" s="7" t="inlineStr">
        <is>
          <t>INDUS KREPKIY 100 DC TAG TBGS</t>
        </is>
      </c>
      <c r="C673" s="7" t="n">
        <v>100</v>
      </c>
    </row>
    <row r="674" hidden="1" ht="14.25" customHeight="1" s="5">
      <c r="A674" s="7" t="n">
        <v>33769</v>
      </c>
      <c r="B674" s="7" t="inlineStr">
        <is>
          <t>INDUS KREPKIY 25 DC TAG TBGS</t>
        </is>
      </c>
      <c r="C674" s="7" t="n">
        <v>25</v>
      </c>
    </row>
    <row r="675" hidden="1" ht="14.25" customHeight="1" s="5">
      <c r="A675" s="7" t="n">
        <v>26220</v>
      </c>
      <c r="B675" s="7" t="inlineStr">
        <is>
          <t>INDUS LEMON 25 DC ENV TBGS</t>
        </is>
      </c>
      <c r="C675" s="7" t="n">
        <v>1</v>
      </c>
    </row>
    <row r="676" hidden="1" ht="14.25" customHeight="1" s="5">
      <c r="A676" s="7" t="n">
        <v>32730</v>
      </c>
      <c r="B676" s="7" t="inlineStr">
        <is>
          <t>INDUS LEMON 25 DC TAG TBGS</t>
        </is>
      </c>
      <c r="C676" s="7" t="n">
        <v>25</v>
      </c>
    </row>
    <row r="677" hidden="1" ht="14.25" customHeight="1" s="5">
      <c r="A677" s="7" t="n">
        <v>2184</v>
      </c>
      <c r="B677" s="7" t="inlineStr">
        <is>
          <t>INDUS LOOSE TBGS CLASSIC IMA HS ENV TBGS</t>
        </is>
      </c>
      <c r="C677" s="7" t="n">
        <v>0</v>
      </c>
    </row>
    <row r="678" hidden="1" ht="14.25" customHeight="1" s="5">
      <c r="A678" s="7" t="n">
        <v>2203</v>
      </c>
      <c r="B678" s="7" t="inlineStr">
        <is>
          <t>INDUS LOOSE TBGS DC ENV TBGS</t>
        </is>
      </c>
      <c r="C678" s="7" t="n">
        <v>0</v>
      </c>
    </row>
    <row r="679" hidden="1" ht="14.25" customHeight="1" s="5">
      <c r="A679" s="7" t="n">
        <v>2188</v>
      </c>
      <c r="B679" s="7" t="inlineStr">
        <is>
          <t>INDUS LOOSE TBGS HIGHGROWN IMA HS ENV TBGS</t>
        </is>
      </c>
      <c r="C679" s="7" t="n">
        <v>0</v>
      </c>
    </row>
    <row r="680" hidden="1" ht="14.25" customHeight="1" s="5">
      <c r="A680" s="7" t="n">
        <v>32731</v>
      </c>
      <c r="B680" s="7" t="inlineStr">
        <is>
          <t>INDUS MANGO &amp; STRAWBERRY 25 DC TAG TBGS</t>
        </is>
      </c>
      <c r="C680" s="7" t="n">
        <v>25</v>
      </c>
    </row>
    <row r="681" hidden="1" ht="14.25" customHeight="1" s="5">
      <c r="A681" s="7" t="n">
        <v>26226</v>
      </c>
      <c r="B681" s="7" t="inlineStr">
        <is>
          <t>INDUS MANGO 25 DC ENV TBGS</t>
        </is>
      </c>
      <c r="C681" s="7" t="n">
        <v>25</v>
      </c>
    </row>
    <row r="682" hidden="1" ht="14.25" customHeight="1" s="5">
      <c r="A682" s="7" t="n">
        <v>31091</v>
      </c>
      <c r="B682" s="7" t="inlineStr">
        <is>
          <t>INDUS MINT 25 DC ENV TBGS</t>
        </is>
      </c>
      <c r="C682" s="7" t="n">
        <v>25</v>
      </c>
    </row>
    <row r="683" hidden="1" ht="14.25" customHeight="1" s="5">
      <c r="A683" s="7" t="n">
        <v>33109</v>
      </c>
      <c r="B683" s="7" t="inlineStr">
        <is>
          <t>INDUS NASYSHENNYI 100 DC TAG TBGS</t>
        </is>
      </c>
      <c r="C683" s="7" t="n">
        <v>100</v>
      </c>
    </row>
    <row r="684" hidden="1" ht="14.25" customHeight="1" s="5">
      <c r="A684" s="7" t="n">
        <v>26230</v>
      </c>
      <c r="B684" s="7" t="inlineStr">
        <is>
          <t>INDUS ORANGE 25 DC ENV TBGS</t>
        </is>
      </c>
      <c r="C684" s="7" t="n">
        <v>25</v>
      </c>
    </row>
    <row r="685" hidden="1" ht="14.25" customHeight="1" s="5">
      <c r="A685" s="7" t="n">
        <v>31090</v>
      </c>
      <c r="B685" s="7" t="inlineStr">
        <is>
          <t>INDUS STRAWBERRY 25 DC ENV TBGS</t>
        </is>
      </c>
      <c r="C685" s="7" t="n">
        <v>25</v>
      </c>
    </row>
    <row r="686" hidden="1" ht="14.25" customHeight="1" s="5">
      <c r="A686" s="7" t="n">
        <v>26234</v>
      </c>
      <c r="B686" s="7" t="inlineStr">
        <is>
          <t>INDUS TAMARIND 25 DC ENV TBGS</t>
        </is>
      </c>
      <c r="C686" s="7" t="n">
        <v>25</v>
      </c>
    </row>
    <row r="687" hidden="1" ht="14.25" customHeight="1" s="5">
      <c r="A687" s="7" t="n">
        <v>33767</v>
      </c>
      <c r="B687" s="7" t="inlineStr">
        <is>
          <t>INDUS VYSOKOGORNYI 25 DC TAG TBGS</t>
        </is>
      </c>
      <c r="C687" s="7" t="n">
        <v>25</v>
      </c>
    </row>
    <row r="688" hidden="1" ht="14.25" customHeight="1" s="5">
      <c r="A688" s="7" t="n">
        <v>33124</v>
      </c>
      <c r="B688" s="7" t="inlineStr">
        <is>
          <t>INDUS WATERMELON 25 DC ENV TBGS</t>
        </is>
      </c>
      <c r="C688" s="7" t="n">
        <v>25</v>
      </c>
    </row>
    <row r="689" hidden="1" ht="14.25" customHeight="1" s="5">
      <c r="A689" s="7" t="n">
        <v>32729</v>
      </c>
      <c r="B689" s="7" t="inlineStr">
        <is>
          <t>INDUS WILD BERRIES 25 DC TAG TBGS</t>
        </is>
      </c>
      <c r="C689" s="7" t="n">
        <v>25</v>
      </c>
    </row>
    <row r="690" hidden="1" ht="14.25" customHeight="1" s="5">
      <c r="A690" s="7" t="n">
        <v>22451</v>
      </c>
      <c r="B690" s="7" t="inlineStr">
        <is>
          <t>JAAGO 100 GM LEAF RL</t>
        </is>
      </c>
      <c r="C690" s="7" t="n">
        <v>1</v>
      </c>
    </row>
    <row r="691" hidden="1" ht="14.25" customHeight="1" s="5">
      <c r="A691" s="7" t="n">
        <v>19111</v>
      </c>
      <c r="B691" s="7" t="inlineStr">
        <is>
          <t>JAAGO 1000 GM Dust RJ1</t>
        </is>
      </c>
      <c r="C691" s="7" t="n">
        <v>1</v>
      </c>
    </row>
    <row r="692" hidden="1" ht="14.25" customHeight="1" s="5">
      <c r="A692" s="7" t="n">
        <v>19123</v>
      </c>
      <c r="B692" s="7" t="inlineStr">
        <is>
          <t>JAAGO 250 GM Dust CP Battery RJ1</t>
        </is>
      </c>
      <c r="C692" s="7" t="n">
        <v>1</v>
      </c>
    </row>
    <row r="693" hidden="1" ht="14.25" customHeight="1" s="5">
      <c r="A693" s="7" t="n">
        <v>19108</v>
      </c>
      <c r="B693" s="7" t="inlineStr">
        <is>
          <t>JAAGO 250 GM Dust RJ1</t>
        </is>
      </c>
      <c r="C693" s="7" t="n">
        <v>1</v>
      </c>
    </row>
    <row r="694" hidden="1" ht="14.25" customHeight="1" s="5">
      <c r="A694" s="7" t="n">
        <v>19186</v>
      </c>
      <c r="B694" s="7" t="inlineStr">
        <is>
          <t>JAAGO 250 GM Dust RJ2</t>
        </is>
      </c>
      <c r="C694" s="7" t="n">
        <v>1</v>
      </c>
    </row>
    <row r="695" hidden="1" ht="14.25" customHeight="1" s="5">
      <c r="A695" s="7" t="n">
        <v>21208</v>
      </c>
      <c r="B695" s="7" t="inlineStr">
        <is>
          <t>JAAGO 250 GM Dust RJ2 CP BT</t>
        </is>
      </c>
      <c r="C695" s="7" t="n">
        <v>1</v>
      </c>
    </row>
    <row r="696" hidden="1" ht="14.25" customHeight="1" s="5">
      <c r="A696" s="7" t="n">
        <v>19119</v>
      </c>
      <c r="B696" s="7" t="inlineStr">
        <is>
          <t>JAAGO 250 GM Leaf CP Battery RJ1</t>
        </is>
      </c>
      <c r="C696" s="7" t="n">
        <v>1</v>
      </c>
    </row>
    <row r="697" hidden="1" ht="14.25" customHeight="1" s="5">
      <c r="A697" s="7" t="n">
        <v>20983</v>
      </c>
      <c r="B697" s="7" t="inlineStr">
        <is>
          <t>JAAGO 250 GM Leaf RG(S+)</t>
        </is>
      </c>
      <c r="C697" s="7" t="n">
        <v>1</v>
      </c>
    </row>
    <row r="698" hidden="1" ht="14.25" customHeight="1" s="5">
      <c r="A698" s="7" t="n">
        <v>36159</v>
      </c>
      <c r="B698" s="7" t="inlineStr">
        <is>
          <t>JAAGO 250 GM Leaf RG(S+) (V2)</t>
        </is>
      </c>
      <c r="C698" s="7" t="n">
        <v>1</v>
      </c>
    </row>
    <row r="699" hidden="1" ht="14.25" customHeight="1" s="5">
      <c r="A699" s="7" t="n">
        <v>21207</v>
      </c>
      <c r="B699" s="7" t="inlineStr">
        <is>
          <t>JAAGO 250 GM Leaf RG(S+) CP BT</t>
        </is>
      </c>
      <c r="C699" s="7" t="n">
        <v>1</v>
      </c>
    </row>
    <row r="700" hidden="1" ht="14.25" customHeight="1" s="5">
      <c r="A700" s="7" t="n">
        <v>37108</v>
      </c>
      <c r="B700" s="7" t="inlineStr">
        <is>
          <t>JAAGO DUST RJ-2-JG 20 GM POUCH</t>
        </is>
      </c>
      <c r="C700" s="7" t="n">
        <v>1</v>
      </c>
    </row>
    <row r="701" hidden="1" ht="14.25" customHeight="1" s="5">
      <c r="A701" s="7" t="n">
        <v>20059</v>
      </c>
      <c r="B701" s="7" t="inlineStr">
        <is>
          <t>JAAGO DUST RJ2 1 KG POUCH</t>
        </is>
      </c>
      <c r="C701" s="7" t="n">
        <v>1</v>
      </c>
    </row>
    <row r="702" hidden="1" ht="14.25" customHeight="1" s="5">
      <c r="A702" s="7" t="n">
        <v>32922</v>
      </c>
      <c r="B702" s="7" t="inlineStr">
        <is>
          <t>JAAGO DUST TEA TVN INST PACK STD-TV (NEW) 1 KG POUCH</t>
        </is>
      </c>
      <c r="C702" s="7" t="n">
        <v>1</v>
      </c>
    </row>
    <row r="703" hidden="1" ht="14.25" customHeight="1" s="5">
      <c r="A703" s="7" t="n">
        <v>33174</v>
      </c>
      <c r="B703" s="7" t="inlineStr">
        <is>
          <t>JAAGO DUST TV (NEW) 200 GM POUCH</t>
        </is>
      </c>
      <c r="C703" s="7" t="n">
        <v>1</v>
      </c>
    </row>
    <row r="704" hidden="1" ht="14.25" customHeight="1" s="5">
      <c r="A704" s="7" t="n">
        <v>33173</v>
      </c>
      <c r="B704" s="7" t="inlineStr">
        <is>
          <t>JAAGO DUST TV (NEW) 250 GM POUCH</t>
        </is>
      </c>
      <c r="C704" s="7" t="n">
        <v>1</v>
      </c>
    </row>
    <row r="705" hidden="1" ht="14.25" customHeight="1" s="5">
      <c r="A705" s="7" t="n">
        <v>20984</v>
      </c>
      <c r="B705" s="7" t="inlineStr">
        <is>
          <t>JAAGO LEAF RG(S+) 1 KG POUCH</t>
        </is>
      </c>
      <c r="C705" s="7" t="n">
        <v>1</v>
      </c>
    </row>
    <row r="706" hidden="1" ht="14.25" customHeight="1" s="5">
      <c r="A706" s="7" t="n">
        <v>23698</v>
      </c>
      <c r="B706" s="7" t="inlineStr">
        <is>
          <t>JAAGO LEAF RG-JAGO L 1 KG POUCH</t>
        </is>
      </c>
      <c r="C706" s="7" t="n">
        <v>1</v>
      </c>
    </row>
    <row r="707" hidden="1" ht="14.25" customHeight="1" s="5">
      <c r="A707" s="7" t="n">
        <v>31809</v>
      </c>
      <c r="B707" s="7" t="inlineStr">
        <is>
          <t>JAAGO MASALA LEAF 1 KG POUCH</t>
        </is>
      </c>
      <c r="C707" s="7" t="n">
        <v>1</v>
      </c>
    </row>
    <row r="708" hidden="1" ht="14.25" customHeight="1" s="5">
      <c r="A708" s="7" t="n">
        <v>33463</v>
      </c>
      <c r="B708" s="7" t="inlineStr">
        <is>
          <t>JAAGO TVN DUST 1 KG POUCH</t>
        </is>
      </c>
      <c r="C708" s="7" t="n">
        <v>1</v>
      </c>
    </row>
    <row r="709" hidden="1" ht="14.25" customHeight="1" s="5">
      <c r="A709" s="7" t="n">
        <v>17908</v>
      </c>
      <c r="B709" s="7" t="inlineStr">
        <is>
          <t>JADU TEA 100 DC ENV TBGS</t>
        </is>
      </c>
      <c r="C709" s="7" t="n">
        <v>100</v>
      </c>
    </row>
    <row r="710" hidden="1" ht="14.25" customHeight="1" s="5">
      <c r="A710" s="7" t="n">
        <v>2209</v>
      </c>
      <c r="B710" s="7" t="inlineStr">
        <is>
          <t>JAY GOLD BOND 106 DC ENV TBGS</t>
        </is>
      </c>
      <c r="C710" s="7" t="n">
        <v>106</v>
      </c>
    </row>
    <row r="711" hidden="1" ht="14.25" customHeight="1" s="5">
      <c r="A711" s="7" t="n">
        <v>23260</v>
      </c>
      <c r="B711" s="7" t="inlineStr">
        <is>
          <t>JAY GOLD BOND COCKTAIL 25 DC ENV TBGS</t>
        </is>
      </c>
      <c r="C711" s="7" t="n">
        <v>25</v>
      </c>
    </row>
    <row r="712" hidden="1" ht="14.25" customHeight="1" s="5">
      <c r="A712" s="7" t="n">
        <v>2220</v>
      </c>
      <c r="B712" s="7" t="inlineStr">
        <is>
          <t>JAY GOLD BOND GINGER 25 DC ENV TBGS</t>
        </is>
      </c>
      <c r="C712" s="7" t="n">
        <v>25</v>
      </c>
    </row>
    <row r="713" hidden="1" ht="14.25" customHeight="1" s="5">
      <c r="A713" s="7" t="n">
        <v>2230</v>
      </c>
      <c r="B713" s="7" t="inlineStr">
        <is>
          <t>JAY GOLD BOND LEMON 25 DC ENV TBGS</t>
        </is>
      </c>
      <c r="C713" s="7" t="n">
        <v>25</v>
      </c>
    </row>
    <row r="714" hidden="1" ht="14.25" customHeight="1" s="5">
      <c r="A714" s="7" t="n">
        <v>2240</v>
      </c>
      <c r="B714" s="7" t="inlineStr">
        <is>
          <t>JAY GOLD BOND MANGO 25 DC ENV TBGS</t>
        </is>
      </c>
      <c r="C714" s="7" t="n">
        <v>25</v>
      </c>
    </row>
    <row r="715" hidden="1" ht="14.25" customHeight="1" s="5">
      <c r="A715" s="7" t="n">
        <v>23272</v>
      </c>
      <c r="B715" s="7" t="inlineStr">
        <is>
          <t>JAY GOLD BOND MINT 25 DC ENV TBGS</t>
        </is>
      </c>
      <c r="C715" s="7" t="n">
        <v>25</v>
      </c>
    </row>
    <row r="716" hidden="1" ht="14.25" customHeight="1" s="5">
      <c r="A716" s="7" t="n">
        <v>2257</v>
      </c>
      <c r="B716" s="7" t="inlineStr">
        <is>
          <t>JAY GOLD BOND ORANGE 25 DC ENV TBGS</t>
        </is>
      </c>
      <c r="C716" s="7" t="n">
        <v>25</v>
      </c>
    </row>
    <row r="717" hidden="1" ht="14.25" customHeight="1" s="5">
      <c r="A717" s="7" t="n">
        <v>2267</v>
      </c>
      <c r="B717" s="7" t="inlineStr">
        <is>
          <t>JAY GOLD BOND PINEAPPLE 25 DC ENV TBGS</t>
        </is>
      </c>
      <c r="C717" s="7" t="n">
        <v>25</v>
      </c>
    </row>
    <row r="718" hidden="1" ht="14.25" customHeight="1" s="5">
      <c r="A718" s="7" t="n">
        <v>2272</v>
      </c>
      <c r="B718" s="7" t="inlineStr">
        <is>
          <t>JAY GOLD BOND STRAWBERRY 25 DC ENV TBGS</t>
        </is>
      </c>
      <c r="C718" s="7" t="n">
        <v>25</v>
      </c>
    </row>
    <row r="719" hidden="1" ht="14.25" customHeight="1" s="5">
      <c r="A719" s="7" t="n">
        <v>2284</v>
      </c>
      <c r="B719" s="7" t="inlineStr">
        <is>
          <t>JAY GOLD BOND TAMARIND 25 DC ENV TBGS</t>
        </is>
      </c>
      <c r="C719" s="7" t="n">
        <v>25</v>
      </c>
    </row>
    <row r="720" hidden="1" ht="14.25" customHeight="1" s="5">
      <c r="A720" s="7" t="n">
        <v>2295</v>
      </c>
      <c r="B720" s="7" t="inlineStr">
        <is>
          <t>JAY GV 100 DC ENV TBGS</t>
        </is>
      </c>
      <c r="C720" s="7" t="n">
        <v>100</v>
      </c>
    </row>
    <row r="721" hidden="1" ht="14.25" customHeight="1" s="5">
      <c r="A721" s="7" t="n">
        <v>20295</v>
      </c>
      <c r="B721" s="7" t="inlineStr">
        <is>
          <t>JAY GV 24/50 DC ENV TBGS</t>
        </is>
      </c>
      <c r="C721" s="7" t="n">
        <v>1</v>
      </c>
    </row>
    <row r="722" hidden="1" ht="14.25" customHeight="1" s="5">
      <c r="A722" s="7" t="n">
        <v>2309</v>
      </c>
      <c r="B722" s="7" t="inlineStr">
        <is>
          <t>JAY GV 25 DC ENV TBGS</t>
        </is>
      </c>
      <c r="C722" s="7" t="n">
        <v>25</v>
      </c>
    </row>
    <row r="723" hidden="1" ht="14.25" customHeight="1" s="5">
      <c r="A723" s="7" t="n">
        <v>20677</v>
      </c>
      <c r="B723" s="7" t="inlineStr">
        <is>
          <t>JAY GV 25 DC SF TAG TBGS</t>
        </is>
      </c>
      <c r="C723" s="7" t="n">
        <v>25</v>
      </c>
    </row>
    <row r="724" hidden="1" ht="14.25" customHeight="1" s="5">
      <c r="A724" s="7" t="n">
        <v>2340</v>
      </c>
      <c r="B724" s="7" t="inlineStr">
        <is>
          <t>JAY GV 25 DC TAG TBGS</t>
        </is>
      </c>
      <c r="C724" s="7" t="n">
        <v>25</v>
      </c>
    </row>
    <row r="725" hidden="1" ht="14.25" customHeight="1" s="5">
      <c r="A725" s="7" t="n">
        <v>2315</v>
      </c>
      <c r="B725" s="7" t="inlineStr">
        <is>
          <t>JAY GV 50 DC ENV TBGS</t>
        </is>
      </c>
      <c r="C725" s="7" t="n">
        <v>50</v>
      </c>
    </row>
    <row r="726" hidden="1" ht="14.25" customHeight="1" s="5">
      <c r="A726" s="7" t="n">
        <v>36715</v>
      </c>
      <c r="B726" s="7" t="inlineStr">
        <is>
          <t>JOBWORK SERVICE CHARGES - TETLEY GREEN TEA GINGER MINT AND LEMON 25 ENV TBGS-NEW</t>
        </is>
      </c>
      <c r="C726" s="7" t="n">
        <v>25</v>
      </c>
    </row>
    <row r="727" hidden="1" ht="14.25" customHeight="1" s="5">
      <c r="A727" s="7" t="n">
        <v>34180</v>
      </c>
      <c r="B727" s="7" t="inlineStr">
        <is>
          <t>JOBWORK SERVICE CHARGES - TETLEY GREEN TEA GINGER MINT AND LEMON 36/25 ENV TBGS</t>
        </is>
      </c>
      <c r="C727" s="7" t="n">
        <v>25</v>
      </c>
    </row>
    <row r="728" hidden="1" ht="14.25" customHeight="1" s="5">
      <c r="A728" s="7" t="n">
        <v>36714</v>
      </c>
      <c r="B728" s="7" t="inlineStr">
        <is>
          <t>JOBWORK SERVICE CHARGES - TETLEY GREEN TEA LEMON AND HONEY 25 ENV TBGS-NEW</t>
        </is>
      </c>
      <c r="C728" s="7" t="n">
        <v>25</v>
      </c>
    </row>
    <row r="729" hidden="1" ht="14.25" customHeight="1" s="5">
      <c r="A729" s="7" t="n">
        <v>34179</v>
      </c>
      <c r="B729" s="7" t="inlineStr">
        <is>
          <t>JOBWORK SERVICE CHARGES - TETLEY GREEN TEA LEMON AND HONEY 36/25 ENV TBGS</t>
        </is>
      </c>
      <c r="C729" s="7" t="n">
        <v>25</v>
      </c>
    </row>
    <row r="730" hidden="1" ht="14.25" customHeight="1" s="5">
      <c r="A730" s="7" t="n">
        <v>36343</v>
      </c>
      <c r="B730" s="7" t="inlineStr">
        <is>
          <t>JOBWORK SERVICE CHARGES - TETLEY SLIM CARE GREEN TEA LEMON AND HONEY 25 ENV TBGS</t>
        </is>
      </c>
      <c r="C730" s="7" t="n">
        <v>25</v>
      </c>
    </row>
    <row r="731" hidden="1" ht="14.25" customHeight="1" s="5">
      <c r="A731" s="7" t="n">
        <v>5588</v>
      </c>
      <c r="B731" s="7" t="inlineStr">
        <is>
          <t>JUMBO CEYLON 20 DC SF ENV TBGS</t>
        </is>
      </c>
      <c r="C731" s="7" t="n">
        <v>20</v>
      </c>
    </row>
    <row r="732" hidden="1" ht="14.25" customHeight="1" s="5">
      <c r="A732" s="7" t="n">
        <v>5589</v>
      </c>
      <c r="B732" s="7" t="inlineStr">
        <is>
          <t>JUMBO EARL GREY 20 DC SF ENV TBGS</t>
        </is>
      </c>
      <c r="C732" s="7" t="n">
        <v>20</v>
      </c>
    </row>
    <row r="733" hidden="1" ht="14.25" customHeight="1" s="5">
      <c r="A733" s="7" t="n">
        <v>5590</v>
      </c>
      <c r="B733" s="7" t="inlineStr">
        <is>
          <t>JUMBO EARL GREY 20 DC SF TAG TBGS</t>
        </is>
      </c>
      <c r="C733" s="7" t="n">
        <v>20</v>
      </c>
    </row>
    <row r="734" hidden="1" ht="14.25" customHeight="1" s="5">
      <c r="A734" s="7" t="n">
        <v>5592</v>
      </c>
      <c r="B734" s="7" t="inlineStr">
        <is>
          <t>JUMBO ENGELESE MELANGE 20 DC SF ENV TBGS</t>
        </is>
      </c>
      <c r="C734" s="7" t="n">
        <v>20</v>
      </c>
    </row>
    <row r="735" hidden="1" ht="14.25" customHeight="1" s="5">
      <c r="A735" s="7" t="n">
        <v>5594</v>
      </c>
      <c r="B735" s="7" t="inlineStr">
        <is>
          <t>JUMBO ENGELESE MELANGE 20 DC SF TAG TBGS</t>
        </is>
      </c>
      <c r="C735" s="7" t="n">
        <v>20</v>
      </c>
    </row>
    <row r="736" hidden="1" ht="14.25" customHeight="1" s="5">
      <c r="A736" s="7" t="n">
        <v>5595</v>
      </c>
      <c r="B736" s="7" t="inlineStr">
        <is>
          <t>JUMBO ENGELESE MELANGE 40 DC SF ENV TBGS</t>
        </is>
      </c>
      <c r="C736" s="7" t="n">
        <v>40</v>
      </c>
    </row>
    <row r="737" hidden="1" ht="14.25" customHeight="1" s="5">
      <c r="A737" s="7" t="n">
        <v>5597</v>
      </c>
      <c r="B737" s="7" t="inlineStr">
        <is>
          <t>JUMBO ENGELESE MELANGE 40 DC SF TAG TBGS</t>
        </is>
      </c>
      <c r="C737" s="7" t="n">
        <v>40</v>
      </c>
    </row>
    <row r="738" hidden="1" ht="14.25" customHeight="1" s="5">
      <c r="A738" s="7" t="n">
        <v>5599</v>
      </c>
      <c r="B738" s="7" t="inlineStr">
        <is>
          <t>JUMBO FANCY LABEL ENGELESE MELANGE 20 DC SF TAG TBGS</t>
        </is>
      </c>
      <c r="C738" s="7" t="n">
        <v>20</v>
      </c>
    </row>
    <row r="739" hidden="1" ht="14.25" customHeight="1" s="5">
      <c r="A739" s="7" t="n">
        <v>5601</v>
      </c>
      <c r="B739" s="7" t="inlineStr">
        <is>
          <t>JUMBO FANCY LABEL GREEN LEMON 20 DC SF ENV TBGS</t>
        </is>
      </c>
      <c r="C739" s="7" t="n">
        <v>20</v>
      </c>
    </row>
    <row r="740" hidden="1" ht="14.25" customHeight="1" s="5">
      <c r="A740" s="7" t="n">
        <v>5603</v>
      </c>
      <c r="B740" s="7" t="inlineStr">
        <is>
          <t>JUMBO FOREST FRUITS 20 DC SF ENV TBGS</t>
        </is>
      </c>
      <c r="C740" s="7" t="n">
        <v>20</v>
      </c>
    </row>
    <row r="741" hidden="1" ht="14.25" customHeight="1" s="5">
      <c r="A741" s="7" t="n">
        <v>5604</v>
      </c>
      <c r="B741" s="7" t="inlineStr">
        <is>
          <t>JUMBO GREEN LEMON 20 DC SF ENV TBGS</t>
        </is>
      </c>
      <c r="C741" s="7" t="n">
        <v>20</v>
      </c>
    </row>
    <row r="742" hidden="1" ht="14.25" customHeight="1" s="5">
      <c r="A742" s="7" t="n">
        <v>5605</v>
      </c>
      <c r="B742" s="7" t="inlineStr">
        <is>
          <t>JUMBO GREEN LEMON 40 DC SF ENV TBGS</t>
        </is>
      </c>
      <c r="C742" s="7" t="n">
        <v>40</v>
      </c>
    </row>
    <row r="743" hidden="1" ht="14.25" customHeight="1" s="5">
      <c r="A743" s="7" t="n">
        <v>5606</v>
      </c>
      <c r="B743" s="7" t="inlineStr">
        <is>
          <t>JUMBO GREEN TEA COCOS 20 DC SF ENV TBGS</t>
        </is>
      </c>
      <c r="C743" s="7" t="n">
        <v>20</v>
      </c>
    </row>
    <row r="744" hidden="1" ht="14.25" customHeight="1" s="5">
      <c r="A744" s="7" t="n">
        <v>5607</v>
      </c>
      <c r="B744" s="7" t="inlineStr">
        <is>
          <t>JUMBO GREEN TEA CRANBERRY 20 DC SF ENV TBGS</t>
        </is>
      </c>
      <c r="C744" s="7" t="n">
        <v>20</v>
      </c>
    </row>
    <row r="745" hidden="1" ht="14.25" customHeight="1" s="5">
      <c r="A745" s="7" t="n">
        <v>5608</v>
      </c>
      <c r="B745" s="7" t="inlineStr">
        <is>
          <t>JUMBO GREEN TEA GINGER 20 DC SF ENV TBGS</t>
        </is>
      </c>
      <c r="C745" s="7" t="n">
        <v>20</v>
      </c>
    </row>
    <row r="746" hidden="1" ht="14.25" customHeight="1" s="5">
      <c r="A746" s="7" t="n">
        <v>5609</v>
      </c>
      <c r="B746" s="7" t="inlineStr">
        <is>
          <t>JUMBO GREEN TEA MINT 20 DC SF ENV TBGS</t>
        </is>
      </c>
      <c r="C746" s="7" t="n">
        <v>20</v>
      </c>
    </row>
    <row r="747" hidden="1" ht="14.25" customHeight="1" s="5">
      <c r="A747" s="7" t="n">
        <v>5610</v>
      </c>
      <c r="B747" s="7" t="inlineStr">
        <is>
          <t>JUMBO GREEN TEA PURE ORIGINAL 20 DC SF ENV TBGS</t>
        </is>
      </c>
      <c r="C747" s="7" t="n">
        <v>20</v>
      </c>
    </row>
    <row r="748" hidden="1" ht="14.25" customHeight="1" s="5">
      <c r="A748" s="7" t="n">
        <v>5611</v>
      </c>
      <c r="B748" s="7" t="inlineStr">
        <is>
          <t>JUMBO GREEN TEA VARIATION 20 DC SF ENV TBGS</t>
        </is>
      </c>
      <c r="C748" s="7" t="n">
        <v>20</v>
      </c>
    </row>
    <row r="749" hidden="1" ht="14.25" customHeight="1" s="5">
      <c r="A749" s="7" t="n">
        <v>5612</v>
      </c>
      <c r="B749" s="7" t="inlineStr">
        <is>
          <t>JUMBO LEMON 20 DC SF ENV TBGS</t>
        </is>
      </c>
      <c r="C749" s="7" t="n">
        <v>20</v>
      </c>
    </row>
    <row r="750" hidden="1" ht="14.25" customHeight="1" s="5">
      <c r="A750" s="7" t="n">
        <v>5551</v>
      </c>
      <c r="B750" s="7" t="inlineStr">
        <is>
          <t>JUMBO LOOSE ENV BLACK CURRENT DC SF ENV TBGS</t>
        </is>
      </c>
      <c r="C750" s="7" t="n">
        <v>1</v>
      </c>
    </row>
    <row r="751" hidden="1" ht="14.25" customHeight="1" s="5">
      <c r="A751" s="7" t="n">
        <v>5542</v>
      </c>
      <c r="B751" s="7" t="inlineStr">
        <is>
          <t>JUMBO LOOSE ENV CHERRY DC SF ENV TBGS</t>
        </is>
      </c>
      <c r="C751" s="7" t="n">
        <v>1</v>
      </c>
    </row>
    <row r="752" hidden="1" ht="14.25" customHeight="1" s="5">
      <c r="A752" s="7" t="n">
        <v>5552</v>
      </c>
      <c r="B752" s="7" t="inlineStr">
        <is>
          <t>JUMBO LOOSE ENV FOREST FRUIT DC SF ENV TBGS</t>
        </is>
      </c>
      <c r="C752" s="7" t="n">
        <v>1</v>
      </c>
    </row>
    <row r="753" hidden="1" ht="14.25" customHeight="1" s="5">
      <c r="A753" s="7" t="n">
        <v>5553</v>
      </c>
      <c r="B753" s="7" t="inlineStr">
        <is>
          <t>JUMBO LOOSE ENV LEMON DC SF ENV TBGS</t>
        </is>
      </c>
      <c r="C753" s="7" t="n">
        <v>1</v>
      </c>
    </row>
    <row r="754" hidden="1" ht="14.25" customHeight="1" s="5">
      <c r="A754" s="7" t="n">
        <v>5548</v>
      </c>
      <c r="B754" s="7" t="inlineStr">
        <is>
          <t>JUMBO LOOSE ENV MANGO DC SF ENV TBGS</t>
        </is>
      </c>
      <c r="C754" s="7" t="n">
        <v>1</v>
      </c>
    </row>
    <row r="755" hidden="1" ht="14.25" customHeight="1" s="5">
      <c r="A755" s="7" t="n">
        <v>5549</v>
      </c>
      <c r="B755" s="7" t="inlineStr">
        <is>
          <t>JUMBO LOOSE ENV MELON DC SF ENV TBGS</t>
        </is>
      </c>
      <c r="C755" s="7" t="n">
        <v>1</v>
      </c>
    </row>
    <row r="756" hidden="1" ht="14.25" customHeight="1" s="5">
      <c r="A756" s="7" t="n">
        <v>5554</v>
      </c>
      <c r="B756" s="7" t="inlineStr">
        <is>
          <t>JUMBO LOOSE ENV ORANGE DC SF ENV TBGS</t>
        </is>
      </c>
      <c r="C756" s="7" t="n">
        <v>1</v>
      </c>
    </row>
    <row r="757" hidden="1" ht="14.25" customHeight="1" s="5">
      <c r="A757" s="7" t="n">
        <v>5555</v>
      </c>
      <c r="B757" s="7" t="inlineStr">
        <is>
          <t>JUMBO LOOSE ENV PEACH DC SF ENV TBGS</t>
        </is>
      </c>
      <c r="C757" s="7" t="n">
        <v>1</v>
      </c>
    </row>
    <row r="758" hidden="1" ht="14.25" customHeight="1" s="5">
      <c r="A758" s="7" t="n">
        <v>5543</v>
      </c>
      <c r="B758" s="7" t="inlineStr">
        <is>
          <t>JUMBO LOOSE ENV STRAWBERRY DC SF ENV TBGS</t>
        </is>
      </c>
      <c r="C758" s="7" t="n">
        <v>1</v>
      </c>
    </row>
    <row r="759" hidden="1" ht="14.25" customHeight="1" s="5">
      <c r="A759" s="7" t="n">
        <v>5550</v>
      </c>
      <c r="B759" s="7" t="inlineStr">
        <is>
          <t>JUMBO LOOSE ENV TROPICAL FRUIT DC SF ENV TBGS</t>
        </is>
      </c>
      <c r="C759" s="7" t="n">
        <v>1</v>
      </c>
    </row>
    <row r="760" hidden="1" ht="14.25" customHeight="1" s="5">
      <c r="A760" s="7" t="n">
        <v>5613</v>
      </c>
      <c r="B760" s="7" t="inlineStr">
        <is>
          <t>JUMBO ORANGE 20 DC SF ENV TBGS</t>
        </is>
      </c>
      <c r="C760" s="7" t="n">
        <v>20</v>
      </c>
    </row>
    <row r="761" hidden="1" ht="14.25" customHeight="1" s="5">
      <c r="A761" s="7" t="n">
        <v>5614</v>
      </c>
      <c r="B761" s="7" t="inlineStr">
        <is>
          <t>JUMBO ORANGE VARIATION 20 DC SF ENV TBGS</t>
        </is>
      </c>
      <c r="C761" s="7" t="n">
        <v>20</v>
      </c>
    </row>
    <row r="762" hidden="1" ht="14.25" customHeight="1" s="5">
      <c r="A762" s="7" t="n">
        <v>5615</v>
      </c>
      <c r="B762" s="7" t="inlineStr">
        <is>
          <t>JUMBO RED VARIATION 20 DC SF ENV TBGS</t>
        </is>
      </c>
      <c r="C762" s="7" t="n">
        <v>20</v>
      </c>
    </row>
    <row r="763" hidden="1" ht="14.25" customHeight="1" s="5">
      <c r="A763" s="7" t="n">
        <v>5616</v>
      </c>
      <c r="B763" s="7" t="inlineStr">
        <is>
          <t>JUMBO ROOIBOS HONEY 20 DC SF ENV TBGS</t>
        </is>
      </c>
      <c r="C763" s="7" t="n">
        <v>20</v>
      </c>
    </row>
    <row r="764" hidden="1" ht="14.25" customHeight="1" s="5">
      <c r="A764" s="7" t="n">
        <v>5602</v>
      </c>
      <c r="B764" s="7" t="inlineStr">
        <is>
          <t>JUMBO ROOIBOS MANGO PEACH 20 DC SF ENV TBGS</t>
        </is>
      </c>
      <c r="C764" s="7" t="n">
        <v>20</v>
      </c>
    </row>
    <row r="765" hidden="1" ht="14.25" customHeight="1" s="5">
      <c r="A765" s="7" t="n">
        <v>5598</v>
      </c>
      <c r="B765" s="7" t="inlineStr">
        <is>
          <t>JUMBO ROOIBOS ORIGINAL 20 DC SF ENV TBGS</t>
        </is>
      </c>
      <c r="C765" s="7" t="n">
        <v>20</v>
      </c>
    </row>
    <row r="766" hidden="1" ht="14.25" customHeight="1" s="5">
      <c r="A766" s="7" t="n">
        <v>5596</v>
      </c>
      <c r="B766" s="7" t="inlineStr">
        <is>
          <t>JUMBO ROOIBOS ORIGINAL 40 DC SF ENV TBGS</t>
        </is>
      </c>
      <c r="C766" s="7" t="n">
        <v>40</v>
      </c>
    </row>
    <row r="767" hidden="1" ht="14.25" customHeight="1" s="5">
      <c r="A767" s="7" t="n">
        <v>5593</v>
      </c>
      <c r="B767" s="7" t="inlineStr">
        <is>
          <t>JUMBO STRAWBERRY 20 DC SF ENV TBGS</t>
        </is>
      </c>
      <c r="C767" s="7" t="n">
        <v>20</v>
      </c>
    </row>
    <row r="768" hidden="1" ht="14.25" customHeight="1" s="5">
      <c r="A768" s="7" t="n">
        <v>5591</v>
      </c>
      <c r="B768" s="7" t="inlineStr">
        <is>
          <t>JUMBO YELLOW VARIATION 20 DC SF ENV TBGS</t>
        </is>
      </c>
      <c r="C768" s="7" t="n">
        <v>20</v>
      </c>
    </row>
    <row r="769" hidden="1" ht="14.25" customHeight="1" s="5">
      <c r="A769" s="7" t="n">
        <v>26080</v>
      </c>
      <c r="B769" s="7" t="inlineStr">
        <is>
          <t>KEEFE 100 SC ENV TBGS</t>
        </is>
      </c>
      <c r="C769" s="7" t="n">
        <v>100</v>
      </c>
    </row>
    <row r="770" hidden="1" ht="14.25" customHeight="1" s="5">
      <c r="A770" s="7" t="n">
        <v>23662</v>
      </c>
      <c r="B770" s="7" t="inlineStr">
        <is>
          <t>KEEFE 48 SC ENV TBGS</t>
        </is>
      </c>
      <c r="C770" s="7" t="n">
        <v>48</v>
      </c>
    </row>
    <row r="771" hidden="1" ht="14.25" customHeight="1" s="5">
      <c r="A771" s="7" t="n">
        <v>2344</v>
      </c>
      <c r="B771" s="7" t="inlineStr">
        <is>
          <t>KHAIMA 100 DC ENV TBGS</t>
        </is>
      </c>
      <c r="C771" s="7" t="n">
        <v>100</v>
      </c>
    </row>
    <row r="772" hidden="1" ht="14.25" customHeight="1" s="5">
      <c r="A772" s="7" t="n">
        <v>2353</v>
      </c>
      <c r="B772" s="7" t="inlineStr">
        <is>
          <t>KHAIMA 106 DC ENV TBGS</t>
        </is>
      </c>
      <c r="C772" s="7" t="n">
        <v>106</v>
      </c>
    </row>
    <row r="773" hidden="1" ht="14.25" customHeight="1" s="5">
      <c r="A773" s="7" t="n">
        <v>2357</v>
      </c>
      <c r="B773" s="7" t="inlineStr">
        <is>
          <t>KHAIMA 25 DC ENV TBGS</t>
        </is>
      </c>
      <c r="C773" s="7" t="n">
        <v>25</v>
      </c>
    </row>
    <row r="774" hidden="1" ht="14.25" customHeight="1" s="5">
      <c r="A774" s="7" t="n">
        <v>34580</v>
      </c>
      <c r="B774" s="7" t="inlineStr">
        <is>
          <t>KHAIMA CINNAMON 25 DC ENV TBGS</t>
        </is>
      </c>
      <c r="C774" s="7" t="n">
        <v>25</v>
      </c>
    </row>
    <row r="775" hidden="1" ht="14.25" customHeight="1" s="5">
      <c r="A775" s="7" t="n">
        <v>34232</v>
      </c>
      <c r="B775" s="7" t="inlineStr">
        <is>
          <t>KHAIMA CLOVE 25 DC ENV TBGS</t>
        </is>
      </c>
      <c r="C775" s="7" t="n">
        <v>25</v>
      </c>
    </row>
    <row r="776" hidden="1" ht="14.25" customHeight="1" s="5">
      <c r="A776" s="7" t="n">
        <v>24553</v>
      </c>
      <c r="B776" s="7" t="inlineStr">
        <is>
          <t>KHAIMA CRANBERRY APPLE 25 DC ENV TBGS</t>
        </is>
      </c>
      <c r="C776" s="7" t="n">
        <v>25</v>
      </c>
    </row>
    <row r="777" hidden="1" ht="14.25" customHeight="1" s="5">
      <c r="A777" s="7" t="n">
        <v>35311</v>
      </c>
      <c r="B777" s="7" t="inlineStr">
        <is>
          <t>KHAIMA CRANBERRY CLOVE 25 DC ENV TBGS</t>
        </is>
      </c>
      <c r="C777" s="7" t="n">
        <v>25</v>
      </c>
    </row>
    <row r="778" hidden="1" ht="14.25" customHeight="1" s="5">
      <c r="A778" s="7" t="n">
        <v>23085</v>
      </c>
      <c r="B778" s="7" t="inlineStr">
        <is>
          <t>KHAIMA GINGER 25 DC ENV TBGS</t>
        </is>
      </c>
      <c r="C778" s="7" t="n">
        <v>25</v>
      </c>
    </row>
    <row r="779" hidden="1" ht="14.25" customHeight="1" s="5">
      <c r="A779" s="7" t="n">
        <v>23086</v>
      </c>
      <c r="B779" s="7" t="inlineStr">
        <is>
          <t>KHAIMA LEMON 25 DC ENV TBGS</t>
        </is>
      </c>
      <c r="C779" s="7" t="n">
        <v>25</v>
      </c>
    </row>
    <row r="780" hidden="1" ht="14.25" customHeight="1" s="5">
      <c r="A780" s="7" t="n">
        <v>26527</v>
      </c>
      <c r="B780" s="7" t="inlineStr">
        <is>
          <t>KHAIMA MANGO 25 DC ENV TBGS</t>
        </is>
      </c>
      <c r="C780" s="7" t="n">
        <v>25</v>
      </c>
    </row>
    <row r="781" hidden="1" ht="14.25" customHeight="1" s="5">
      <c r="A781" s="7" t="n">
        <v>23065</v>
      </c>
      <c r="B781" s="7" t="inlineStr">
        <is>
          <t>KHAIMA MINT 25 DC ENV TBGS</t>
        </is>
      </c>
      <c r="C781" s="7" t="n">
        <v>25</v>
      </c>
    </row>
    <row r="782" hidden="1" ht="14.25" customHeight="1" s="5">
      <c r="A782" s="7" t="n">
        <v>26528</v>
      </c>
      <c r="B782" s="7" t="inlineStr">
        <is>
          <t>KHAIMA ORANGE 25 DC ENV TBGS</t>
        </is>
      </c>
      <c r="C782" s="7" t="n">
        <v>25</v>
      </c>
    </row>
    <row r="783" hidden="1" ht="14.25" customHeight="1" s="5">
      <c r="A783" s="7" t="n">
        <v>26529</v>
      </c>
      <c r="B783" s="7" t="inlineStr">
        <is>
          <t>KHAIMA PEACH 25 DC ENV TBGS</t>
        </is>
      </c>
      <c r="C783" s="7" t="n">
        <v>25</v>
      </c>
    </row>
    <row r="784" hidden="1" ht="14.25" customHeight="1" s="5">
      <c r="A784" s="7" t="n">
        <v>26530</v>
      </c>
      <c r="B784" s="7" t="inlineStr">
        <is>
          <t>KHAIMA PINEAPPLE 25 DC ENV TBGS</t>
        </is>
      </c>
      <c r="C784" s="7" t="n">
        <v>25</v>
      </c>
    </row>
    <row r="785" hidden="1" ht="14.25" customHeight="1" s="5">
      <c r="A785" s="7" t="n">
        <v>23084</v>
      </c>
      <c r="B785" s="7" t="inlineStr">
        <is>
          <t>KHAIMA STRAWBERRY 25 DC ENV TBGS</t>
        </is>
      </c>
      <c r="C785" s="7" t="n">
        <v>25</v>
      </c>
    </row>
    <row r="786" hidden="1" ht="14.25" customHeight="1" s="5">
      <c r="A786" s="7" t="n">
        <v>37600</v>
      </c>
      <c r="B786" s="7" t="inlineStr">
        <is>
          <t>KHAIMA VANILLA 25 DC ENV TBGS</t>
        </is>
      </c>
      <c r="C786" s="7" t="n">
        <v>25</v>
      </c>
    </row>
    <row r="787" hidden="1" ht="14.25" customHeight="1" s="5">
      <c r="A787" s="7" t="n">
        <v>37105</v>
      </c>
      <c r="B787" s="7" t="inlineStr">
        <is>
          <t>KOUMA COCKTAIL 25 DC ENV TBGS</t>
        </is>
      </c>
      <c r="C787" s="7" t="n">
        <v>25</v>
      </c>
    </row>
    <row r="788" hidden="1" ht="14.25" customHeight="1" s="5">
      <c r="A788" s="7" t="n">
        <v>37101</v>
      </c>
      <c r="B788" s="7" t="inlineStr">
        <is>
          <t>KOUMA GINGER 25 DC ENV TBGS</t>
        </is>
      </c>
      <c r="C788" s="7" t="n">
        <v>25</v>
      </c>
    </row>
    <row r="789" hidden="1" ht="14.25" customHeight="1" s="5">
      <c r="A789" s="7" t="n">
        <v>37103</v>
      </c>
      <c r="B789" s="7" t="inlineStr">
        <is>
          <t>KOUMA LEMON 25 DC ENV TBGS</t>
        </is>
      </c>
      <c r="C789" s="7" t="n">
        <v>25</v>
      </c>
    </row>
    <row r="790" hidden="1" ht="14.25" customHeight="1" s="5">
      <c r="A790" s="7" t="n">
        <v>37104</v>
      </c>
      <c r="B790" s="7" t="inlineStr">
        <is>
          <t>KOUMA MINT 25 DC ENV TBGS</t>
        </is>
      </c>
      <c r="C790" s="7" t="n">
        <v>25</v>
      </c>
    </row>
    <row r="791" hidden="1" ht="14.25" customHeight="1" s="5">
      <c r="A791" s="7" t="n">
        <v>37107</v>
      </c>
      <c r="B791" s="7" t="inlineStr">
        <is>
          <t>KOUMA ORANGE 25 DC ENV TBGS</t>
        </is>
      </c>
      <c r="C791" s="7" t="n">
        <v>25</v>
      </c>
    </row>
    <row r="792" hidden="1" ht="14.25" customHeight="1" s="5">
      <c r="A792" s="7" t="n">
        <v>37106</v>
      </c>
      <c r="B792" s="7" t="inlineStr">
        <is>
          <t>KOUMA STRAWBERRY 25 DC ENV TBGS</t>
        </is>
      </c>
      <c r="C792" s="7" t="n">
        <v>25</v>
      </c>
    </row>
    <row r="793" hidden="1" ht="14.25" customHeight="1" s="5">
      <c r="A793" s="7" t="n">
        <v>37102</v>
      </c>
      <c r="B793" s="7" t="inlineStr">
        <is>
          <t>KOUMA TAMARIND 25 DC ENV TBGS</t>
        </is>
      </c>
      <c r="C793" s="7" t="n">
        <v>25</v>
      </c>
    </row>
    <row r="794" hidden="1" ht="14.25" customHeight="1" s="5">
      <c r="A794" s="7" t="n">
        <v>19326</v>
      </c>
      <c r="B794" s="7" t="inlineStr">
        <is>
          <t>LALPAN 500 GMS HOTEL VALUE PACK</t>
        </is>
      </c>
      <c r="C794" s="7" t="n">
        <v>1</v>
      </c>
    </row>
    <row r="795" hidden="1" ht="14.25" customHeight="1" s="5">
      <c r="A795" s="7" t="n">
        <v>34516</v>
      </c>
      <c r="B795" s="7" t="inlineStr">
        <is>
          <t>LALPAN ELAICHI LEAF BLACK TEA SARASWATI ELAICHI PKT 250 GM POUCH</t>
        </is>
      </c>
      <c r="C795" s="7" t="n">
        <v>1</v>
      </c>
    </row>
    <row r="796" hidden="1" ht="14.25" customHeight="1" s="5">
      <c r="A796" s="7" t="n">
        <v>34575</v>
      </c>
      <c r="B796" s="7" t="inlineStr">
        <is>
          <t>LALPAN ELAICHI LEAF SARASWATI ELAICHI PKT 16 GM POUCH</t>
        </is>
      </c>
      <c r="C796" s="7" t="n">
        <v>1</v>
      </c>
    </row>
    <row r="797" hidden="1" ht="14.25" customHeight="1" s="5">
      <c r="A797" s="7" t="n">
        <v>22210</v>
      </c>
      <c r="B797" s="7" t="inlineStr">
        <is>
          <t>LALPAN GOLD 20 GM CTN</t>
        </is>
      </c>
      <c r="C797" s="7" t="n">
        <v>1</v>
      </c>
    </row>
    <row r="798" hidden="1" ht="14.25" customHeight="1" s="5">
      <c r="A798" s="7" t="n">
        <v>22762</v>
      </c>
      <c r="B798" s="7" t="inlineStr">
        <is>
          <t>LALPAN GOLD DUST 100 GM CARTON</t>
        </is>
      </c>
      <c r="C798" s="7" t="n">
        <v>1</v>
      </c>
    </row>
    <row r="799" hidden="1" ht="14.25" customHeight="1" s="5">
      <c r="A799" s="7" t="n">
        <v>22765</v>
      </c>
      <c r="B799" s="7" t="inlineStr">
        <is>
          <t>LALPAN GOLD DUST 20 GM POUCH</t>
        </is>
      </c>
      <c r="C799" s="7" t="n">
        <v>1</v>
      </c>
    </row>
    <row r="800" hidden="1" ht="14.25" customHeight="1" s="5">
      <c r="A800" s="7" t="n">
        <v>19332</v>
      </c>
      <c r="B800" s="7" t="inlineStr">
        <is>
          <t>LALPAN GOLD DUST 250 GM CARTON</t>
        </is>
      </c>
      <c r="C800" s="7" t="n">
        <v>1</v>
      </c>
    </row>
    <row r="801" hidden="1" ht="14.25" customHeight="1" s="5">
      <c r="A801" s="7" t="n">
        <v>19322</v>
      </c>
      <c r="B801" s="7" t="inlineStr">
        <is>
          <t>LALPAN LEAF 250 GMS BOPP</t>
        </is>
      </c>
      <c r="C801" s="7" t="n">
        <v>1</v>
      </c>
    </row>
    <row r="802" hidden="1" ht="14.25" customHeight="1" s="5">
      <c r="A802" s="7" t="n">
        <v>19323</v>
      </c>
      <c r="B802" s="7" t="inlineStr">
        <is>
          <t>LALPAN LEAF 250 GMS BOPP WITH BATTERY OFFER</t>
        </is>
      </c>
      <c r="C802" s="7" t="n">
        <v>1</v>
      </c>
    </row>
    <row r="803" hidden="1" ht="14.25" customHeight="1" s="5">
      <c r="A803" s="7" t="n">
        <v>19328</v>
      </c>
      <c r="B803" s="7" t="inlineStr">
        <is>
          <t>LALPAN LEAF 500 GMS</t>
        </is>
      </c>
      <c r="C803" s="7" t="n">
        <v>1</v>
      </c>
    </row>
    <row r="804" hidden="1" ht="14.25" customHeight="1" s="5">
      <c r="A804" s="7" t="n">
        <v>32838</v>
      </c>
      <c r="B804" s="7" t="inlineStr">
        <is>
          <t>LALPAN LEAF STD-RE(TULSI) 20 GM POUCH</t>
        </is>
      </c>
      <c r="C804" s="7" t="n">
        <v>1</v>
      </c>
    </row>
    <row r="805" hidden="1" ht="14.25" customHeight="1" s="5">
      <c r="A805" s="7" t="n">
        <v>32552</v>
      </c>
      <c r="B805" s="7" t="inlineStr">
        <is>
          <t>LALPAN LEAF STD-RE(TULSI) 200 GM POUCH</t>
        </is>
      </c>
      <c r="C805" s="7" t="n">
        <v>1</v>
      </c>
    </row>
    <row r="806" hidden="1" ht="14.25" customHeight="1" s="5">
      <c r="A806" s="7" t="n">
        <v>32778</v>
      </c>
      <c r="B806" s="7" t="inlineStr">
        <is>
          <t>LALPAN LEAF STD-RE(TULSI) 250 GM POUCH</t>
        </is>
      </c>
      <c r="C806" s="7" t="n">
        <v>1</v>
      </c>
    </row>
    <row r="807" hidden="1" ht="14.25" customHeight="1" s="5">
      <c r="A807" s="7" t="n">
        <v>31373</v>
      </c>
      <c r="B807" s="7" t="inlineStr">
        <is>
          <t>LALPAN LEAF TQ 100 GM CTN</t>
        </is>
      </c>
      <c r="C807" s="7" t="n">
        <v>1</v>
      </c>
    </row>
    <row r="808" hidden="1" ht="14.25" customHeight="1" s="5">
      <c r="A808" s="7" t="n">
        <v>34448</v>
      </c>
      <c r="B808" s="7" t="inlineStr">
        <is>
          <t>LALPAN LEAF WB WEST 250 GM CTN</t>
        </is>
      </c>
      <c r="C808" s="7" t="n">
        <v>1</v>
      </c>
    </row>
    <row r="809" hidden="1" ht="14.25" customHeight="1" s="5">
      <c r="A809" s="7" t="n">
        <v>19346</v>
      </c>
      <c r="B809" s="7" t="inlineStr">
        <is>
          <t>LALPAN PF 100 GMS POUCH</t>
        </is>
      </c>
      <c r="C809" s="7" t="n">
        <v>1</v>
      </c>
    </row>
    <row r="810" hidden="1" ht="14.25" customHeight="1" s="5">
      <c r="A810" s="7" t="n">
        <v>19347</v>
      </c>
      <c r="B810" s="7" t="inlineStr">
        <is>
          <t>LALPAN PF 100 GMS POUCH -WITH BATTERY OFFER</t>
        </is>
      </c>
      <c r="C810" s="7" t="n">
        <v>1</v>
      </c>
    </row>
    <row r="811" hidden="1" ht="14.25" customHeight="1" s="5">
      <c r="A811" s="7" t="n">
        <v>19349</v>
      </c>
      <c r="B811" s="7" t="inlineStr">
        <is>
          <t>LALPAN PF 25 GMS POUCH</t>
        </is>
      </c>
      <c r="C811" s="7" t="n">
        <v>1</v>
      </c>
    </row>
    <row r="812" hidden="1" ht="14.25" customHeight="1" s="5">
      <c r="A812" s="7" t="n">
        <v>19324</v>
      </c>
      <c r="B812" s="7" t="inlineStr">
        <is>
          <t>LALPAN PF 250 GMS BOPP</t>
        </is>
      </c>
      <c r="C812" s="7" t="n">
        <v>1</v>
      </c>
    </row>
    <row r="813" hidden="1" ht="14.25" customHeight="1" s="5">
      <c r="A813" s="7" t="n">
        <v>19325</v>
      </c>
      <c r="B813" s="7" t="inlineStr">
        <is>
          <t>LALPAN PF 250 GMS BOPP WITH BATTERY OFFER</t>
        </is>
      </c>
      <c r="C813" s="7" t="n">
        <v>1</v>
      </c>
    </row>
    <row r="814" hidden="1" ht="14.25" customHeight="1" s="5">
      <c r="A814" s="7" t="n">
        <v>19348</v>
      </c>
      <c r="B814" s="7" t="inlineStr">
        <is>
          <t>LALPAN PF 50 GMS POUCH</t>
        </is>
      </c>
      <c r="C814" s="7" t="n">
        <v>1</v>
      </c>
    </row>
    <row r="815" hidden="1" ht="14.25" customHeight="1" s="5">
      <c r="A815" s="7" t="n">
        <v>19327</v>
      </c>
      <c r="B815" s="7" t="inlineStr">
        <is>
          <t>LALPAN PF 500 GMS</t>
        </is>
      </c>
      <c r="C815" s="7" t="n">
        <v>1</v>
      </c>
    </row>
    <row r="816" hidden="1" ht="14.25" customHeight="1" s="5">
      <c r="A816" s="7" t="n">
        <v>32223</v>
      </c>
      <c r="B816" s="7" t="inlineStr">
        <is>
          <t>LALPAN PF S (NEW) 20 GM POUCH</t>
        </is>
      </c>
      <c r="C816" s="7" t="n">
        <v>1</v>
      </c>
    </row>
    <row r="817" hidden="1" ht="14.25" customHeight="1" s="5">
      <c r="A817" s="7" t="n">
        <v>28478</v>
      </c>
      <c r="B817" s="7" t="inlineStr">
        <is>
          <t>LALPAN PF S 20 GM POUCH</t>
        </is>
      </c>
      <c r="C817" s="7" t="n">
        <v>1</v>
      </c>
    </row>
    <row r="818" hidden="1" ht="14.25" customHeight="1" s="5">
      <c r="A818" s="7" t="n">
        <v>33302</v>
      </c>
      <c r="B818" s="7" t="inlineStr">
        <is>
          <t>LALPAN PF S 200 GM POUCH</t>
        </is>
      </c>
      <c r="C818" s="7" t="n">
        <v>1</v>
      </c>
    </row>
    <row r="819" hidden="1" ht="14.25" customHeight="1" s="5">
      <c r="A819" s="7" t="n">
        <v>20372</v>
      </c>
      <c r="B819" s="7" t="inlineStr">
        <is>
          <t>LALPAN PF S 22 GMS POUCH</t>
        </is>
      </c>
      <c r="C819" s="7" t="n">
        <v>1</v>
      </c>
    </row>
    <row r="820" hidden="1" ht="14.25" customHeight="1" s="5">
      <c r="A820" s="7" t="n">
        <v>19201</v>
      </c>
      <c r="B820" s="7" t="inlineStr">
        <is>
          <t>LALPAN PF S 250 GM BOGO BAND</t>
        </is>
      </c>
      <c r="C820" s="7" t="n">
        <v>1</v>
      </c>
    </row>
    <row r="821" hidden="1" ht="14.25" customHeight="1" s="5">
      <c r="A821" s="7" t="n">
        <v>19204</v>
      </c>
      <c r="B821" s="7" t="inlineStr">
        <is>
          <t>LALPAN PF S 250 GM BOGO PRINT</t>
        </is>
      </c>
      <c r="C821" s="7" t="n">
        <v>1</v>
      </c>
    </row>
    <row r="822" hidden="1" ht="14.25" customHeight="1" s="5">
      <c r="A822" s="7" t="n">
        <v>32553</v>
      </c>
      <c r="B822" s="7" t="inlineStr">
        <is>
          <t>LALPAN PF S 500 GM POUCH</t>
        </is>
      </c>
      <c r="C822" s="7" t="n">
        <v>1</v>
      </c>
    </row>
    <row r="823" hidden="1" ht="14.25" customHeight="1" s="5">
      <c r="A823" s="7" t="n">
        <v>33332</v>
      </c>
      <c r="B823" s="7" t="inlineStr">
        <is>
          <t>LALPAN PF S(NEW) 44 GM POUCH</t>
        </is>
      </c>
      <c r="C823" s="7" t="n">
        <v>1</v>
      </c>
    </row>
    <row r="824" hidden="1" ht="14.25" customHeight="1" s="5">
      <c r="A824" s="7" t="n">
        <v>34633</v>
      </c>
      <c r="B824" s="7" t="inlineStr">
        <is>
          <t>LALPAN PREMIUM LEAF WB WEST 16 GM POUCH</t>
        </is>
      </c>
      <c r="C824" s="7" t="n">
        <v>1</v>
      </c>
    </row>
    <row r="825" hidden="1" ht="14.25" customHeight="1" s="5">
      <c r="A825" s="7" t="n">
        <v>34626</v>
      </c>
      <c r="B825" s="7" t="inlineStr">
        <is>
          <t>LALPAN PREMIUM LEAF WB WEST 20 GM POUCH</t>
        </is>
      </c>
      <c r="C825" s="7" t="n">
        <v>1</v>
      </c>
    </row>
    <row r="826" hidden="1" ht="14.25" customHeight="1" s="5">
      <c r="A826" s="7" t="n">
        <v>31970</v>
      </c>
      <c r="B826" s="7" t="inlineStr">
        <is>
          <t>LANCASHIRE 1 KGS POUCH</t>
        </is>
      </c>
      <c r="C826" s="7" t="n">
        <v>1</v>
      </c>
    </row>
    <row r="827" hidden="1" ht="14.25" customHeight="1" s="5">
      <c r="A827" s="7" t="n">
        <v>31967</v>
      </c>
      <c r="B827" s="7" t="inlineStr">
        <is>
          <t>LANCASHIRE 1100 TBGS</t>
        </is>
      </c>
      <c r="C827" s="7" t="n">
        <v>1100</v>
      </c>
    </row>
    <row r="828" hidden="1" ht="14.25" customHeight="1" s="5">
      <c r="A828" s="7" t="n">
        <v>693</v>
      </c>
      <c r="B828" s="7" t="inlineStr">
        <is>
          <t>LES 3 CAIMENS 100 DC ENV TBGS</t>
        </is>
      </c>
      <c r="C828" s="7" t="n">
        <v>100</v>
      </c>
    </row>
    <row r="829" hidden="1" ht="14.25" customHeight="1" s="5">
      <c r="A829" s="7" t="n">
        <v>32160</v>
      </c>
      <c r="B829" s="7" t="inlineStr">
        <is>
          <t>LORD NELSON BREAKFAST BLACK TEA 50 DC SF TAG TBGS - CZ,SI, SK</t>
        </is>
      </c>
      <c r="C829" s="7" t="n">
        <v>50</v>
      </c>
    </row>
    <row r="830" hidden="1" ht="14.25" customHeight="1" s="5">
      <c r="A830" s="7" t="n">
        <v>32162</v>
      </c>
      <c r="B830" s="7" t="inlineStr">
        <is>
          <t>LORD NELSON BREAKFAST BLACK TEA 50 DC SF TAG TBGS - LV, GR, CS, LT</t>
        </is>
      </c>
      <c r="C830" s="7" t="n">
        <v>50</v>
      </c>
    </row>
    <row r="831" hidden="1" ht="14.25" customHeight="1" s="5">
      <c r="A831" s="7" t="n">
        <v>32158</v>
      </c>
      <c r="B831" s="7" t="inlineStr">
        <is>
          <t>LORD NELSON BREAKFAST SCHWARZTEE THE NOIR 50 DC SF TAG TBGS - CH</t>
        </is>
      </c>
      <c r="C831" s="7" t="n">
        <v>50</v>
      </c>
    </row>
    <row r="832" hidden="1" ht="14.25" customHeight="1" s="5">
      <c r="A832" s="7" t="n">
        <v>32161</v>
      </c>
      <c r="B832" s="7" t="inlineStr">
        <is>
          <t>LORD NELSON ENGLISH BREAKFAST TE NEGRO CHA PRETO 50 DC SF TAG TBGS - ES, PT</t>
        </is>
      </c>
      <c r="C832" s="7" t="n">
        <v>50</v>
      </c>
    </row>
    <row r="833" hidden="1" ht="14.25" customHeight="1" s="5">
      <c r="A833" s="7" t="n">
        <v>32159</v>
      </c>
      <c r="B833" s="7" t="inlineStr">
        <is>
          <t>LORD NELSON ENGLISH BREAKFAST TEA 50 DC SF TAG TBGS - SE, FI, DK</t>
        </is>
      </c>
      <c r="C833" s="7" t="n">
        <v>50</v>
      </c>
    </row>
    <row r="834" hidden="1" ht="14.25" customHeight="1" s="5">
      <c r="A834" s="7" t="n">
        <v>32167</v>
      </c>
      <c r="B834" s="7" t="inlineStr">
        <is>
          <t>LORD NELSON GEEL FRUIT VARIATIE 20 DC ENV TBGS</t>
        </is>
      </c>
      <c r="C834" s="7" t="n">
        <v>1</v>
      </c>
    </row>
    <row r="835" hidden="1" ht="14.25" customHeight="1" s="5">
      <c r="A835" s="7" t="n">
        <v>32294</v>
      </c>
      <c r="B835" s="7" t="inlineStr">
        <is>
          <t>LORD NELSON LOOSE ENV CHERRY DC SF ENV TBGS</t>
        </is>
      </c>
      <c r="C835" s="7" t="n">
        <v>1</v>
      </c>
    </row>
    <row r="836" hidden="1" ht="14.25" customHeight="1" s="5">
      <c r="A836" s="7" t="n">
        <v>32295</v>
      </c>
      <c r="B836" s="7" t="inlineStr">
        <is>
          <t>LORD NELSON LOOSE ENV FOREST FRUIT DC SF ENV TBGS</t>
        </is>
      </c>
      <c r="C836" s="7" t="n">
        <v>1</v>
      </c>
    </row>
    <row r="837" hidden="1" ht="14.25" customHeight="1" s="5">
      <c r="A837" s="7" t="n">
        <v>32288</v>
      </c>
      <c r="B837" s="7" t="inlineStr">
        <is>
          <t>LORD NELSON LOOSE ENV LEMON DC SF ENV TBGS</t>
        </is>
      </c>
      <c r="C837" s="7" t="n">
        <v>1</v>
      </c>
    </row>
    <row r="838" hidden="1" ht="14.25" customHeight="1" s="5">
      <c r="A838" s="7" t="n">
        <v>32289</v>
      </c>
      <c r="B838" s="7" t="inlineStr">
        <is>
          <t>LORD NELSON LOOSE ENV MANGO DC SF ENV TBGS</t>
        </is>
      </c>
      <c r="C838" s="7" t="n">
        <v>1</v>
      </c>
    </row>
    <row r="839" hidden="1" ht="14.25" customHeight="1" s="5">
      <c r="A839" s="7" t="n">
        <v>32290</v>
      </c>
      <c r="B839" s="7" t="inlineStr">
        <is>
          <t>LORD NELSON LOOSE ENV MELON DC SF ENV TBGS</t>
        </is>
      </c>
      <c r="C839" s="7" t="n">
        <v>1</v>
      </c>
    </row>
    <row r="840" hidden="1" ht="14.25" customHeight="1" s="5">
      <c r="A840" s="7" t="n">
        <v>32291</v>
      </c>
      <c r="B840" s="7" t="inlineStr">
        <is>
          <t>LORD NELSON LOOSE ENV ORANGE DC SF ENV TBGS</t>
        </is>
      </c>
      <c r="C840" s="7" t="n">
        <v>1</v>
      </c>
    </row>
    <row r="841" hidden="1" ht="14.25" customHeight="1" s="5">
      <c r="A841" s="7" t="n">
        <v>32292</v>
      </c>
      <c r="B841" s="7" t="inlineStr">
        <is>
          <t>LORD NELSON LOOSE ENV RASPBERRY DC SF ENV TBGS</t>
        </is>
      </c>
      <c r="C841" s="7" t="n">
        <v>1</v>
      </c>
    </row>
    <row r="842" hidden="1" ht="14.25" customHeight="1" s="5">
      <c r="A842" s="7" t="n">
        <v>32293</v>
      </c>
      <c r="B842" s="7" t="inlineStr">
        <is>
          <t>LORD NELSON LOOSE ENV STRAWBERRY DC SF ENV TBGS</t>
        </is>
      </c>
      <c r="C842" s="7" t="n">
        <v>1</v>
      </c>
    </row>
    <row r="843" hidden="1" ht="14.25" customHeight="1" s="5">
      <c r="A843" s="7" t="n">
        <v>32165</v>
      </c>
      <c r="B843" s="7" t="inlineStr">
        <is>
          <t>LORD NELSON PEPPERMINT 25 DC SF TAG TBGS - SI, SK, RS</t>
        </is>
      </c>
      <c r="C843" s="7" t="n">
        <v>25</v>
      </c>
    </row>
    <row r="844" hidden="1" ht="14.25" customHeight="1" s="5">
      <c r="A844" s="7" t="n">
        <v>32240</v>
      </c>
      <c r="B844" s="7" t="inlineStr">
        <is>
          <t>LORD NELSON PFEFFERMINZE 25 DC SF TAG TBGS - DE</t>
        </is>
      </c>
      <c r="C844" s="7" t="n">
        <v>25</v>
      </c>
    </row>
    <row r="845" hidden="1" ht="14.25" customHeight="1" s="5">
      <c r="A845" s="7" t="n">
        <v>32166</v>
      </c>
      <c r="B845" s="7" t="inlineStr">
        <is>
          <t>LORD NELSON ROOD FRUIT VARIATIE 20 DC ENV TBGS</t>
        </is>
      </c>
      <c r="C845" s="7" t="n">
        <v>1</v>
      </c>
    </row>
    <row r="846" hidden="1" ht="14.25" customHeight="1" s="5">
      <c r="A846" s="7" t="n">
        <v>32163</v>
      </c>
      <c r="B846" s="7" t="inlineStr">
        <is>
          <t>LORD NELSON SCHWARZER TEE EARL GREY 40 DC SF TAG TBGS- DE</t>
        </is>
      </c>
      <c r="C846" s="7" t="n">
        <v>40</v>
      </c>
    </row>
    <row r="847" hidden="1" ht="14.25" customHeight="1" s="5">
      <c r="A847" s="7" t="n">
        <v>32157</v>
      </c>
      <c r="B847" s="7" t="inlineStr">
        <is>
          <t>LORD NELSON SCHWARZTEE MISCHUNG 50 DC SF TAG TBGS - DE, AT</t>
        </is>
      </c>
      <c r="C847" s="7" t="n">
        <v>50</v>
      </c>
    </row>
    <row r="848" hidden="1" ht="14.25" customHeight="1" s="5">
      <c r="A848" s="7" t="n">
        <v>32937</v>
      </c>
      <c r="B848" s="7" t="inlineStr">
        <is>
          <t>MATHAS TRANQUIL ASSAM 100 DC HS SF TAG TBGS</t>
        </is>
      </c>
      <c r="C848" s="7" t="n">
        <v>100</v>
      </c>
    </row>
    <row r="849" hidden="1" ht="14.25" customHeight="1" s="5">
      <c r="A849" s="7" t="n">
        <v>32938</v>
      </c>
      <c r="B849" s="7" t="inlineStr">
        <is>
          <t>MATHAS TRANQUIL GREEN TEA 100 DC SF HS ENV TBGS</t>
        </is>
      </c>
      <c r="C849" s="7" t="n">
        <v>100</v>
      </c>
    </row>
    <row r="850" hidden="1" ht="14.25" customHeight="1" s="5">
      <c r="A850" s="7" t="n">
        <v>32939</v>
      </c>
      <c r="B850" s="7" t="inlineStr">
        <is>
          <t>MATHAS TRANQUIL HONEY LEMON TEA 100 DC SF HS ENV TBGS</t>
        </is>
      </c>
      <c r="C850" s="7" t="n">
        <v>365</v>
      </c>
    </row>
    <row r="851" hidden="1" ht="14.25" customHeight="1" s="5">
      <c r="A851" s="7" t="n">
        <v>32940</v>
      </c>
      <c r="B851" s="7" t="inlineStr">
        <is>
          <t>MATHAS TRANQUIL LEMON TEA 100 DC SF HS ENV TBGS</t>
        </is>
      </c>
      <c r="C851" s="7" t="n">
        <v>100</v>
      </c>
    </row>
    <row r="852" hidden="1" ht="14.25" customHeight="1" s="5">
      <c r="A852" s="7" t="n">
        <v>35134</v>
      </c>
      <c r="B852" s="7" t="inlineStr">
        <is>
          <t>MOOBELLE BANANA FLVR MILK POWDER (25 GMS)</t>
        </is>
      </c>
      <c r="C852" s="7" t="n">
        <v>1</v>
      </c>
    </row>
    <row r="853" hidden="1" ht="14.25" customHeight="1" s="5">
      <c r="A853" s="7" t="n">
        <v>35136</v>
      </c>
      <c r="B853" s="7" t="inlineStr">
        <is>
          <t>MOOBELLE CHOCOLATE FLVR MILK POWDER (25 GMS)</t>
        </is>
      </c>
      <c r="C853" s="7" t="n">
        <v>1</v>
      </c>
    </row>
    <row r="854" hidden="1" ht="14.25" customHeight="1" s="5">
      <c r="A854" s="7" t="n">
        <v>35135</v>
      </c>
      <c r="B854" s="7" t="inlineStr">
        <is>
          <t>MOOBELLE STRAWBERRY FLVR MILK POWDER (25 GMS)</t>
        </is>
      </c>
      <c r="C854" s="7" t="n">
        <v>1</v>
      </c>
    </row>
    <row r="855" hidden="1" ht="14.25" customHeight="1" s="5">
      <c r="A855" s="7" t="n">
        <v>698</v>
      </c>
      <c r="B855" s="7" t="inlineStr">
        <is>
          <t>MOSQUE 100 DC ENV TBGS</t>
        </is>
      </c>
      <c r="C855" s="7" t="n">
        <v>100</v>
      </c>
    </row>
    <row r="856" hidden="1" ht="14.25" customHeight="1" s="5">
      <c r="A856" s="7" t="n">
        <v>34256</v>
      </c>
      <c r="B856" s="7" t="inlineStr">
        <is>
          <t>MUSGRAVE EXCELLENCE TEA BAGS 1 CUP LOOSE TAGLESS TBGS</t>
        </is>
      </c>
      <c r="C856" s="7" t="n">
        <v>1</v>
      </c>
    </row>
    <row r="857" hidden="1" ht="14.25" customHeight="1" s="5">
      <c r="A857" s="7" t="n">
        <v>19980</v>
      </c>
      <c r="B857" s="7" t="inlineStr">
        <is>
          <t>NAFED PREMIUM ASSAM 100 DC SF ENV TEA BAG</t>
        </is>
      </c>
      <c r="C857" s="7" t="n">
        <v>100</v>
      </c>
    </row>
    <row r="858" hidden="1" ht="14.25" customHeight="1" s="5">
      <c r="A858" s="7" t="n">
        <v>2513</v>
      </c>
      <c r="B858" s="7" t="inlineStr">
        <is>
          <t>NETTO - THE BREAKFAST 25 DC SF HS ENV TBGS</t>
        </is>
      </c>
      <c r="C858" s="7" t="n">
        <v>25</v>
      </c>
    </row>
    <row r="859" hidden="1" ht="14.25" customHeight="1" s="5">
      <c r="A859" s="7" t="n">
        <v>2519</v>
      </c>
      <c r="B859" s="7" t="inlineStr">
        <is>
          <t>NETTO - THE BREAKFAST 50 DC SF HS ENV TBGS</t>
        </is>
      </c>
      <c r="C859" s="7" t="n">
        <v>50</v>
      </c>
    </row>
    <row r="860" hidden="1" ht="14.25" customHeight="1" s="5">
      <c r="A860" s="7" t="n">
        <v>2522</v>
      </c>
      <c r="B860" s="7" t="inlineStr">
        <is>
          <t>NETTO - THE EARL GREY 25 DC SF HS ENV TB</t>
        </is>
      </c>
      <c r="C860" s="7" t="n">
        <v>25</v>
      </c>
    </row>
    <row r="861" hidden="1" ht="14.25" customHeight="1" s="5">
      <c r="A861" s="7" t="n">
        <v>706</v>
      </c>
      <c r="B861" s="7" t="inlineStr">
        <is>
          <t>NIHAL 100 DC ENV TBGS</t>
        </is>
      </c>
      <c r="C861" s="7" t="n">
        <v>100</v>
      </c>
    </row>
    <row r="862" hidden="1" ht="14.25" customHeight="1" s="5">
      <c r="A862" s="7" t="n">
        <v>714</v>
      </c>
      <c r="B862" s="7" t="inlineStr">
        <is>
          <t>NIHAL 108 DC ENV TBGS</t>
        </is>
      </c>
      <c r="C862" s="7" t="n">
        <v>108</v>
      </c>
    </row>
    <row r="863" hidden="1" ht="14.25" customHeight="1" s="5">
      <c r="A863" s="7" t="n">
        <v>24536</v>
      </c>
      <c r="B863" s="7" t="inlineStr">
        <is>
          <t>NIHAL 108 DC ENV TBGS WITH SPOON</t>
        </is>
      </c>
      <c r="C863" s="7" t="n">
        <v>108</v>
      </c>
    </row>
    <row r="864" hidden="1" ht="14.25" customHeight="1" s="5">
      <c r="A864" s="7" t="n">
        <v>721</v>
      </c>
      <c r="B864" s="7" t="inlineStr">
        <is>
          <t>NIHAL 25 DC ENV TBGS</t>
        </is>
      </c>
      <c r="C864" s="7" t="n">
        <v>25</v>
      </c>
    </row>
    <row r="865" hidden="1" ht="14.25" customHeight="1" s="5">
      <c r="A865" s="7" t="n">
        <v>36534</v>
      </c>
      <c r="B865" s="7" t="inlineStr">
        <is>
          <t>NOVOTEL ASSAM 100 DC SF HS ENV TBGS</t>
        </is>
      </c>
      <c r="C865" s="7" t="n">
        <v>100</v>
      </c>
    </row>
    <row r="866" hidden="1" ht="14.25" customHeight="1" s="5">
      <c r="A866" s="7" t="n">
        <v>36540</v>
      </c>
      <c r="B866" s="7" t="inlineStr">
        <is>
          <t>NOVOTEL CHAMOMILE 100 DC SF HS ENV TBGS</t>
        </is>
      </c>
      <c r="C866" s="7" t="n">
        <v>100</v>
      </c>
    </row>
    <row r="867" hidden="1" ht="14.25" customHeight="1" s="5">
      <c r="A867" s="7" t="n">
        <v>36537</v>
      </c>
      <c r="B867" s="7" t="inlineStr">
        <is>
          <t>NOVOTEL DARJEELING 100 DC SF HS ENV TBGS</t>
        </is>
      </c>
      <c r="C867" s="7" t="n">
        <v>100</v>
      </c>
    </row>
    <row r="868" hidden="1" ht="14.25" customHeight="1" s="5">
      <c r="A868" s="7" t="n">
        <v>36538</v>
      </c>
      <c r="B868" s="7" t="inlineStr">
        <is>
          <t>NOVOTEL EARL GREY 100 DC SF HS ENV TBGS</t>
        </is>
      </c>
      <c r="C868" s="7" t="n">
        <v>100</v>
      </c>
    </row>
    <row r="869" hidden="1" ht="14.25" customHeight="1" s="5">
      <c r="A869" s="7" t="n">
        <v>36536</v>
      </c>
      <c r="B869" s="7" t="inlineStr">
        <is>
          <t>NOVOTEL ENGLISH BREAKFAST 100 DC SF HS ENV TBGS</t>
        </is>
      </c>
      <c r="C869" s="7" t="n">
        <v>100</v>
      </c>
    </row>
    <row r="870" hidden="1" ht="14.25" customHeight="1" s="5">
      <c r="A870" s="7" t="n">
        <v>36539</v>
      </c>
      <c r="B870" s="7" t="inlineStr">
        <is>
          <t>NOVOTEL GREEN 100 DC SF HS ENV TBGS</t>
        </is>
      </c>
      <c r="C870" s="7" t="n">
        <v>100</v>
      </c>
    </row>
    <row r="871" hidden="1" ht="14.25" customHeight="1" s="5">
      <c r="A871" s="7" t="n">
        <v>36535</v>
      </c>
      <c r="B871" s="7" t="inlineStr">
        <is>
          <t>NOVOTEL MASALA 100 DC SF HS ENV TBGS</t>
        </is>
      </c>
      <c r="C871" s="7" t="n">
        <v>100</v>
      </c>
    </row>
    <row r="872" hidden="1" ht="14.25" customHeight="1" s="5">
      <c r="A872" s="7" t="n">
        <v>34486</v>
      </c>
      <c r="B872" s="7" t="inlineStr">
        <is>
          <t>OLINDA 110 DC ENV TBGS</t>
        </is>
      </c>
      <c r="C872" s="7" t="n">
        <v>110</v>
      </c>
    </row>
    <row r="873" hidden="1" ht="14.25" customHeight="1" s="5">
      <c r="A873" s="7" t="n">
        <v>725</v>
      </c>
      <c r="B873" s="7" t="inlineStr">
        <is>
          <t>ORIBA 100 DC ENV TBGS</t>
        </is>
      </c>
      <c r="C873" s="7" t="n">
        <v>100</v>
      </c>
    </row>
    <row r="874" hidden="1" ht="14.25" customHeight="1" s="5">
      <c r="A874" s="7" t="n">
        <v>34923</v>
      </c>
      <c r="B874" s="7" t="inlineStr">
        <is>
          <t>ORIBA CLOVE 25 DC ENV TBGS</t>
        </is>
      </c>
      <c r="C874" s="7" t="n">
        <v>25</v>
      </c>
    </row>
    <row r="875" hidden="1" ht="14.25" customHeight="1" s="5">
      <c r="A875" s="7" t="n">
        <v>26531</v>
      </c>
      <c r="B875" s="7" t="inlineStr">
        <is>
          <t>ORIBA COCKTAIL 25 DC ENV TBGS</t>
        </is>
      </c>
      <c r="C875" s="7" t="n">
        <v>25</v>
      </c>
    </row>
    <row r="876" hidden="1" ht="14.25" customHeight="1" s="5">
      <c r="A876" s="7" t="n">
        <v>26532</v>
      </c>
      <c r="B876" s="7" t="inlineStr">
        <is>
          <t>ORIBA GINGER 25 DC ENV TBGS</t>
        </is>
      </c>
      <c r="C876" s="7" t="n">
        <v>25</v>
      </c>
    </row>
    <row r="877" hidden="1" ht="14.25" customHeight="1" s="5">
      <c r="A877" s="7" t="n">
        <v>17948</v>
      </c>
      <c r="B877" s="7" t="inlineStr">
        <is>
          <t>ORIBA GOLD 100 DC ENV TBGS</t>
        </is>
      </c>
      <c r="C877" s="7" t="n">
        <v>100</v>
      </c>
    </row>
    <row r="878" hidden="1" ht="14.25" customHeight="1" s="5">
      <c r="A878" s="7" t="n">
        <v>34903</v>
      </c>
      <c r="B878" s="7" t="inlineStr">
        <is>
          <t>ORIBA GOLD 25 DC ENV TBGS</t>
        </is>
      </c>
      <c r="C878" s="7" t="n">
        <v>25</v>
      </c>
    </row>
    <row r="879" hidden="1" ht="14.25" customHeight="1" s="5">
      <c r="A879" s="7" t="n">
        <v>26533</v>
      </c>
      <c r="B879" s="7" t="inlineStr">
        <is>
          <t>ORIBA LEMON 25 DC ENV TBGS</t>
        </is>
      </c>
      <c r="C879" s="7" t="n">
        <v>25</v>
      </c>
    </row>
    <row r="880" hidden="1" ht="14.25" customHeight="1" s="5">
      <c r="A880" s="7" t="n">
        <v>26241</v>
      </c>
      <c r="B880" s="7" t="inlineStr">
        <is>
          <t>ORIBA MINT 25 DC ENV TBGS</t>
        </is>
      </c>
      <c r="C880" s="7" t="n">
        <v>25</v>
      </c>
    </row>
    <row r="881" hidden="1" ht="14.25" customHeight="1" s="5">
      <c r="A881" s="7" t="n">
        <v>26534</v>
      </c>
      <c r="B881" s="7" t="inlineStr">
        <is>
          <t>ORIBA STRAWBERRY 25 DC ENV TBGS</t>
        </is>
      </c>
      <c r="C881" s="7" t="n">
        <v>25</v>
      </c>
    </row>
    <row r="882" hidden="1" ht="14.25" customHeight="1" s="5">
      <c r="A882" s="7" t="n">
        <v>27436</v>
      </c>
      <c r="B882" s="7" t="inlineStr">
        <is>
          <t>OURA 100 DC ENV TBGS</t>
        </is>
      </c>
      <c r="C882" s="7" t="n">
        <v>100</v>
      </c>
    </row>
    <row r="883" hidden="1" ht="14.25" customHeight="1" s="5">
      <c r="A883" s="7" t="n">
        <v>29411</v>
      </c>
      <c r="B883" s="7" t="inlineStr">
        <is>
          <t>OURA 25 DC TAG TBGS</t>
        </is>
      </c>
      <c r="C883" s="7" t="n">
        <v>25</v>
      </c>
    </row>
    <row r="884" hidden="1" ht="14.25" customHeight="1" s="5">
      <c r="A884" s="7" t="n">
        <v>751</v>
      </c>
      <c r="B884" s="7" t="inlineStr">
        <is>
          <t>PACIFICO 20 DC SF TAG TBGS-4 GMS</t>
        </is>
      </c>
      <c r="C884" s="7" t="n">
        <v>20</v>
      </c>
    </row>
    <row r="885" hidden="1" ht="14.25" customHeight="1" s="5">
      <c r="A885" s="7" t="n">
        <v>18401</v>
      </c>
      <c r="B885" s="7" t="inlineStr">
        <is>
          <t>PACIFICO 20 DC TAG TBGS-2 GMS</t>
        </is>
      </c>
      <c r="C885" s="7" t="n">
        <v>20</v>
      </c>
    </row>
    <row r="886" hidden="1" ht="14.25" customHeight="1" s="5">
      <c r="A886" s="7" t="n">
        <v>27760</v>
      </c>
      <c r="B886" s="7" t="inlineStr">
        <is>
          <t>PADI 100 DC ENV TBGS</t>
        </is>
      </c>
      <c r="C886" s="7" t="n">
        <v>100</v>
      </c>
    </row>
    <row r="887" hidden="1" ht="14.25" customHeight="1" s="5">
      <c r="A887" s="7" t="n">
        <v>27113</v>
      </c>
      <c r="B887" s="7" t="inlineStr">
        <is>
          <t>PADI 100 SC TBGS TAGLESS</t>
        </is>
      </c>
      <c r="C887" s="7" t="n">
        <v>100</v>
      </c>
    </row>
    <row r="888" hidden="1" ht="14.25" customHeight="1" s="5">
      <c r="A888" s="7" t="n">
        <v>27757</v>
      </c>
      <c r="B888" s="7" t="inlineStr">
        <is>
          <t>PADI 25 DC ENV TBGS</t>
        </is>
      </c>
      <c r="C888" s="7" t="n">
        <v>25</v>
      </c>
    </row>
    <row r="889" hidden="1" ht="14.25" customHeight="1" s="5">
      <c r="A889" s="7" t="n">
        <v>27759</v>
      </c>
      <c r="B889" s="7" t="inlineStr">
        <is>
          <t>PADI 50 DC ENV TBGS</t>
        </is>
      </c>
      <c r="C889" s="7" t="n">
        <v>50</v>
      </c>
    </row>
    <row r="890" hidden="1" ht="14.25" customHeight="1" s="5">
      <c r="A890" s="7" t="n">
        <v>37180</v>
      </c>
      <c r="B890" s="7" t="inlineStr">
        <is>
          <t>PADI HOT CHOCOLATE 3 IN 1 (30GMS)</t>
        </is>
      </c>
      <c r="C890" s="7" t="n">
        <v>1</v>
      </c>
    </row>
    <row r="891" hidden="1" ht="14.25" customHeight="1" s="5">
      <c r="A891" s="7" t="n">
        <v>2200</v>
      </c>
      <c r="B891" s="7" t="inlineStr">
        <is>
          <t>PCTN INDUS SACHET 24 X 10 X 5 DC ENV TBGS</t>
        </is>
      </c>
      <c r="C891" s="7" t="n">
        <v>0</v>
      </c>
    </row>
    <row r="892" hidden="1" ht="14.25" customHeight="1" s="5">
      <c r="A892" s="7" t="n">
        <v>22660</v>
      </c>
      <c r="B892" s="7" t="inlineStr">
        <is>
          <t>PG NATURE PROTECT 100 GMS LEAF PKT TEA</t>
        </is>
      </c>
      <c r="C892" s="7" t="n">
        <v>1</v>
      </c>
    </row>
    <row r="893" hidden="1" ht="14.25" customHeight="1" s="5">
      <c r="A893" s="7" t="n">
        <v>22028</v>
      </c>
      <c r="B893" s="7" t="inlineStr">
        <is>
          <t>PG NATURE PROTECT 250 GMS PKT TEA</t>
        </is>
      </c>
      <c r="C893" s="7" t="n">
        <v>1</v>
      </c>
    </row>
    <row r="894" hidden="1" ht="14.25" customHeight="1" s="5">
      <c r="A894" s="7" t="n">
        <v>22808</v>
      </c>
      <c r="B894" s="7" t="inlineStr">
        <is>
          <t>PG NATURE PROTECT 500 GMS PKT TEA</t>
        </is>
      </c>
      <c r="C894" s="7" t="n">
        <v>1</v>
      </c>
    </row>
    <row r="895" hidden="1" ht="14.25" customHeight="1" s="5">
      <c r="A895" s="7" t="n">
        <v>27130</v>
      </c>
      <c r="B895" s="7" t="inlineStr">
        <is>
          <t>PG NATURE PROTECT LEAF 20 GM POUCH</t>
        </is>
      </c>
      <c r="C895" s="7" t="n">
        <v>1</v>
      </c>
    </row>
    <row r="896" hidden="1" ht="14.25" customHeight="1" s="5">
      <c r="A896" s="7" t="n">
        <v>760</v>
      </c>
      <c r="B896" s="7" t="inlineStr">
        <is>
          <t>PREMIER 100 DC ENV TBGS</t>
        </is>
      </c>
      <c r="C896" s="7" t="n">
        <v>100</v>
      </c>
    </row>
    <row r="897" hidden="1" ht="14.25" customHeight="1" s="5">
      <c r="A897" s="7" t="n">
        <v>768</v>
      </c>
      <c r="B897" s="7" t="inlineStr">
        <is>
          <t>PREMIER 106 DC ENV TBGS</t>
        </is>
      </c>
      <c r="C897" s="7" t="n">
        <v>106</v>
      </c>
    </row>
    <row r="898" hidden="1" ht="14.25" customHeight="1" s="5">
      <c r="A898" s="7" t="n">
        <v>27474</v>
      </c>
      <c r="B898" s="7" t="inlineStr">
        <is>
          <t>PREMIER CLOVE 25 DC ENV TBGS</t>
        </is>
      </c>
      <c r="C898" s="7" t="n">
        <v>25</v>
      </c>
    </row>
    <row r="899" hidden="1" ht="14.25" customHeight="1" s="5">
      <c r="A899" s="7" t="n">
        <v>26245</v>
      </c>
      <c r="B899" s="7" t="inlineStr">
        <is>
          <t>PREMIER COCKTAIL 25 DC ENV TBGS</t>
        </is>
      </c>
      <c r="C899" s="7" t="n">
        <v>25</v>
      </c>
    </row>
    <row r="900" hidden="1" ht="14.25" customHeight="1" s="5">
      <c r="A900" s="7" t="n">
        <v>23809</v>
      </c>
      <c r="B900" s="7" t="inlineStr">
        <is>
          <t>PREMIER CRANBERRY APPLE 25 DC ENV TBGS</t>
        </is>
      </c>
      <c r="C900" s="7" t="n">
        <v>25</v>
      </c>
    </row>
    <row r="901" hidden="1" ht="14.25" customHeight="1" s="5">
      <c r="A901" s="7" t="n">
        <v>23802</v>
      </c>
      <c r="B901" s="7" t="inlineStr">
        <is>
          <t>PREMIER GINGER 25 DC ENV TBGS</t>
        </is>
      </c>
      <c r="C901" s="7" t="n">
        <v>25</v>
      </c>
    </row>
    <row r="902" hidden="1" ht="14.25" customHeight="1" s="5">
      <c r="A902" s="7" t="n">
        <v>23808</v>
      </c>
      <c r="B902" s="7" t="inlineStr">
        <is>
          <t>PREMIER HIBISCUS APPLE 25 DC ENV TBGS</t>
        </is>
      </c>
      <c r="C902" s="7" t="n">
        <v>1</v>
      </c>
    </row>
    <row r="903" hidden="1" ht="14.25" customHeight="1" s="5">
      <c r="A903" s="7" t="n">
        <v>23803</v>
      </c>
      <c r="B903" s="7" t="inlineStr">
        <is>
          <t>PREMIER LEMON 25 DC ENV TBGS</t>
        </is>
      </c>
      <c r="C903" s="7" t="n">
        <v>25</v>
      </c>
    </row>
    <row r="904" hidden="1" ht="14.25" customHeight="1" s="5">
      <c r="A904" s="7" t="n">
        <v>23804</v>
      </c>
      <c r="B904" s="7" t="inlineStr">
        <is>
          <t>PREMIER MINT 25 DC ENV TBGS</t>
        </is>
      </c>
      <c r="C904" s="7" t="n">
        <v>25</v>
      </c>
    </row>
    <row r="905" hidden="1" ht="14.25" customHeight="1" s="5">
      <c r="A905" s="7" t="n">
        <v>23805</v>
      </c>
      <c r="B905" s="7" t="inlineStr">
        <is>
          <t>PREMIER ORANGE 25 DC ENV TBGS</t>
        </is>
      </c>
      <c r="C905" s="7" t="n">
        <v>25</v>
      </c>
    </row>
    <row r="906" hidden="1" ht="14.25" customHeight="1" s="5">
      <c r="A906" s="7" t="n">
        <v>32849</v>
      </c>
      <c r="B906" s="7" t="inlineStr">
        <is>
          <t>PREMIER ORANGE PEACH 25 DC ENV TBGS</t>
        </is>
      </c>
      <c r="C906" s="7" t="n">
        <v>25</v>
      </c>
    </row>
    <row r="907" hidden="1" ht="14.25" customHeight="1" s="5">
      <c r="A907" s="7" t="n">
        <v>23810</v>
      </c>
      <c r="B907" s="7" t="inlineStr">
        <is>
          <t>PREMIER PINEAPPLE 25 DC ENV TBGS</t>
        </is>
      </c>
      <c r="C907" s="7" t="n">
        <v>25</v>
      </c>
    </row>
    <row r="908" hidden="1" ht="14.25" customHeight="1" s="5">
      <c r="A908" s="7" t="n">
        <v>32850</v>
      </c>
      <c r="B908" s="7" t="inlineStr">
        <is>
          <t>PREMIER PINEAPPLE COCONUT 25 DC ENV TBGS</t>
        </is>
      </c>
      <c r="C908" s="7" t="n">
        <v>25</v>
      </c>
    </row>
    <row r="909" hidden="1" ht="14.25" customHeight="1" s="5">
      <c r="A909" s="7" t="n">
        <v>23811</v>
      </c>
      <c r="B909" s="7" t="inlineStr">
        <is>
          <t>PREMIER ROSE 25 DC ENV TBGS</t>
        </is>
      </c>
      <c r="C909" s="7" t="n">
        <v>25</v>
      </c>
    </row>
    <row r="910" hidden="1" ht="14.25" customHeight="1" s="5">
      <c r="A910" s="7" t="n">
        <v>23806</v>
      </c>
      <c r="B910" s="7" t="inlineStr">
        <is>
          <t>PREMIER STRAWBERRY 25 DC ENV TBGS</t>
        </is>
      </c>
      <c r="C910" s="7" t="n">
        <v>25</v>
      </c>
    </row>
    <row r="911" hidden="1" ht="14.25" customHeight="1" s="5">
      <c r="A911" s="7" t="n">
        <v>23807</v>
      </c>
      <c r="B911" s="7" t="inlineStr">
        <is>
          <t>PREMIER TAMARIND 25 DC ENV TBGS</t>
        </is>
      </c>
      <c r="C911" s="7" t="n">
        <v>25</v>
      </c>
    </row>
    <row r="912" hidden="1" ht="14.25" customHeight="1" s="5">
      <c r="A912" s="7" t="n">
        <v>23812</v>
      </c>
      <c r="B912" s="7" t="inlineStr">
        <is>
          <t>PREMIER WATERMELON 25 DC ENV TBGS</t>
        </is>
      </c>
      <c r="C912" s="7" t="n">
        <v>25</v>
      </c>
    </row>
    <row r="913" hidden="1" ht="14.25" customHeight="1" s="5">
      <c r="A913" s="7" t="n">
        <v>19112</v>
      </c>
      <c r="B913" s="7" t="inlineStr">
        <is>
          <t>Premium Gold 100 GM Leaf CP Battery RB</t>
        </is>
      </c>
      <c r="C913" s="7" t="n">
        <v>1</v>
      </c>
    </row>
    <row r="914" hidden="1" ht="14.25" customHeight="1" s="5">
      <c r="A914" s="7" t="n">
        <v>19113</v>
      </c>
      <c r="B914" s="7" t="inlineStr">
        <is>
          <t>Premium Gold 100 GM Leaf CP Battery RC</t>
        </is>
      </c>
      <c r="C914" s="7" t="n">
        <v>1</v>
      </c>
    </row>
    <row r="915" hidden="1" ht="14.25" customHeight="1" s="5">
      <c r="A915" s="7" t="n">
        <v>20058</v>
      </c>
      <c r="B915" s="7" t="inlineStr">
        <is>
          <t>Premium Gold 100 GM Leaf CP Battery RG</t>
        </is>
      </c>
      <c r="C915" s="7" t="n">
        <v>1</v>
      </c>
    </row>
    <row r="916" hidden="1" ht="14.25" customHeight="1" s="5">
      <c r="A916" s="7" t="n">
        <v>22620</v>
      </c>
      <c r="B916" s="7" t="inlineStr">
        <is>
          <t>PREMIUM GOLD 100 GM LEAF RG POUCH</t>
        </is>
      </c>
      <c r="C916" s="7" t="n">
        <v>1</v>
      </c>
    </row>
    <row r="917" hidden="1" ht="14.25" customHeight="1" s="5">
      <c r="A917" s="7" t="n">
        <v>19107</v>
      </c>
      <c r="B917" s="7" t="inlineStr">
        <is>
          <t xml:space="preserve">Premium Gold 250 GM Leaf CP 20% Extra RA </t>
        </is>
      </c>
      <c r="C917" s="7" t="n">
        <v>1</v>
      </c>
    </row>
    <row r="918" hidden="1" ht="14.25" customHeight="1" s="5">
      <c r="A918" s="7" t="n">
        <v>19105</v>
      </c>
      <c r="B918" s="7" t="inlineStr">
        <is>
          <t>Premium Gold 250 GM Leaf RA</t>
        </is>
      </c>
      <c r="C918" s="7" t="n">
        <v>1</v>
      </c>
    </row>
    <row r="919" hidden="1" ht="14.25" customHeight="1" s="5">
      <c r="A919" s="7" t="n">
        <v>22262</v>
      </c>
      <c r="B919" s="7" t="inlineStr">
        <is>
          <t>Premium Gold 250 GM Leaf RA- CP OFFER</t>
        </is>
      </c>
      <c r="C919" s="7" t="n">
        <v>1</v>
      </c>
    </row>
    <row r="920" hidden="1" ht="14.25" customHeight="1" s="5">
      <c r="A920" s="7" t="n">
        <v>19125</v>
      </c>
      <c r="B920" s="7" t="inlineStr">
        <is>
          <t>Premium Gold 500 GM Leaf RA</t>
        </is>
      </c>
      <c r="C920" s="7" t="n">
        <v>1</v>
      </c>
    </row>
    <row r="921" hidden="1" ht="14.25" customHeight="1" s="5">
      <c r="A921" s="7" t="n">
        <v>36292</v>
      </c>
      <c r="B921" s="7" t="inlineStr">
        <is>
          <t>PREMIUM GOLD LEAF EGNP ELAICHI PKT 250 GM POUCH</t>
        </is>
      </c>
      <c r="C921" s="7" t="n">
        <v>1</v>
      </c>
    </row>
    <row r="922" hidden="1" ht="14.25" customHeight="1" s="5">
      <c r="A922" s="7" t="n">
        <v>22882</v>
      </c>
      <c r="B922" s="7" t="inlineStr">
        <is>
          <t>PREMIUM GOLD LEAF RA 1 KG POUCH</t>
        </is>
      </c>
      <c r="C922" s="7" t="n">
        <v>1</v>
      </c>
    </row>
    <row r="923" hidden="1" ht="14.25" customHeight="1" s="5">
      <c r="A923" s="7" t="n">
        <v>27239</v>
      </c>
      <c r="B923" s="7" t="inlineStr">
        <is>
          <t>PREMIUM GOLD LEAF RA 20 GM POUCH</t>
        </is>
      </c>
      <c r="C923" s="7" t="n">
        <v>1</v>
      </c>
    </row>
    <row r="924" hidden="1" ht="14.25" customHeight="1" s="5">
      <c r="A924" s="7" t="n">
        <v>26619</v>
      </c>
      <c r="B924" s="7" t="inlineStr">
        <is>
          <t>PREMIUM GOLD LEAF RA 250 GM POUCH</t>
        </is>
      </c>
      <c r="C924" s="7" t="n">
        <v>1</v>
      </c>
    </row>
    <row r="925" hidden="1" ht="14.25" customHeight="1" s="5">
      <c r="A925" s="7" t="n">
        <v>22883</v>
      </c>
      <c r="B925" s="7" t="inlineStr">
        <is>
          <t>PREMIUM GOLD LEAF RA 500 GM POUCH</t>
        </is>
      </c>
      <c r="C925" s="7" t="n">
        <v>1</v>
      </c>
    </row>
    <row r="926" hidden="1" ht="14.25" customHeight="1" s="5">
      <c r="A926" s="7" t="n">
        <v>30959</v>
      </c>
      <c r="B926" s="7" t="inlineStr">
        <is>
          <t>PREMIUM GOLD LEAF WB NORTH 1 KG POUCH</t>
        </is>
      </c>
      <c r="C926" s="7" t="n">
        <v>1</v>
      </c>
    </row>
    <row r="927" hidden="1" ht="14.25" customHeight="1" s="5">
      <c r="A927" s="7" t="n">
        <v>30960</v>
      </c>
      <c r="B927" s="7" t="inlineStr">
        <is>
          <t>PREMIUM GOLD LEAF WB NORTH 20 GM POUCH</t>
        </is>
      </c>
      <c r="C927" s="7" t="n">
        <v>1</v>
      </c>
    </row>
    <row r="928" hidden="1" ht="14.25" customHeight="1" s="5">
      <c r="A928" s="7" t="n">
        <v>30957</v>
      </c>
      <c r="B928" s="7" t="inlineStr">
        <is>
          <t>PREMIUM GOLD LEAF WB NORTH 250 GM POUCH</t>
        </is>
      </c>
      <c r="C928" s="7" t="n">
        <v>1</v>
      </c>
    </row>
    <row r="929" hidden="1" ht="14.25" customHeight="1" s="5">
      <c r="A929" s="7" t="n">
        <v>30958</v>
      </c>
      <c r="B929" s="7" t="inlineStr">
        <is>
          <t>PREMIUM GOLD LEAF WB NORTH 500 GM POUCH</t>
        </is>
      </c>
      <c r="C929" s="7" t="n">
        <v>1</v>
      </c>
    </row>
    <row r="930" hidden="1" ht="14.25" customHeight="1" s="5">
      <c r="A930" s="7" t="n">
        <v>27204</v>
      </c>
      <c r="B930" s="7" t="inlineStr">
        <is>
          <t>PREMIUM GOLD MADHUSREE FANNINGS 20 GM POUCH</t>
        </is>
      </c>
      <c r="C930" s="7" t="n">
        <v>1</v>
      </c>
    </row>
    <row r="931" hidden="1" ht="14.25" customHeight="1" s="5">
      <c r="A931" s="7" t="n">
        <v>26929</v>
      </c>
      <c r="B931" s="7" t="inlineStr">
        <is>
          <t>PREMIUM GOLD MADHUSREE FANNINGS 250 GM POUCH</t>
        </is>
      </c>
      <c r="C931" s="7" t="n">
        <v>1</v>
      </c>
    </row>
    <row r="932" hidden="1" ht="14.25" customHeight="1" s="5">
      <c r="A932" s="7" t="n">
        <v>27238</v>
      </c>
      <c r="B932" s="7" t="inlineStr">
        <is>
          <t>PREMIUM GOLD MAHESHWARI LEAF 20 GM POUCH</t>
        </is>
      </c>
      <c r="C932" s="7" t="n">
        <v>1</v>
      </c>
    </row>
    <row r="933" hidden="1" ht="14.25" customHeight="1" s="5">
      <c r="A933" s="7" t="n">
        <v>19120</v>
      </c>
      <c r="B933" s="7" t="inlineStr">
        <is>
          <t>Premium Gold SV 250 GM Leaf RB</t>
        </is>
      </c>
      <c r="C933" s="7" t="n">
        <v>1</v>
      </c>
    </row>
    <row r="934" hidden="1" ht="14.25" customHeight="1" s="5">
      <c r="A934" s="7" t="n">
        <v>22467</v>
      </c>
      <c r="B934" s="7" t="inlineStr">
        <is>
          <t>PRICE CHOPPER 100 PTAG TBGS 00360</t>
        </is>
      </c>
      <c r="C934" s="7" t="n">
        <v>100</v>
      </c>
    </row>
    <row r="935" hidden="1" ht="14.25" customHeight="1" s="5">
      <c r="A935" s="7" t="n">
        <v>848</v>
      </c>
      <c r="B935" s="7" t="inlineStr">
        <is>
          <t>PURE ROYAL 100 SC TBGS TAGLESS</t>
        </is>
      </c>
      <c r="C935" s="7" t="n">
        <v>100</v>
      </c>
    </row>
    <row r="936" hidden="1" ht="14.25" customHeight="1" s="5">
      <c r="A936" s="7" t="n">
        <v>23754</v>
      </c>
      <c r="B936" s="7" t="inlineStr">
        <is>
          <t>PVT EST (R) BY TET 3 OZ AB RND ITBS</t>
        </is>
      </c>
      <c r="C936" s="7" t="n">
        <v>8</v>
      </c>
    </row>
    <row r="937" hidden="1" ht="14.25" customHeight="1" s="5">
      <c r="A937" s="7" t="n">
        <v>22133</v>
      </c>
      <c r="B937" s="7" t="inlineStr">
        <is>
          <t>RAJ TEA 250 GM LEAF BOPP</t>
        </is>
      </c>
      <c r="C937" s="7" t="n">
        <v>1</v>
      </c>
    </row>
    <row r="938" hidden="1" ht="14.25" customHeight="1" s="5">
      <c r="A938" s="7" t="n">
        <v>21913</v>
      </c>
      <c r="B938" s="7" t="inlineStr">
        <is>
          <t>RICHMOND RED 27 ROUND TBGS- 1.8 GMS</t>
        </is>
      </c>
      <c r="C938" s="7" t="n">
        <v>27</v>
      </c>
    </row>
    <row r="939" hidden="1" ht="14.25" customHeight="1" s="5">
      <c r="A939" s="7" t="n">
        <v>2563</v>
      </c>
      <c r="B939" s="7" t="inlineStr">
        <is>
          <t>RICHMOND RED LABEL 27 ROUND TBGS</t>
        </is>
      </c>
      <c r="C939" s="7" t="n">
        <v>27</v>
      </c>
    </row>
    <row r="940" hidden="1" ht="14.25" customHeight="1" s="5">
      <c r="A940" s="7" t="n">
        <v>18348</v>
      </c>
      <c r="B940" s="7" t="inlineStr">
        <is>
          <t>RICHMOND STRAWBERRY 20 SC HS ENV TBGS</t>
        </is>
      </c>
      <c r="C940" s="7" t="n">
        <v>20</v>
      </c>
    </row>
    <row r="941" hidden="1" ht="14.25" customHeight="1" s="5">
      <c r="A941" s="7" t="n">
        <v>34472</v>
      </c>
      <c r="B941" s="7" t="inlineStr">
        <is>
          <t>ROASTEA ASSAM TEA 100 DC HS SF TAG TBGS</t>
        </is>
      </c>
      <c r="C941" s="7" t="n">
        <v>100</v>
      </c>
    </row>
    <row r="942" hidden="1" ht="14.25" customHeight="1" s="5">
      <c r="A942" s="7" t="n">
        <v>32129</v>
      </c>
      <c r="B942" s="7" t="inlineStr">
        <is>
          <t>SALGAR CHAI COFFEE HONEY LEMON GREEN TEA 100 DC SF HS ENV TBGS</t>
        </is>
      </c>
      <c r="C942" s="7" t="n">
        <v>100</v>
      </c>
    </row>
    <row r="943" hidden="1" ht="14.25" customHeight="1" s="5">
      <c r="A943" s="7" t="n">
        <v>858</v>
      </c>
      <c r="B943" s="7" t="inlineStr">
        <is>
          <t>SANCHO 100 DC ENV TBGS</t>
        </is>
      </c>
      <c r="C943" s="7" t="n">
        <v>100</v>
      </c>
    </row>
    <row r="944" hidden="1" ht="14.25" customHeight="1" s="5">
      <c r="A944" s="7" t="n">
        <v>17932</v>
      </c>
      <c r="B944" s="7" t="inlineStr">
        <is>
          <t>SANCHO 12/100 DC ENV TBGS</t>
        </is>
      </c>
      <c r="C944" s="7" t="n">
        <v>12</v>
      </c>
    </row>
    <row r="945" hidden="1" ht="14.25" customHeight="1" s="5">
      <c r="A945" s="7" t="n">
        <v>19344</v>
      </c>
      <c r="B945" s="7" t="inlineStr">
        <is>
          <t>SARASWATI 500 GMS  BOP NON WOVEN BAGS</t>
        </is>
      </c>
      <c r="C945" s="7" t="n">
        <v>1</v>
      </c>
    </row>
    <row r="946" hidden="1" ht="14.25" customHeight="1" s="5">
      <c r="A946" s="7" t="n">
        <v>19340</v>
      </c>
      <c r="B946" s="7" t="inlineStr">
        <is>
          <t>SARASWATI 500 GMS BOP - FREE SIPPER WITH THIS PACK</t>
        </is>
      </c>
      <c r="C946" s="7" t="n">
        <v>1</v>
      </c>
    </row>
    <row r="947" hidden="1" ht="14.25" customHeight="1" s="5">
      <c r="A947" s="7" t="n">
        <v>19341</v>
      </c>
      <c r="B947" s="7" t="inlineStr">
        <is>
          <t>SARASWATI 500 GMS DUST - FREE CUP WITH THIS PACK</t>
        </is>
      </c>
      <c r="C947" s="7" t="n">
        <v>1</v>
      </c>
    </row>
    <row r="948" hidden="1" ht="14.25" customHeight="1" s="5">
      <c r="A948" s="7" t="n">
        <v>19342</v>
      </c>
      <c r="B948" s="7" t="inlineStr">
        <is>
          <t>SARASWATI 500 GMS DUST - FREE SIPPER WITH THIS PACK</t>
        </is>
      </c>
      <c r="C948" s="7" t="n">
        <v>1</v>
      </c>
    </row>
    <row r="949" hidden="1" ht="14.25" customHeight="1" s="5">
      <c r="A949" s="7" t="n">
        <v>19343</v>
      </c>
      <c r="B949" s="7" t="inlineStr">
        <is>
          <t>SARASWATI 500 GMS FM - FREE SIPPER WITH THIS PACK</t>
        </is>
      </c>
      <c r="C949" s="7" t="n">
        <v>1</v>
      </c>
    </row>
    <row r="950" hidden="1" ht="14.25" customHeight="1" s="5">
      <c r="A950" s="7" t="n">
        <v>37524</v>
      </c>
      <c r="B950" s="7" t="inlineStr">
        <is>
          <t>SARASWATI AMRUT DUST  BLACK TEA SRASWATI AMRUT SWEET PKT 250 GM POUCH</t>
        </is>
      </c>
      <c r="C950" s="7" t="n">
        <v>1</v>
      </c>
    </row>
    <row r="951" hidden="1" ht="14.25" customHeight="1" s="5">
      <c r="A951" s="7" t="n">
        <v>19333</v>
      </c>
      <c r="B951" s="7" t="inlineStr">
        <is>
          <t>SARASWATI BOP 250 GMS POUCH</t>
        </is>
      </c>
      <c r="C951" s="7" t="n">
        <v>1</v>
      </c>
    </row>
    <row r="952" hidden="1" ht="14.25" customHeight="1" s="5">
      <c r="A952" s="7" t="n">
        <v>19334</v>
      </c>
      <c r="B952" s="7" t="inlineStr">
        <is>
          <t>SARASWATI BOP 250 GMS POUCH WITH OFFER</t>
        </is>
      </c>
      <c r="C952" s="7" t="n">
        <v>1</v>
      </c>
    </row>
    <row r="953" hidden="1" ht="14.25" customHeight="1" s="5">
      <c r="A953" s="7" t="n">
        <v>36470</v>
      </c>
      <c r="B953" s="7" t="inlineStr">
        <is>
          <t>SARASWATI BOP SFA 1 KG POUCH</t>
        </is>
      </c>
      <c r="C953" s="7" t="n">
        <v>1</v>
      </c>
    </row>
    <row r="954" hidden="1" ht="14.25" customHeight="1" s="5">
      <c r="A954" s="7" t="n">
        <v>19350</v>
      </c>
      <c r="B954" s="7" t="inlineStr">
        <is>
          <t>SARASWATI DUST 100 GMS POUCH</t>
        </is>
      </c>
      <c r="C954" s="7" t="n">
        <v>1</v>
      </c>
    </row>
    <row r="955" hidden="1" ht="14.25" customHeight="1" s="5">
      <c r="A955" s="7" t="n">
        <v>19351</v>
      </c>
      <c r="B955" s="7" t="inlineStr">
        <is>
          <t>SARASWATI DUST 100 GMS POUCH -WITH BATTERY OFFER</t>
        </is>
      </c>
      <c r="C955" s="7" t="n">
        <v>1</v>
      </c>
    </row>
    <row r="956" hidden="1" ht="14.25" customHeight="1" s="5">
      <c r="A956" s="7" t="n">
        <v>19355</v>
      </c>
      <c r="B956" s="7" t="inlineStr">
        <is>
          <t>SARASWATI DUST 15 GMS POUCH</t>
        </is>
      </c>
      <c r="C956" s="7" t="n">
        <v>1</v>
      </c>
    </row>
    <row r="957" hidden="1" ht="14.25" customHeight="1" s="5">
      <c r="A957" s="7" t="n">
        <v>27135</v>
      </c>
      <c r="B957" s="7" t="inlineStr">
        <is>
          <t>SARASWATI DUST 20 GM POUCH</t>
        </is>
      </c>
      <c r="C957" s="7" t="n">
        <v>1</v>
      </c>
    </row>
    <row r="958" hidden="1" ht="14.25" customHeight="1" s="5">
      <c r="A958" s="7" t="n">
        <v>22599</v>
      </c>
      <c r="B958" s="7" t="inlineStr">
        <is>
          <t>SARASWATI DUST 250 GM CP OFFER POUCH</t>
        </is>
      </c>
      <c r="C958" s="7" t="n">
        <v>1</v>
      </c>
    </row>
    <row r="959" hidden="1" ht="14.25" customHeight="1" s="5">
      <c r="A959" s="7" t="n">
        <v>19329</v>
      </c>
      <c r="B959" s="7" t="inlineStr">
        <is>
          <t>SARASWATI DUST 250 GMS BOPP</t>
        </is>
      </c>
      <c r="C959" s="7" t="n">
        <v>1</v>
      </c>
    </row>
    <row r="960" hidden="1" ht="14.25" customHeight="1" s="5">
      <c r="A960" s="7" t="n">
        <v>19331</v>
      </c>
      <c r="B960" s="7" t="inlineStr">
        <is>
          <t>SARASWATI DUST 250 GMS BOPP - LUNCH BOX PROMO</t>
        </is>
      </c>
      <c r="C960" s="7" t="n">
        <v>1</v>
      </c>
    </row>
    <row r="961" hidden="1" ht="14.25" customHeight="1" s="5">
      <c r="A961" s="7" t="n">
        <v>19330</v>
      </c>
      <c r="B961" s="7" t="inlineStr">
        <is>
          <t>SARASWATI DUST 250 GMS BOPP - WITH BISCUIT OFFER</t>
        </is>
      </c>
      <c r="C961" s="7" t="n">
        <v>1</v>
      </c>
    </row>
    <row r="962" hidden="1" ht="14.25" customHeight="1" s="5">
      <c r="A962" s="7" t="n">
        <v>19353</v>
      </c>
      <c r="B962" s="7" t="inlineStr">
        <is>
          <t>SARASWATI DUST 30 GMS POUCH</t>
        </is>
      </c>
      <c r="C962" s="7" t="n">
        <v>1</v>
      </c>
    </row>
    <row r="963" hidden="1" ht="14.25" customHeight="1" s="5">
      <c r="A963" s="7" t="n">
        <v>19352</v>
      </c>
      <c r="B963" s="7" t="inlineStr">
        <is>
          <t>SARASWATI DUST 50 GMS POUCH</t>
        </is>
      </c>
      <c r="C963" s="7" t="n">
        <v>1</v>
      </c>
    </row>
    <row r="964" hidden="1" ht="14.25" customHeight="1" s="5">
      <c r="A964" s="7" t="n">
        <v>19345</v>
      </c>
      <c r="B964" s="7" t="inlineStr">
        <is>
          <t>SARASWATI DUST 500 GMS NON WOVEN BAGS</t>
        </is>
      </c>
      <c r="C964" s="7" t="n">
        <v>1</v>
      </c>
    </row>
    <row r="965" hidden="1" ht="14.25" customHeight="1" s="5">
      <c r="A965" s="7" t="n">
        <v>30986</v>
      </c>
      <c r="B965" s="7" t="inlineStr">
        <is>
          <t>SARASWATI DUST 7005 12 GM POUCH</t>
        </is>
      </c>
      <c r="C965" s="7" t="n">
        <v>1</v>
      </c>
    </row>
    <row r="966" hidden="1" ht="14.25" customHeight="1" s="5">
      <c r="A966" s="7" t="n">
        <v>20377</v>
      </c>
      <c r="B966" s="7" t="inlineStr">
        <is>
          <t>SARASWATI DUST 7005 14 GMS POUCH</t>
        </is>
      </c>
      <c r="C966" s="7" t="n">
        <v>1</v>
      </c>
    </row>
    <row r="967" hidden="1" ht="14.25" customHeight="1" s="5">
      <c r="A967" s="7" t="n">
        <v>30987</v>
      </c>
      <c r="B967" s="7" t="inlineStr">
        <is>
          <t>SARASWATI DUST 7005 24 GM POUCH</t>
        </is>
      </c>
      <c r="C967" s="7" t="n">
        <v>1</v>
      </c>
    </row>
    <row r="968" hidden="1" ht="14.25" customHeight="1" s="5">
      <c r="A968" s="7" t="n">
        <v>20376</v>
      </c>
      <c r="B968" s="7" t="inlineStr">
        <is>
          <t>SARASWATI DUST 7005 28 GMS POUCH</t>
        </is>
      </c>
      <c r="C968" s="7" t="n">
        <v>1</v>
      </c>
    </row>
    <row r="969" hidden="1" ht="14.25" customHeight="1" s="5">
      <c r="A969" s="7" t="n">
        <v>28132</v>
      </c>
      <c r="B969" s="7" t="inlineStr">
        <is>
          <t>SARASWATI DUST A PKT 1 KG POUCH</t>
        </is>
      </c>
      <c r="C969" s="7" t="n">
        <v>1</v>
      </c>
    </row>
    <row r="970" hidden="1" ht="14.25" customHeight="1" s="5">
      <c r="A970" s="7" t="n">
        <v>32988</v>
      </c>
      <c r="B970" s="7" t="inlineStr">
        <is>
          <t>SARASWATI DUST A705 44 GM LAMINATE POUCH</t>
        </is>
      </c>
      <c r="C970" s="7" t="n">
        <v>1</v>
      </c>
    </row>
    <row r="971" hidden="1" ht="14.25" customHeight="1" s="5">
      <c r="A971" s="7" t="n">
        <v>20750</v>
      </c>
      <c r="B971" s="7" t="inlineStr">
        <is>
          <t>SARASWATI DUST A705(SARASWATI SPL DUST) 13 GMS POUCH</t>
        </is>
      </c>
      <c r="C971" s="7" t="n">
        <v>1</v>
      </c>
    </row>
    <row r="972" hidden="1" ht="14.25" customHeight="1" s="5">
      <c r="A972" s="7" t="n">
        <v>20751</v>
      </c>
      <c r="B972" s="7" t="inlineStr">
        <is>
          <t>SARASWATI DUST A705(SARASWATI SPL DUST) 26 GMS POUCH</t>
        </is>
      </c>
      <c r="C972" s="7" t="n">
        <v>1</v>
      </c>
    </row>
    <row r="973" hidden="1" ht="14.25" customHeight="1" s="5">
      <c r="A973" s="7" t="n">
        <v>28704</v>
      </c>
      <c r="B973" s="7" t="inlineStr">
        <is>
          <t>SARASWATI DUST APKT (NEW) 1 KG POUCH</t>
        </is>
      </c>
      <c r="C973" s="7" t="n">
        <v>1</v>
      </c>
    </row>
    <row r="974" hidden="1" ht="14.25" customHeight="1" s="5">
      <c r="A974" s="7" t="n">
        <v>28062</v>
      </c>
      <c r="B974" s="7" t="inlineStr">
        <is>
          <t>SARASWATI DUST APKT (NEW) 250 GM POUCH</t>
        </is>
      </c>
      <c r="C974" s="7" t="n">
        <v>1</v>
      </c>
    </row>
    <row r="975" hidden="1" ht="14.25" customHeight="1" s="5">
      <c r="A975" s="7" t="n">
        <v>33952</v>
      </c>
      <c r="B975" s="7" t="inlineStr">
        <is>
          <t>SARASWATI DUST APKT (NEW) 250 GM POUCH SCRATCH CARD OFFER</t>
        </is>
      </c>
      <c r="C975" s="7" t="n">
        <v>1</v>
      </c>
    </row>
    <row r="976" hidden="1" ht="14.25" customHeight="1" s="5">
      <c r="A976" s="7" t="n">
        <v>35154</v>
      </c>
      <c r="B976" s="7" t="inlineStr">
        <is>
          <t>SARASWATI DUST KOLAHPUR 20 GM POUCH</t>
        </is>
      </c>
      <c r="C976" s="7" t="n">
        <v>1</v>
      </c>
    </row>
    <row r="977" hidden="1" ht="14.25" customHeight="1" s="5">
      <c r="A977" s="7" t="n">
        <v>35035</v>
      </c>
      <c r="B977" s="7" t="inlineStr">
        <is>
          <t>SARASWATI DUST KOLAHPUR 250 GM POUCH</t>
        </is>
      </c>
      <c r="C977" s="7" t="n">
        <v>1</v>
      </c>
    </row>
    <row r="978" hidden="1" ht="14.25" customHeight="1" s="5">
      <c r="A978" s="7" t="n">
        <v>35477</v>
      </c>
      <c r="B978" s="7" t="inlineStr">
        <is>
          <t>SARASWATI DUST KOLHAPUR 1 KG POUCH</t>
        </is>
      </c>
      <c r="C978" s="7" t="n">
        <v>1</v>
      </c>
    </row>
    <row r="979" hidden="1" ht="14.25" customHeight="1" s="5">
      <c r="A979" s="7" t="n">
        <v>35479</v>
      </c>
      <c r="B979" s="7" t="inlineStr">
        <is>
          <t>SARASWATI DUST KOLHAPUR 100 GM POUCH</t>
        </is>
      </c>
      <c r="C979" s="7" t="n">
        <v>1</v>
      </c>
    </row>
    <row r="980" hidden="1" ht="14.25" customHeight="1" s="5">
      <c r="A980" s="7" t="n">
        <v>32300</v>
      </c>
      <c r="B980" s="7" t="inlineStr">
        <is>
          <t>SARASWATI DUST STD 7005 22 GM POUCH</t>
        </is>
      </c>
      <c r="C980" s="7" t="n">
        <v>1</v>
      </c>
    </row>
    <row r="981" hidden="1" ht="14.25" customHeight="1" s="5">
      <c r="A981" s="7" t="n">
        <v>31646</v>
      </c>
      <c r="B981" s="7" t="inlineStr">
        <is>
          <t>SARASWATI ELAICHI LEAF BLACK TEA SARASWATI ELAICHI PKT 20 GM POUCH</t>
        </is>
      </c>
      <c r="C981" s="7" t="n">
        <v>1</v>
      </c>
    </row>
    <row r="982" hidden="1" ht="14.25" customHeight="1" s="5">
      <c r="A982" s="7" t="n">
        <v>33526</v>
      </c>
      <c r="B982" s="7" t="inlineStr">
        <is>
          <t>SARASWATI ELAICHI LEAF BLACK TEA SARASWATI ELAICHI PKT 22 GM POUCH</t>
        </is>
      </c>
      <c r="C982" s="7" t="n">
        <v>1</v>
      </c>
    </row>
    <row r="983" hidden="1" ht="14.25" customHeight="1" s="5">
      <c r="A983" s="7" t="n">
        <v>31513</v>
      </c>
      <c r="B983" s="7" t="inlineStr">
        <is>
          <t>SARASWATI ELAICHI LEAF BLACK TEA SARASWATI ELAICHI PKT 24 GM POUCH</t>
        </is>
      </c>
      <c r="C983" s="7" t="n">
        <v>1</v>
      </c>
    </row>
    <row r="984" hidden="1" ht="14.25" customHeight="1" s="5">
      <c r="A984" s="7" t="n">
        <v>31501</v>
      </c>
      <c r="B984" s="7" t="inlineStr">
        <is>
          <t>SARASWATI ELAICHI LEAF BLACK TEA SARASWATI ELAICHI PKT 250 GM POUCH</t>
        </is>
      </c>
      <c r="C984" s="7" t="n">
        <v>1</v>
      </c>
    </row>
    <row r="985" hidden="1" ht="14.25" customHeight="1" s="5">
      <c r="A985" s="7" t="n">
        <v>32802</v>
      </c>
      <c r="B985" s="7" t="inlineStr">
        <is>
          <t>SARASWATI ELAICHI LEAF SARASWATI ELAICHI PKT 20 GM LAMINATE POUCH</t>
        </is>
      </c>
      <c r="C985" s="7" t="n">
        <v>1</v>
      </c>
    </row>
    <row r="986" hidden="1" ht="14.25" customHeight="1" s="5">
      <c r="A986" s="7" t="n">
        <v>22603</v>
      </c>
      <c r="B986" s="7" t="inlineStr">
        <is>
          <t>SARASWATI FM 1 KG (500 GM X 2) POUCH</t>
        </is>
      </c>
      <c r="C986" s="7" t="n">
        <v>1</v>
      </c>
    </row>
    <row r="987" hidden="1" ht="14.25" customHeight="1" s="5">
      <c r="A987" s="7" t="n">
        <v>32709</v>
      </c>
      <c r="B987" s="7" t="inlineStr">
        <is>
          <t>SARASWATI GOLD DUST APKT+ 20 GM LAMINATE POUCH</t>
        </is>
      </c>
      <c r="C987" s="7" t="n">
        <v>1</v>
      </c>
    </row>
    <row r="988" hidden="1" ht="14.25" customHeight="1" s="5">
      <c r="A988" s="7" t="n">
        <v>31643</v>
      </c>
      <c r="B988" s="7" t="inlineStr">
        <is>
          <t>SARASWATI GOLD DUST APKT+ 20 GM POUCH</t>
        </is>
      </c>
      <c r="C988" s="7" t="n">
        <v>1</v>
      </c>
    </row>
    <row r="989" hidden="1" ht="14.25" customHeight="1" s="5">
      <c r="A989" s="7" t="n">
        <v>32833</v>
      </c>
      <c r="B989" s="7" t="inlineStr">
        <is>
          <t>SARASWATI GOLD LEAF WB WEST 100 GM CTN</t>
        </is>
      </c>
      <c r="C989" s="7" t="n">
        <v>1</v>
      </c>
    </row>
    <row r="990" hidden="1" ht="14.25" customHeight="1" s="5">
      <c r="A990" s="7" t="n">
        <v>32800</v>
      </c>
      <c r="B990" s="7" t="inlineStr">
        <is>
          <t>SARASWATI GOLD LEAF WB WEST 20 GM LAMINATE POUCH</t>
        </is>
      </c>
      <c r="C990" s="7" t="n">
        <v>1</v>
      </c>
    </row>
    <row r="991" hidden="1" ht="14.25" customHeight="1" s="5">
      <c r="A991" s="7" t="n">
        <v>32442</v>
      </c>
      <c r="B991" s="7" t="inlineStr">
        <is>
          <t>SARASWATI GOLD LEAF WB WEST 20 GM POUCH</t>
        </is>
      </c>
      <c r="C991" s="7" t="n">
        <v>1</v>
      </c>
    </row>
    <row r="992" hidden="1" ht="14.25" customHeight="1" s="5">
      <c r="A992" s="7" t="n">
        <v>31013</v>
      </c>
      <c r="B992" s="7" t="inlineStr">
        <is>
          <t>SARASWATI GOLD LEAF WB WEST 250 GM CTN</t>
        </is>
      </c>
      <c r="C992" s="7" t="n">
        <v>1</v>
      </c>
    </row>
    <row r="993" hidden="1" ht="14.25" customHeight="1" s="5">
      <c r="A993" s="7" t="n">
        <v>32443</v>
      </c>
      <c r="B993" s="7" t="inlineStr">
        <is>
          <t>SARASWATI GOLD VIKRAM GOLD F.MIX 20 GM POUCH</t>
        </is>
      </c>
      <c r="C993" s="7" t="n">
        <v>1</v>
      </c>
    </row>
    <row r="994" hidden="1" ht="14.25" customHeight="1" s="5">
      <c r="A994" s="7" t="n">
        <v>31012</v>
      </c>
      <c r="B994" s="7" t="inlineStr">
        <is>
          <t>SARASWATI GOLD VIKRAM GOLD F.MIX 250 GM CTN</t>
        </is>
      </c>
      <c r="C994" s="7" t="n">
        <v>1</v>
      </c>
    </row>
    <row r="995" hidden="1" ht="14.25" customHeight="1" s="5">
      <c r="A995" s="7" t="n">
        <v>31036</v>
      </c>
      <c r="B995" s="7" t="inlineStr">
        <is>
          <t>SARASWATI GOLDL DUST APKT+ 250 GM POUCH</t>
        </is>
      </c>
      <c r="C995" s="7" t="n">
        <v>1</v>
      </c>
    </row>
    <row r="996" hidden="1" ht="14.25" customHeight="1" s="5">
      <c r="A996" s="7" t="n">
        <v>19356</v>
      </c>
      <c r="B996" s="7" t="inlineStr">
        <is>
          <t>SARASWATI LEAF 15 GMS POUCH</t>
        </is>
      </c>
      <c r="C996" s="7" t="n">
        <v>1</v>
      </c>
    </row>
    <row r="997" hidden="1" ht="14.25" customHeight="1" s="5">
      <c r="A997" s="7" t="n">
        <v>27411</v>
      </c>
      <c r="B997" s="7" t="inlineStr">
        <is>
          <t>SARASWATI LEAF 20 GM POUCH</t>
        </is>
      </c>
      <c r="C997" s="7" t="n">
        <v>1</v>
      </c>
    </row>
    <row r="998" hidden="1" ht="14.25" customHeight="1" s="5">
      <c r="A998" s="7" t="n">
        <v>19335</v>
      </c>
      <c r="B998" s="7" t="inlineStr">
        <is>
          <t>SARASWATI LEAF 250 GMS POUCH</t>
        </is>
      </c>
      <c r="C998" s="7" t="n">
        <v>1</v>
      </c>
    </row>
    <row r="999" hidden="1" ht="14.25" customHeight="1" s="5">
      <c r="A999" s="7" t="n">
        <v>19354</v>
      </c>
      <c r="B999" s="7" t="inlineStr">
        <is>
          <t>SARASWATI LEAF 30 GMS POUCH</t>
        </is>
      </c>
      <c r="C999" s="7" t="n">
        <v>1</v>
      </c>
    </row>
    <row r="1000" hidden="1" ht="14.25" customHeight="1" s="5">
      <c r="A1000" s="7" t="n">
        <v>33639</v>
      </c>
      <c r="B1000" s="7" t="inlineStr">
        <is>
          <t>SARASWATI LEAF YEL PLAIN SFA 250 GM POUCH</t>
        </is>
      </c>
      <c r="C1000" s="7" t="n">
        <v>1</v>
      </c>
    </row>
    <row r="1001" hidden="1" ht="14.25" customHeight="1" s="5">
      <c r="A1001" s="7" t="n">
        <v>27349</v>
      </c>
      <c r="B1001" s="7" t="inlineStr">
        <is>
          <t>SARASWATI LEAF YEL SFA 250 GMS POUCH</t>
        </is>
      </c>
      <c r="C1001" s="7" t="n">
        <v>1</v>
      </c>
    </row>
    <row r="1002" hidden="1" ht="14.25" customHeight="1" s="5">
      <c r="A1002" s="7" t="n">
        <v>33629</v>
      </c>
      <c r="B1002" s="7" t="inlineStr">
        <is>
          <t>SARASWATI SFM 500 GM POUCH</t>
        </is>
      </c>
      <c r="C1002" s="7" t="n">
        <v>1</v>
      </c>
    </row>
    <row r="1003" hidden="1" ht="14.25" customHeight="1" s="5">
      <c r="A1003" s="7" t="n">
        <v>31599</v>
      </c>
      <c r="B1003" s="7" t="inlineStr">
        <is>
          <t>SFG BLENDED CILMJMC 250G</t>
        </is>
      </c>
      <c r="C1003" s="7" t="n">
        <v>1</v>
      </c>
    </row>
    <row r="1004" hidden="1" ht="14.25" customHeight="1" s="5">
      <c r="A1004" s="7" t="n">
        <v>31598</v>
      </c>
      <c r="B1004" s="7" t="inlineStr">
        <is>
          <t>SFG BLENDED CILMJMC 500G</t>
        </is>
      </c>
      <c r="C1004" s="7" t="n">
        <v>1</v>
      </c>
    </row>
    <row r="1005" hidden="1" ht="14.25" customHeight="1" s="5">
      <c r="A1005" s="7" t="n">
        <v>22463</v>
      </c>
      <c r="B1005" s="7" t="inlineStr">
        <is>
          <t>SIGNATURE SLCT 100 PENV TBGS</t>
        </is>
      </c>
      <c r="C1005" s="7" t="n">
        <v>100</v>
      </c>
    </row>
    <row r="1006" hidden="1" ht="14.25" customHeight="1" s="5">
      <c r="A1006" s="7" t="n">
        <v>22806</v>
      </c>
      <c r="B1006" s="7" t="inlineStr">
        <is>
          <t>SIGNATURE SLCT 48 PENV TBGS</t>
        </is>
      </c>
      <c r="C1006" s="7" t="n">
        <v>48</v>
      </c>
    </row>
    <row r="1007" hidden="1" ht="14.25" customHeight="1" s="5">
      <c r="A1007" s="7" t="n">
        <v>18662</v>
      </c>
      <c r="B1007" s="7" t="inlineStr">
        <is>
          <t>SPAR CTC HERB TEA 250 GMS BAG IN BOX PKT TEA</t>
        </is>
      </c>
      <c r="C1007" s="7" t="n">
        <v>1</v>
      </c>
    </row>
    <row r="1008" hidden="1" ht="14.25" customHeight="1" s="5">
      <c r="A1008" s="7" t="n">
        <v>18369</v>
      </c>
      <c r="B1008" s="7" t="inlineStr">
        <is>
          <t>SPAR ROYAL TEA 250 GMS BAG IN BOX PKT TEA</t>
        </is>
      </c>
      <c r="C1008" s="7" t="n">
        <v>1</v>
      </c>
    </row>
    <row r="1009" hidden="1" ht="14.25" customHeight="1" s="5">
      <c r="A1009" s="7" t="n">
        <v>36316</v>
      </c>
      <c r="B1009" s="7" t="inlineStr">
        <is>
          <t>SPHOORTEA PREMIUM LEAF STRONG TEA 20 GM POUCH</t>
        </is>
      </c>
      <c r="C1009" s="7" t="n">
        <v>1</v>
      </c>
    </row>
    <row r="1010" hidden="1" ht="14.25" customHeight="1" s="5">
      <c r="A1010" s="7" t="n">
        <v>35643</v>
      </c>
      <c r="B1010" s="7" t="inlineStr">
        <is>
          <t>SPHOORTEA PREMIUM LEAF STRONG TEA 250 GM POUCH</t>
        </is>
      </c>
      <c r="C1010" s="7" t="n">
        <v>1</v>
      </c>
    </row>
    <row r="1011" hidden="1" ht="14.25" customHeight="1" s="5">
      <c r="A1011" s="7" t="n">
        <v>19338</v>
      </c>
      <c r="B1011" s="7" t="inlineStr">
        <is>
          <t>SPHOORTI DUST 250 GMS POUCH WITH BATTERY OFFER</t>
        </is>
      </c>
      <c r="C1011" s="7" t="n">
        <v>1</v>
      </c>
    </row>
    <row r="1012" hidden="1" ht="14.25" customHeight="1" s="5">
      <c r="A1012" s="7" t="n">
        <v>19357</v>
      </c>
      <c r="B1012" s="7" t="inlineStr">
        <is>
          <t>SPHOORTI DUST 30 GMS POUCH</t>
        </is>
      </c>
      <c r="C1012" s="7" t="n">
        <v>1</v>
      </c>
    </row>
    <row r="1013" hidden="1" ht="14.25" customHeight="1" s="5">
      <c r="A1013" s="7" t="n">
        <v>19339</v>
      </c>
      <c r="B1013" s="7" t="inlineStr">
        <is>
          <t>SPHOORTI LEAF 250 GMS CARTON</t>
        </is>
      </c>
      <c r="C1013" s="7" t="n">
        <v>1</v>
      </c>
    </row>
    <row r="1014" hidden="1" ht="14.25" customHeight="1" s="5">
      <c r="A1014" s="7" t="n">
        <v>22043</v>
      </c>
      <c r="B1014" s="7" t="inlineStr">
        <is>
          <t>SPHOORTI LEAF 250 GMS CTN</t>
        </is>
      </c>
      <c r="C1014" s="7" t="n">
        <v>1</v>
      </c>
    </row>
    <row r="1015" hidden="1" ht="14.25" customHeight="1" s="5">
      <c r="A1015" s="7" t="n">
        <v>21964</v>
      </c>
      <c r="B1015" s="7" t="inlineStr">
        <is>
          <t>SPHOORTI LEAF 250 GMS CTN BOGO OFFER</t>
        </is>
      </c>
      <c r="C1015" s="7" t="n">
        <v>1</v>
      </c>
    </row>
    <row r="1016" hidden="1" ht="14.25" customHeight="1" s="5">
      <c r="A1016" s="7" t="n">
        <v>29487</v>
      </c>
      <c r="B1016" s="7" t="inlineStr">
        <is>
          <t>SPHOORTI LEAF 250 GMS POUCH</t>
        </is>
      </c>
      <c r="C1016" s="7" t="n">
        <v>1</v>
      </c>
    </row>
    <row r="1017" hidden="1" ht="14.25" customHeight="1" s="5">
      <c r="A1017" s="7" t="n">
        <v>32489</v>
      </c>
      <c r="B1017" s="7" t="inlineStr">
        <is>
          <t>SPHOORTI LEAF RC 20 GM POUCH</t>
        </is>
      </c>
      <c r="C1017" s="7" t="n">
        <v>1</v>
      </c>
    </row>
    <row r="1018" hidden="1" ht="14.25" customHeight="1" s="5">
      <c r="A1018" s="7" t="n">
        <v>31375</v>
      </c>
      <c r="B1018" s="7" t="inlineStr">
        <is>
          <t>SPHOORTI TULSI ROYAL LEAF STD-RE(TULSI) 20 GM POUCH</t>
        </is>
      </c>
      <c r="C1018" s="7" t="n">
        <v>1</v>
      </c>
    </row>
    <row r="1019" hidden="1" ht="14.25" customHeight="1" s="5">
      <c r="A1019" s="7" t="n">
        <v>32320</v>
      </c>
      <c r="B1019" s="7" t="inlineStr">
        <is>
          <t>SPHOORTI TULSI ROYAL LEAF STD-RE(TULSI) 200 GM POUCH</t>
        </is>
      </c>
      <c r="C1019" s="7" t="n">
        <v>1</v>
      </c>
    </row>
    <row r="1020" hidden="1" ht="14.25" customHeight="1" s="5">
      <c r="A1020" s="7" t="n">
        <v>31405</v>
      </c>
      <c r="B1020" s="7" t="inlineStr">
        <is>
          <t>SPHOORTI TULSI ROYAL LEAF STD-RE(TULSI) 235 GM POUCH CP OFFER</t>
        </is>
      </c>
      <c r="C1020" s="7" t="n">
        <v>1</v>
      </c>
    </row>
    <row r="1021" hidden="1" ht="14.25" customHeight="1" s="5">
      <c r="A1021" s="7" t="n">
        <v>30972</v>
      </c>
      <c r="B1021" s="7" t="inlineStr">
        <is>
          <t>SPHOORTI TULSI ROYAL LEAF STD-RE(TULSI) 250 GM POUCH</t>
        </is>
      </c>
      <c r="C1021" s="7" t="n">
        <v>1</v>
      </c>
    </row>
    <row r="1022" hidden="1" ht="14.25" customHeight="1" s="5">
      <c r="A1022" s="7" t="n">
        <v>26629</v>
      </c>
      <c r="B1022" s="7" t="inlineStr">
        <is>
          <t>SPROUTS ORGANIC BLACK TEA 100 SC ENV TBGS</t>
        </is>
      </c>
      <c r="C1022" s="7" t="n">
        <v>100</v>
      </c>
    </row>
    <row r="1023" hidden="1" ht="14.25" customHeight="1" s="5">
      <c r="A1023" s="7" t="n">
        <v>26628</v>
      </c>
      <c r="B1023" s="7" t="inlineStr">
        <is>
          <t>SPROUTS ORGANIC GREEN TEA 100 SC ENV TBGS</t>
        </is>
      </c>
      <c r="C1023" s="7" t="n">
        <v>100</v>
      </c>
    </row>
    <row r="1024" hidden="1" ht="14.25" customHeight="1" s="5">
      <c r="A1024" s="7" t="n">
        <v>21527</v>
      </c>
      <c r="B1024" s="7" t="inlineStr">
        <is>
          <t>STEVIA SWEET LYCHEE 18 PYRAMID ENV TEABAGS</t>
        </is>
      </c>
      <c r="C1024" s="7" t="n">
        <v>18</v>
      </c>
    </row>
    <row r="1025" hidden="1" ht="14.25" customHeight="1" s="5">
      <c r="A1025" s="7" t="n">
        <v>21526</v>
      </c>
      <c r="B1025" s="7" t="inlineStr">
        <is>
          <t>STEVIA SWEET WILD BERRY 18 PYRAMID ENV TEABAGS</t>
        </is>
      </c>
      <c r="C1025" s="7" t="n">
        <v>18</v>
      </c>
    </row>
    <row r="1026" hidden="1" ht="14.25" customHeight="1" s="5">
      <c r="A1026" s="7" t="n">
        <v>26955</v>
      </c>
      <c r="B1026" s="7" t="inlineStr">
        <is>
          <t>SUPER  CINNAMON 25 DC ENV TBGS</t>
        </is>
      </c>
      <c r="C1026" s="7" t="n">
        <v>25</v>
      </c>
    </row>
    <row r="1027" hidden="1" ht="14.25" customHeight="1" s="5">
      <c r="A1027" s="7" t="n">
        <v>26954</v>
      </c>
      <c r="B1027" s="7" t="inlineStr">
        <is>
          <t>SUPER  CLOVE 25 DC ENV TBGS</t>
        </is>
      </c>
      <c r="C1027" s="7" t="n">
        <v>25</v>
      </c>
    </row>
    <row r="1028" hidden="1" ht="14.25" customHeight="1" s="5">
      <c r="A1028" s="7" t="n">
        <v>2606</v>
      </c>
      <c r="B1028" s="7" t="inlineStr">
        <is>
          <t>SUPER GINGER 25 DC ENV TBGS</t>
        </is>
      </c>
      <c r="C1028" s="7" t="n">
        <v>25</v>
      </c>
    </row>
    <row r="1029" hidden="1" ht="14.25" customHeight="1" s="5">
      <c r="A1029" s="7" t="n">
        <v>26961</v>
      </c>
      <c r="B1029" s="7" t="inlineStr">
        <is>
          <t>SUPER GREEN  25 DC ENV TBGS</t>
        </is>
      </c>
      <c r="C1029" s="7" t="n">
        <v>25</v>
      </c>
    </row>
    <row r="1030" hidden="1" ht="14.25" customHeight="1" s="5">
      <c r="A1030" s="7" t="n">
        <v>26962</v>
      </c>
      <c r="B1030" s="7" t="inlineStr">
        <is>
          <t>SUPER GREEN LEMON  25 DC ENV TBGS</t>
        </is>
      </c>
      <c r="C1030" s="7" t="n">
        <v>25</v>
      </c>
    </row>
    <row r="1031" hidden="1" ht="14.25" customHeight="1" s="5">
      <c r="A1031" s="7" t="n">
        <v>20958</v>
      </c>
      <c r="B1031" s="7" t="inlineStr">
        <is>
          <t>SUPER HIBISCUS APPLE 25 DC ENV TBGS</t>
        </is>
      </c>
      <c r="C1031" s="7" t="n">
        <v>25</v>
      </c>
    </row>
    <row r="1032" hidden="1" ht="14.25" customHeight="1" s="5">
      <c r="A1032" s="7" t="n">
        <v>2611</v>
      </c>
      <c r="B1032" s="7" t="inlineStr">
        <is>
          <t>SUPER MINT 25 DC ENV TBGS</t>
        </is>
      </c>
      <c r="C1032" s="7" t="n">
        <v>25</v>
      </c>
    </row>
    <row r="1033" hidden="1" ht="14.25" customHeight="1" s="5">
      <c r="A1033" s="7" t="n">
        <v>26960</v>
      </c>
      <c r="B1033" s="7" t="inlineStr">
        <is>
          <t>SUPER MORINGA 25 DC ENV TBGS</t>
        </is>
      </c>
      <c r="C1033" s="7" t="n">
        <v>25</v>
      </c>
    </row>
    <row r="1034" hidden="1" ht="14.25" customHeight="1" s="5">
      <c r="A1034" s="7" t="n">
        <v>26959</v>
      </c>
      <c r="B1034" s="7" t="inlineStr">
        <is>
          <t>SUPER ORANGE 25 DC ENV TBGS</t>
        </is>
      </c>
      <c r="C1034" s="7" t="n">
        <v>25</v>
      </c>
    </row>
    <row r="1035" hidden="1" ht="14.25" customHeight="1" s="5">
      <c r="A1035" s="7" t="n">
        <v>26957</v>
      </c>
      <c r="B1035" s="7" t="inlineStr">
        <is>
          <t>SUPER PINEAPPLE 25 DC ENV TBGS</t>
        </is>
      </c>
      <c r="C1035" s="7" t="n">
        <v>25</v>
      </c>
    </row>
    <row r="1036" hidden="1" ht="14.25" customHeight="1" s="5">
      <c r="A1036" s="7" t="n">
        <v>2616</v>
      </c>
      <c r="B1036" s="7" t="inlineStr">
        <is>
          <t>SUPER STRAWBERRY 25 DC ENV TBGS</t>
        </is>
      </c>
      <c r="C1036" s="7" t="n">
        <v>25</v>
      </c>
    </row>
    <row r="1037" hidden="1" ht="14.25" customHeight="1" s="5">
      <c r="A1037" s="7" t="n">
        <v>26956</v>
      </c>
      <c r="B1037" s="7" t="inlineStr">
        <is>
          <t>SUPER TAMARIND 25 DC ENV TBGS</t>
        </is>
      </c>
      <c r="C1037" s="7" t="n">
        <v>25</v>
      </c>
    </row>
    <row r="1038" hidden="1" ht="14.25" customHeight="1" s="5">
      <c r="A1038" s="7" t="n">
        <v>2621</v>
      </c>
      <c r="B1038" s="7" t="inlineStr">
        <is>
          <t>SUPER TEA 100 DC ENV TBGS</t>
        </is>
      </c>
      <c r="C1038" s="7" t="n">
        <v>100</v>
      </c>
    </row>
    <row r="1039" hidden="1" ht="14.25" customHeight="1" s="5">
      <c r="A1039" s="7" t="n">
        <v>18997</v>
      </c>
      <c r="B1039" s="7" t="inlineStr">
        <is>
          <t>SUPER TEA 100 DC ENV TBGS WITH SPOON</t>
        </is>
      </c>
      <c r="C1039" s="7" t="n">
        <v>100</v>
      </c>
    </row>
    <row r="1040" hidden="1" ht="14.25" customHeight="1" s="5">
      <c r="A1040" s="7" t="n">
        <v>2635</v>
      </c>
      <c r="B1040" s="7" t="inlineStr">
        <is>
          <t>SUPER TEA 25 DC TAG TBGS</t>
        </is>
      </c>
      <c r="C1040" s="7" t="n">
        <v>25</v>
      </c>
    </row>
    <row r="1041" hidden="1" ht="14.25" customHeight="1" s="5">
      <c r="A1041" s="7" t="n">
        <v>29688</v>
      </c>
      <c r="B1041" s="7" t="inlineStr">
        <is>
          <t>SUPER TEA LEMON 25 DC ENV TBGS</t>
        </is>
      </c>
      <c r="C1041" s="7" t="n">
        <v>25</v>
      </c>
    </row>
    <row r="1042" hidden="1" ht="14.25" customHeight="1" s="5">
      <c r="A1042" s="7" t="n">
        <v>27482</v>
      </c>
      <c r="B1042" s="7" t="inlineStr">
        <is>
          <t>SUPER TEA LOOSE ENV CINNAMON DC ENV TBGS</t>
        </is>
      </c>
      <c r="C1042" s="7" t="n">
        <v>1</v>
      </c>
    </row>
    <row r="1043" hidden="1" ht="14.25" customHeight="1" s="5">
      <c r="A1043" s="7" t="n">
        <v>27481</v>
      </c>
      <c r="B1043" s="7" t="inlineStr">
        <is>
          <t>SUPER TEA LOOSE ENV CLOVE DC ENV TBGS</t>
        </is>
      </c>
      <c r="C1043" s="7" t="n">
        <v>1</v>
      </c>
    </row>
    <row r="1044" hidden="1" ht="14.25" customHeight="1" s="5">
      <c r="A1044" s="7" t="n">
        <v>27480</v>
      </c>
      <c r="B1044" s="7" t="inlineStr">
        <is>
          <t>SUPER TEA LOOSE ENV GINGER DC ENV TBGS</t>
        </is>
      </c>
      <c r="C1044" s="7" t="n">
        <v>1</v>
      </c>
    </row>
    <row r="1045" hidden="1" ht="14.25" customHeight="1" s="5">
      <c r="A1045" s="7" t="n">
        <v>27487</v>
      </c>
      <c r="B1045" s="7" t="inlineStr">
        <is>
          <t>SUPER TEA LOOSE ENV GREEN DC ENV TBGS</t>
        </is>
      </c>
      <c r="C1045" s="7" t="n">
        <v>1</v>
      </c>
    </row>
    <row r="1046" hidden="1" ht="14.25" customHeight="1" s="5">
      <c r="A1046" s="7" t="n">
        <v>27486</v>
      </c>
      <c r="B1046" s="7" t="inlineStr">
        <is>
          <t>SUPER TEA LOOSE ENV GREEN MORINGA DC ENV TBGS</t>
        </is>
      </c>
      <c r="C1046" s="7" t="n">
        <v>1</v>
      </c>
    </row>
    <row r="1047" hidden="1" ht="14.25" customHeight="1" s="5">
      <c r="A1047" s="7" t="n">
        <v>27479</v>
      </c>
      <c r="B1047" s="7" t="inlineStr">
        <is>
          <t>SUPER TEA LOOSE ENV MINT DC ENV TBGS</t>
        </is>
      </c>
      <c r="C1047" s="7" t="n">
        <v>1</v>
      </c>
    </row>
    <row r="1048" hidden="1" ht="14.25" customHeight="1" s="5">
      <c r="A1048" s="7" t="n">
        <v>27483</v>
      </c>
      <c r="B1048" s="7" t="inlineStr">
        <is>
          <t>SUPER TEA LOOSE ENV PINEAPPLE DC ENV TBGS</t>
        </is>
      </c>
      <c r="C1048" s="7" t="n">
        <v>1</v>
      </c>
    </row>
    <row r="1049" hidden="1" ht="14.25" customHeight="1" s="5">
      <c r="A1049" s="7" t="n">
        <v>27478</v>
      </c>
      <c r="B1049" s="7" t="inlineStr">
        <is>
          <t>SUPER TEA LOOSE ENV STRAWBERRY DC ENV TBGS</t>
        </is>
      </c>
      <c r="C1049" s="7" t="n">
        <v>1</v>
      </c>
    </row>
    <row r="1050" hidden="1" ht="14.25" customHeight="1" s="5">
      <c r="A1050" s="7" t="n">
        <v>27485</v>
      </c>
      <c r="B1050" s="7" t="inlineStr">
        <is>
          <t>SUPER TEA LOOSE ENV WATERMELON DC ENV TBGS</t>
        </is>
      </c>
      <c r="C1050" s="7" t="n">
        <v>1</v>
      </c>
    </row>
    <row r="1051" hidden="1" ht="14.25" customHeight="1" s="5">
      <c r="A1051" s="7" t="n">
        <v>34259</v>
      </c>
      <c r="B1051" s="7" t="inlineStr">
        <is>
          <t>SUPER VALUE GOLD TEA 80 TAGLESS TBGS</t>
        </is>
      </c>
      <c r="C1051" s="7" t="n">
        <v>80</v>
      </c>
    </row>
    <row r="1052" hidden="1" ht="14.25" customHeight="1" s="5">
      <c r="A1052" s="7" t="n">
        <v>26958</v>
      </c>
      <c r="B1052" s="7" t="inlineStr">
        <is>
          <t>SUPER WATERMELON 25 DC ENV TBGS</t>
        </is>
      </c>
      <c r="C1052" s="7" t="n">
        <v>25</v>
      </c>
    </row>
    <row r="1053" hidden="1" ht="14.25" customHeight="1" s="5">
      <c r="A1053" s="7" t="n">
        <v>33313</v>
      </c>
      <c r="B1053" s="7" t="inlineStr">
        <is>
          <t>TAPOK 100 DC ENV TBGS</t>
        </is>
      </c>
      <c r="C1053" s="7" t="n">
        <v>100</v>
      </c>
    </row>
    <row r="1054" hidden="1" ht="14.25" customHeight="1" s="5">
      <c r="A1054" s="7" t="n">
        <v>36338</v>
      </c>
      <c r="B1054" s="7" t="inlineStr">
        <is>
          <t>TAPOK 50 DC ENV TBGS</t>
        </is>
      </c>
      <c r="C1054" s="7" t="n">
        <v>50</v>
      </c>
    </row>
    <row r="1055" hidden="1" ht="14.25" customHeight="1" s="5">
      <c r="A1055" s="7" t="n">
        <v>36397</v>
      </c>
      <c r="B1055" s="7" t="inlineStr">
        <is>
          <t>TAPOK CINNAMON 25 DC ENV TBGS</t>
        </is>
      </c>
      <c r="C1055" s="7" t="n">
        <v>25</v>
      </c>
    </row>
    <row r="1056" hidden="1" ht="14.25" customHeight="1" s="5">
      <c r="A1056" s="7" t="n">
        <v>33438</v>
      </c>
      <c r="B1056" s="7" t="inlineStr">
        <is>
          <t>TAPOK CLOVE 25 DC ENV TBGS</t>
        </is>
      </c>
      <c r="C1056" s="7" t="n">
        <v>25</v>
      </c>
    </row>
    <row r="1057" hidden="1" ht="14.25" customHeight="1" s="5">
      <c r="A1057" s="7" t="n">
        <v>33437</v>
      </c>
      <c r="B1057" s="7" t="inlineStr">
        <is>
          <t>TAPOK GINGER 25 DC ENV TBGS</t>
        </is>
      </c>
      <c r="C1057" s="7" t="n">
        <v>25</v>
      </c>
    </row>
    <row r="1058" hidden="1" ht="14.25" customHeight="1" s="5">
      <c r="A1058" s="7" t="n">
        <v>36407</v>
      </c>
      <c r="B1058" s="7" t="inlineStr">
        <is>
          <t>TAPOK LEMON 25 DC ENV TBGS</t>
        </is>
      </c>
      <c r="C1058" s="7" t="n">
        <v>25</v>
      </c>
    </row>
    <row r="1059" hidden="1" ht="14.25" customHeight="1" s="5">
      <c r="A1059" s="7" t="n">
        <v>33435</v>
      </c>
      <c r="B1059" s="7" t="inlineStr">
        <is>
          <t>TAPOK MINT 25 DC ENV TBGS</t>
        </is>
      </c>
      <c r="C1059" s="7" t="n">
        <v>25</v>
      </c>
    </row>
    <row r="1060" hidden="1" ht="14.25" customHeight="1" s="5">
      <c r="A1060" s="7" t="n">
        <v>33439</v>
      </c>
      <c r="B1060" s="7" t="inlineStr">
        <is>
          <t>TAPOK ORANGE 25 DC ENV TBGS</t>
        </is>
      </c>
      <c r="C1060" s="7" t="n">
        <v>25</v>
      </c>
    </row>
    <row r="1061" hidden="1" ht="14.25" customHeight="1" s="5">
      <c r="A1061" s="7" t="n">
        <v>33436</v>
      </c>
      <c r="B1061" s="7" t="inlineStr">
        <is>
          <t>TAPOK STRAWBERRY 25 DC ENV TBGS</t>
        </is>
      </c>
      <c r="C1061" s="7" t="n">
        <v>25</v>
      </c>
    </row>
    <row r="1062" hidden="1" ht="14.25" customHeight="1" s="5">
      <c r="A1062" s="7" t="n">
        <v>19376</v>
      </c>
      <c r="B1062" s="7" t="inlineStr">
        <is>
          <t>TE-A-ME  JASMINE LEMONGRASS 100 DC SF HS ENV TBGS (INSTITUTIONAL)</t>
        </is>
      </c>
      <c r="C1062" s="7" t="n">
        <v>100</v>
      </c>
    </row>
    <row r="1063" hidden="1" ht="14.25" customHeight="1" s="5">
      <c r="A1063" s="7" t="n">
        <v>3301</v>
      </c>
      <c r="B1063" s="7" t="inlineStr">
        <is>
          <t>TE-A-ME  KASHMIRI KAHWA TEA 100 DC SF HS ENV TBGS (INSTITUTIONAL)</t>
        </is>
      </c>
      <c r="C1063" s="7" t="n">
        <v>100</v>
      </c>
    </row>
    <row r="1064" hidden="1" ht="14.25" customHeight="1" s="5">
      <c r="A1064" s="7" t="n">
        <v>3364</v>
      </c>
      <c r="B1064" s="7" t="inlineStr">
        <is>
          <t>TE-A-ME AROMATIC SPICE TEAS MASALA TEA 25 DC SF HS ENV TBGS</t>
        </is>
      </c>
      <c r="C1064" s="7" t="n">
        <v>25</v>
      </c>
    </row>
    <row r="1065" hidden="1" ht="14.25" customHeight="1" s="5">
      <c r="A1065" s="7" t="n">
        <v>22818</v>
      </c>
      <c r="B1065" s="7" t="inlineStr">
        <is>
          <t>TE-A-ME ASHWAGANDHA GREEN TEA 10 DC SF HS ENV TBGS</t>
        </is>
      </c>
      <c r="C1065" s="7" t="n">
        <v>10</v>
      </c>
    </row>
    <row r="1066" hidden="1" ht="14.25" customHeight="1" s="5">
      <c r="A1066" s="7" t="n">
        <v>22114</v>
      </c>
      <c r="B1066" s="7" t="inlineStr">
        <is>
          <t>TE-A-ME ASHWAGANDHA GREEN TEA 100 DC SF HS ENV TBGS</t>
        </is>
      </c>
      <c r="C1066" s="7" t="n">
        <v>100</v>
      </c>
    </row>
    <row r="1067" hidden="1" ht="14.25" customHeight="1" s="5">
      <c r="A1067" s="7" t="n">
        <v>22504</v>
      </c>
      <c r="B1067" s="7" t="inlineStr">
        <is>
          <t>TE-A-ME ASHWAGANDHA GREEN TEA 25 DC SF HS ENV TBGS</t>
        </is>
      </c>
      <c r="C1067" s="7" t="n">
        <v>25</v>
      </c>
    </row>
    <row r="1068" hidden="1" ht="14.25" customHeight="1" s="5">
      <c r="A1068" s="7" t="n">
        <v>3373</v>
      </c>
      <c r="B1068" s="7" t="inlineStr">
        <is>
          <t>TE-A-ME ASSAM TEA 100 DC SF HS ENV TBGS</t>
        </is>
      </c>
      <c r="C1068" s="7" t="n">
        <v>100</v>
      </c>
    </row>
    <row r="1069" hidden="1" ht="14.25" customHeight="1" s="5">
      <c r="A1069" s="7" t="n">
        <v>36690</v>
      </c>
      <c r="B1069" s="7" t="inlineStr">
        <is>
          <t>TE-A-ME ASSORTED GREEN TEAS HEALTH PACK 20 DC HS SF ENV TBGS</t>
        </is>
      </c>
      <c r="C1069" s="7" t="n">
        <v>20</v>
      </c>
    </row>
    <row r="1070" hidden="1" ht="14.25" customHeight="1" s="5">
      <c r="A1070" s="7" t="n">
        <v>33005</v>
      </c>
      <c r="B1070" s="7" t="inlineStr">
        <is>
          <t>TE-A-ME BARISTA ASSAM TEA 100 DC HS SF TAG TBGS</t>
        </is>
      </c>
      <c r="C1070" s="7" t="n">
        <v>100</v>
      </c>
    </row>
    <row r="1071" hidden="1" ht="14.25" customHeight="1" s="5">
      <c r="A1071" s="7" t="n">
        <v>33268</v>
      </c>
      <c r="B1071" s="7" t="inlineStr">
        <is>
          <t>TE-A-ME BARISTA CARDAMOM TEA 100 DC HS SF TAG TBGS</t>
        </is>
      </c>
      <c r="C1071" s="7" t="n">
        <v>100</v>
      </c>
    </row>
    <row r="1072" hidden="1" ht="14.25" customHeight="1" s="5">
      <c r="A1072" s="7" t="n">
        <v>33249</v>
      </c>
      <c r="B1072" s="7" t="inlineStr">
        <is>
          <t>TE-A-ME BARISTA GINGER TEA 100 DC HS SF TAG TBGS</t>
        </is>
      </c>
      <c r="C1072" s="7" t="n">
        <v>100</v>
      </c>
    </row>
    <row r="1073" hidden="1" ht="14.25" customHeight="1" s="5">
      <c r="A1073" s="7" t="n">
        <v>33270</v>
      </c>
      <c r="B1073" s="7" t="inlineStr">
        <is>
          <t>TE-A-ME BARISTA GREEN TEA 100 DC HS SF TAG TBGS</t>
        </is>
      </c>
      <c r="C1073" s="7" t="n">
        <v>100</v>
      </c>
    </row>
    <row r="1074" hidden="1" ht="14.25" customHeight="1" s="5">
      <c r="A1074" s="7" t="n">
        <v>33271</v>
      </c>
      <c r="B1074" s="7" t="inlineStr">
        <is>
          <t>TE-A-ME BARISTA LEMON TEA 100 DC HS SF TAG TBGS</t>
        </is>
      </c>
      <c r="C1074" s="7" t="n">
        <v>100</v>
      </c>
    </row>
    <row r="1075" hidden="1" ht="14.25" customHeight="1" s="5">
      <c r="A1075" s="7" t="n">
        <v>33269</v>
      </c>
      <c r="B1075" s="7" t="inlineStr">
        <is>
          <t>TE-A-ME BARISTA MASALA TEA 100 DC HS SF TAG TBGS</t>
        </is>
      </c>
      <c r="C1075" s="7" t="n">
        <v>100</v>
      </c>
    </row>
    <row r="1076" hidden="1" ht="14.25" customHeight="1" s="5">
      <c r="A1076" s="7" t="n">
        <v>34437</v>
      </c>
      <c r="B1076" s="7" t="inlineStr">
        <is>
          <t>TE-A-ME BERRY MATCHA 50GMS PKT TEA</t>
        </is>
      </c>
      <c r="C1076" s="7" t="n">
        <v>1</v>
      </c>
    </row>
    <row r="1077" hidden="1" ht="14.25" customHeight="1" s="5">
      <c r="A1077" s="7" t="n">
        <v>32014</v>
      </c>
      <c r="B1077" s="7" t="inlineStr">
        <is>
          <t>TE-A-ME BLACK TEAS ASSAM EXCLUSIVE 100 DC HS STAPLE FREE TAG TBGS</t>
        </is>
      </c>
      <c r="C1077" s="7" t="n">
        <v>100</v>
      </c>
    </row>
    <row r="1078" hidden="1" ht="14.25" customHeight="1" s="5">
      <c r="A1078" s="7" t="n">
        <v>22759</v>
      </c>
      <c r="B1078" s="7" t="inlineStr">
        <is>
          <t>TE-A-ME BLACK TEAS ASSAM EXCLUSIVE 100 DC TAG TBGS (INS)</t>
        </is>
      </c>
      <c r="C1078" s="7" t="n">
        <v>100</v>
      </c>
    </row>
    <row r="1079" hidden="1" ht="14.25" customHeight="1" s="5">
      <c r="A1079" s="7" t="n">
        <v>20940</v>
      </c>
      <c r="B1079" s="7" t="inlineStr">
        <is>
          <t>TE-A-ME BLACK TEAS ASSAM GOLD 100 DC HS STAPLE FREE TBGS(INS)</t>
        </is>
      </c>
      <c r="C1079" s="7" t="n">
        <v>100</v>
      </c>
    </row>
    <row r="1080" hidden="1" ht="14.25" customHeight="1" s="5">
      <c r="A1080" s="7" t="n">
        <v>20981</v>
      </c>
      <c r="B1080" s="7" t="inlineStr">
        <is>
          <t>TE-A-ME BLACK TEAS CLASSIC ASSAM 100 DC HS STAPLE FREE TBGS(VALUE PACK)</t>
        </is>
      </c>
      <c r="C1080" s="7" t="n">
        <v>100</v>
      </c>
    </row>
    <row r="1081" hidden="1" ht="14.25" customHeight="1" s="5">
      <c r="A1081" s="7" t="n">
        <v>3427</v>
      </c>
      <c r="B1081" s="7" t="inlineStr">
        <is>
          <t>TE-A-ME CARDAMOM TEA 100 DC SF HS ENV TBGS (INSTITUTIONAL)</t>
        </is>
      </c>
      <c r="C1081" s="7" t="n">
        <v>100</v>
      </c>
    </row>
    <row r="1082" hidden="1" ht="14.25" customHeight="1" s="5">
      <c r="A1082" s="7" t="n">
        <v>34830</v>
      </c>
      <c r="B1082" s="7" t="inlineStr">
        <is>
          <t>TE-A-ME CARDAMOM TEA 100 DC SF HS ENV TBGS-XS</t>
        </is>
      </c>
      <c r="C1082" s="7" t="n">
        <v>100</v>
      </c>
    </row>
    <row r="1083" hidden="1" ht="14.25" customHeight="1" s="5">
      <c r="A1083" s="7" t="n">
        <v>34589</v>
      </c>
      <c r="B1083" s="7" t="inlineStr">
        <is>
          <t>TE-A-ME CARDAMOM TEA 25 DC HS STAPLE GREE ENV TBGS</t>
        </is>
      </c>
      <c r="C1083" s="7" t="n">
        <v>25</v>
      </c>
    </row>
    <row r="1084" hidden="1" ht="14.25" customHeight="1" s="5">
      <c r="A1084" s="7" t="n">
        <v>19373</v>
      </c>
      <c r="B1084" s="7" t="inlineStr">
        <is>
          <t>TE-A-ME CARDAMOM TURMERIC 100 DC SF HS ENV TBGS (INSTITUTIONAL)</t>
        </is>
      </c>
      <c r="C1084" s="7" t="n">
        <v>100</v>
      </c>
    </row>
    <row r="1085" hidden="1" ht="14.25" customHeight="1" s="5">
      <c r="A1085" s="7" t="n">
        <v>34434</v>
      </c>
      <c r="B1085" s="7" t="inlineStr">
        <is>
          <t>TE-A-ME CEREMONIAL MATCHA 50 GMS PKT TEA</t>
        </is>
      </c>
      <c r="C1085" s="7" t="n">
        <v>1</v>
      </c>
    </row>
    <row r="1086" hidden="1" ht="14.25" customHeight="1" s="5">
      <c r="A1086" s="7" t="n">
        <v>22437</v>
      </c>
      <c r="B1086" s="7" t="inlineStr">
        <is>
          <t>TE-A-ME CHAI CARDAMOM 100 DC STAPLE FREE TBGS</t>
        </is>
      </c>
      <c r="C1086" s="7" t="n">
        <v>100</v>
      </c>
    </row>
    <row r="1087" hidden="1" ht="14.25" customHeight="1" s="5">
      <c r="A1087" s="7" t="n">
        <v>34824</v>
      </c>
      <c r="B1087" s="7" t="inlineStr">
        <is>
          <t>TE-A-ME CHAI CARDAMOM 100 DC STAPLE FREE TBGS-XS</t>
        </is>
      </c>
      <c r="C1087" s="7" t="n">
        <v>100</v>
      </c>
    </row>
    <row r="1088" hidden="1" ht="14.25" customHeight="1" s="5">
      <c r="A1088" s="7" t="n">
        <v>22438</v>
      </c>
      <c r="B1088" s="7" t="inlineStr">
        <is>
          <t>TE-A-ME CHAI GINGER 100 DC STAPLE FREE TBGS</t>
        </is>
      </c>
      <c r="C1088" s="7" t="n">
        <v>100</v>
      </c>
    </row>
    <row r="1089" hidden="1" ht="14.25" customHeight="1" s="5">
      <c r="A1089" s="7" t="n">
        <v>18659</v>
      </c>
      <c r="B1089" s="7" t="inlineStr">
        <is>
          <t>TE-A-ME CHAI GINGER TEA INSTITUTIONAL 1 KG PKT TEA</t>
        </is>
      </c>
      <c r="C1089" s="7" t="n">
        <v>1</v>
      </c>
    </row>
    <row r="1090" hidden="1" ht="14.25" customHeight="1" s="5">
      <c r="A1090" s="7" t="n">
        <v>22439</v>
      </c>
      <c r="B1090" s="7" t="inlineStr">
        <is>
          <t>TE-A-ME CHAI MASALA 100 DC STAPLE FREE TBGS</t>
        </is>
      </c>
      <c r="C1090" s="7" t="n">
        <v>100</v>
      </c>
    </row>
    <row r="1091" hidden="1" ht="14.25" customHeight="1" s="5">
      <c r="A1091" s="7" t="n">
        <v>34833</v>
      </c>
      <c r="B1091" s="7" t="inlineStr">
        <is>
          <t>TE-A-ME CHAI MASALA 100 DC STAPLE FREE TBGS-XS</t>
        </is>
      </c>
      <c r="C1091" s="7" t="n">
        <v>100</v>
      </c>
    </row>
    <row r="1092" hidden="1" ht="14.25" customHeight="1" s="5">
      <c r="A1092" s="7" t="n">
        <v>21795</v>
      </c>
      <c r="B1092" s="7" t="inlineStr">
        <is>
          <t>TE-A-ME CHAMOMILE TEA 100 DC SF HS ENV TBGS</t>
        </is>
      </c>
      <c r="C1092" s="7" t="n">
        <v>100</v>
      </c>
    </row>
    <row r="1093" hidden="1" ht="14.25" customHeight="1" s="5">
      <c r="A1093" s="7" t="n">
        <v>3444</v>
      </c>
      <c r="B1093" s="7" t="inlineStr">
        <is>
          <t>TE-A-ME CHAMOMILE TEA 100 DC SF HS ENV TBGS (INSTITUTIONAL)</t>
        </is>
      </c>
      <c r="C1093" s="7" t="n">
        <v>100</v>
      </c>
    </row>
    <row r="1094" hidden="1" ht="14.25" customHeight="1" s="5">
      <c r="A1094" s="7" t="n">
        <v>3450</v>
      </c>
      <c r="B1094" s="7" t="inlineStr">
        <is>
          <t>TE-A-ME CLASSIC ASSAM TEA 100 DC TAG TBGS(VALUE PACK)</t>
        </is>
      </c>
      <c r="C1094" s="7" t="n">
        <v>100</v>
      </c>
    </row>
    <row r="1095" hidden="1" ht="14.25" customHeight="1" s="5">
      <c r="A1095" s="7" t="n">
        <v>36689</v>
      </c>
      <c r="B1095" s="7" t="inlineStr">
        <is>
          <t>TE-A-ME CLASSIC ASSAM TEA 25 DC STAPLE FREE TAG TBGS</t>
        </is>
      </c>
      <c r="C1095" s="7" t="n">
        <v>25</v>
      </c>
    </row>
    <row r="1096" hidden="1" ht="14.25" customHeight="1" s="5">
      <c r="A1096" s="7" t="n">
        <v>3456</v>
      </c>
      <c r="B1096" s="7" t="inlineStr">
        <is>
          <t>TE-A-ME CTC TEA INSTITUTION 500 GMS PKT TEA</t>
        </is>
      </c>
      <c r="C1096" s="7" t="n">
        <v>1</v>
      </c>
    </row>
    <row r="1097" hidden="1" ht="14.25" customHeight="1" s="5">
      <c r="A1097" s="7" t="n">
        <v>3459</v>
      </c>
      <c r="B1097" s="7" t="inlineStr">
        <is>
          <t>TE-A-ME CTC TEA INSTITUTIONAL 1 KG PKT TEA</t>
        </is>
      </c>
      <c r="C1097" s="7" t="n">
        <v>1</v>
      </c>
    </row>
    <row r="1098" hidden="1" ht="14.25" customHeight="1" s="5">
      <c r="A1098" s="7" t="n">
        <v>34435</v>
      </c>
      <c r="B1098" s="7" t="inlineStr">
        <is>
          <t>TE-A-ME CUSTOM CEREMONIAL MATCHA 50 GMS PKT TEA</t>
        </is>
      </c>
      <c r="C1098" s="7" t="n">
        <v>1</v>
      </c>
    </row>
    <row r="1099" hidden="1" ht="14.25" customHeight="1" s="5">
      <c r="A1099" s="7" t="n">
        <v>3467</v>
      </c>
      <c r="B1099" s="7" t="inlineStr">
        <is>
          <t>TE-A-ME DARJEELING TEA 100 DC SF HS ENV TBGS (INSTITUTIONAL)</t>
        </is>
      </c>
      <c r="C1099" s="7" t="n">
        <v>100</v>
      </c>
    </row>
    <row r="1100" hidden="1" ht="14.25" customHeight="1" s="5">
      <c r="A1100" s="7" t="n">
        <v>34089</v>
      </c>
      <c r="B1100" s="7" t="inlineStr">
        <is>
          <t>TE-A-ME DUST TEA INST PACK TEAME GINGER 1 KG POUCH</t>
        </is>
      </c>
      <c r="C1100" s="7" t="n">
        <v>1</v>
      </c>
    </row>
    <row r="1101" hidden="1" ht="14.25" customHeight="1" s="5">
      <c r="A1101" s="7" t="n">
        <v>34090</v>
      </c>
      <c r="B1101" s="7" t="inlineStr">
        <is>
          <t>TE-A-ME DUST TEA INST PACK TEAME MASALA 1 KG POUCH</t>
        </is>
      </c>
      <c r="C1101" s="7" t="n">
        <v>1</v>
      </c>
    </row>
    <row r="1102" hidden="1" ht="14.25" customHeight="1" s="5">
      <c r="A1102" s="7" t="n">
        <v>34091</v>
      </c>
      <c r="B1102" s="7" t="inlineStr">
        <is>
          <t>TE-A-ME DUST TEA INST PACK TEAME PREMIUM MASALA 1 KG POUCH</t>
        </is>
      </c>
      <c r="C1102" s="7" t="n">
        <v>1</v>
      </c>
    </row>
    <row r="1103" hidden="1" ht="14.25" customHeight="1" s="5">
      <c r="A1103" s="7" t="n">
        <v>32692</v>
      </c>
      <c r="B1103" s="7" t="inlineStr">
        <is>
          <t>TE-A-ME DUST TEA INSTITUTIONAL 250 GM PKT TEA</t>
        </is>
      </c>
      <c r="C1103" s="7" t="n">
        <v>1</v>
      </c>
    </row>
    <row r="1104" hidden="1" ht="14.25" customHeight="1" s="5">
      <c r="A1104" s="7" t="n">
        <v>3470</v>
      </c>
      <c r="B1104" s="7" t="inlineStr">
        <is>
          <t>TE-A-ME EARL GREY  TEA 100 DC SF HS ENV TBGS (INSTITUTIONAL)</t>
        </is>
      </c>
      <c r="C1104" s="7" t="n">
        <v>100</v>
      </c>
    </row>
    <row r="1105" hidden="1" ht="14.25" customHeight="1" s="5">
      <c r="A1105" s="7" t="n">
        <v>3488</v>
      </c>
      <c r="B1105" s="7" t="inlineStr">
        <is>
          <t>TE-A-ME ENGLISH BREAK FAST TEA 100 DC SF HS ENV TBGS</t>
        </is>
      </c>
      <c r="C1105" s="7" t="n">
        <v>100</v>
      </c>
    </row>
    <row r="1106" hidden="1" ht="14.25" customHeight="1" s="5">
      <c r="A1106" s="7" t="n">
        <v>18374</v>
      </c>
      <c r="B1106" s="7" t="inlineStr">
        <is>
          <t>TE-A-ME ENGLISH BREAKFAST TEA FOR AIR INDIA 25 DC SF HS ENV TBGS</t>
        </is>
      </c>
      <c r="C1106" s="7" t="n">
        <v>25</v>
      </c>
    </row>
    <row r="1107" hidden="1" ht="14.25" customHeight="1" s="5">
      <c r="A1107" s="7" t="n">
        <v>3490</v>
      </c>
      <c r="B1107" s="7" t="inlineStr">
        <is>
          <t>TE-A-ME EXOTIC BREWS 12 PYRAMID SIX IN ONE TEABAGS</t>
        </is>
      </c>
      <c r="C1107" s="7" t="n">
        <v>0</v>
      </c>
    </row>
    <row r="1108" hidden="1" ht="14.25" customHeight="1" s="5">
      <c r="A1108" s="7" t="n">
        <v>3499</v>
      </c>
      <c r="B1108" s="7" t="inlineStr">
        <is>
          <t>TE-A-ME EXOTIC BREWS ASSAM TEA 15 PYRAMID ENV TEABAGS</t>
        </is>
      </c>
      <c r="C1108" s="7" t="n">
        <v>15</v>
      </c>
    </row>
    <row r="1109" hidden="1" ht="14.25" customHeight="1" s="5">
      <c r="A1109" s="7" t="n">
        <v>3509</v>
      </c>
      <c r="B1109" s="7" t="inlineStr">
        <is>
          <t>TE-A-ME EXOTIC BREWS CHAMOMILE TEA 15 PYRAMID ENV TEABAGS</t>
        </is>
      </c>
      <c r="C1109" s="7" t="n">
        <v>15</v>
      </c>
    </row>
    <row r="1110" hidden="1" ht="14.25" customHeight="1" s="5">
      <c r="A1110" s="7" t="n">
        <v>3513</v>
      </c>
      <c r="B1110" s="7" t="inlineStr">
        <is>
          <t>TE-A-ME EXOTIC BREWS DARJEELING TEA 15 PYRAMID ENV TEABAGS</t>
        </is>
      </c>
      <c r="C1110" s="7" t="n">
        <v>15</v>
      </c>
    </row>
    <row r="1111" hidden="1" ht="14.25" customHeight="1" s="5">
      <c r="A1111" s="7" t="n">
        <v>3517</v>
      </c>
      <c r="B1111" s="7" t="inlineStr">
        <is>
          <t>TE-A-ME EXOTIC BREWS EARL GREY TEA 15 PYRAMID ENV TEABAGS</t>
        </is>
      </c>
      <c r="C1111" s="7" t="n">
        <v>15</v>
      </c>
    </row>
    <row r="1112" hidden="1" ht="14.25" customHeight="1" s="5">
      <c r="A1112" s="7" t="n">
        <v>3520</v>
      </c>
      <c r="B1112" s="7" t="inlineStr">
        <is>
          <t>TE-A-ME EXOTIC BREWS ENGLISH BREAK FAST TEA 15 PYRAMID ENV TEABAGS</t>
        </is>
      </c>
      <c r="C1112" s="7" t="n">
        <v>15</v>
      </c>
    </row>
    <row r="1113" hidden="1" ht="14.25" customHeight="1" s="5">
      <c r="A1113" s="7" t="n">
        <v>3524</v>
      </c>
      <c r="B1113" s="7" t="inlineStr">
        <is>
          <t>TE-A-ME EXOTIC BREWS GREEN LAVENDER ROSE MINT TEA 15 PYRAMID ENV TEABAGS</t>
        </is>
      </c>
      <c r="C1113" s="7" t="n">
        <v>15</v>
      </c>
    </row>
    <row r="1114" hidden="1" ht="14.25" customHeight="1" s="5">
      <c r="A1114" s="7" t="n">
        <v>3528</v>
      </c>
      <c r="B1114" s="7" t="inlineStr">
        <is>
          <t>TE-A-ME EXOTIC BREWS GREEN TEA 15 PYRAMID ENV TEABAGS</t>
        </is>
      </c>
      <c r="C1114" s="7" t="n">
        <v>15</v>
      </c>
    </row>
    <row r="1115" hidden="1" ht="14.25" customHeight="1" s="5">
      <c r="A1115" s="7" t="n">
        <v>3532</v>
      </c>
      <c r="B1115" s="7" t="inlineStr">
        <is>
          <t>TE-A-ME EXOTIC BREWS GREEN TEA KASHMIRI KAHWA 15 PYRAMID ENV TEABAGS</t>
        </is>
      </c>
      <c r="C1115" s="7" t="n">
        <v>15</v>
      </c>
    </row>
    <row r="1116" hidden="1" ht="14.25" customHeight="1" s="5">
      <c r="A1116" s="7" t="n">
        <v>3535</v>
      </c>
      <c r="B1116" s="7" t="inlineStr">
        <is>
          <t>TE-A-ME EXOTIC BREWS JASMINE GREEN TEA 15 PYRAMID ENV TEABAGS</t>
        </is>
      </c>
      <c r="C1116" s="7" t="n">
        <v>15</v>
      </c>
    </row>
    <row r="1117" hidden="1" ht="14.25" customHeight="1" s="5">
      <c r="A1117" s="7" t="n">
        <v>3538</v>
      </c>
      <c r="B1117" s="7" t="inlineStr">
        <is>
          <t>TE-A-ME EXOTIC BREWS MASALA TEA 15 PYRAMID ENV TEABAGS</t>
        </is>
      </c>
      <c r="C1117" s="7" t="n">
        <v>15</v>
      </c>
    </row>
    <row r="1118" hidden="1" ht="14.25" customHeight="1" s="5">
      <c r="A1118" s="7" t="n">
        <v>3541</v>
      </c>
      <c r="B1118" s="7" t="inlineStr">
        <is>
          <t>TE-A-ME EXOTIC BREWS PEPPERMINT TEA 15 PYRAMID ENV TEABAGS</t>
        </is>
      </c>
      <c r="C1118" s="7" t="n">
        <v>15</v>
      </c>
    </row>
    <row r="1119" hidden="1" ht="14.25" customHeight="1" s="5">
      <c r="A1119" s="7" t="n">
        <v>3545</v>
      </c>
      <c r="B1119" s="7" t="inlineStr">
        <is>
          <t>TE-A-ME EXOTIC BREWS ROOIBOS ORANGE &amp; CINNAMON 15 PYRAMID ENV TEABAGS</t>
        </is>
      </c>
      <c r="C1119" s="7" t="n">
        <v>15</v>
      </c>
    </row>
    <row r="1120" hidden="1" ht="14.25" customHeight="1" s="5">
      <c r="A1120" s="7" t="n">
        <v>3548</v>
      </c>
      <c r="B1120" s="7" t="inlineStr">
        <is>
          <t>TE-A-ME EXOTIC BREWS SENCHA GREEN TEA 15 PYRAMID ENV TEABAGS</t>
        </is>
      </c>
      <c r="C1120" s="7" t="n">
        <v>15</v>
      </c>
    </row>
    <row r="1121" hidden="1" ht="14.25" customHeight="1" s="5">
      <c r="A1121" s="7" t="n">
        <v>28381</v>
      </c>
      <c r="B1121" s="7" t="inlineStr">
        <is>
          <t>TE-A-ME FERN ASSAM TEA 100 DC SF HS ENV TBGS</t>
        </is>
      </c>
      <c r="C1121" s="7" t="n">
        <v>100</v>
      </c>
    </row>
    <row r="1122" hidden="1" ht="14.25" customHeight="1" s="5">
      <c r="A1122" s="7" t="n">
        <v>28393</v>
      </c>
      <c r="B1122" s="7" t="inlineStr">
        <is>
          <t>TE-A-ME FERN ENGLISH BREAK FAST TEA 100 DC SF HS ENV TBGS</t>
        </is>
      </c>
      <c r="C1122" s="7" t="n">
        <v>100</v>
      </c>
    </row>
    <row r="1123" hidden="1" ht="14.25" customHeight="1" s="5">
      <c r="A1123" s="7" t="n">
        <v>28395</v>
      </c>
      <c r="B1123" s="7" t="inlineStr">
        <is>
          <t>TE-A-ME FERN GREEN 100 DC SF HS ENV TBGS</t>
        </is>
      </c>
      <c r="C1123" s="7" t="n">
        <v>100</v>
      </c>
    </row>
    <row r="1124" hidden="1" ht="14.25" customHeight="1" s="5">
      <c r="A1124" s="7" t="n">
        <v>3557</v>
      </c>
      <c r="B1124" s="7" t="inlineStr">
        <is>
          <t>TE-A-ME FRUIT &amp; FLOWER INFUSIONS APPLE CINNAMON 25 DC HS ENV TBGS</t>
        </is>
      </c>
      <c r="C1124" s="7" t="n">
        <v>25</v>
      </c>
    </row>
    <row r="1125" hidden="1" ht="14.25" customHeight="1" s="5">
      <c r="A1125" s="7" t="n">
        <v>3561</v>
      </c>
      <c r="B1125" s="7" t="inlineStr">
        <is>
          <t>TE-A-ME FRUIT &amp; FLOWER INFUSIONS APPLE CINNAMON 25 DC SF HS ENV TBGS</t>
        </is>
      </c>
      <c r="C1125" s="7" t="n">
        <v>25</v>
      </c>
    </row>
    <row r="1126" hidden="1" ht="14.25" customHeight="1" s="5">
      <c r="A1126" s="7" t="n">
        <v>25940</v>
      </c>
      <c r="B1126" s="7" t="inlineStr">
        <is>
          <t>TE-A-ME FRUIT &amp; FLOWER INFUSIONS CHAMOMILE 20 DC SF HS ENV TBGS</t>
        </is>
      </c>
      <c r="C1126" s="7" t="n">
        <v>20</v>
      </c>
    </row>
    <row r="1127" hidden="1" ht="14.25" customHeight="1" s="5">
      <c r="A1127" s="7" t="n">
        <v>3567</v>
      </c>
      <c r="B1127" s="7" t="inlineStr">
        <is>
          <t>TE-A-ME FRUIT &amp; FLOWER INFUSIONS CHAMOMILE 25 DC SF HS ENV TBGS</t>
        </is>
      </c>
      <c r="C1127" s="7" t="n">
        <v>25</v>
      </c>
    </row>
    <row r="1128" hidden="1" ht="14.25" customHeight="1" s="5">
      <c r="A1128" s="7" t="n">
        <v>3573</v>
      </c>
      <c r="B1128" s="7" t="inlineStr">
        <is>
          <t>TE-A-ME FRUIT &amp; FLOWER INFUSIONS CRANBERRY APPLE 25 DC SF HS ENV TBGS</t>
        </is>
      </c>
      <c r="C1128" s="7" t="n">
        <v>25</v>
      </c>
    </row>
    <row r="1129" hidden="1" ht="14.25" customHeight="1" s="5">
      <c r="A1129" s="7" t="n">
        <v>3576</v>
      </c>
      <c r="B1129" s="7" t="inlineStr">
        <is>
          <t>TE-A-ME FRUIT &amp; FLOWER INFUSIONS ORANGE GINGER 25 DC HS ENV TBGS</t>
        </is>
      </c>
      <c r="C1129" s="7" t="n">
        <v>25</v>
      </c>
    </row>
    <row r="1130" hidden="1" ht="14.25" customHeight="1" s="5">
      <c r="A1130" s="7" t="n">
        <v>3580</v>
      </c>
      <c r="B1130" s="7" t="inlineStr">
        <is>
          <t>TE-A-ME FRUIT &amp; FLOWER INFUSIONS ORANGE GINGER 25 DC SF HS ENV TBGS</t>
        </is>
      </c>
      <c r="C1130" s="7" t="n">
        <v>25</v>
      </c>
    </row>
    <row r="1131" hidden="1" ht="14.25" customHeight="1" s="5">
      <c r="A1131" s="7" t="n">
        <v>3587</v>
      </c>
      <c r="B1131" s="7" t="inlineStr">
        <is>
          <t>TE-A-ME FRUIT &amp; FLOWER INFUSIONS PEPPERMINT 25 DC SF HS ENV TBGS</t>
        </is>
      </c>
      <c r="C1131" s="7" t="n">
        <v>25</v>
      </c>
    </row>
    <row r="1132" hidden="1" ht="14.25" customHeight="1" s="5">
      <c r="A1132" s="7" t="n">
        <v>3594</v>
      </c>
      <c r="B1132" s="7" t="inlineStr">
        <is>
          <t>TE-A-ME FRUIT &amp; FLOWER INFUSIONS STRAWBERRY CREAM 25 DC SF HS ENV TBGS</t>
        </is>
      </c>
      <c r="C1132" s="7" t="n">
        <v>25</v>
      </c>
    </row>
    <row r="1133" hidden="1" ht="14.25" customHeight="1" s="5">
      <c r="A1133" s="7" t="n">
        <v>3605</v>
      </c>
      <c r="B1133" s="7" t="inlineStr">
        <is>
          <t>TE-A-ME GINGER TEA 100 DC SF HS ENV TBGS (INSTITUTIONAL)</t>
        </is>
      </c>
      <c r="C1133" s="7" t="n">
        <v>100</v>
      </c>
    </row>
    <row r="1134" hidden="1" ht="14.25" customHeight="1" s="5">
      <c r="A1134" s="7" t="n">
        <v>34832</v>
      </c>
      <c r="B1134" s="7" t="inlineStr">
        <is>
          <t>TE-A-ME GINGER TEA 100 DC SF HS ENV TBGS-XS</t>
        </is>
      </c>
      <c r="C1134" s="7" t="n">
        <v>100</v>
      </c>
    </row>
    <row r="1135" hidden="1" ht="14.25" customHeight="1" s="5">
      <c r="A1135" s="7" t="n">
        <v>34593</v>
      </c>
      <c r="B1135" s="7" t="inlineStr">
        <is>
          <t>TE-A-ME GINGER TEA 25 DC HS STAPLE FREE ENV TBGS</t>
        </is>
      </c>
      <c r="C1135" s="7" t="n">
        <v>25</v>
      </c>
    </row>
    <row r="1136" hidden="1" ht="14.25" customHeight="1" s="5">
      <c r="A1136" s="7" t="n">
        <v>19379</v>
      </c>
      <c r="B1136" s="7" t="inlineStr">
        <is>
          <t>TE-A-ME GINGER TULSI HONEY 100 DC SF HS ENV TBGS (INSTITUTIONAL)</t>
        </is>
      </c>
      <c r="C1136" s="7" t="n">
        <v>100</v>
      </c>
    </row>
    <row r="1137" hidden="1" ht="14.25" customHeight="1" s="5">
      <c r="A1137" s="7" t="n">
        <v>3608</v>
      </c>
      <c r="B1137" s="7" t="inlineStr">
        <is>
          <t>TE-A-ME GREEN 100 DC HS ENV TBGS (INSTITUTIONAL)</t>
        </is>
      </c>
      <c r="C1137" s="7" t="n">
        <v>100</v>
      </c>
    </row>
    <row r="1138" hidden="1" ht="14.25" customHeight="1" s="5">
      <c r="A1138" s="7" t="n">
        <v>3612</v>
      </c>
      <c r="B1138" s="7" t="inlineStr">
        <is>
          <t>TE-A-ME GREEN 100 DC SF HS ENV TBGS (INSTITUTIONAL)</t>
        </is>
      </c>
      <c r="C1138" s="7" t="n">
        <v>100</v>
      </c>
    </row>
    <row r="1139" hidden="1" ht="14.25" customHeight="1" s="5">
      <c r="A1139" s="7" t="n">
        <v>3615</v>
      </c>
      <c r="B1139" s="7" t="inlineStr">
        <is>
          <t>TE-A-ME GREEN 100 DC TAG TBGS (INSTITUTIONAL)</t>
        </is>
      </c>
      <c r="C1139" s="7" t="n">
        <v>100</v>
      </c>
    </row>
    <row r="1140" hidden="1" ht="14.25" customHeight="1" s="5">
      <c r="A1140" s="7" t="n">
        <v>19092</v>
      </c>
      <c r="B1140" s="7" t="inlineStr">
        <is>
          <t>TE-A-ME GREEN PROMO (Rs. 200/- OFF) 100 DC SF HS ENV TBGS</t>
        </is>
      </c>
      <c r="C1140" s="7" t="n">
        <v>100</v>
      </c>
    </row>
    <row r="1141" hidden="1" ht="14.25" customHeight="1" s="5">
      <c r="A1141" s="7" t="n">
        <v>3622</v>
      </c>
      <c r="B1141" s="7" t="inlineStr">
        <is>
          <t>TE-A-ME GREEN TEAS MINT LEMON GINGER TEA100 DC SF HS ENV TBGS (INSTITUTIONAL)</t>
        </is>
      </c>
      <c r="C1141" s="7" t="n">
        <v>100</v>
      </c>
    </row>
    <row r="1142" hidden="1" ht="14.25" customHeight="1" s="5">
      <c r="A1142" s="7" t="n">
        <v>22813</v>
      </c>
      <c r="B1142" s="7" t="inlineStr">
        <is>
          <t>TE-A-ME GREEN TEAS SURAKSHA PACK 40 TBGS</t>
        </is>
      </c>
      <c r="C1142" s="7" t="n">
        <v>1</v>
      </c>
    </row>
    <row r="1143" hidden="1" ht="14.25" customHeight="1" s="5">
      <c r="A1143" s="7" t="n">
        <v>32846</v>
      </c>
      <c r="B1143" s="7" t="inlineStr">
        <is>
          <t>TE-A-ME HEMP CHAMOMILE 25 DC HS SF ENV TBGS</t>
        </is>
      </c>
      <c r="C1143" s="7" t="n">
        <v>25</v>
      </c>
    </row>
    <row r="1144" hidden="1" ht="14.25" customHeight="1" s="5">
      <c r="A1144" s="7" t="n">
        <v>3632</v>
      </c>
      <c r="B1144" s="7" t="inlineStr">
        <is>
          <t>TE-A-ME HONEY LEMON GREEN 100 DC TAG TBGS (INSTITUTIONAL)</t>
        </is>
      </c>
      <c r="C1144" s="7" t="n">
        <v>100</v>
      </c>
    </row>
    <row r="1145" hidden="1" ht="14.25" customHeight="1" s="5">
      <c r="A1145" s="7" t="n">
        <v>3635</v>
      </c>
      <c r="B1145" s="7" t="inlineStr">
        <is>
          <t>TE-A-ME HONEY LEMON GREEN PROMO (Rs. 100/- OFF) 100 DC SF HS ENV TBGS</t>
        </is>
      </c>
      <c r="C1145" s="7" t="n">
        <v>100</v>
      </c>
    </row>
    <row r="1146" hidden="1" ht="14.25" customHeight="1" s="5">
      <c r="A1146" s="7" t="n">
        <v>19094</v>
      </c>
      <c r="B1146" s="7" t="inlineStr">
        <is>
          <t>TE-A-ME HONEY LEMON GREEN PROMO (Rs. 150/- OFF) 100 DC SF HS ENV TBGS</t>
        </is>
      </c>
      <c r="C1146" s="7" t="n">
        <v>100</v>
      </c>
    </row>
    <row r="1147" hidden="1" ht="14.25" customHeight="1" s="5">
      <c r="A1147" s="7" t="n">
        <v>3644</v>
      </c>
      <c r="B1147" s="7" t="inlineStr">
        <is>
          <t>TE-A-ME HONEY LEMON GREEN TEA 100 DC SF HS ENV TBGS</t>
        </is>
      </c>
      <c r="C1147" s="7" t="n">
        <v>100</v>
      </c>
    </row>
    <row r="1148" hidden="1" ht="14.25" customHeight="1" s="5">
      <c r="A1148" s="7" t="n">
        <v>3646</v>
      </c>
      <c r="B1148" s="7" t="inlineStr">
        <is>
          <t>TE-A-ME HONEY LEMON GREEN TEA 100 DC SF HS ENV TBGS (INSTITUTIONAL)</t>
        </is>
      </c>
      <c r="C1148" s="7" t="n">
        <v>100</v>
      </c>
    </row>
    <row r="1149" hidden="1" ht="14.25" customHeight="1" s="5">
      <c r="A1149" s="7" t="n">
        <v>23378</v>
      </c>
      <c r="B1149" s="7" t="inlineStr">
        <is>
          <t>TE-A-ME HORECA EXOTIC BLUE BUTTERFLY PEA FLOWER 24 SACHETS</t>
        </is>
      </c>
      <c r="C1149" s="7" t="n">
        <v>24</v>
      </c>
    </row>
    <row r="1150" hidden="1" ht="14.25" customHeight="1" s="5">
      <c r="A1150" s="7" t="n">
        <v>23380</v>
      </c>
      <c r="B1150" s="7" t="inlineStr">
        <is>
          <t>TE-A-ME HORECA EXOTIC HIBISCUS FLOWER 24 SACHETS</t>
        </is>
      </c>
      <c r="C1150" s="7" t="n">
        <v>24</v>
      </c>
    </row>
    <row r="1151" hidden="1" ht="14.25" customHeight="1" s="5">
      <c r="A1151" s="7" t="n">
        <v>23374</v>
      </c>
      <c r="B1151" s="7" t="inlineStr">
        <is>
          <t>TE-A-ME HORECA EXOTIC HIGH MOUNTAIN OOLONG TEA 24 SACHETS</t>
        </is>
      </c>
      <c r="C1151" s="7" t="n">
        <v>24</v>
      </c>
    </row>
    <row r="1152" hidden="1" ht="14.25" customHeight="1" s="5">
      <c r="A1152" s="7" t="n">
        <v>26037</v>
      </c>
      <c r="B1152" s="7" t="inlineStr">
        <is>
          <t>TE-A-ME HORECA EXOTIC RANGE BLOOMING FLOWER TEA 12 SACHETS</t>
        </is>
      </c>
      <c r="C1152" s="7" t="n">
        <v>12</v>
      </c>
    </row>
    <row r="1153" hidden="1" ht="14.25" customHeight="1" s="5">
      <c r="A1153" s="7" t="n">
        <v>23370</v>
      </c>
      <c r="B1153" s="7" t="inlineStr">
        <is>
          <t>TE-A-ME HORECA EXOTIC RANGE BLOOMING FLOWER TEA 24 SACHETS</t>
        </is>
      </c>
      <c r="C1153" s="7" t="n">
        <v>24</v>
      </c>
    </row>
    <row r="1154" hidden="1" ht="14.25" customHeight="1" s="5">
      <c r="A1154" s="7" t="n">
        <v>28164</v>
      </c>
      <c r="B1154" s="7" t="inlineStr">
        <is>
          <t>TE-A-ME HORECA EXOTIC RANGE GREEN MOROCON MINT TEA 24 SACHETS</t>
        </is>
      </c>
      <c r="C1154" s="7" t="n">
        <v>1</v>
      </c>
    </row>
    <row r="1155" hidden="1" ht="14.25" customHeight="1" s="5">
      <c r="A1155" s="7" t="n">
        <v>28166</v>
      </c>
      <c r="B1155" s="7" t="inlineStr">
        <is>
          <t>TE-A-ME HORECA EXOTIC RANGE GREEN MOROCON MINT TEA SACHETS</t>
        </is>
      </c>
      <c r="C1155" s="7" t="n">
        <v>1</v>
      </c>
    </row>
    <row r="1156" hidden="1" ht="14.25" customHeight="1" s="5">
      <c r="A1156" s="7" t="n">
        <v>23376</v>
      </c>
      <c r="B1156" s="7" t="inlineStr">
        <is>
          <t>TE-A-ME HORECA EXOTIC RANGE LAVENDER WHITE TEA 24 SACHETS</t>
        </is>
      </c>
      <c r="C1156" s="7" t="n">
        <v>24</v>
      </c>
    </row>
    <row r="1157" hidden="1" ht="14.25" customHeight="1" s="5">
      <c r="A1157" s="7" t="n">
        <v>23372</v>
      </c>
      <c r="B1157" s="7" t="inlineStr">
        <is>
          <t>TE-A-ME HORECA EXOTIC RANGE SILVER NEEDLE WHITE TEA 24 SACHETS</t>
        </is>
      </c>
      <c r="C1157" s="7" t="n">
        <v>24</v>
      </c>
    </row>
    <row r="1158" hidden="1" ht="14.25" customHeight="1" s="5">
      <c r="A1158" s="7" t="n">
        <v>3656</v>
      </c>
      <c r="B1158" s="7" t="inlineStr">
        <is>
          <t>TE-A-ME ICE BREWS FIVE DELICIOUS FLV. WITH SIPPER 20  PYRAMID ENV TEABAGS</t>
        </is>
      </c>
      <c r="C1158" s="7" t="n">
        <v>0</v>
      </c>
    </row>
    <row r="1159" hidden="1" ht="14.25" customHeight="1" s="5">
      <c r="A1159" s="7" t="n">
        <v>18269</v>
      </c>
      <c r="B1159" s="7" t="inlineStr">
        <is>
          <t>TE-A-ME ICE BREWS FIVE IN ONE 15 PYRAMID ENV TEABAGS</t>
        </is>
      </c>
      <c r="C1159" s="7" t="n">
        <v>15</v>
      </c>
    </row>
    <row r="1160" hidden="1" ht="14.25" customHeight="1" s="5">
      <c r="A1160" s="7" t="n">
        <v>3658</v>
      </c>
      <c r="B1160" s="7" t="inlineStr">
        <is>
          <t>TE-A-ME ICE BREWS LEMON 18 PYRAMID ENV TEABAGS</t>
        </is>
      </c>
      <c r="C1160" s="7" t="n">
        <v>18</v>
      </c>
    </row>
    <row r="1161" hidden="1" ht="14.25" customHeight="1" s="5">
      <c r="A1161" s="7" t="n">
        <v>17758</v>
      </c>
      <c r="B1161" s="7" t="inlineStr">
        <is>
          <t>TE-A-ME ICE BREWS LEMON 18 PYRAMID ENV TEABAGS-EOU</t>
        </is>
      </c>
      <c r="C1161" s="7" t="n">
        <v>1</v>
      </c>
    </row>
    <row r="1162" hidden="1" ht="14.25" customHeight="1" s="5">
      <c r="A1162" s="7" t="n">
        <v>3665</v>
      </c>
      <c r="B1162" s="7" t="inlineStr">
        <is>
          <t>TE-A-ME ICE BREWS LYCHEE 18 PYRAMID ENV TEABAGS</t>
        </is>
      </c>
      <c r="C1162" s="7" t="n">
        <v>18</v>
      </c>
    </row>
    <row r="1163" hidden="1" ht="14.25" customHeight="1" s="5">
      <c r="A1163" s="7" t="n">
        <v>3670</v>
      </c>
      <c r="B1163" s="7" t="inlineStr">
        <is>
          <t>TE-A-ME ICE BREWS MINT GREEN 18 PYRAMID ENV TEABAGS</t>
        </is>
      </c>
      <c r="C1163" s="7" t="n">
        <v>18</v>
      </c>
    </row>
    <row r="1164" hidden="1" ht="14.25" customHeight="1" s="5">
      <c r="A1164" s="7" t="n">
        <v>3675</v>
      </c>
      <c r="B1164" s="7" t="inlineStr">
        <is>
          <t>TE-A-ME ICE BREWS PEACH 18 PYRAMID ENV TEABAGS</t>
        </is>
      </c>
      <c r="C1164" s="7" t="n">
        <v>18</v>
      </c>
    </row>
    <row r="1165" hidden="1" ht="14.25" customHeight="1" s="5">
      <c r="A1165" s="7" t="n">
        <v>17764</v>
      </c>
      <c r="B1165" s="7" t="inlineStr">
        <is>
          <t>TE-A-ME ICE BREWS PEACH 18 PYRAMID ENV TEABAGS-EOU</t>
        </is>
      </c>
      <c r="C1165" s="7" t="n">
        <v>1</v>
      </c>
    </row>
    <row r="1166" hidden="1" ht="14.25" customHeight="1" s="5">
      <c r="A1166" s="7" t="n">
        <v>3680</v>
      </c>
      <c r="B1166" s="7" t="inlineStr">
        <is>
          <t>TE-A-ME ICE BREWS WILD BERRY 18 PYRAMID ENV TEABAGS</t>
        </is>
      </c>
      <c r="C1166" s="7" t="n">
        <v>18</v>
      </c>
    </row>
    <row r="1167" hidden="1" ht="14.25" customHeight="1" s="5">
      <c r="A1167" s="7" t="n">
        <v>3695</v>
      </c>
      <c r="B1167" s="7" t="inlineStr">
        <is>
          <t>TE-A-ME JASMINE GREEN TEA 100 DC SF HS ENV TBGS (INSTITUTIONAL)</t>
        </is>
      </c>
      <c r="C1167" s="7" t="n">
        <v>100</v>
      </c>
    </row>
    <row r="1168" hidden="1" ht="14.25" customHeight="1" s="5">
      <c r="A1168" s="7" t="n">
        <v>3700</v>
      </c>
      <c r="B1168" s="7" t="inlineStr">
        <is>
          <t>TE-A-ME JET CHAMOMILE 25 DC SF HS ENV TBGS</t>
        </is>
      </c>
      <c r="C1168" s="7" t="n">
        <v>25</v>
      </c>
    </row>
    <row r="1169" hidden="1" ht="14.25" customHeight="1" s="5">
      <c r="A1169" s="7" t="n">
        <v>22588</v>
      </c>
      <c r="B1169" s="7" t="inlineStr">
        <is>
          <t>TE-A-ME KADHA GREEN 100 SC HS ENV TBGS</t>
        </is>
      </c>
      <c r="C1169" s="7" t="n">
        <v>100</v>
      </c>
    </row>
    <row r="1170" hidden="1" ht="14.25" customHeight="1" s="5">
      <c r="A1170" s="7" t="n">
        <v>22589</v>
      </c>
      <c r="B1170" s="7" t="inlineStr">
        <is>
          <t>TE-A-ME KADHA GREEN 25 SC HS ENV TBGS</t>
        </is>
      </c>
      <c r="C1170" s="7" t="n">
        <v>25</v>
      </c>
    </row>
    <row r="1171" hidden="1" ht="14.25" customHeight="1" s="5">
      <c r="A1171" s="7" t="n">
        <v>22590</v>
      </c>
      <c r="B1171" s="7" t="inlineStr">
        <is>
          <t>TE-A-ME KADHA GREEN TEA 10  SC HS ENV TBGS</t>
        </is>
      </c>
      <c r="C1171" s="7" t="n">
        <v>10</v>
      </c>
    </row>
    <row r="1172" hidden="1" ht="14.25" customHeight="1" s="5">
      <c r="A1172" s="7" t="n">
        <v>34326</v>
      </c>
      <c r="B1172" s="7" t="inlineStr">
        <is>
          <t>TE-A-ME KADHA GREEN TEA 10 DC SF HS ENV TBGS</t>
        </is>
      </c>
      <c r="C1172" s="7" t="n">
        <v>10</v>
      </c>
    </row>
    <row r="1173" hidden="1" ht="14.25" customHeight="1" s="5">
      <c r="A1173" s="7" t="n">
        <v>32305</v>
      </c>
      <c r="B1173" s="7" t="inlineStr">
        <is>
          <t>TE-A-ME KADHA GREEN TEA 100 TBGS DC SF HS ENV</t>
        </is>
      </c>
      <c r="C1173" s="7" t="n">
        <v>100</v>
      </c>
    </row>
    <row r="1174" hidden="1" ht="14.25" customHeight="1" s="5">
      <c r="A1174" s="7" t="n">
        <v>32799</v>
      </c>
      <c r="B1174" s="7" t="inlineStr">
        <is>
          <t>TE-A-ME KADHA GREEN TEA 25 DC SF HS ENV TEABAGS</t>
        </is>
      </c>
      <c r="C1174" s="7" t="n">
        <v>25</v>
      </c>
    </row>
    <row r="1175" hidden="1" ht="14.25" customHeight="1" s="5">
      <c r="A1175" s="7" t="n">
        <v>3705</v>
      </c>
      <c r="B1175" s="7" t="inlineStr">
        <is>
          <t>TE-A-ME LEMON  100 DC TAG TBGS (INSTITUTIONAL)</t>
        </is>
      </c>
      <c r="C1175" s="7" t="n">
        <v>100</v>
      </c>
    </row>
    <row r="1176" hidden="1" ht="14.25" customHeight="1" s="5">
      <c r="A1176" s="7" t="n">
        <v>34825</v>
      </c>
      <c r="B1176" s="7" t="inlineStr">
        <is>
          <t>TE-A-ME LEMON 100 DC STAPLE FREE TBGS-XS</t>
        </is>
      </c>
      <c r="C1176" s="7" t="n">
        <v>100</v>
      </c>
    </row>
    <row r="1177" hidden="1" ht="14.25" customHeight="1" s="5">
      <c r="A1177" s="7" t="n">
        <v>36693</v>
      </c>
      <c r="B1177" s="7" t="inlineStr">
        <is>
          <t>TE-A-ME LEMON GINGER 25 DC HS SF ENV TBGS</t>
        </is>
      </c>
      <c r="C1177" s="7" t="n">
        <v>25</v>
      </c>
    </row>
    <row r="1178" hidden="1" ht="14.25" customHeight="1" s="5">
      <c r="A1178" s="7" t="n">
        <v>3713</v>
      </c>
      <c r="B1178" s="7" t="inlineStr">
        <is>
          <t>TE-A-ME LEMON TEA 100 DC SF HS ENV TBGS (INSTITUTIONAL)</t>
        </is>
      </c>
      <c r="C1178" s="7" t="n">
        <v>100</v>
      </c>
    </row>
    <row r="1179" hidden="1" ht="14.25" customHeight="1" s="5">
      <c r="A1179" s="7" t="n">
        <v>34826</v>
      </c>
      <c r="B1179" s="7" t="inlineStr">
        <is>
          <t>TE-A-ME LEMON TEA 100 DC SF HS ENV TBGS-XS</t>
        </is>
      </c>
      <c r="C1179" s="7" t="n">
        <v>100</v>
      </c>
    </row>
    <row r="1180" hidden="1" ht="14.25" customHeight="1" s="5">
      <c r="A1180" s="7" t="n">
        <v>36692</v>
      </c>
      <c r="B1180" s="7" t="inlineStr">
        <is>
          <t>TE-A-ME LEMONGRASS GINGER GREEN TEA 25 DC HS SF ENV TBGS</t>
        </is>
      </c>
      <c r="C1180" s="7" t="n">
        <v>25</v>
      </c>
    </row>
    <row r="1181" hidden="1" ht="14.25" customHeight="1" s="5">
      <c r="A1181" s="7" t="n">
        <v>31591</v>
      </c>
      <c r="B1181" s="7" t="inlineStr">
        <is>
          <t>TE-A-ME LONG LEAF GREEN 500 GMS PKT TEA</t>
        </is>
      </c>
      <c r="C1181" s="7" t="n">
        <v>1</v>
      </c>
    </row>
    <row r="1182" hidden="1" ht="14.25" customHeight="1" s="5">
      <c r="A1182" s="7" t="n">
        <v>5641</v>
      </c>
      <c r="B1182" s="7" t="inlineStr">
        <is>
          <t>TE-A-ME LOOSE  ENV  ICE BREWS LEMON PYRAMID ENV POUCH</t>
        </is>
      </c>
      <c r="C1182" s="7" t="n">
        <v>1</v>
      </c>
    </row>
    <row r="1183" hidden="1" ht="14.25" customHeight="1" s="5">
      <c r="A1183" s="7" t="n">
        <v>5643</v>
      </c>
      <c r="B1183" s="7" t="inlineStr">
        <is>
          <t>TE-A-ME LOOSE  ENV  ICE BREWS LYCHEE PYRAMID ENV POUCH</t>
        </is>
      </c>
      <c r="C1183" s="7" t="n">
        <v>1</v>
      </c>
    </row>
    <row r="1184" hidden="1" ht="14.25" customHeight="1" s="5">
      <c r="A1184" s="7" t="n">
        <v>5645</v>
      </c>
      <c r="B1184" s="7" t="inlineStr">
        <is>
          <t>TE-A-ME LOOSE  ENV  ICE BREWS MINT GREEN PYRAMID ENV POUCH</t>
        </is>
      </c>
      <c r="C1184" s="7" t="n">
        <v>1</v>
      </c>
    </row>
    <row r="1185" hidden="1" ht="14.25" customHeight="1" s="5">
      <c r="A1185" s="7" t="n">
        <v>5646</v>
      </c>
      <c r="B1185" s="7" t="inlineStr">
        <is>
          <t>TE-A-ME LOOSE  ENV  ICE BREWS PEACH PYRAMID ENV POUCH</t>
        </is>
      </c>
      <c r="C1185" s="7" t="n">
        <v>1</v>
      </c>
    </row>
    <row r="1186" hidden="1" ht="14.25" customHeight="1" s="5">
      <c r="A1186" s="7" t="n">
        <v>5648</v>
      </c>
      <c r="B1186" s="7" t="inlineStr">
        <is>
          <t>TE-A-ME LOOSE  ENV  ICE BREWS WILD BERRY PYRAMID ENV POUCH</t>
        </is>
      </c>
      <c r="C1186" s="7" t="n">
        <v>1</v>
      </c>
    </row>
    <row r="1187" hidden="1" ht="14.25" customHeight="1" s="5">
      <c r="A1187" s="7" t="n">
        <v>2774</v>
      </c>
      <c r="B1187" s="7" t="inlineStr">
        <is>
          <t>TE-A-ME LOOSE ENV FRUIT &amp; FLOWER INFUSIONS APPLE CINNAMON DC SF HS ENV TBGS</t>
        </is>
      </c>
      <c r="C1187" s="7" t="n">
        <v>1</v>
      </c>
    </row>
    <row r="1188" hidden="1" ht="14.25" customHeight="1" s="5">
      <c r="A1188" s="7" t="n">
        <v>2775</v>
      </c>
      <c r="B1188" s="7" t="inlineStr">
        <is>
          <t>TE-A-ME LOOSE ENV FRUIT &amp; FLOWER INFUSIONS CHAMOMILE DC SF HS ENV TBGS</t>
        </is>
      </c>
      <c r="C1188" s="7" t="n">
        <v>1</v>
      </c>
    </row>
    <row r="1189" hidden="1" ht="14.25" customHeight="1" s="5">
      <c r="A1189" s="7" t="n">
        <v>2776</v>
      </c>
      <c r="B1189" s="7" t="inlineStr">
        <is>
          <t>TE-A-ME LOOSE ENV FRUIT &amp; FLOWER INFUSIONS CRANBERRY APPLE DC SF HS ENV TBGS</t>
        </is>
      </c>
      <c r="C1189" s="7" t="n">
        <v>1</v>
      </c>
    </row>
    <row r="1190" hidden="1" ht="14.25" customHeight="1" s="5">
      <c r="A1190" s="7" t="n">
        <v>2772</v>
      </c>
      <c r="B1190" s="7" t="inlineStr">
        <is>
          <t>TE-A-ME LOOSE ENV FRUIT &amp; FLOWER INFUSIONS ORANGE GINGER DC SF HS ENV TBGS</t>
        </is>
      </c>
      <c r="C1190" s="7" t="n">
        <v>1</v>
      </c>
    </row>
    <row r="1191" hidden="1" ht="14.25" customHeight="1" s="5">
      <c r="A1191" s="7" t="n">
        <v>2770</v>
      </c>
      <c r="B1191" s="7" t="inlineStr">
        <is>
          <t>TE-A-ME LOOSE ENV FRUIT &amp; FLOWER INFUSIONS STRAWBERRY CREAM DC SF HS ENV TBGS</t>
        </is>
      </c>
      <c r="C1191" s="7" t="n">
        <v>1</v>
      </c>
    </row>
    <row r="1192" hidden="1" ht="14.25" customHeight="1" s="5">
      <c r="A1192" s="7" t="n">
        <v>2777</v>
      </c>
      <c r="B1192" s="8" t="inlineStr">
        <is>
          <t xml:space="preserve">TE-A-ME LOOSE ENV NATURAL GREEN TEAS GREEN TEA DC SF HS ENV TBGS
</t>
        </is>
      </c>
      <c r="C1192" s="7" t="n">
        <v>1</v>
      </c>
    </row>
    <row r="1193" hidden="1" ht="14.25" customHeight="1" s="5">
      <c r="A1193" s="7" t="n">
        <v>2778</v>
      </c>
      <c r="B1193" s="8" t="inlineStr">
        <is>
          <t xml:space="preserve">TE-A-ME LOOSE ENV NATURAL GREEN TEAS HONEY LEMON GREEN TEA DC SF HS ENV TBGS
</t>
        </is>
      </c>
      <c r="C1193" s="7" t="n">
        <v>1</v>
      </c>
    </row>
    <row r="1194" hidden="1" ht="14.25" customHeight="1" s="5">
      <c r="A1194" s="7" t="n">
        <v>5642</v>
      </c>
      <c r="B1194" s="7" t="inlineStr">
        <is>
          <t>TE-A-ME LOOSE ENV NATURAL GREEN TEAS JASMINE LEMONGRASS TEA DC SF HS ENV TBGS</t>
        </is>
      </c>
      <c r="C1194" s="7" t="n">
        <v>1</v>
      </c>
    </row>
    <row r="1195" hidden="1" ht="14.25" customHeight="1" s="5">
      <c r="A1195" s="7" t="n">
        <v>2771</v>
      </c>
      <c r="B1195" s="8" t="inlineStr">
        <is>
          <t xml:space="preserve">TE-A-ME LOOSE ENV NATURAL GREEN TEAS KASHMIRI KAHWA TEA DC SF HS ENV TBGS
</t>
        </is>
      </c>
      <c r="C1195" s="7" t="n">
        <v>1</v>
      </c>
    </row>
    <row r="1196" hidden="1" ht="14.25" customHeight="1" s="5">
      <c r="A1196" s="7" t="n">
        <v>3377</v>
      </c>
      <c r="B1196" s="8" t="inlineStr">
        <is>
          <t xml:space="preserve">TE-A-ME LOOSE ENV NATURAL GREEN TEAS MINT LEMON GINGER TEA DC SF HS ENV TBGS
</t>
        </is>
      </c>
      <c r="C1196" s="7" t="n">
        <v>1</v>
      </c>
    </row>
    <row r="1197" hidden="1" ht="14.25" customHeight="1" s="5">
      <c r="A1197" s="7" t="n">
        <v>5638</v>
      </c>
      <c r="B1197" s="7" t="inlineStr">
        <is>
          <t>TE-A-ME LOOSE ENV SIGNATURE BLACK TEAS DARJEELING TEA DC SF HS ENV TBGS</t>
        </is>
      </c>
      <c r="C1197" s="7" t="n">
        <v>1</v>
      </c>
    </row>
    <row r="1198" hidden="1" ht="14.25" customHeight="1" s="5">
      <c r="A1198" s="7" t="n">
        <v>2773</v>
      </c>
      <c r="B1198" s="8" t="inlineStr">
        <is>
          <t xml:space="preserve">TE-A-ME LOOSE ENV WELLNESS INFUSIONS TULSI GREEN TEA DC SF HS ENV TBGS
</t>
        </is>
      </c>
      <c r="C1198" s="7" t="n">
        <v>1</v>
      </c>
    </row>
    <row r="1199" hidden="1" ht="14.25" customHeight="1" s="5">
      <c r="A1199" s="7" t="n">
        <v>27359</v>
      </c>
      <c r="B1199" s="7" t="inlineStr">
        <is>
          <t>TE-A-ME LOOSE TBGS  KADHA GREEN TEA SC HS ENV TBGS</t>
        </is>
      </c>
      <c r="C1199" s="7" t="n">
        <v>1</v>
      </c>
    </row>
    <row r="1200" hidden="1" ht="14.25" customHeight="1" s="5">
      <c r="A1200" s="7" t="n">
        <v>3494</v>
      </c>
      <c r="B1200" s="7" t="inlineStr">
        <is>
          <t>TE-A-ME LOOSE TBGS EXOTIC BREWS CHAMOMILE TEA PYRAMID ENV TEABAGS</t>
        </is>
      </c>
      <c r="C1200" s="7" t="n">
        <v>1</v>
      </c>
    </row>
    <row r="1201" hidden="1" ht="14.25" customHeight="1" s="5">
      <c r="A1201" s="7" t="n">
        <v>3495</v>
      </c>
      <c r="B1201" s="7" t="inlineStr">
        <is>
          <t>TE-A-ME LOOSE TBGS EXOTIC BREWS EARL GREY TEA PYRAMID ENV TEABAGS</t>
        </is>
      </c>
      <c r="C1201" s="7" t="n">
        <v>1</v>
      </c>
    </row>
    <row r="1202" hidden="1" ht="14.25" customHeight="1" s="5">
      <c r="A1202" s="7" t="n">
        <v>3493</v>
      </c>
      <c r="B1202" s="7" t="inlineStr">
        <is>
          <t>TE-A-ME LOOSE TBGS EXOTIC BREWS GREEN LAVENDER ROSE MINT TEA PYRAMID ENV TEABAGS</t>
        </is>
      </c>
      <c r="C1202" s="7" t="n">
        <v>1</v>
      </c>
    </row>
    <row r="1203" hidden="1" ht="14.25" customHeight="1" s="5">
      <c r="A1203" s="7" t="n">
        <v>3492</v>
      </c>
      <c r="B1203" s="7" t="inlineStr">
        <is>
          <t>TE-A-ME LOOSE TBGS EXOTIC BREWS GREEN TEA KASHMIRI KAHWA PYRAMID ENV TEABAGS</t>
        </is>
      </c>
      <c r="C1203" s="7" t="n">
        <v>1</v>
      </c>
    </row>
    <row r="1204" hidden="1" ht="14.25" customHeight="1" s="5">
      <c r="A1204" s="7" t="n">
        <v>3496</v>
      </c>
      <c r="B1204" s="7" t="inlineStr">
        <is>
          <t>TE-A-ME LOOSE TBGS EXOTIC BREWS GREEN TEA PYRAMID ENV TEABAGS</t>
        </is>
      </c>
      <c r="C1204" s="7" t="n">
        <v>1</v>
      </c>
    </row>
    <row r="1205" hidden="1" ht="14.25" customHeight="1" s="5">
      <c r="A1205" s="7" t="n">
        <v>3491</v>
      </c>
      <c r="B1205" s="7" t="inlineStr">
        <is>
          <t>TE-A-ME LOOSE TBGS EXOTIC BREWS ROOIBOS ORANGE &amp; CINNAMON PYRAMID ENV TEABAGS</t>
        </is>
      </c>
      <c r="C1205" s="7" t="n">
        <v>1</v>
      </c>
    </row>
    <row r="1206" hidden="1" ht="14.25" customHeight="1" s="5">
      <c r="A1206" s="7" t="n">
        <v>3652</v>
      </c>
      <c r="B1206" s="7" t="inlineStr">
        <is>
          <t>TE-A-ME LOOSE TBGS ICE BREWS LEMON PYRAMID</t>
        </is>
      </c>
      <c r="C1206" s="7" t="n">
        <v>1</v>
      </c>
    </row>
    <row r="1207" hidden="1" ht="14.25" customHeight="1" s="5">
      <c r="A1207" s="7" t="n">
        <v>17752</v>
      </c>
      <c r="B1207" s="7" t="inlineStr">
        <is>
          <t>TE-A-ME LOOSE TBGS ICE BREWS LEMON PYRAMID-EOU</t>
        </is>
      </c>
      <c r="C1207" s="7" t="n">
        <v>1</v>
      </c>
    </row>
    <row r="1208" hidden="1" ht="14.25" customHeight="1" s="5">
      <c r="A1208" s="7" t="n">
        <v>3651</v>
      </c>
      <c r="B1208" s="7" t="inlineStr">
        <is>
          <t>TE-A-ME LOOSE TBGS ICE BREWS LYCHEE PYRAMID</t>
        </is>
      </c>
      <c r="C1208" s="7" t="n">
        <v>1</v>
      </c>
    </row>
    <row r="1209" hidden="1" ht="14.25" customHeight="1" s="5">
      <c r="A1209" s="7" t="n">
        <v>3650</v>
      </c>
      <c r="B1209" s="7" t="inlineStr">
        <is>
          <t>TE-A-ME LOOSE TBGS ICE BREWS MINT GREEN PYRAMID</t>
        </is>
      </c>
      <c r="C1209" s="7" t="n">
        <v>1</v>
      </c>
    </row>
    <row r="1210" hidden="1" ht="14.25" customHeight="1" s="5">
      <c r="A1210" s="7" t="n">
        <v>3649</v>
      </c>
      <c r="B1210" s="7" t="inlineStr">
        <is>
          <t>TE-A-ME LOOSE TBGS ICE BREWS PEACH PYRAMID</t>
        </is>
      </c>
      <c r="C1210" s="7" t="n">
        <v>1</v>
      </c>
    </row>
    <row r="1211" hidden="1" ht="14.25" customHeight="1" s="5">
      <c r="A1211" s="7" t="n">
        <v>17759</v>
      </c>
      <c r="B1211" s="7" t="inlineStr">
        <is>
          <t>TE-A-ME LOOSE TBGS ICE BREWS PEACH PYRAMID-EOU</t>
        </is>
      </c>
      <c r="C1211" s="7" t="n">
        <v>1</v>
      </c>
    </row>
    <row r="1212" hidden="1" ht="14.25" customHeight="1" s="5">
      <c r="A1212" s="7" t="n">
        <v>3648</v>
      </c>
      <c r="B1212" s="7" t="inlineStr">
        <is>
          <t>TE-A-ME LOOSE TBGS ICE BREWS WILD BERRY PYRAMID</t>
        </is>
      </c>
      <c r="C1212" s="7" t="n">
        <v>1</v>
      </c>
    </row>
    <row r="1213" hidden="1" ht="14.25" customHeight="1" s="5">
      <c r="A1213" s="7" t="n">
        <v>3415</v>
      </c>
      <c r="B1213" s="7" t="inlineStr">
        <is>
          <t>TE-A-ME LOOSE TBGS NATURAL GREEN TEAS GREEN DC HS ENV</t>
        </is>
      </c>
      <c r="C1213" s="7" t="n">
        <v>1</v>
      </c>
    </row>
    <row r="1214" hidden="1" ht="14.25" customHeight="1" s="5">
      <c r="A1214" s="7" t="n">
        <v>3628</v>
      </c>
      <c r="B1214" s="7" t="inlineStr">
        <is>
          <t>TE-A-ME LOOSE TBGS NATURAL GREEN TEAS HONEY LEMON GREEN DC HS ENV</t>
        </is>
      </c>
      <c r="C1214" s="7" t="n">
        <v>1</v>
      </c>
    </row>
    <row r="1215" hidden="1" ht="14.25" customHeight="1" s="5">
      <c r="A1215" s="7" t="n">
        <v>3416</v>
      </c>
      <c r="B1215" s="7" t="inlineStr">
        <is>
          <t>TE-A-ME LOOSE TBGS NATURAL GREEN TEAS JASMINE GREEN DC HS ENV</t>
        </is>
      </c>
      <c r="C1215" s="7" t="n">
        <v>1</v>
      </c>
    </row>
    <row r="1216" hidden="1" ht="14.25" customHeight="1" s="5">
      <c r="A1216" s="7" t="n">
        <v>3417</v>
      </c>
      <c r="B1216" s="7" t="inlineStr">
        <is>
          <t>TE-A-ME LOOSE TBGS NATURAL GREEN TEAS KASHMIRI KAHWA TEA DC HS ENV</t>
        </is>
      </c>
      <c r="C1216" s="7" t="n">
        <v>1</v>
      </c>
    </row>
    <row r="1217" hidden="1" ht="14.25" customHeight="1" s="5">
      <c r="A1217" s="7" t="n">
        <v>3418</v>
      </c>
      <c r="B1217" s="7" t="inlineStr">
        <is>
          <t>TE-A-ME LOOSE TBGS NATURAL GREEN TEAS MINT GREEN TEA DC HS ENV</t>
        </is>
      </c>
      <c r="C1217" s="7" t="n">
        <v>1</v>
      </c>
    </row>
    <row r="1218" hidden="1" ht="14.25" customHeight="1" s="5">
      <c r="A1218" s="7" t="n">
        <v>3419</v>
      </c>
      <c r="B1218" s="7" t="inlineStr">
        <is>
          <t>TE-A-ME LOOSE TBGS SIGNATURE BLACK TEAS DARJEELING DC HS ENV</t>
        </is>
      </c>
      <c r="C1218" s="7" t="n">
        <v>0</v>
      </c>
    </row>
    <row r="1219" hidden="1" ht="14.25" customHeight="1" s="5">
      <c r="A1219" s="7" t="n">
        <v>3420</v>
      </c>
      <c r="B1219" s="7" t="inlineStr">
        <is>
          <t>TE-A-ME LOOSE TBGS WELLNESS INFUSIONS TULSI GREEN DC HS ENV</t>
        </is>
      </c>
      <c r="C1219" s="7" t="n">
        <v>1</v>
      </c>
    </row>
    <row r="1220" hidden="1" ht="14.25" customHeight="1" s="5">
      <c r="A1220" s="7" t="n">
        <v>3740</v>
      </c>
      <c r="B1220" s="7" t="inlineStr">
        <is>
          <t>TE-A-ME LOOSE TEA INSTITUTIONAL 250 GMS PKT TEA</t>
        </is>
      </c>
      <c r="C1220" s="7" t="n">
        <v>1</v>
      </c>
    </row>
    <row r="1221" hidden="1" ht="14.25" customHeight="1" s="5">
      <c r="A1221" s="7" t="n">
        <v>31973</v>
      </c>
      <c r="B1221" s="8" t="inlineStr">
        <is>
          <t xml:space="preserve">TE-A-ME MASALA HORECA PKT LEAF 500 GM POUCH
</t>
        </is>
      </c>
      <c r="C1221" s="7" t="n">
        <v>1</v>
      </c>
    </row>
    <row r="1222" hidden="1" ht="14.25" customHeight="1" s="5">
      <c r="A1222" s="7" t="n">
        <v>3757</v>
      </c>
      <c r="B1222" s="7" t="inlineStr">
        <is>
          <t>TE-A-ME MASALA TEA 100 DC SF HS ENV TBGS (INSTITUTIONAL)</t>
        </is>
      </c>
      <c r="C1222" s="7" t="n">
        <v>100</v>
      </c>
    </row>
    <row r="1223" hidden="1" ht="14.25" customHeight="1" s="5">
      <c r="A1223" s="7" t="n">
        <v>34834</v>
      </c>
      <c r="B1223" s="7" t="inlineStr">
        <is>
          <t>TE-A-ME MASALA TEA 100 DC SF HS ENV TBGS-XS</t>
        </is>
      </c>
      <c r="C1223" s="7" t="n">
        <v>100</v>
      </c>
    </row>
    <row r="1224" hidden="1" ht="14.25" customHeight="1" s="5">
      <c r="A1224" s="7" t="n">
        <v>17876</v>
      </c>
      <c r="B1224" s="7" t="inlineStr">
        <is>
          <t>TE-A-ME MASALA TEA INSTITUTIONAL 1 KG PKT TEA</t>
        </is>
      </c>
      <c r="C1224" s="7" t="n">
        <v>1</v>
      </c>
    </row>
    <row r="1225" hidden="1" ht="14.25" customHeight="1" s="5">
      <c r="A1225" s="7" t="n">
        <v>28494</v>
      </c>
      <c r="B1225" s="7" t="inlineStr">
        <is>
          <t>TE-A-ME MATCHA GREEN TEA 50 GMS PKT TEA</t>
        </is>
      </c>
      <c r="C1225" s="7" t="n">
        <v>1</v>
      </c>
    </row>
    <row r="1226" hidden="1" ht="14.25" customHeight="1" s="5">
      <c r="A1226" s="7" t="n">
        <v>32844</v>
      </c>
      <c r="B1226" s="7" t="inlineStr">
        <is>
          <t>TE-A-ME MELATONIN CHAMOMILE 25 DC HS SF ENV TBGS</t>
        </is>
      </c>
      <c r="C1226" s="7" t="n">
        <v>25</v>
      </c>
    </row>
    <row r="1227" hidden="1" ht="14.25" customHeight="1" s="5">
      <c r="A1227" s="7" t="n">
        <v>3762</v>
      </c>
      <c r="B1227" s="7" t="inlineStr">
        <is>
          <t>TE-A-ME MINT GREEN 100 DC TAG TBGS (INSTITUTIONAL)</t>
        </is>
      </c>
      <c r="C1227" s="7" t="n">
        <v>100</v>
      </c>
    </row>
    <row r="1228" hidden="1" ht="14.25" customHeight="1" s="5">
      <c r="A1228" s="7" t="n">
        <v>3770</v>
      </c>
      <c r="B1228" s="7" t="inlineStr">
        <is>
          <t>TE-A-ME MINT GREEN TEA 100 DC SF HS ENV TBGS (INSTITUTIONAL)</t>
        </is>
      </c>
      <c r="C1228" s="7" t="n">
        <v>100</v>
      </c>
    </row>
    <row r="1229" hidden="1" ht="14.25" customHeight="1" s="5">
      <c r="A1229" s="7" t="n">
        <v>33632</v>
      </c>
      <c r="B1229" s="7" t="inlineStr">
        <is>
          <t>TE-A-ME MINT LEMON GINGER GREEN TEA 100 DC SF HS ENV TBGS</t>
        </is>
      </c>
      <c r="C1229" s="7" t="n">
        <v>100</v>
      </c>
    </row>
    <row r="1230" hidden="1" ht="14.25" customHeight="1" s="5">
      <c r="A1230" s="7" t="n">
        <v>22819</v>
      </c>
      <c r="B1230" s="7" t="inlineStr">
        <is>
          <t>TE-A-ME MORINGA GREEN TEA 10 DC SF HS ENV TEA BAGS</t>
        </is>
      </c>
      <c r="C1230" s="7" t="n">
        <v>10</v>
      </c>
    </row>
    <row r="1231" hidden="1" ht="14.25" customHeight="1" s="5">
      <c r="A1231" s="7" t="n">
        <v>22131</v>
      </c>
      <c r="B1231" s="7" t="inlineStr">
        <is>
          <t>TE-A-ME MORINGA GREEN TEA 100 DC SF HS ENV TBGS</t>
        </is>
      </c>
      <c r="C1231" s="7" t="n">
        <v>100</v>
      </c>
    </row>
    <row r="1232" hidden="1" ht="14.25" customHeight="1" s="5">
      <c r="A1232" s="7" t="n">
        <v>22508</v>
      </c>
      <c r="B1232" s="7" t="inlineStr">
        <is>
          <t>TE-A-ME MORINGA GREEN TEA 25 DC SF HS ENV TBGS</t>
        </is>
      </c>
      <c r="C1232" s="7" t="n">
        <v>25</v>
      </c>
    </row>
    <row r="1233" hidden="1" ht="14.25" customHeight="1" s="5">
      <c r="A1233" s="7" t="n">
        <v>3779</v>
      </c>
      <c r="B1233" s="7" t="inlineStr">
        <is>
          <t>TE-A-ME NATURAL GREEN TEAS GREEN TEA 10 DC HS ENV TBGS</t>
        </is>
      </c>
      <c r="C1233" s="7" t="n">
        <v>10</v>
      </c>
    </row>
    <row r="1234" hidden="1" ht="14.25" customHeight="1" s="5">
      <c r="A1234" s="7" t="n">
        <v>3784</v>
      </c>
      <c r="B1234" s="7" t="inlineStr">
        <is>
          <t>TE-A-ME NATURAL GREEN TEAS GREEN TEA 10 DC SF HS ENV TBGS</t>
        </is>
      </c>
      <c r="C1234" s="7" t="n">
        <v>10</v>
      </c>
    </row>
    <row r="1235" hidden="1" ht="14.25" customHeight="1" s="5">
      <c r="A1235" s="7" t="n">
        <v>3776</v>
      </c>
      <c r="B1235" s="7" t="inlineStr">
        <is>
          <t>TE-A-ME NATURAL GREEN TEAS GREEN TEA 25 DC SF HS ENV TBGS</t>
        </is>
      </c>
      <c r="C1235" s="7" t="n">
        <v>25</v>
      </c>
    </row>
    <row r="1236" hidden="1" ht="14.25" customHeight="1" s="5">
      <c r="A1236" s="7" t="n">
        <v>3789</v>
      </c>
      <c r="B1236" s="7" t="inlineStr">
        <is>
          <t>TE-A-ME NATURAL GREEN TEAS HONEY LEMON GREEN TEA 10 DC HS ENV TBGS</t>
        </is>
      </c>
      <c r="C1236" s="7" t="n">
        <v>10</v>
      </c>
    </row>
    <row r="1237" hidden="1" ht="14.25" customHeight="1" s="5">
      <c r="A1237" s="7" t="n">
        <v>3792</v>
      </c>
      <c r="B1237" s="7" t="inlineStr">
        <is>
          <t>TE-A-ME NATURAL GREEN TEAS HONEY LEMON GREEN TEA 10 DC SF HS ENV TBGS</t>
        </is>
      </c>
      <c r="C1237" s="7" t="n">
        <v>10</v>
      </c>
    </row>
    <row r="1238" hidden="1" ht="14.25" customHeight="1" s="5">
      <c r="A1238" s="7" t="n">
        <v>3786</v>
      </c>
      <c r="B1238" s="7" t="inlineStr">
        <is>
          <t>TE-A-ME NATURAL GREEN TEAS HONEY LEMON GREEN TEA 25 DC SF HS ENV TBGS</t>
        </is>
      </c>
      <c r="C1238" s="7" t="n">
        <v>25</v>
      </c>
    </row>
    <row r="1239" hidden="1" ht="14.25" customHeight="1" s="5">
      <c r="A1239" s="7" t="n">
        <v>19643</v>
      </c>
      <c r="B1239" s="7" t="inlineStr">
        <is>
          <t>TE-A-ME NATURAL GREEN TEAS HONEY LEMON GREEN TEA 25 DC SF HS ENV TBGS WITH FREE BAGRRY`S</t>
        </is>
      </c>
      <c r="C1239" s="7" t="n">
        <v>25</v>
      </c>
    </row>
    <row r="1240" hidden="1" ht="14.25" customHeight="1" s="5">
      <c r="A1240" s="7" t="n">
        <v>3797</v>
      </c>
      <c r="B1240" s="7" t="inlineStr">
        <is>
          <t>TE-A-ME NATURAL GREEN TEAS JASMINE GREEN TEA 10 DC HS ENV TBGS</t>
        </is>
      </c>
      <c r="C1240" s="7" t="n">
        <v>10</v>
      </c>
    </row>
    <row r="1241" hidden="1" ht="14.25" customHeight="1" s="5">
      <c r="A1241" s="7" t="n">
        <v>3802</v>
      </c>
      <c r="B1241" s="7" t="inlineStr">
        <is>
          <t>TE-A-ME NATURAL GREEN TEAS JASMINE LEMONGRASS TEA 25 DC SF HS ENV TBGS</t>
        </is>
      </c>
      <c r="C1241" s="7" t="n">
        <v>25</v>
      </c>
    </row>
    <row r="1242" hidden="1" ht="14.25" customHeight="1" s="5">
      <c r="A1242" s="7" t="n">
        <v>3812</v>
      </c>
      <c r="B1242" s="7" t="inlineStr">
        <is>
          <t>TE-A-ME NATURAL GREEN TEAS KASHMIRI KAHWA TEA 10 DC HS ENV TBGS</t>
        </is>
      </c>
      <c r="C1242" s="7" t="n">
        <v>10</v>
      </c>
    </row>
    <row r="1243" hidden="1" ht="14.25" customHeight="1" s="5">
      <c r="A1243" s="7" t="n">
        <v>3821</v>
      </c>
      <c r="B1243" s="7" t="inlineStr">
        <is>
          <t>TE-A-ME NATURAL GREEN TEAS KASHMIRI KAHWA TEA 10 DC SF HS ENV TBGS</t>
        </is>
      </c>
      <c r="C1243" s="7" t="n">
        <v>10</v>
      </c>
    </row>
    <row r="1244" hidden="1" ht="14.25" customHeight="1" s="5">
      <c r="A1244" s="7" t="n">
        <v>20325</v>
      </c>
      <c r="B1244" s="7" t="inlineStr">
        <is>
          <t>TE-A-ME NATURAL GREEN TEAS KASHMIRI KAHWA TEA 10 DC SF HS ENV TBGS(1.5g)</t>
        </is>
      </c>
      <c r="C1244" s="7" t="n">
        <v>10</v>
      </c>
    </row>
    <row r="1245" hidden="1" ht="14.25" customHeight="1" s="5">
      <c r="A1245" s="7" t="n">
        <v>3810</v>
      </c>
      <c r="B1245" s="7" t="inlineStr">
        <is>
          <t>TE-A-ME NATURAL GREEN TEAS KASHMIRI KAHWA TEA 25 DC SF HS ENV TBGS</t>
        </is>
      </c>
      <c r="C1245" s="7" t="n">
        <v>25</v>
      </c>
    </row>
    <row r="1246" hidden="1" ht="14.25" customHeight="1" s="5">
      <c r="A1246" s="7" t="n">
        <v>3829</v>
      </c>
      <c r="B1246" s="7" t="inlineStr">
        <is>
          <t>TE-A-ME NATURAL GREEN TEAS MINT GREEN TEA 10 DC HS ENV TBGS</t>
        </is>
      </c>
      <c r="C1246" s="7" t="n">
        <v>10</v>
      </c>
    </row>
    <row r="1247" hidden="1" ht="14.25" customHeight="1" s="5">
      <c r="A1247" s="7" t="n">
        <v>3832</v>
      </c>
      <c r="B1247" s="7" t="inlineStr">
        <is>
          <t>TE-A-ME NATURAL GREEN TEAS MINT GREEN TEA 10 DC SF HS ENV TBGS</t>
        </is>
      </c>
      <c r="C1247" s="7" t="n">
        <v>10</v>
      </c>
    </row>
    <row r="1248" hidden="1" ht="14.25" customHeight="1" s="5">
      <c r="A1248" s="7" t="n">
        <v>3834</v>
      </c>
      <c r="B1248" s="7" t="inlineStr">
        <is>
          <t>TE-A-ME NATURAL GREEN TEAS MINT LEMON GINGER TEA 25 DC SF HS ENV TBGS</t>
        </is>
      </c>
      <c r="C1248" s="7" t="n">
        <v>25</v>
      </c>
    </row>
    <row r="1249" hidden="1" ht="14.25" customHeight="1" s="5">
      <c r="A1249" s="7" t="n">
        <v>3837</v>
      </c>
      <c r="B1249" s="7" t="inlineStr">
        <is>
          <t>TE-A-ME NATURAL LONG LEAF GREEN TEAS 100GMS PKT TEA</t>
        </is>
      </c>
      <c r="C1249" s="7" t="n">
        <v>1</v>
      </c>
    </row>
    <row r="1250" hidden="1" ht="14.25" customHeight="1" s="5">
      <c r="A1250" s="7" t="n">
        <v>3841</v>
      </c>
      <c r="B1250" s="7" t="inlineStr">
        <is>
          <t>TE-A-ME NATURAL LONG LEAF GREEN TEAS 200GMS PKT TEA</t>
        </is>
      </c>
      <c r="C1250" s="7" t="n">
        <v>1</v>
      </c>
    </row>
    <row r="1251" hidden="1" ht="14.25" customHeight="1" s="5">
      <c r="A1251" s="7" t="n">
        <v>27073</v>
      </c>
      <c r="B1251" s="7" t="inlineStr">
        <is>
          <t>TE-A-ME ORGANIC ASSAM  TEA 100 DC SF HS ENV TBGS</t>
        </is>
      </c>
      <c r="C1251" s="7" t="n">
        <v>100</v>
      </c>
    </row>
    <row r="1252" hidden="1" ht="14.25" customHeight="1" s="5">
      <c r="A1252" s="7" t="n">
        <v>27075</v>
      </c>
      <c r="B1252" s="7" t="inlineStr">
        <is>
          <t>TE-A-ME ORGANIC EARL GREY TEA 100 DC SF HS ENV TBGS</t>
        </is>
      </c>
      <c r="C1252" s="7" t="n">
        <v>100</v>
      </c>
    </row>
    <row r="1253" hidden="1" ht="14.25" customHeight="1" s="5">
      <c r="A1253" s="7" t="n">
        <v>27076</v>
      </c>
      <c r="B1253" s="7" t="inlineStr">
        <is>
          <t>TE-A-ME ORGANIC ENGLISH BREAKFAST TEA 100 DC SF HS ENV TBGS</t>
        </is>
      </c>
      <c r="C1253" s="7" t="n">
        <v>100</v>
      </c>
    </row>
    <row r="1254" hidden="1" ht="14.25" customHeight="1" s="5">
      <c r="A1254" s="7" t="n">
        <v>27074</v>
      </c>
      <c r="B1254" s="7" t="inlineStr">
        <is>
          <t>TE-A-ME ORGANIC GREEN TEA 100 DC SF HS ENV TBGS</t>
        </is>
      </c>
      <c r="C1254" s="7" t="n">
        <v>100</v>
      </c>
    </row>
    <row r="1255" hidden="1" ht="14.25" customHeight="1" s="5">
      <c r="A1255" s="7" t="n">
        <v>34432</v>
      </c>
      <c r="B1255" s="7" t="inlineStr">
        <is>
          <t>TE-A-ME PET JAR 100 GMS BLUE PEA LOOSE TEA</t>
        </is>
      </c>
      <c r="C1255" s="7" t="n">
        <v>1</v>
      </c>
    </row>
    <row r="1256" hidden="1" ht="14.25" customHeight="1" s="5">
      <c r="A1256" s="7" t="n">
        <v>34427</v>
      </c>
      <c r="B1256" s="7" t="inlineStr">
        <is>
          <t>TE-A-ME PET JAR 100 GMS CHAMOMILE LOOSE TEA</t>
        </is>
      </c>
      <c r="C1256" s="7" t="n">
        <v>1</v>
      </c>
    </row>
    <row r="1257" hidden="1" ht="14.25" customHeight="1" s="5">
      <c r="A1257" s="7" t="n">
        <v>34433</v>
      </c>
      <c r="B1257" s="7" t="inlineStr">
        <is>
          <t>TE-A-ME PET JAR 100 GMS HIBISCUS LOOSE TEA</t>
        </is>
      </c>
      <c r="C1257" s="7" t="n">
        <v>1</v>
      </c>
    </row>
    <row r="1258" hidden="1" ht="14.25" customHeight="1" s="5">
      <c r="A1258" s="7" t="n">
        <v>34431</v>
      </c>
      <c r="B1258" s="7" t="inlineStr">
        <is>
          <t>TE-A-ME PET JAR 100 GMS SPEARMINT LOOSE TEA</t>
        </is>
      </c>
      <c r="C1258" s="7" t="n">
        <v>1</v>
      </c>
    </row>
    <row r="1259" hidden="1" ht="14.25" customHeight="1" s="5">
      <c r="A1259" s="7" t="n">
        <v>32267</v>
      </c>
      <c r="B1259" s="7" t="inlineStr">
        <is>
          <t>TE-A-ME POLO ASSAM TEA 100 DC SF HS ENV TBGS</t>
        </is>
      </c>
      <c r="C1259" s="7" t="n">
        <v>100</v>
      </c>
    </row>
    <row r="1260" hidden="1" ht="14.25" customHeight="1" s="5">
      <c r="A1260" s="7" t="n">
        <v>32268</v>
      </c>
      <c r="B1260" s="7" t="inlineStr">
        <is>
          <t>TE-A-ME POLO GREEN TEA 100 DC SF HS ENV TBGS</t>
        </is>
      </c>
      <c r="C1260" s="7" t="n">
        <v>100</v>
      </c>
    </row>
    <row r="1261" hidden="1" ht="14.25" customHeight="1" s="5">
      <c r="A1261" s="7" t="n">
        <v>32269</v>
      </c>
      <c r="B1261" s="7" t="inlineStr">
        <is>
          <t>TE-A-ME POLO LEMON TEA 100 DC SF HS ENV TBGS</t>
        </is>
      </c>
      <c r="C1261" s="7" t="n">
        <v>100</v>
      </c>
    </row>
    <row r="1262" hidden="1" ht="14.25" customHeight="1" s="5">
      <c r="A1262" s="7" t="n">
        <v>32270</v>
      </c>
      <c r="B1262" s="7" t="inlineStr">
        <is>
          <t>TE-A-ME POLO MASALA TEA 100 DC SF HS ENV TBGS</t>
        </is>
      </c>
      <c r="C1262" s="7" t="n">
        <v>100</v>
      </c>
    </row>
    <row r="1263" hidden="1" ht="14.25" customHeight="1" s="5">
      <c r="A1263" s="7" t="n">
        <v>35104</v>
      </c>
      <c r="B1263" s="7" t="inlineStr">
        <is>
          <t>TE-A-ME PREMIUM DUST 250 GM CTN</t>
        </is>
      </c>
      <c r="C1263" s="7" t="n">
        <v>1</v>
      </c>
    </row>
    <row r="1264" hidden="1" ht="14.25" customHeight="1" s="5">
      <c r="A1264" s="7" t="n">
        <v>37789</v>
      </c>
      <c r="B1264" s="7" t="inlineStr">
        <is>
          <t>TE-A-ME PREMIUM FRESH BREW TEA DUST 200 GM POUCH</t>
        </is>
      </c>
      <c r="C1264" s="7" t="n">
        <v>1</v>
      </c>
    </row>
    <row r="1265" hidden="1" ht="14.25" customHeight="1" s="5">
      <c r="A1265" s="7" t="n">
        <v>35103</v>
      </c>
      <c r="B1265" s="7" t="inlineStr">
        <is>
          <t>TE-A-ME PREMIUM LEAF 250 GM CTN</t>
        </is>
      </c>
      <c r="C1265" s="7" t="n">
        <v>1</v>
      </c>
    </row>
    <row r="1266" hidden="1" ht="14.25" customHeight="1" s="5">
      <c r="A1266" s="7" t="n">
        <v>36577</v>
      </c>
      <c r="B1266" s="7" t="inlineStr">
        <is>
          <t>TE-A-ME PREMIUM LEAF WB WEST 20 GM POUCH</t>
        </is>
      </c>
      <c r="C1266" s="7" t="n">
        <v>1</v>
      </c>
    </row>
    <row r="1267" hidden="1" ht="14.25" customHeight="1" s="5">
      <c r="A1267" s="7" t="n">
        <v>34837</v>
      </c>
      <c r="B1267" s="7" t="inlineStr">
        <is>
          <t>TE-A-ME RASPBERRY MINT GREEN TEA 25 DC HS ENV TBGS</t>
        </is>
      </c>
      <c r="C1267" s="7" t="n">
        <v>25</v>
      </c>
    </row>
    <row r="1268" hidden="1" ht="14.25" customHeight="1" s="5">
      <c r="A1268" s="7" t="n">
        <v>35886</v>
      </c>
      <c r="B1268" s="7" t="inlineStr">
        <is>
          <t>TE-A-ME RASPBERRY MINT GREEN TEA 50 DC HS ENV TBGS</t>
        </is>
      </c>
      <c r="C1268" s="7" t="n">
        <v>50</v>
      </c>
    </row>
    <row r="1269" hidden="1" ht="14.25" customHeight="1" s="5">
      <c r="A1269" s="7" t="n">
        <v>31180</v>
      </c>
      <c r="B1269" s="7" t="inlineStr">
        <is>
          <t>TE-A-ME RFA ASSAM TEA 100 DC SF HS ENV TBGS</t>
        </is>
      </c>
      <c r="C1269" s="7" t="n">
        <v>100</v>
      </c>
    </row>
    <row r="1270" hidden="1" ht="14.25" customHeight="1" s="5">
      <c r="A1270" s="7" t="n">
        <v>31183</v>
      </c>
      <c r="B1270" s="7" t="inlineStr">
        <is>
          <t>TE-A-ME RFA GREEN 100 DC SF HS ENV TBGS</t>
        </is>
      </c>
      <c r="C1270" s="7" t="n">
        <v>100</v>
      </c>
    </row>
    <row r="1271" hidden="1" ht="14.25" customHeight="1" s="5">
      <c r="A1271" s="7" t="n">
        <v>31184</v>
      </c>
      <c r="B1271" s="7" t="inlineStr">
        <is>
          <t>TE-A-ME RFA HONEY LEMON GREEN TEA 100 DC SF HS ENV TBGS</t>
        </is>
      </c>
      <c r="C1271" s="7" t="n">
        <v>100</v>
      </c>
    </row>
    <row r="1272" hidden="1" ht="14.25" customHeight="1" s="5">
      <c r="A1272" s="7" t="n">
        <v>31181</v>
      </c>
      <c r="B1272" s="7" t="inlineStr">
        <is>
          <t>TE-A-ME RFA MASALA TEA 100 DC SF HS ENV TBGS</t>
        </is>
      </c>
      <c r="C1272" s="7" t="n">
        <v>100</v>
      </c>
    </row>
    <row r="1273" hidden="1" ht="14.25" customHeight="1" s="5">
      <c r="A1273" s="7" t="n">
        <v>3852</v>
      </c>
      <c r="B1273" s="7" t="inlineStr">
        <is>
          <t>TE-A-ME ROOIBOS HERBAL DRINK 200 GMS PKT TEA</t>
        </is>
      </c>
      <c r="C1273" s="7" t="n">
        <v>0</v>
      </c>
    </row>
    <row r="1274" hidden="1" ht="14.25" customHeight="1" s="5">
      <c r="A1274" s="7" t="n">
        <v>28218</v>
      </c>
      <c r="B1274" s="7" t="inlineStr">
        <is>
          <t>TE-A-ME ROOIBOS HERBAL DRINK 200 GMS PKT TEA (18%)</t>
        </is>
      </c>
      <c r="C1274" s="7" t="n">
        <v>1</v>
      </c>
    </row>
    <row r="1275" hidden="1" ht="14.25" customHeight="1" s="5">
      <c r="A1275" s="7" t="n">
        <v>18593</v>
      </c>
      <c r="B1275" s="7" t="inlineStr">
        <is>
          <t>TE-A-ME ROOIBOS TEA INSTITUTIONAL 1 KG PKT TEA</t>
        </is>
      </c>
      <c r="C1275" s="7" t="n">
        <v>1</v>
      </c>
    </row>
    <row r="1276" hidden="1" ht="14.25" customHeight="1" s="5">
      <c r="A1276" s="7" t="n">
        <v>3855</v>
      </c>
      <c r="B1276" s="7" t="inlineStr">
        <is>
          <t>TE-A-ME ROYAL ASSAM TEA 100 SC HS ENV TBGS</t>
        </is>
      </c>
      <c r="C1276" s="7" t="n">
        <v>100</v>
      </c>
    </row>
    <row r="1277" hidden="1" ht="14.25" customHeight="1" s="5">
      <c r="A1277" s="7" t="n">
        <v>22510</v>
      </c>
      <c r="B1277" s="7" t="inlineStr">
        <is>
          <t>TE-A-ME ROYAL DARJEELING TEA 100 SC HS ENV TBGS</t>
        </is>
      </c>
      <c r="C1277" s="7" t="n">
        <v>100</v>
      </c>
    </row>
    <row r="1278" hidden="1" ht="14.25" customHeight="1" s="5">
      <c r="A1278" s="7" t="n">
        <v>22512</v>
      </c>
      <c r="B1278" s="7" t="inlineStr">
        <is>
          <t>TE-A-ME ROYAL ENGLISH BREAK FAST TEA 100 SC HS ENV TBGS</t>
        </is>
      </c>
      <c r="C1278" s="7" t="n">
        <v>100</v>
      </c>
    </row>
    <row r="1279" hidden="1" ht="14.25" customHeight="1" s="5">
      <c r="A1279" s="7" t="n">
        <v>22514</v>
      </c>
      <c r="B1279" s="7" t="inlineStr">
        <is>
          <t>TE-A-ME ROYAL GREEN TEA 100 SC HS ENV TBGS</t>
        </is>
      </c>
      <c r="C1279" s="7" t="n">
        <v>100</v>
      </c>
    </row>
    <row r="1280" hidden="1" ht="14.25" customHeight="1" s="5">
      <c r="A1280" s="7" t="n">
        <v>22516</v>
      </c>
      <c r="B1280" s="7" t="inlineStr">
        <is>
          <t>TE-A-ME ROYAL LEMON TEA 100 SC HS ENV TBGS</t>
        </is>
      </c>
      <c r="C1280" s="7" t="n">
        <v>100</v>
      </c>
    </row>
    <row r="1281" hidden="1" ht="14.25" customHeight="1" s="5">
      <c r="A1281" s="7" t="n">
        <v>22518</v>
      </c>
      <c r="B1281" s="7" t="inlineStr">
        <is>
          <t>TE-A-ME ROYAL MASALA TEA 100 SC HS ENV TBGS</t>
        </is>
      </c>
      <c r="C1281" s="7" t="n">
        <v>100</v>
      </c>
    </row>
    <row r="1282" hidden="1" ht="14.25" customHeight="1" s="5">
      <c r="A1282" s="7" t="n">
        <v>3337</v>
      </c>
      <c r="B1282" s="7" t="inlineStr">
        <is>
          <t>TE-A-ME SACHET 1/3 DC HS ENV TBGS</t>
        </is>
      </c>
      <c r="C1282" s="7" t="n">
        <v>0</v>
      </c>
    </row>
    <row r="1283" hidden="1" ht="14.25" customHeight="1" s="5">
      <c r="A1283" s="7" t="n">
        <v>36993</v>
      </c>
      <c r="B1283" s="7" t="inlineStr">
        <is>
          <t>TE-A-ME SENNA FENNEL PSYLLIUM HUSK 25 DC SF HS ENV TBGS</t>
        </is>
      </c>
      <c r="C1283" s="7" t="n">
        <v>25</v>
      </c>
    </row>
    <row r="1284" hidden="1" ht="14.25" customHeight="1" s="5">
      <c r="A1284" s="7" t="n">
        <v>3870</v>
      </c>
      <c r="B1284" s="7" t="inlineStr">
        <is>
          <t>TE-A-ME SIGNATURE BLACK TEAS ASSAM TEA 100 JUMBO POT TEA BAGS</t>
        </is>
      </c>
      <c r="C1284" s="7" t="n">
        <v>100</v>
      </c>
    </row>
    <row r="1285" hidden="1" ht="14.25" customHeight="1" s="5">
      <c r="A1285" s="7" t="n">
        <v>3864</v>
      </c>
      <c r="B1285" s="7" t="inlineStr">
        <is>
          <t>TE-A-ME SIGNATURE BLACK TEAS ASSAM TEA 25 DC HS ENV TBGS</t>
        </is>
      </c>
      <c r="C1285" s="7" t="n">
        <v>25</v>
      </c>
    </row>
    <row r="1286" hidden="1" ht="14.25" customHeight="1" s="5">
      <c r="A1286" s="7" t="n">
        <v>3869</v>
      </c>
      <c r="B1286" s="7" t="inlineStr">
        <is>
          <t>TE-A-ME SIGNATURE BLACK TEAS ASSAM TEA 25 DC SF HS ENV TBGS -OCA</t>
        </is>
      </c>
      <c r="C1286" s="7" t="n">
        <v>25</v>
      </c>
    </row>
    <row r="1287" hidden="1" ht="14.25" customHeight="1" s="5">
      <c r="A1287" s="7" t="n">
        <v>3877</v>
      </c>
      <c r="B1287" s="7" t="inlineStr">
        <is>
          <t>TE-A-ME SIGNATURE BLACK TEAS ASSAM TEA(AIR INDIA) 25 DC TAG TBGS</t>
        </is>
      </c>
      <c r="C1287" s="7" t="n">
        <v>25</v>
      </c>
    </row>
    <row r="1288" hidden="1" ht="14.25" customHeight="1" s="5">
      <c r="A1288" s="7" t="n">
        <v>3881</v>
      </c>
      <c r="B1288" s="7" t="inlineStr">
        <is>
          <t>TE-A-ME SIGNATURE BLACK TEAS DARJEELING TEA 25 DC HS ENV TBGS</t>
        </is>
      </c>
      <c r="C1288" s="7" t="n">
        <v>25</v>
      </c>
    </row>
    <row r="1289" hidden="1" ht="14.25" customHeight="1" s="5">
      <c r="A1289" s="7" t="n">
        <v>3884</v>
      </c>
      <c r="B1289" s="7" t="inlineStr">
        <is>
          <t>TE-A-ME SIGNATURE BLACK TEAS DARJEELING TEA 25 DC SF HS ENV TBGS</t>
        </is>
      </c>
      <c r="C1289" s="7" t="n">
        <v>25</v>
      </c>
    </row>
    <row r="1290" hidden="1" ht="14.25" customHeight="1" s="5">
      <c r="A1290" s="7" t="n">
        <v>3886</v>
      </c>
      <c r="B1290" s="7" t="inlineStr">
        <is>
          <t>TE-A-ME SIGNATURE BLACK TEAS EARL GREY TEA 25 DC HS ENV TBGS</t>
        </is>
      </c>
      <c r="C1290" s="7" t="n">
        <v>25</v>
      </c>
    </row>
    <row r="1291" hidden="1" ht="14.25" customHeight="1" s="5">
      <c r="A1291" s="7" t="n">
        <v>3889</v>
      </c>
      <c r="B1291" s="7" t="inlineStr">
        <is>
          <t>TE-A-ME SIGNATURE BLACK TEAS EARL GREY TEA 25 DC SF HS ENV TBGS</t>
        </is>
      </c>
      <c r="C1291" s="7" t="n">
        <v>25</v>
      </c>
    </row>
    <row r="1292" hidden="1" ht="14.25" customHeight="1" s="5">
      <c r="A1292" s="7" t="n">
        <v>3891</v>
      </c>
      <c r="B1292" s="7" t="inlineStr">
        <is>
          <t>TE-A-ME SIGNATURE BLACK TEAS ENGLISH BREAKFAST TEA 25 DC HS ENV TBGS-EB</t>
        </is>
      </c>
      <c r="C1292" s="7" t="n">
        <v>25</v>
      </c>
    </row>
    <row r="1293" hidden="1" ht="14.25" customHeight="1" s="5">
      <c r="A1293" s="7" t="n">
        <v>3894</v>
      </c>
      <c r="B1293" s="7" t="inlineStr">
        <is>
          <t>TE-A-ME SIGNATURE BLACK TEAS ENGLISH BREAKFAST TEA 25 DC SF HS ENV TBGS-EB</t>
        </is>
      </c>
      <c r="C1293" s="7" t="n">
        <v>25</v>
      </c>
    </row>
    <row r="1294" hidden="1" ht="14.25" customHeight="1" s="5">
      <c r="A1294" s="7" t="n">
        <v>3896</v>
      </c>
      <c r="B1294" s="7" t="inlineStr">
        <is>
          <t>TE-A-ME SIGNATURE BLACK TEAS LEMON TEA 25 DC HS ENV TBGS</t>
        </is>
      </c>
      <c r="C1294" s="7" t="n">
        <v>25</v>
      </c>
    </row>
    <row r="1295" hidden="1" ht="14.25" customHeight="1" s="5">
      <c r="A1295" s="7" t="n">
        <v>3899</v>
      </c>
      <c r="B1295" s="7" t="inlineStr">
        <is>
          <t>TE-A-ME SIGNATURE BLACK TEAS LEMON TEA 25 DC SF HS ENV TBGS</t>
        </is>
      </c>
      <c r="C1295" s="7" t="n">
        <v>25</v>
      </c>
    </row>
    <row r="1296" hidden="1" ht="14.25" customHeight="1" s="5">
      <c r="A1296" s="7" t="n">
        <v>36369</v>
      </c>
      <c r="B1296" s="7" t="inlineStr">
        <is>
          <t>TE-A-ME SUPER PREMIUM UP LEAF 250 GM CTN</t>
        </is>
      </c>
      <c r="C1296" s="7" t="n">
        <v>1</v>
      </c>
    </row>
    <row r="1297" hidden="1" ht="14.25" customHeight="1" s="5">
      <c r="A1297" s="7" t="n">
        <v>27261</v>
      </c>
      <c r="B1297" s="7" t="inlineStr">
        <is>
          <t>TE-A-ME TEATREATS 24 DC SF HS ENV TBGS (AF)</t>
        </is>
      </c>
      <c r="C1297" s="7" t="n">
        <v>24</v>
      </c>
    </row>
    <row r="1298" hidden="1" ht="14.25" customHeight="1" s="5">
      <c r="A1298" s="7" t="n">
        <v>35356</v>
      </c>
      <c r="B1298" s="7" t="inlineStr">
        <is>
          <t>TE-A-ME TINS - EXOTIC BREWS ASSAM TEA 100 G</t>
        </is>
      </c>
      <c r="C1298" s="7" t="n">
        <v>1</v>
      </c>
    </row>
    <row r="1299" hidden="1" ht="14.25" customHeight="1" s="5">
      <c r="A1299" s="7" t="n">
        <v>32452</v>
      </c>
      <c r="B1299" s="7" t="inlineStr">
        <is>
          <t>TE-A-ME TINS - EXOTIC BREWS ASSAM TEA 50G-NEW</t>
        </is>
      </c>
      <c r="C1299" s="7" t="n">
        <v>1</v>
      </c>
    </row>
    <row r="1300" hidden="1" ht="14.25" customHeight="1" s="5">
      <c r="A1300" s="7" t="n">
        <v>32453</v>
      </c>
      <c r="B1300" s="7" t="inlineStr">
        <is>
          <t>TE-A-ME TINS - EXOTIC BREWS CHAMOMILE TEA 50G-NEW</t>
        </is>
      </c>
      <c r="C1300" s="7" t="n">
        <v>1</v>
      </c>
    </row>
    <row r="1301" hidden="1" ht="14.25" customHeight="1" s="5">
      <c r="A1301" s="7" t="n">
        <v>3901</v>
      </c>
      <c r="B1301" s="7" t="inlineStr">
        <is>
          <t>TE-A-ME TINS - EXOTIC BREWS DARJEELING TEA 50G</t>
        </is>
      </c>
      <c r="C1301" s="7" t="n">
        <v>0</v>
      </c>
    </row>
    <row r="1302" hidden="1" ht="14.25" customHeight="1" s="5">
      <c r="A1302" s="7" t="n">
        <v>3906</v>
      </c>
      <c r="B1302" s="7" t="inlineStr">
        <is>
          <t>TE-A-ME TINS - EXOTIC BREWS EARL GREY TEA 50G</t>
        </is>
      </c>
      <c r="C1302" s="7" t="n">
        <v>0</v>
      </c>
    </row>
    <row r="1303" hidden="1" ht="14.25" customHeight="1" s="5">
      <c r="A1303" s="7" t="n">
        <v>3907</v>
      </c>
      <c r="B1303" s="7" t="inlineStr">
        <is>
          <t>TE-A-ME TINS - EXOTIC BREWS GREEN KASHMIRI KAHWA TEA 50G</t>
        </is>
      </c>
      <c r="C1303" s="7" t="n">
        <v>0</v>
      </c>
    </row>
    <row r="1304" hidden="1" ht="14.25" customHeight="1" s="5">
      <c r="A1304" s="7" t="n">
        <v>35357</v>
      </c>
      <c r="B1304" s="7" t="inlineStr">
        <is>
          <t>TE-A-ME TINS - EXOTIC BREWS GREEN TEA 100 G</t>
        </is>
      </c>
      <c r="C1304" s="7" t="n">
        <v>1</v>
      </c>
    </row>
    <row r="1305" hidden="1" ht="14.25" customHeight="1" s="5">
      <c r="A1305" s="7" t="n">
        <v>3908</v>
      </c>
      <c r="B1305" s="7" t="inlineStr">
        <is>
          <t>TE-A-ME TINS - EXOTIC BREWS GREEN TEA 50G</t>
        </is>
      </c>
      <c r="C1305" s="7" t="n">
        <v>0</v>
      </c>
    </row>
    <row r="1306" hidden="1" ht="14.25" customHeight="1" s="5">
      <c r="A1306" s="7" t="n">
        <v>3909</v>
      </c>
      <c r="B1306" s="7" t="inlineStr">
        <is>
          <t>TE-A-ME TINS - EXOTIC BREWS JASMINE GREEN TEA 50G</t>
        </is>
      </c>
      <c r="C1306" s="7" t="n">
        <v>0</v>
      </c>
    </row>
    <row r="1307" hidden="1" ht="14.25" customHeight="1" s="5">
      <c r="A1307" s="7" t="n">
        <v>3910</v>
      </c>
      <c r="B1307" s="7" t="inlineStr">
        <is>
          <t>TE-A-ME TINS - EXOTIC BREWS LEMON GINGER 50G</t>
        </is>
      </c>
      <c r="C1307" s="7" t="n">
        <v>0</v>
      </c>
    </row>
    <row r="1308" hidden="1" ht="14.25" customHeight="1" s="5">
      <c r="A1308" s="7" t="n">
        <v>32454</v>
      </c>
      <c r="B1308" s="7" t="inlineStr">
        <is>
          <t>TE-A-ME TINS - EXOTIC BREWS PEPPERMINT TEA 50G-NEW</t>
        </is>
      </c>
      <c r="C1308" s="7" t="n">
        <v>1</v>
      </c>
    </row>
    <row r="1309" hidden="1" ht="14.25" customHeight="1" s="5">
      <c r="A1309" s="7" t="n">
        <v>3912</v>
      </c>
      <c r="B1309" s="7" t="inlineStr">
        <is>
          <t>TE-A-ME TINS - EXOTIC BREWS ROOIBOS CREAMY VANILLA TEA 50G</t>
        </is>
      </c>
      <c r="C1309" s="7" t="n">
        <v>0</v>
      </c>
    </row>
    <row r="1310" hidden="1" ht="14.25" customHeight="1" s="5">
      <c r="A1310" s="7" t="n">
        <v>3913</v>
      </c>
      <c r="B1310" s="7" t="inlineStr">
        <is>
          <t>TE-A-ME TINS - EXOTIC BREWS ROOIBOS ORANGE &amp; CINNNAMON 50G</t>
        </is>
      </c>
      <c r="C1310" s="7" t="n">
        <v>0</v>
      </c>
    </row>
    <row r="1311" hidden="1" ht="14.25" customHeight="1" s="5">
      <c r="A1311" s="7" t="n">
        <v>32451</v>
      </c>
      <c r="B1311" s="7" t="inlineStr">
        <is>
          <t>TE-A-ME TINS - EXOTIC BREWS ROOIBOS ORANGE &amp; CINNNAMON 50G-NEW</t>
        </is>
      </c>
      <c r="C1311" s="7" t="n">
        <v>1</v>
      </c>
    </row>
    <row r="1312" hidden="1" ht="14.25" customHeight="1" s="5">
      <c r="A1312" s="7" t="n">
        <v>3914</v>
      </c>
      <c r="B1312" s="7" t="inlineStr">
        <is>
          <t>TE-A-ME TINS - EXOTIC BREWS SENCHA TEA 50G</t>
        </is>
      </c>
      <c r="C1312" s="7" t="n">
        <v>0</v>
      </c>
    </row>
    <row r="1313" hidden="1" ht="14.25" customHeight="1" s="5">
      <c r="A1313" s="7" t="n">
        <v>3915</v>
      </c>
      <c r="B1313" s="7" t="inlineStr">
        <is>
          <t>TE-A-ME TINS - EXOTIC BREWS TULSI SPICE MIX 50G</t>
        </is>
      </c>
      <c r="C1313" s="7" t="n">
        <v>0</v>
      </c>
    </row>
    <row r="1314" hidden="1" ht="14.25" customHeight="1" s="5">
      <c r="A1314" s="7" t="n">
        <v>3918</v>
      </c>
      <c r="B1314" s="7" t="inlineStr">
        <is>
          <t>TE-A-ME TULSI GREEN 100 DC TAG TBGS (INSTITUTIONAL)</t>
        </is>
      </c>
      <c r="C1314" s="7" t="n">
        <v>100</v>
      </c>
    </row>
    <row r="1315" hidden="1" ht="14.25" customHeight="1" s="5">
      <c r="A1315" s="7" t="n">
        <v>3927</v>
      </c>
      <c r="B1315" s="7" t="inlineStr">
        <is>
          <t>TE-A-ME TULSI GREEN TEA 100 DC SF HS ENV TBGS (INSTITUTIONAL)</t>
        </is>
      </c>
      <c r="C1315" s="7" t="n">
        <v>100</v>
      </c>
    </row>
    <row r="1316" hidden="1" ht="14.25" customHeight="1" s="5">
      <c r="A1316" s="7" t="n">
        <v>3931</v>
      </c>
      <c r="B1316" s="7" t="inlineStr">
        <is>
          <t>TE-A-ME UTZ ASSAM TEA 100 DC SF HS ENV TBGS</t>
        </is>
      </c>
      <c r="C1316" s="7" t="n">
        <v>100</v>
      </c>
    </row>
    <row r="1317" hidden="1" ht="14.25" customHeight="1" s="5">
      <c r="A1317" s="7" t="n">
        <v>3939</v>
      </c>
      <c r="B1317" s="7" t="inlineStr">
        <is>
          <t>TE-A-ME UTZ FRUIT &amp; FLOWER INFUSIONS CRANBERRY APPLE 100 DC SF HS ENV TBGS</t>
        </is>
      </c>
      <c r="C1317" s="7" t="n">
        <v>100</v>
      </c>
    </row>
    <row r="1318" hidden="1" ht="14.25" customHeight="1" s="5">
      <c r="A1318" s="7" t="n">
        <v>3945</v>
      </c>
      <c r="B1318" s="7" t="inlineStr">
        <is>
          <t>TE-A-ME UTZ FRUIT &amp; FLOWER INFUSIONS STRAWBERRY CREAM 100 DC SF HS ENV TBGS</t>
        </is>
      </c>
      <c r="C1318" s="7" t="n">
        <v>100</v>
      </c>
    </row>
    <row r="1319" hidden="1" ht="14.25" customHeight="1" s="5">
      <c r="A1319" s="7" t="n">
        <v>3950</v>
      </c>
      <c r="B1319" s="7" t="inlineStr">
        <is>
          <t>TE-A-ME UTZ GREEN 100 DC SF HS ENV TBGS</t>
        </is>
      </c>
      <c r="C1319" s="7" t="n">
        <v>100</v>
      </c>
    </row>
    <row r="1320" hidden="1" ht="14.25" customHeight="1" s="5">
      <c r="A1320" s="7" t="n">
        <v>3956</v>
      </c>
      <c r="B1320" s="7" t="inlineStr">
        <is>
          <t>TE-A-ME UTZ HONEY LEMON GREEN TEA 100 DC SF HS ENV TBGS</t>
        </is>
      </c>
      <c r="C1320" s="7" t="n">
        <v>100</v>
      </c>
    </row>
    <row r="1321" hidden="1" ht="14.25" customHeight="1" s="5">
      <c r="A1321" s="7" t="n">
        <v>3962</v>
      </c>
      <c r="B1321" s="7" t="inlineStr">
        <is>
          <t>TE-A-ME UTZ KASHMIRI KAHWA TEA 100 DC SF HS ENV TBGS</t>
        </is>
      </c>
      <c r="C1321" s="7" t="n">
        <v>100</v>
      </c>
    </row>
    <row r="1322" hidden="1" ht="14.25" customHeight="1" s="5">
      <c r="A1322" s="7" t="n">
        <v>3968</v>
      </c>
      <c r="B1322" s="7" t="inlineStr">
        <is>
          <t>TE-A-ME UTZ MASALA TEA 100 DC SF HS ENV TBGS</t>
        </is>
      </c>
      <c r="C1322" s="7" t="n">
        <v>100</v>
      </c>
    </row>
    <row r="1323" hidden="1" ht="14.25" customHeight="1" s="5">
      <c r="A1323" s="7" t="n">
        <v>3974</v>
      </c>
      <c r="B1323" s="7" t="inlineStr">
        <is>
          <t>TE-A-ME UTZ TULSI GREEN TEA 100 SF HS ENV TBGS</t>
        </is>
      </c>
      <c r="C1323" s="7" t="n">
        <v>100</v>
      </c>
    </row>
    <row r="1324" hidden="1" ht="14.25" customHeight="1" s="5">
      <c r="A1324" s="7" t="n">
        <v>34436</v>
      </c>
      <c r="B1324" s="7" t="inlineStr">
        <is>
          <t>TE-A-ME VANILLA MATCHA 50 GMS PKT TEA</t>
        </is>
      </c>
      <c r="C1324" s="7" t="n">
        <v>1</v>
      </c>
    </row>
    <row r="1325" hidden="1" ht="14.25" customHeight="1" s="5">
      <c r="A1325" s="7" t="n">
        <v>3984</v>
      </c>
      <c r="B1325" s="7" t="inlineStr">
        <is>
          <t>TE-A-ME WELLNESS INFUSIONS CARDAMOM TURMERIC TEA 25 DC SF HS ENV TBGS</t>
        </is>
      </c>
      <c r="C1325" s="7" t="n">
        <v>25</v>
      </c>
    </row>
    <row r="1326" hidden="1" ht="14.25" customHeight="1" s="5">
      <c r="A1326" s="7" t="n">
        <v>3989</v>
      </c>
      <c r="B1326" s="7" t="inlineStr">
        <is>
          <t>TE-A-ME WELLNESS INFUSIONS GINGER TULSI HONEY TEA 25 DC SF HS ENV TBGS</t>
        </is>
      </c>
      <c r="C1326" s="7" t="n">
        <v>25</v>
      </c>
    </row>
    <row r="1327" hidden="1" ht="14.25" customHeight="1" s="5">
      <c r="A1327" s="7" t="n">
        <v>3996</v>
      </c>
      <c r="B1327" s="7" t="inlineStr">
        <is>
          <t>TE-A-ME WELLNESS INFUSIONS TULSI GREEN TEA 10 DC HS ENV TBGS</t>
        </is>
      </c>
      <c r="C1327" s="7" t="n">
        <v>10</v>
      </c>
    </row>
    <row r="1328" hidden="1" ht="14.25" customHeight="1" s="5">
      <c r="A1328" s="7" t="n">
        <v>3999</v>
      </c>
      <c r="B1328" s="7" t="inlineStr">
        <is>
          <t>TE-A-ME WELLNESS INFUSIONS TULSI GREEN TEA 10 DC SF HS ENV TBGS</t>
        </is>
      </c>
      <c r="C1328" s="7" t="n">
        <v>10</v>
      </c>
    </row>
    <row r="1329" hidden="1" ht="14.25" customHeight="1" s="5">
      <c r="A1329" s="7" t="n">
        <v>3993</v>
      </c>
      <c r="B1329" s="7" t="inlineStr">
        <is>
          <t>TE-A-ME WELLNESS INFUSIONS TULSI GREEN TEA 25 DC SF HS ENV TBGS</t>
        </is>
      </c>
      <c r="C1329" s="7" t="n">
        <v>25</v>
      </c>
    </row>
    <row r="1330" hidden="1" ht="14.25" customHeight="1" s="5">
      <c r="A1330" s="7" t="n">
        <v>19638</v>
      </c>
      <c r="B1330" s="7" t="inlineStr">
        <is>
          <t>TE-A-ME WELLNESS INFUSIONS TULSI GREEN TEA 25 DC SF HS ENV TBGS WITH FREE BAGRRY`S</t>
        </is>
      </c>
      <c r="C1330" s="7" t="n">
        <v>25</v>
      </c>
    </row>
    <row r="1331" hidden="1" ht="14.25" customHeight="1" s="5">
      <c r="A1331" s="7" t="n">
        <v>32219</v>
      </c>
      <c r="B1331" s="7" t="inlineStr">
        <is>
          <t>TEA INDIA 1 LB MASALA TEA</t>
        </is>
      </c>
      <c r="C1331" s="7" t="n">
        <v>1</v>
      </c>
    </row>
    <row r="1332" hidden="1" ht="14.25" customHeight="1" s="5">
      <c r="A1332" s="7" t="n">
        <v>20830</v>
      </c>
      <c r="B1332" s="7" t="inlineStr">
        <is>
          <t>TEA INDIA 1 LBS POLYBAG</t>
        </is>
      </c>
      <c r="C1332" s="7" t="n">
        <v>1</v>
      </c>
    </row>
    <row r="1333" hidden="1" ht="14.25" customHeight="1" s="5">
      <c r="A1333" s="7" t="n">
        <v>27180</v>
      </c>
      <c r="B1333" s="7" t="inlineStr">
        <is>
          <t>TEA INDIA 10 CHAI MMNTS GNGR TRMRIC CL</t>
        </is>
      </c>
      <c r="C1333" s="7" t="n">
        <v>10</v>
      </c>
    </row>
    <row r="1334" hidden="1" ht="14.25" customHeight="1" s="5">
      <c r="A1334" s="7" t="n">
        <v>27181</v>
      </c>
      <c r="B1334" s="7" t="inlineStr">
        <is>
          <t>TEA INDIA 10 CHAI MMNTS INST CINN CL</t>
        </is>
      </c>
      <c r="C1334" s="7" t="n">
        <v>10</v>
      </c>
    </row>
    <row r="1335" hidden="1" ht="14.25" customHeight="1" s="5">
      <c r="A1335" s="7" t="n">
        <v>27182</v>
      </c>
      <c r="B1335" s="7" t="inlineStr">
        <is>
          <t>TEA INDIA 10 CHAI MMNTS INST CRDM CL</t>
        </is>
      </c>
      <c r="C1335" s="7" t="n">
        <v>10</v>
      </c>
    </row>
    <row r="1336" hidden="1" ht="14.25" customHeight="1" s="5">
      <c r="A1336" s="7" t="n">
        <v>36039</v>
      </c>
      <c r="B1336" s="7" t="inlineStr">
        <is>
          <t>TEA INDIA 10 CHAI MMNTS INST CRDM CL (V2)</t>
        </is>
      </c>
      <c r="C1336" s="7" t="n">
        <v>10</v>
      </c>
    </row>
    <row r="1337" hidden="1" ht="14.25" customHeight="1" s="5">
      <c r="A1337" s="7" t="n">
        <v>27183</v>
      </c>
      <c r="B1337" s="7" t="inlineStr">
        <is>
          <t>TEA INDIA 10 CHAI MMNTS INST GNGR CL</t>
        </is>
      </c>
      <c r="C1337" s="7" t="n">
        <v>10</v>
      </c>
    </row>
    <row r="1338" hidden="1" ht="14.25" customHeight="1" s="5">
      <c r="A1338" s="7" t="n">
        <v>36040</v>
      </c>
      <c r="B1338" s="7" t="inlineStr">
        <is>
          <t>TEA INDIA 10 CHAI MMNTS INST GNGR CL (V2)</t>
        </is>
      </c>
      <c r="C1338" s="7" t="n">
        <v>10</v>
      </c>
    </row>
    <row r="1339" hidden="1" ht="14.25" customHeight="1" s="5">
      <c r="A1339" s="7" t="n">
        <v>27184</v>
      </c>
      <c r="B1339" s="7" t="inlineStr">
        <is>
          <t>TEA INDIA 10 CHAI MMNTS INST MASALA CL</t>
        </is>
      </c>
      <c r="C1339" s="7" t="n">
        <v>10</v>
      </c>
    </row>
    <row r="1340" hidden="1" ht="14.25" customHeight="1" s="5">
      <c r="A1340" s="7" t="n">
        <v>36041</v>
      </c>
      <c r="B1340" s="7" t="inlineStr">
        <is>
          <t>TEA INDIA 10 CHAI MMNTS INST MASALA CL (V2)</t>
        </is>
      </c>
      <c r="C1340" s="7" t="n">
        <v>10</v>
      </c>
    </row>
    <row r="1341" hidden="1" ht="14.25" customHeight="1" s="5">
      <c r="A1341" s="7" t="n">
        <v>28425</v>
      </c>
      <c r="B1341" s="7" t="inlineStr">
        <is>
          <t>TEA INDIA 10 CHAI MMNTS INST MILK CL</t>
        </is>
      </c>
      <c r="C1341" s="7" t="n">
        <v>10</v>
      </c>
    </row>
    <row r="1342" hidden="1" ht="14.25" customHeight="1" s="5">
      <c r="A1342" s="7" t="n">
        <v>33072</v>
      </c>
      <c r="B1342" s="7" t="inlineStr">
        <is>
          <t>TEA INDIA 10 CHAI MMNTS INST UNSWTND CRDM</t>
        </is>
      </c>
      <c r="C1342" s="7" t="n">
        <v>10</v>
      </c>
    </row>
    <row r="1343" hidden="1" ht="14.25" customHeight="1" s="5">
      <c r="A1343" s="7" t="n">
        <v>33073</v>
      </c>
      <c r="B1343" s="7" t="inlineStr">
        <is>
          <t>TEA INDIA 10 CHAI MMNTS INST UNSWTND GNGR</t>
        </is>
      </c>
      <c r="C1343" s="7" t="n">
        <v>10</v>
      </c>
    </row>
    <row r="1344" hidden="1" ht="14.25" customHeight="1" s="5">
      <c r="A1344" s="7" t="n">
        <v>28426</v>
      </c>
      <c r="B1344" s="7" t="inlineStr">
        <is>
          <t>TEA INDIA 10 CHAI MMNTS INST UNSWTND M</t>
        </is>
      </c>
      <c r="C1344" s="7" t="n">
        <v>10</v>
      </c>
    </row>
    <row r="1345" hidden="1" ht="14.25" customHeight="1" s="5">
      <c r="A1345" s="7" t="n">
        <v>35441</v>
      </c>
      <c r="B1345" s="7" t="inlineStr">
        <is>
          <t>TEA INDIA 10 CHAI MMNTS LEMON GRASS CL</t>
        </is>
      </c>
      <c r="C1345" s="7" t="n">
        <v>10</v>
      </c>
    </row>
    <row r="1346" hidden="1" ht="14.25" customHeight="1" s="5">
      <c r="A1346" s="7" t="n">
        <v>35442</v>
      </c>
      <c r="B1346" s="7" t="inlineStr">
        <is>
          <t>TEA INDIA 10 CHAI MMNTS SAFFRON CL</t>
        </is>
      </c>
      <c r="C1346" s="7" t="n">
        <v>10</v>
      </c>
    </row>
    <row r="1347" hidden="1" ht="14.25" customHeight="1" s="5">
      <c r="A1347" s="7" t="n">
        <v>20618</v>
      </c>
      <c r="B1347" s="7" t="inlineStr">
        <is>
          <t>TEA INDIA 2 LBS POLYBAG</t>
        </is>
      </c>
      <c r="C1347" s="7" t="n">
        <v>1</v>
      </c>
    </row>
    <row r="1348" hidden="1" ht="14.25" customHeight="1" s="5">
      <c r="A1348" s="7" t="n">
        <v>32218</v>
      </c>
      <c r="B1348" s="7" t="inlineStr">
        <is>
          <t>TEA INDIA 3 LB CTC TEA</t>
        </is>
      </c>
      <c r="C1348" s="7" t="n">
        <v>1</v>
      </c>
    </row>
    <row r="1349" hidden="1" ht="14.25" customHeight="1" s="5">
      <c r="A1349" s="7" t="n">
        <v>22770</v>
      </c>
      <c r="B1349" s="7" t="inlineStr">
        <is>
          <t>TEA QUEEN BPS 1 KG (500 GM X 2) POUCH</t>
        </is>
      </c>
      <c r="C1349" s="7" t="n">
        <v>1</v>
      </c>
    </row>
    <row r="1350" hidden="1" ht="14.25" customHeight="1" s="5">
      <c r="A1350" s="7" t="n">
        <v>28175</v>
      </c>
      <c r="B1350" s="7" t="inlineStr">
        <is>
          <t>TEA QUEEN LEAF SFM 1 KG (500 GM X 2) POUCH</t>
        </is>
      </c>
      <c r="C1350" s="7" t="n">
        <v>1</v>
      </c>
    </row>
    <row r="1351" hidden="1" ht="14.25" customHeight="1" s="5">
      <c r="A1351" s="7" t="n">
        <v>32032</v>
      </c>
      <c r="B1351" s="7" t="inlineStr">
        <is>
          <t>TEAME EXOTIC BREWS BUTTERFLY 40 GMS PKT TEA</t>
        </is>
      </c>
      <c r="C1351" s="7" t="n">
        <v>1</v>
      </c>
    </row>
    <row r="1352" hidden="1" ht="14.25" customHeight="1" s="5">
      <c r="A1352" s="7" t="n">
        <v>34801</v>
      </c>
      <c r="B1352" s="7" t="inlineStr">
        <is>
          <t>TEAME EXOTIC BREWS BUTTERFLY 50 GMS PKT TEA</t>
        </is>
      </c>
      <c r="C1352" s="7" t="n">
        <v>1</v>
      </c>
    </row>
    <row r="1353" hidden="1" ht="14.25" customHeight="1" s="5">
      <c r="A1353" s="7" t="n">
        <v>32030</v>
      </c>
      <c r="B1353" s="7" t="inlineStr">
        <is>
          <t>TEAME EXOTIC BREWS CHAMOMILE 50 GMS PKT TEA</t>
        </is>
      </c>
      <c r="C1353" s="7" t="n">
        <v>1</v>
      </c>
    </row>
    <row r="1354" hidden="1" ht="14.25" customHeight="1" s="5">
      <c r="A1354" s="7" t="n">
        <v>32031</v>
      </c>
      <c r="B1354" s="7" t="inlineStr">
        <is>
          <t>TEAME EXOTIC BREWS HIBISCUS 50 GMS PKT TEA</t>
        </is>
      </c>
      <c r="C1354" s="7" t="n">
        <v>1</v>
      </c>
    </row>
    <row r="1355" hidden="1" ht="14.25" customHeight="1" s="5">
      <c r="A1355" s="7" t="n">
        <v>32858</v>
      </c>
      <c r="B1355" s="7" t="inlineStr">
        <is>
          <t>TEAME EXOTIC BREWS SPEARMINT 40 GMS PKT TEA</t>
        </is>
      </c>
      <c r="C1355" s="7" t="n">
        <v>40</v>
      </c>
    </row>
    <row r="1356" hidden="1" ht="14.25" customHeight="1" s="5">
      <c r="A1356" s="7" t="n">
        <v>34802</v>
      </c>
      <c r="B1356" s="7" t="inlineStr">
        <is>
          <t>TEAME EXOTIC BREWS SPEARMINT 50 GMS PKT TEA</t>
        </is>
      </c>
      <c r="C1356" s="7" t="n">
        <v>1</v>
      </c>
    </row>
    <row r="1357" hidden="1" ht="14.25" customHeight="1" s="5">
      <c r="A1357" s="7" t="n">
        <v>4048</v>
      </c>
      <c r="B1357" s="7" t="inlineStr">
        <is>
          <t>TEAME FRUIT &amp; FLOWER INFUSIONS CHAMOMILE 20 DC HS ENV TBGS</t>
        </is>
      </c>
      <c r="C1357" s="7" t="n">
        <v>20</v>
      </c>
    </row>
    <row r="1358" hidden="1" ht="14.25" customHeight="1" s="5">
      <c r="A1358" s="7" t="n">
        <v>17953</v>
      </c>
      <c r="B1358" s="7" t="inlineStr">
        <is>
          <t>TEAME HORECA EXOTIC RANGE  ASSAM TEA  SACHETS</t>
        </is>
      </c>
      <c r="C1358" s="7" t="n">
        <v>1</v>
      </c>
    </row>
    <row r="1359" hidden="1" ht="14.25" customHeight="1" s="5">
      <c r="A1359" s="7" t="n">
        <v>18575</v>
      </c>
      <c r="B1359" s="7" t="inlineStr">
        <is>
          <t>TEAME HORECA EXOTIC RANGE  ASSAM TEA 24 SACHETS</t>
        </is>
      </c>
      <c r="C1359" s="7" t="n">
        <v>1</v>
      </c>
    </row>
    <row r="1360" hidden="1" ht="14.25" customHeight="1" s="5">
      <c r="A1360" s="7" t="n">
        <v>17954</v>
      </c>
      <c r="B1360" s="7" t="inlineStr">
        <is>
          <t>TEAME HORECA EXOTIC RANGE  BLACK TEA EARL GREY  SACHETS</t>
        </is>
      </c>
      <c r="C1360" s="7" t="n">
        <v>1</v>
      </c>
    </row>
    <row r="1361" hidden="1" ht="14.25" customHeight="1" s="5">
      <c r="A1361" s="7" t="n">
        <v>18403</v>
      </c>
      <c r="B1361" s="7" t="inlineStr">
        <is>
          <t>TEAME HORECA EXOTIC RANGE  BLACK TEA EARL GREY 24 SACHETS</t>
        </is>
      </c>
      <c r="C1361" s="7" t="n">
        <v>24</v>
      </c>
    </row>
    <row r="1362" hidden="1" ht="14.25" customHeight="1" s="5">
      <c r="A1362" s="7" t="n">
        <v>17956</v>
      </c>
      <c r="B1362" s="7" t="inlineStr">
        <is>
          <t>TEAME HORECA EXOTIC RANGE  BLACK TEA MASALA  SACHETS</t>
        </is>
      </c>
      <c r="C1362" s="7" t="n">
        <v>1</v>
      </c>
    </row>
    <row r="1363" hidden="1" ht="14.25" customHeight="1" s="5">
      <c r="A1363" s="7" t="n">
        <v>17958</v>
      </c>
      <c r="B1363" s="7" t="inlineStr">
        <is>
          <t>TEAME HORECA EXOTIC RANGE  BLACK TEA PASSION FRUIT  SACHETS</t>
        </is>
      </c>
      <c r="C1363" s="7" t="n">
        <v>1</v>
      </c>
    </row>
    <row r="1364" hidden="1" ht="14.25" customHeight="1" s="5">
      <c r="A1364" s="7" t="n">
        <v>18576</v>
      </c>
      <c r="B1364" s="7" t="inlineStr">
        <is>
          <t>TEAME HORECA EXOTIC RANGE  BLACK TEA PASSION FRUIT 24 SACHETS</t>
        </is>
      </c>
      <c r="C1364" s="7" t="n">
        <v>1</v>
      </c>
    </row>
    <row r="1365" hidden="1" ht="14.25" customHeight="1" s="5">
      <c r="A1365" s="7" t="n">
        <v>17960</v>
      </c>
      <c r="B1365" s="7" t="inlineStr">
        <is>
          <t>TEAME HORECA EXOTIC RANGE  BLACK TEA TROPICAL FRUIT  SACHETS</t>
        </is>
      </c>
      <c r="C1365" s="7" t="n">
        <v>1</v>
      </c>
    </row>
    <row r="1366" hidden="1" ht="14.25" customHeight="1" s="5">
      <c r="A1366" s="7" t="n">
        <v>17962</v>
      </c>
      <c r="B1366" s="7" t="inlineStr">
        <is>
          <t>TEAME HORECA EXOTIC RANGE  CHAMOMILE  SACHETS</t>
        </is>
      </c>
      <c r="C1366" s="7" t="n">
        <v>1</v>
      </c>
    </row>
    <row r="1367" hidden="1" ht="14.25" customHeight="1" s="5">
      <c r="A1367" s="7" t="n">
        <v>18405</v>
      </c>
      <c r="B1367" s="7" t="inlineStr">
        <is>
          <t>TEAME HORECA EXOTIC RANGE  CHAMOMILE 24 SACHETS</t>
        </is>
      </c>
      <c r="C1367" s="7" t="n">
        <v>24</v>
      </c>
    </row>
    <row r="1368" hidden="1" ht="14.25" customHeight="1" s="5">
      <c r="A1368" s="7" t="n">
        <v>17964</v>
      </c>
      <c r="B1368" s="7" t="inlineStr">
        <is>
          <t>TEAME HORECA EXOTIC RANGE  ENGLISH BREAKFAST TEA  SACHETS</t>
        </is>
      </c>
      <c r="C1368" s="7" t="n">
        <v>1</v>
      </c>
    </row>
    <row r="1369" hidden="1" ht="14.25" customHeight="1" s="5">
      <c r="A1369" s="7" t="n">
        <v>18406</v>
      </c>
      <c r="B1369" s="7" t="inlineStr">
        <is>
          <t>TEAME HORECA EXOTIC RANGE  ENGLISH BREAKFAST TEA 24 SACHETS</t>
        </is>
      </c>
      <c r="C1369" s="7" t="n">
        <v>24</v>
      </c>
    </row>
    <row r="1370" hidden="1" ht="14.25" customHeight="1" s="5">
      <c r="A1370" s="7" t="n">
        <v>17966</v>
      </c>
      <c r="B1370" s="7" t="inlineStr">
        <is>
          <t>TEAME HORECA EXOTIC RANGE  GREEN  SACHETS</t>
        </is>
      </c>
      <c r="C1370" s="7" t="n">
        <v>1</v>
      </c>
    </row>
    <row r="1371" hidden="1" ht="14.25" customHeight="1" s="5">
      <c r="A1371" s="7" t="n">
        <v>18578</v>
      </c>
      <c r="B1371" s="7" t="inlineStr">
        <is>
          <t>TEAME HORECA EXOTIC RANGE  GREEN 24 SACHETS</t>
        </is>
      </c>
      <c r="C1371" s="7" t="n">
        <v>1</v>
      </c>
    </row>
    <row r="1372" hidden="1" ht="14.25" customHeight="1" s="5">
      <c r="A1372" s="7" t="n">
        <v>17969</v>
      </c>
      <c r="B1372" s="7" t="inlineStr">
        <is>
          <t>TEAME HORECA EXOTIC RANGE  GREEN LAVENDER ROSE MINT TEA  SACHETS</t>
        </is>
      </c>
      <c r="C1372" s="7" t="n">
        <v>1</v>
      </c>
    </row>
    <row r="1373" hidden="1" ht="14.25" customHeight="1" s="5">
      <c r="A1373" s="7" t="n">
        <v>17971</v>
      </c>
      <c r="B1373" s="7" t="inlineStr">
        <is>
          <t>TEAME HORECA EXOTIC RANGE  GREEN TEA CITRUS  SACHETS</t>
        </is>
      </c>
      <c r="C1373" s="7" t="n">
        <v>1</v>
      </c>
    </row>
    <row r="1374" hidden="1" ht="14.25" customHeight="1" s="5">
      <c r="A1374" s="7" t="n">
        <v>17973</v>
      </c>
      <c r="B1374" s="7" t="inlineStr">
        <is>
          <t>TEAME HORECA EXOTIC RANGE  GREEN TEA KASHMIRI KAHWA  SACHETS</t>
        </is>
      </c>
      <c r="C1374" s="7" t="n">
        <v>1</v>
      </c>
    </row>
    <row r="1375" hidden="1" ht="14.25" customHeight="1" s="5">
      <c r="A1375" s="7" t="n">
        <v>18407</v>
      </c>
      <c r="B1375" s="7" t="inlineStr">
        <is>
          <t>TEAME HORECA EXOTIC RANGE  GREEN TEA KASHMIRI KAHWA 24 SACHETS</t>
        </is>
      </c>
      <c r="C1375" s="7" t="n">
        <v>24</v>
      </c>
    </row>
    <row r="1376" hidden="1" ht="14.25" customHeight="1" s="5">
      <c r="A1376" s="7" t="n">
        <v>17975</v>
      </c>
      <c r="B1376" s="7" t="inlineStr">
        <is>
          <t>TEAME HORECA EXOTIC RANGE  GREEN TEA MINT ROSE  SACHETS</t>
        </is>
      </c>
      <c r="C1376" s="7" t="n">
        <v>1</v>
      </c>
    </row>
    <row r="1377" hidden="1" ht="14.25" customHeight="1" s="5">
      <c r="A1377" s="7" t="n">
        <v>17977</v>
      </c>
      <c r="B1377" s="7" t="inlineStr">
        <is>
          <t>TEAME HORECA EXOTIC RANGE  GREEN TEA TULSI  SACHETS</t>
        </is>
      </c>
      <c r="C1377" s="7" t="n">
        <v>1</v>
      </c>
    </row>
    <row r="1378" hidden="1" ht="14.25" customHeight="1" s="5">
      <c r="A1378" s="7" t="n">
        <v>17979</v>
      </c>
      <c r="B1378" s="7" t="inlineStr">
        <is>
          <t>TEAME HORECA EXOTIC RANGE  JASMINE GREEN TEA  SACHETS</t>
        </is>
      </c>
      <c r="C1378" s="7" t="n">
        <v>1</v>
      </c>
    </row>
    <row r="1379" hidden="1" ht="14.25" customHeight="1" s="5">
      <c r="A1379" s="7" t="n">
        <v>17981</v>
      </c>
      <c r="B1379" s="7" t="inlineStr">
        <is>
          <t>TEAME HORECA EXOTIC RANGE  LEMON AND GINGER  SACHETS</t>
        </is>
      </c>
      <c r="C1379" s="7" t="n">
        <v>1</v>
      </c>
    </row>
    <row r="1380" hidden="1" ht="14.25" customHeight="1" s="5">
      <c r="A1380" s="7" t="n">
        <v>18583</v>
      </c>
      <c r="B1380" s="7" t="inlineStr">
        <is>
          <t>TEAME HORECA EXOTIC RANGE  LEMON AND GINGER 24 SACHETS</t>
        </is>
      </c>
      <c r="C1380" s="7" t="n">
        <v>1</v>
      </c>
    </row>
    <row r="1381" hidden="1" ht="14.25" customHeight="1" s="5">
      <c r="A1381" s="7" t="n">
        <v>17983</v>
      </c>
      <c r="B1381" s="7" t="inlineStr">
        <is>
          <t>TEAME HORECA EXOTIC RANGE  ORANGE SPICE GREEN TEA  SACHETS</t>
        </is>
      </c>
      <c r="C1381" s="7" t="n">
        <v>1</v>
      </c>
    </row>
    <row r="1382" hidden="1" ht="14.25" customHeight="1" s="5">
      <c r="A1382" s="7" t="n">
        <v>18584</v>
      </c>
      <c r="B1382" s="7" t="inlineStr">
        <is>
          <t>TEAME HORECA EXOTIC RANGE  ORANGE SPICE GREEN TEA 24 SACHETS</t>
        </is>
      </c>
      <c r="C1382" s="7" t="n">
        <v>1</v>
      </c>
    </row>
    <row r="1383" hidden="1" ht="14.25" customHeight="1" s="5">
      <c r="A1383" s="7" t="n">
        <v>17985</v>
      </c>
      <c r="B1383" s="7" t="inlineStr">
        <is>
          <t>TEAME HORECA EXOTIC RANGE  PEPPERMINT  SACHETS</t>
        </is>
      </c>
      <c r="C1383" s="7" t="n">
        <v>1</v>
      </c>
    </row>
    <row r="1384" hidden="1" ht="14.25" customHeight="1" s="5">
      <c r="A1384" s="7" t="n">
        <v>18409</v>
      </c>
      <c r="B1384" s="7" t="inlineStr">
        <is>
          <t>TEAME HORECA EXOTIC RANGE  PEPPERMINT 24 SACHETS</t>
        </is>
      </c>
      <c r="C1384" s="7" t="n">
        <v>24</v>
      </c>
    </row>
    <row r="1385" hidden="1" ht="14.25" customHeight="1" s="5">
      <c r="A1385" s="7" t="n">
        <v>17987</v>
      </c>
      <c r="B1385" s="7" t="inlineStr">
        <is>
          <t>TEAME HORECA EXOTIC RANGE  PREMIUM DARJEELING TEA  SACHETS</t>
        </is>
      </c>
      <c r="C1385" s="7" t="n">
        <v>1</v>
      </c>
    </row>
    <row r="1386" hidden="1" ht="14.25" customHeight="1" s="5">
      <c r="A1386" s="7" t="n">
        <v>18585</v>
      </c>
      <c r="B1386" s="7" t="inlineStr">
        <is>
          <t>TEAME HORECA EXOTIC RANGE  PREMIUM DARJEELING TEA 24 SACHETS</t>
        </is>
      </c>
      <c r="C1386" s="7" t="n">
        <v>1</v>
      </c>
    </row>
    <row r="1387" hidden="1" ht="14.25" customHeight="1" s="5">
      <c r="A1387" s="7" t="n">
        <v>17989</v>
      </c>
      <c r="B1387" s="7" t="inlineStr">
        <is>
          <t>TEAME HORECA EXOTIC RANGE  ROOIBOS CREAMY VANILLA  SACHETS</t>
        </is>
      </c>
      <c r="C1387" s="7" t="n">
        <v>1</v>
      </c>
    </row>
    <row r="1388" hidden="1" ht="14.25" customHeight="1" s="5">
      <c r="A1388" s="7" t="n">
        <v>18586</v>
      </c>
      <c r="B1388" s="7" t="inlineStr">
        <is>
          <t>TEAME HORECA EXOTIC RANGE  ROOIBOS CREAMY VANILLA 24 SACHETS</t>
        </is>
      </c>
      <c r="C1388" s="7" t="n">
        <v>1</v>
      </c>
    </row>
    <row r="1389" hidden="1" ht="14.25" customHeight="1" s="5">
      <c r="A1389" s="7" t="n">
        <v>17991</v>
      </c>
      <c r="B1389" s="7" t="inlineStr">
        <is>
          <t>TEAME HORECA EXOTIC RANGE  ROOIBOS LEMON GRASS  SACHETS</t>
        </is>
      </c>
      <c r="C1389" s="7" t="n">
        <v>1</v>
      </c>
    </row>
    <row r="1390" hidden="1" ht="14.25" customHeight="1" s="5">
      <c r="A1390" s="7" t="n">
        <v>17993</v>
      </c>
      <c r="B1390" s="7" t="inlineStr">
        <is>
          <t>TEAME HORECA EXOTIC RANGE  ROOIBOS ORANGE AND CINNAMON  SACHETS</t>
        </is>
      </c>
      <c r="C1390" s="7" t="n">
        <v>1</v>
      </c>
    </row>
    <row r="1391" hidden="1" ht="14.25" customHeight="1" s="5">
      <c r="A1391" s="7" t="n">
        <v>17995</v>
      </c>
      <c r="B1391" s="7" t="inlineStr">
        <is>
          <t>TEAME HORECA EXOTIC RANGE  ROOIBOS SPICE  SACHETS</t>
        </is>
      </c>
      <c r="C1391" s="7" t="n">
        <v>1</v>
      </c>
    </row>
    <row r="1392" hidden="1" ht="14.25" customHeight="1" s="5">
      <c r="A1392" s="7" t="n">
        <v>18261</v>
      </c>
      <c r="B1392" s="7" t="inlineStr">
        <is>
          <t>TEAME HORECA EXOTIC RANGE  ROSE LAVENDER BLACK TEA  SACHETS</t>
        </is>
      </c>
      <c r="C1392" s="7" t="n">
        <v>1</v>
      </c>
    </row>
    <row r="1393" hidden="1" ht="14.25" customHeight="1" s="5">
      <c r="A1393" s="7" t="n">
        <v>18263</v>
      </c>
      <c r="B1393" s="7" t="inlineStr">
        <is>
          <t>TEAME HORECA EXOTIC RANGE  SENCHA TEA  SACHETS</t>
        </is>
      </c>
      <c r="C1393" s="7" t="n">
        <v>1</v>
      </c>
    </row>
    <row r="1394" hidden="1" ht="14.25" customHeight="1" s="5">
      <c r="A1394" s="7" t="n">
        <v>18410</v>
      </c>
      <c r="B1394" s="7" t="inlineStr">
        <is>
          <t>TEAME HORECA EXOTIC RANGE  SENCHA TEA 24 SACHETS</t>
        </is>
      </c>
      <c r="C1394" s="7" t="n">
        <v>24</v>
      </c>
    </row>
    <row r="1395" hidden="1" ht="14.25" customHeight="1" s="5">
      <c r="A1395" s="7" t="n">
        <v>18591</v>
      </c>
      <c r="B1395" s="7" t="inlineStr">
        <is>
          <t>TEAME HORECA EXOTIC RANGE  TULSI GINGER GREEN TEA 24 SACHETS</t>
        </is>
      </c>
      <c r="C1395" s="7" t="n">
        <v>1</v>
      </c>
    </row>
    <row r="1396" hidden="1" ht="14.25" customHeight="1" s="5">
      <c r="A1396" s="7" t="n">
        <v>18267</v>
      </c>
      <c r="B1396" s="7" t="inlineStr">
        <is>
          <t>TEAME HORECA EXOTIC RANGE  TULSI MASALA  SACHETS</t>
        </is>
      </c>
      <c r="C1396" s="7" t="n">
        <v>1</v>
      </c>
    </row>
    <row r="1397" hidden="1" ht="14.25" customHeight="1" s="5">
      <c r="A1397" s="7" t="n">
        <v>18592</v>
      </c>
      <c r="B1397" s="7" t="inlineStr">
        <is>
          <t>TEAME HORECA EXOTIC RANGE  TULSI MASALA 24 SACHETS</t>
        </is>
      </c>
      <c r="C1397" s="7" t="n">
        <v>1</v>
      </c>
    </row>
    <row r="1398" hidden="1" ht="14.25" customHeight="1" s="5">
      <c r="A1398" s="7" t="n">
        <v>18582</v>
      </c>
      <c r="B1398" s="7" t="inlineStr">
        <is>
          <t>TEAME HORECA EXOTIC RANGE JASMINE GREEN TEA 24 SACHETS</t>
        </is>
      </c>
      <c r="C1398" s="7" t="n">
        <v>1</v>
      </c>
    </row>
    <row r="1399" hidden="1" ht="14.25" customHeight="1" s="5">
      <c r="A1399" s="7" t="n">
        <v>36370</v>
      </c>
      <c r="B1399" s="7" t="inlineStr">
        <is>
          <t>TEAME PREMIUM DUST TEA 20 GM POUCH</t>
        </is>
      </c>
      <c r="C1399" s="7" t="n">
        <v>1</v>
      </c>
    </row>
    <row r="1400" hidden="1" ht="14.25" customHeight="1" s="5">
      <c r="A1400" s="7" t="n">
        <v>36320</v>
      </c>
      <c r="B1400" s="7" t="inlineStr">
        <is>
          <t>TEAME SUPER PREMIUM LEAF TEA 20 GM POUCH</t>
        </is>
      </c>
      <c r="C1400" s="7" t="n">
        <v>1</v>
      </c>
    </row>
    <row r="1401" hidden="1" ht="14.25" customHeight="1" s="5">
      <c r="A1401" s="7" t="n">
        <v>22072</v>
      </c>
      <c r="B1401" s="7" t="inlineStr">
        <is>
          <t>TEASTOY ICE BREW GREEN MINT 10 PYRAMID TAG TBAG</t>
        </is>
      </c>
      <c r="C1401" s="7" t="n">
        <v>10</v>
      </c>
    </row>
    <row r="1402" hidden="1" ht="14.25" customHeight="1" s="5">
      <c r="A1402" s="7" t="n">
        <v>21954</v>
      </c>
      <c r="B1402" s="7" t="inlineStr">
        <is>
          <t>TEASTOY ICE BREW GREEN MINT 250 GMS PKT TEA</t>
        </is>
      </c>
      <c r="C1402" s="7" t="n">
        <v>1</v>
      </c>
    </row>
    <row r="1403" hidden="1" ht="14.25" customHeight="1" s="5">
      <c r="A1403" s="7" t="n">
        <v>22076</v>
      </c>
      <c r="B1403" s="7" t="inlineStr">
        <is>
          <t>TEASTOY ICE BREW LEMON 10 PYRAMID TAG TBAG</t>
        </is>
      </c>
      <c r="C1403" s="7" t="n">
        <v>10</v>
      </c>
    </row>
    <row r="1404" hidden="1" ht="14.25" customHeight="1" s="5">
      <c r="A1404" s="7" t="n">
        <v>21957</v>
      </c>
      <c r="B1404" s="7" t="inlineStr">
        <is>
          <t>TEASTOY ICE BREW LEMON 250 GMS PKT TEA</t>
        </is>
      </c>
      <c r="C1404" s="7" t="n">
        <v>1</v>
      </c>
    </row>
    <row r="1405" hidden="1" ht="14.25" customHeight="1" s="5">
      <c r="A1405" s="7" t="n">
        <v>22073</v>
      </c>
      <c r="B1405" s="7" t="inlineStr">
        <is>
          <t>TEASTOY ICE BREW LYCHEE 10 PYRAMID TAG TBAG</t>
        </is>
      </c>
      <c r="C1405" s="7" t="n">
        <v>10</v>
      </c>
    </row>
    <row r="1406" hidden="1" ht="14.25" customHeight="1" s="5">
      <c r="A1406" s="7" t="n">
        <v>21960</v>
      </c>
      <c r="B1406" s="7" t="inlineStr">
        <is>
          <t>TEASTOY ICE BREW LYCHEE 250 GMS PKT TEA</t>
        </is>
      </c>
      <c r="C1406" s="7" t="n">
        <v>1</v>
      </c>
    </row>
    <row r="1407" hidden="1" ht="14.25" customHeight="1" s="5">
      <c r="A1407" s="7" t="n">
        <v>22074</v>
      </c>
      <c r="B1407" s="7" t="inlineStr">
        <is>
          <t>TEASTOY ICE BREW PEACH 10 PYRAMID TAG TBAG</t>
        </is>
      </c>
      <c r="C1407" s="7" t="n">
        <v>10</v>
      </c>
    </row>
    <row r="1408" hidden="1" ht="14.25" customHeight="1" s="5">
      <c r="A1408" s="7" t="n">
        <v>21955</v>
      </c>
      <c r="B1408" s="7" t="inlineStr">
        <is>
          <t>TEASTOY ICE BREW PEACH 250 GMS PKT TEA</t>
        </is>
      </c>
      <c r="C1408" s="7" t="n">
        <v>1</v>
      </c>
    </row>
    <row r="1409" hidden="1" ht="14.25" customHeight="1" s="5">
      <c r="A1409" s="7" t="n">
        <v>22075</v>
      </c>
      <c r="B1409" s="7" t="inlineStr">
        <is>
          <t>TEASTOY ICE BREW WILD BERRY 10 PYRAMID TAG TBAG</t>
        </is>
      </c>
      <c r="C1409" s="7" t="n">
        <v>10</v>
      </c>
    </row>
    <row r="1410" hidden="1" ht="14.25" customHeight="1" s="5">
      <c r="A1410" s="7" t="n">
        <v>21961</v>
      </c>
      <c r="B1410" s="7" t="inlineStr">
        <is>
          <t>TEASTOY ICE BREW WILD BERRY 250 GMS PKT TEA</t>
        </is>
      </c>
      <c r="C1410" s="7" t="n">
        <v>1</v>
      </c>
    </row>
    <row r="1411" hidden="1" ht="14.25" customHeight="1" s="5">
      <c r="A1411" s="7" t="n">
        <v>23666</v>
      </c>
      <c r="B1411" s="7" t="inlineStr">
        <is>
          <t>TET 3 OZ BREW MAGIC ITBS</t>
        </is>
      </c>
      <c r="C1411" s="7" t="n">
        <v>8</v>
      </c>
    </row>
    <row r="1412" hidden="1" ht="14.25" customHeight="1" s="5">
      <c r="A1412" s="7" t="n">
        <v>23667</v>
      </c>
      <c r="B1412" s="7" t="inlineStr">
        <is>
          <t>TET 4 OZ BREW MAGIC ITBS</t>
        </is>
      </c>
      <c r="C1412" s="7" t="n">
        <v>8</v>
      </c>
    </row>
    <row r="1413" hidden="1" ht="14.25" customHeight="1" s="5">
      <c r="A1413" s="7" t="n">
        <v>33063</v>
      </c>
      <c r="B1413" s="7" t="inlineStr">
        <is>
          <t>TETLEY CLASSIC BLACK TEA 100 DC TAG TBGS</t>
        </is>
      </c>
      <c r="C1413" s="7" t="n">
        <v>100</v>
      </c>
    </row>
    <row r="1414" hidden="1" ht="14.25" customHeight="1" s="5">
      <c r="A1414" s="7" t="n">
        <v>33068</v>
      </c>
      <c r="B1414" s="7" t="inlineStr">
        <is>
          <t>TETLEY CLASSIC DCF 72 DC TAG TBGS</t>
        </is>
      </c>
      <c r="C1414" s="7" t="n">
        <v>72</v>
      </c>
    </row>
    <row r="1415" hidden="1" ht="14.25" customHeight="1" s="5">
      <c r="A1415" s="7" t="n">
        <v>35888</v>
      </c>
      <c r="B1415" s="7" t="inlineStr">
        <is>
          <t>TETLEY MATCHA GREEN 25 DC SF HS ENV TBGS</t>
        </is>
      </c>
      <c r="C1415" s="7" t="n">
        <v>25</v>
      </c>
    </row>
    <row r="1416" hidden="1" ht="14.25" customHeight="1" s="5">
      <c r="A1416" s="7" t="n">
        <v>33937</v>
      </c>
      <c r="B1416" s="7" t="inlineStr">
        <is>
          <t>TEZ CAFE CAPPUCCINO 3 IN 1 (25GMS)</t>
        </is>
      </c>
      <c r="C1416" s="7" t="n">
        <v>1</v>
      </c>
    </row>
    <row r="1417" hidden="1" ht="14.25" customHeight="1" s="5">
      <c r="A1417" s="7" t="n">
        <v>33938</v>
      </c>
      <c r="B1417" s="7" t="inlineStr">
        <is>
          <t>TEZ CAFE CAPPUCCINO CHOCO GRANULE (0.5 GMS)</t>
        </is>
      </c>
      <c r="C1417" s="7" t="n">
        <v>1</v>
      </c>
    </row>
    <row r="1418" hidden="1" ht="14.25" customHeight="1" s="5">
      <c r="A1418" s="7" t="n">
        <v>32328</v>
      </c>
      <c r="B1418" s="7" t="inlineStr">
        <is>
          <t>TEZ CAFE COFFEE 3 IN 1 (25GMS)</t>
        </is>
      </c>
      <c r="C1418" s="7" t="n">
        <v>1</v>
      </c>
    </row>
    <row r="1419" hidden="1" ht="14.25" customHeight="1" s="5">
      <c r="A1419" s="7" t="n">
        <v>34498</v>
      </c>
      <c r="B1419" s="7" t="inlineStr">
        <is>
          <t>TEZ CAFE COFFEE 3 IN 1 (30GMS)</t>
        </is>
      </c>
      <c r="C1419" s="7" t="n">
        <v>1</v>
      </c>
    </row>
    <row r="1420" hidden="1" ht="14.25" customHeight="1" s="5">
      <c r="A1420" s="7" t="n">
        <v>32551</v>
      </c>
      <c r="B1420" s="7" t="inlineStr">
        <is>
          <t>TEZ CAFE COFFEE 3 IN 1 (32GMS)</t>
        </is>
      </c>
      <c r="C1420" s="7" t="n">
        <v>1</v>
      </c>
    </row>
    <row r="1421" hidden="1" ht="14.25" customHeight="1" s="5">
      <c r="A1421" s="7" t="n">
        <v>33361</v>
      </c>
      <c r="B1421" s="7" t="inlineStr">
        <is>
          <t>TEZ CAFE COFFEE 3 IN 1 (35GMS)</t>
        </is>
      </c>
      <c r="C1421" s="7" t="n">
        <v>1</v>
      </c>
    </row>
    <row r="1422" hidden="1" ht="14.25" customHeight="1" s="5">
      <c r="A1422" s="7" t="n">
        <v>36979</v>
      </c>
      <c r="B1422" s="7" t="inlineStr">
        <is>
          <t>TEZ CAFE INSTANT COFFEE 120 SACHETS (2 GMS)</t>
        </is>
      </c>
      <c r="C1422" s="7" t="n">
        <v>120</v>
      </c>
    </row>
    <row r="1423" hidden="1" ht="14.25" customHeight="1" s="5">
      <c r="A1423" s="7" t="n">
        <v>37185</v>
      </c>
      <c r="B1423" s="7" t="inlineStr">
        <is>
          <t>TEZ CAFE INSTANT COFFEE 150 SACHETS (2 GMS)</t>
        </is>
      </c>
      <c r="C1423" s="7" t="n">
        <v>150</v>
      </c>
    </row>
    <row r="1424" hidden="1" ht="14.25" customHeight="1" s="5">
      <c r="A1424" s="7" t="n">
        <v>32772</v>
      </c>
      <c r="B1424" s="7" t="inlineStr">
        <is>
          <t>TEZ ELAICHI LEAF BLACK TEA  RED ELAICHI SMALL PKT 24 GM POUCH</t>
        </is>
      </c>
      <c r="C1424" s="7" t="n">
        <v>1</v>
      </c>
    </row>
    <row r="1425" hidden="1" ht="14.25" customHeight="1" s="5">
      <c r="A1425" s="7" t="n">
        <v>37488</v>
      </c>
      <c r="B1425" s="7" t="inlineStr">
        <is>
          <t>TEZ ELAICHI LEAF BLACK TEA  RED ELAICHI SMALL PKT 24 GM POUCH (V2)</t>
        </is>
      </c>
      <c r="C1425" s="7" t="n">
        <v>1</v>
      </c>
    </row>
    <row r="1426" hidden="1" ht="14.25" customHeight="1" s="5">
      <c r="A1426" s="7" t="n">
        <v>35002</v>
      </c>
      <c r="B1426" s="7" t="inlineStr">
        <is>
          <t>TEZ ELAICHI LEAF BLACK TEA ELAICHI PKT 12 GM POUCH</t>
        </is>
      </c>
      <c r="C1426" s="7" t="n">
        <v>1</v>
      </c>
    </row>
    <row r="1427" hidden="1" ht="14.25" customHeight="1" s="5">
      <c r="A1427" s="7" t="n">
        <v>37489</v>
      </c>
      <c r="B1427" s="7" t="inlineStr">
        <is>
          <t>TEZ ELAICHI LEAF BLACK TEA ELAICHI PKT 12 GM POUCH (V2)</t>
        </is>
      </c>
      <c r="C1427" s="7" t="n">
        <v>1</v>
      </c>
    </row>
    <row r="1428" hidden="1" ht="14.25" customHeight="1" s="5">
      <c r="A1428" s="7" t="n">
        <v>29210</v>
      </c>
      <c r="B1428" s="7" t="inlineStr">
        <is>
          <t>TEZ ELAICHI LEAF BLACK TEA ELAICHI PKT 16 GM POUCH</t>
        </is>
      </c>
      <c r="C1428" s="7" t="n">
        <v>1</v>
      </c>
    </row>
    <row r="1429" hidden="1" ht="14.25" customHeight="1" s="5">
      <c r="A1429" s="7" t="n">
        <v>28616</v>
      </c>
      <c r="B1429" s="7" t="inlineStr">
        <is>
          <t>TEZ ELAICHI LEAF BLACK TEA ELAICHI PKT 250 GM POUCH</t>
        </is>
      </c>
      <c r="C1429" s="7" t="n">
        <v>1</v>
      </c>
    </row>
    <row r="1430" hidden="1" ht="14.25" customHeight="1" s="5">
      <c r="A1430" s="7" t="n">
        <v>37487</v>
      </c>
      <c r="B1430" s="7" t="inlineStr">
        <is>
          <t>TEZ ELAICHI LEAF BLACK TEA ELAICHI PKT 250 GM POUCH (V2)</t>
        </is>
      </c>
      <c r="C1430" s="7" t="n">
        <v>1</v>
      </c>
    </row>
    <row r="1431" hidden="1" ht="14.25" customHeight="1" s="5">
      <c r="A1431" s="7" t="n">
        <v>30937</v>
      </c>
      <c r="B1431" s="7" t="inlineStr">
        <is>
          <t>TEZ ELAICHI LEAF BLACK TEA ELAICHI PKT 30 GM POUCH</t>
        </is>
      </c>
      <c r="C1431" s="7" t="n">
        <v>1</v>
      </c>
    </row>
    <row r="1432" hidden="1" ht="14.25" customHeight="1" s="5">
      <c r="A1432" s="7" t="n">
        <v>32652</v>
      </c>
      <c r="B1432" s="7" t="inlineStr">
        <is>
          <t>TEZ ELAICHI LEAF BLACK TEA RED ELAICHI SMALL PKT 12 GM POUCH</t>
        </is>
      </c>
      <c r="C1432" s="7" t="n">
        <v>1</v>
      </c>
    </row>
    <row r="1433" hidden="1" ht="14.25" customHeight="1" s="5">
      <c r="A1433" s="7" t="n">
        <v>31670</v>
      </c>
      <c r="B1433" s="7" t="inlineStr">
        <is>
          <t>TEZ ELAICHI LEAF BLACK TEA RED ELAICHI SMALL PKT 13 GM POUCH</t>
        </is>
      </c>
      <c r="C1433" s="7" t="n">
        <v>1</v>
      </c>
    </row>
    <row r="1434" hidden="1" ht="14.25" customHeight="1" s="5">
      <c r="A1434" s="7" t="n">
        <v>32636</v>
      </c>
      <c r="B1434" s="7" t="inlineStr">
        <is>
          <t>TEZ ELAICHI LEAF BLACK TEA RED ELAICHI SMALL PKT 26 GM POUCH</t>
        </is>
      </c>
      <c r="C1434" s="7" t="n">
        <v>1</v>
      </c>
    </row>
    <row r="1435" hidden="1" ht="14.25" customHeight="1" s="5">
      <c r="A1435" s="7" t="n">
        <v>37510</v>
      </c>
      <c r="B1435" s="7" t="inlineStr">
        <is>
          <t>TEZ ELAICHI LEAF BLACK TEA RED ELAICHI SMALL PKT 55 GM POUCH (V2)</t>
        </is>
      </c>
      <c r="C1435" s="7" t="n">
        <v>1</v>
      </c>
    </row>
    <row r="1436" hidden="1" ht="14.25" customHeight="1" s="5">
      <c r="A1436" s="7" t="n">
        <v>34898</v>
      </c>
      <c r="B1436" s="7" t="inlineStr">
        <is>
          <t>TEZ ELAICHI LEAF BLACK TEA RED ELAICHI SMALL PKT 60 GM POUCH</t>
        </is>
      </c>
      <c r="C1436" s="7" t="n">
        <v>1</v>
      </c>
    </row>
    <row r="1437" hidden="1" ht="14.25" customHeight="1" s="5">
      <c r="A1437" s="7" t="n">
        <v>32635</v>
      </c>
      <c r="B1437" s="7" t="inlineStr">
        <is>
          <t>TEZ ELAICHI LEAF BLACK TEA RED ELAICHI SMALL PKT 65 GM POUCH</t>
        </is>
      </c>
      <c r="C1437" s="7" t="n">
        <v>1</v>
      </c>
    </row>
    <row r="1438" hidden="1" ht="14.25" customHeight="1" s="5">
      <c r="A1438" s="7" t="n">
        <v>32412</v>
      </c>
      <c r="B1438" s="7" t="inlineStr">
        <is>
          <t>TEZ ELAICHI LEAF BLACK TEA RED ELAICHI SMALL PKT 70 GM POUCH</t>
        </is>
      </c>
      <c r="C1438" s="7" t="n">
        <v>1</v>
      </c>
    </row>
    <row r="1439" hidden="1" ht="14.25" customHeight="1" s="5">
      <c r="A1439" s="7" t="n">
        <v>31642</v>
      </c>
      <c r="B1439" s="7" t="inlineStr">
        <is>
          <t>TEZ ELAICHI PREMIUM LEAF YELLOW ELAICHI PKT 16 GM POUCH</t>
        </is>
      </c>
      <c r="C1439" s="7" t="n">
        <v>1</v>
      </c>
    </row>
    <row r="1440" hidden="1" ht="14.25" customHeight="1" s="5">
      <c r="A1440" s="7" t="n">
        <v>31500</v>
      </c>
      <c r="B1440" s="7" t="inlineStr">
        <is>
          <t>TEZ ELAICHI PREMIUM LEAF YELLOW ELAICHI PKT 250 GM POUCH</t>
        </is>
      </c>
      <c r="C1440" s="7" t="n">
        <v>1</v>
      </c>
    </row>
    <row r="1441" hidden="1" ht="14.25" customHeight="1" s="5">
      <c r="A1441" s="7" t="n">
        <v>31557</v>
      </c>
      <c r="B1441" s="7" t="inlineStr">
        <is>
          <t>TEZ ELAICHI PREMIUM LEAF YELLOW ELAICHI PKT 30 GM POUCH</t>
        </is>
      </c>
      <c r="C1441" s="7" t="n">
        <v>1</v>
      </c>
    </row>
    <row r="1442" hidden="1" ht="14.25" customHeight="1" s="5">
      <c r="A1442" s="7" t="n">
        <v>22263</v>
      </c>
      <c r="B1442" s="7" t="inlineStr">
        <is>
          <t>TEZ F &amp; S 250 GM FANNINGS STD -MJ-MSR</t>
        </is>
      </c>
      <c r="C1442" s="7" t="n">
        <v>1</v>
      </c>
    </row>
    <row r="1443" hidden="1" ht="14.25" customHeight="1" s="5">
      <c r="A1443" s="7" t="n">
        <v>22360</v>
      </c>
      <c r="B1443" s="7" t="inlineStr">
        <is>
          <t>TEZ F &amp; S 250 GM FANNINGS STD- KTGSILVER</t>
        </is>
      </c>
      <c r="C1443" s="7" t="n">
        <v>1</v>
      </c>
    </row>
    <row r="1444" hidden="1" ht="14.25" customHeight="1" s="5">
      <c r="A1444" s="7" t="n">
        <v>19618</v>
      </c>
      <c r="B1444" s="7" t="inlineStr">
        <is>
          <t>TEZ F &amp; S 250 GM Leaf RG</t>
        </is>
      </c>
      <c r="C1444" s="7" t="n">
        <v>1</v>
      </c>
    </row>
    <row r="1445" hidden="1" ht="14.25" customHeight="1" s="5">
      <c r="A1445" s="7" t="n">
        <v>27172</v>
      </c>
      <c r="B1445" s="7" t="inlineStr">
        <is>
          <t>TEZ F &amp; S LEAF MJ-MSL(MISRILAL) 20 GM POUCH</t>
        </is>
      </c>
      <c r="C1445" s="7" t="n">
        <v>1</v>
      </c>
    </row>
    <row r="1446" hidden="1" ht="14.25" customHeight="1" s="5">
      <c r="A1446" s="7" t="n">
        <v>26833</v>
      </c>
      <c r="B1446" s="7" t="inlineStr">
        <is>
          <t>TEZ F &amp; S LEAF MJ-MSL(MISRILAL) 250 GM POUCH</t>
        </is>
      </c>
      <c r="C1446" s="7" t="n">
        <v>1</v>
      </c>
    </row>
    <row r="1447" hidden="1" ht="14.25" customHeight="1" s="5">
      <c r="A1447" s="7" t="n">
        <v>27174</v>
      </c>
      <c r="B1447" s="7" t="inlineStr">
        <is>
          <t>TEZ F &amp; S LEAF MJ-PRAKASH 20 GM POUCH</t>
        </is>
      </c>
      <c r="C1447" s="7" t="n">
        <v>1</v>
      </c>
    </row>
    <row r="1448" hidden="1" ht="14.25" customHeight="1" s="5">
      <c r="A1448" s="7" t="n">
        <v>26834</v>
      </c>
      <c r="B1448" s="7" t="inlineStr">
        <is>
          <t>TEZ F &amp; S LEAF MJ-PRAKASH 250 GM POUCH</t>
        </is>
      </c>
      <c r="C1448" s="7" t="n">
        <v>1</v>
      </c>
    </row>
    <row r="1449" hidden="1" ht="14.25" customHeight="1" s="5">
      <c r="A1449" s="7" t="n">
        <v>22828</v>
      </c>
      <c r="B1449" s="7" t="inlineStr">
        <is>
          <t>TEZ F &amp; S UTK 250 GM LEAF RG POUCH</t>
        </is>
      </c>
      <c r="C1449" s="7" t="n">
        <v>1</v>
      </c>
    </row>
    <row r="1450" hidden="1" ht="14.25" customHeight="1" s="5">
      <c r="A1450" s="7" t="n">
        <v>19109</v>
      </c>
      <c r="B1450" s="7" t="inlineStr">
        <is>
          <t>TEZ Premium 100 GM Dust CP Battery RF</t>
        </is>
      </c>
      <c r="C1450" s="7" t="n">
        <v>1</v>
      </c>
    </row>
    <row r="1451" hidden="1" ht="14.25" customHeight="1" s="5">
      <c r="A1451" s="7" t="n">
        <v>19101</v>
      </c>
      <c r="B1451" s="7" t="inlineStr">
        <is>
          <t>TEZ Premium 100 GM Leaf CP Battery RF 3KG - Trade Promo 3 kg per one Tez 250 gm Carton 20% Extra</t>
        </is>
      </c>
      <c r="C1451" s="7" t="n">
        <v>1</v>
      </c>
    </row>
    <row r="1452" hidden="1" ht="14.25" customHeight="1" s="5">
      <c r="A1452" s="7" t="n">
        <v>19098</v>
      </c>
      <c r="B1452" s="7" t="inlineStr">
        <is>
          <t>TEZ Premium 100 GM Leaf CP Battery RG Rs. 20/-</t>
        </is>
      </c>
      <c r="C1452" s="7" t="n">
        <v>1</v>
      </c>
    </row>
    <row r="1453" hidden="1" ht="14.25" customHeight="1" s="5">
      <c r="A1453" s="7" t="n">
        <v>22963</v>
      </c>
      <c r="B1453" s="7" t="inlineStr">
        <is>
          <t>TEZ PREMIUM 100 GM LEAF RG CTN</t>
        </is>
      </c>
      <c r="C1453" s="7" t="n">
        <v>1</v>
      </c>
    </row>
    <row r="1454" hidden="1" ht="14.25" customHeight="1" s="5">
      <c r="A1454" s="7" t="n">
        <v>22619</v>
      </c>
      <c r="B1454" s="7" t="inlineStr">
        <is>
          <t>TEZ PREMIUM 100 GM LEAF RG POUCH</t>
        </is>
      </c>
      <c r="C1454" s="7" t="n">
        <v>1</v>
      </c>
    </row>
    <row r="1455" hidden="1" ht="14.25" customHeight="1" s="5">
      <c r="A1455" s="7" t="n">
        <v>19110</v>
      </c>
      <c r="B1455" s="7" t="inlineStr">
        <is>
          <t>TEZ Premium 1000 GM Leaf RC</t>
        </is>
      </c>
      <c r="C1455" s="7" t="n">
        <v>1</v>
      </c>
    </row>
    <row r="1456" hidden="1" ht="14.25" customHeight="1" s="5">
      <c r="A1456" s="7" t="n">
        <v>32751</v>
      </c>
      <c r="B1456" s="7" t="inlineStr">
        <is>
          <t>TEZ PREMIUM 12 GM LEAF RG</t>
        </is>
      </c>
      <c r="C1456" s="7" t="n">
        <v>1</v>
      </c>
    </row>
    <row r="1457" hidden="1" ht="14.25" customHeight="1" s="5">
      <c r="A1457" s="7" t="n">
        <v>20609</v>
      </c>
      <c r="B1457" s="7" t="inlineStr">
        <is>
          <t>TEZ Premium 13 GM Leaf RF</t>
        </is>
      </c>
      <c r="C1457" s="7" t="n">
        <v>1</v>
      </c>
    </row>
    <row r="1458" hidden="1" ht="14.25" customHeight="1" s="5">
      <c r="A1458" s="7" t="n">
        <v>20755</v>
      </c>
      <c r="B1458" s="7" t="inlineStr">
        <is>
          <t>TEZ Premium 13 GM Leaf RG</t>
        </is>
      </c>
      <c r="C1458" s="7" t="n">
        <v>1</v>
      </c>
    </row>
    <row r="1459" hidden="1" ht="14.25" customHeight="1" s="5">
      <c r="A1459" s="7" t="n">
        <v>20520</v>
      </c>
      <c r="B1459" s="7" t="inlineStr">
        <is>
          <t>TEZ Premium 14 GM Leaf RF</t>
        </is>
      </c>
      <c r="C1459" s="7" t="n">
        <v>1</v>
      </c>
    </row>
    <row r="1460" hidden="1" ht="14.25" customHeight="1" s="5">
      <c r="A1460" s="7" t="n">
        <v>19096</v>
      </c>
      <c r="B1460" s="7" t="inlineStr">
        <is>
          <t>TEZ Premium 15 GM Leaf RF</t>
        </is>
      </c>
      <c r="C1460" s="7" t="n">
        <v>1</v>
      </c>
    </row>
    <row r="1461" hidden="1" ht="14.25" customHeight="1" s="5">
      <c r="A1461" s="7" t="n">
        <v>19117</v>
      </c>
      <c r="B1461" s="7" t="inlineStr">
        <is>
          <t>TEZ Premium 2 GM Leaf RH</t>
        </is>
      </c>
      <c r="C1461" s="7" t="n">
        <v>1</v>
      </c>
    </row>
    <row r="1462" hidden="1" ht="14.25" customHeight="1" s="5">
      <c r="A1462" s="7" t="n">
        <v>32752</v>
      </c>
      <c r="B1462" s="7" t="inlineStr">
        <is>
          <t>TEZ PREMIUM 24 GM LEAF RG</t>
        </is>
      </c>
      <c r="C1462" s="7" t="n">
        <v>1</v>
      </c>
    </row>
    <row r="1463" hidden="1" ht="14.25" customHeight="1" s="5">
      <c r="A1463" s="7" t="n">
        <v>22368</v>
      </c>
      <c r="B1463" s="7" t="inlineStr">
        <is>
          <t>TEZ PREMIUM 250 GM FANNINGS  STD- KTGOLD</t>
        </is>
      </c>
      <c r="C1463" s="7" t="n">
        <v>1</v>
      </c>
    </row>
    <row r="1464" hidden="1" ht="14.25" customHeight="1" s="5">
      <c r="A1464" s="7" t="n">
        <v>19106</v>
      </c>
      <c r="B1464" s="7" t="inlineStr">
        <is>
          <t>TEZ Premium 250 GM Leaf CP 20% Free RC</t>
        </is>
      </c>
      <c r="C1464" s="7" t="n">
        <v>1</v>
      </c>
    </row>
    <row r="1465" hidden="1" ht="14.25" customHeight="1" s="5">
      <c r="A1465" s="7" t="n">
        <v>19118</v>
      </c>
      <c r="B1465" s="7" t="inlineStr">
        <is>
          <t>TEZ Premium 250 GM Leaf RC</t>
        </is>
      </c>
      <c r="C1465" s="7" t="n">
        <v>1</v>
      </c>
    </row>
    <row r="1466" hidden="1" ht="14.25" customHeight="1" s="5">
      <c r="A1466" s="7" t="n">
        <v>22618</v>
      </c>
      <c r="B1466" s="7" t="inlineStr">
        <is>
          <t>TEZ PREMIUM 250 GM LEAF RC CP OFFER POUCH</t>
        </is>
      </c>
      <c r="C1466" s="7" t="n">
        <v>1</v>
      </c>
    </row>
    <row r="1467" hidden="1" ht="14.25" customHeight="1" s="5">
      <c r="A1467" s="7" t="n">
        <v>22645</v>
      </c>
      <c r="B1467" s="7" t="inlineStr">
        <is>
          <t>TEZ PREMIUM 250 GM LEAF STD -GLK LEAF POUCH</t>
        </is>
      </c>
      <c r="C1467" s="7" t="n">
        <v>1</v>
      </c>
    </row>
    <row r="1468" hidden="1" ht="14.25" customHeight="1" s="5">
      <c r="A1468" s="7" t="n">
        <v>20610</v>
      </c>
      <c r="B1468" s="7" t="inlineStr">
        <is>
          <t>TEZ Premium 26 GM Leaf RF</t>
        </is>
      </c>
      <c r="C1468" s="7" t="n">
        <v>1</v>
      </c>
    </row>
    <row r="1469" hidden="1" ht="14.25" customHeight="1" s="5">
      <c r="A1469" s="7" t="n">
        <v>20756</v>
      </c>
      <c r="B1469" s="7" t="inlineStr">
        <is>
          <t>TEZ Premium 26 GM Leaf RG</t>
        </is>
      </c>
      <c r="C1469" s="7" t="n">
        <v>1</v>
      </c>
    </row>
    <row r="1470" hidden="1" ht="14.25" customHeight="1" s="5">
      <c r="A1470" s="7" t="n">
        <v>20521</v>
      </c>
      <c r="B1470" s="7" t="inlineStr">
        <is>
          <t>TEZ Premium 28 GM Leaf RF</t>
        </is>
      </c>
      <c r="C1470" s="7" t="n">
        <v>1</v>
      </c>
    </row>
    <row r="1471" hidden="1" ht="14.25" customHeight="1" s="5">
      <c r="A1471" s="7" t="n">
        <v>19097</v>
      </c>
      <c r="B1471" s="7" t="inlineStr">
        <is>
          <t>TEZ Premium 30 GM Leaf RF</t>
        </is>
      </c>
      <c r="C1471" s="7" t="n">
        <v>1</v>
      </c>
    </row>
    <row r="1472" hidden="1" ht="14.25" customHeight="1" s="5">
      <c r="A1472" s="7" t="n">
        <v>28075</v>
      </c>
      <c r="B1472" s="7" t="inlineStr">
        <is>
          <t>TEZ Premium 30 GM Leaf RG</t>
        </is>
      </c>
      <c r="C1472" s="7" t="n">
        <v>1</v>
      </c>
    </row>
    <row r="1473" hidden="1" ht="14.25" customHeight="1" s="5">
      <c r="A1473" s="7" t="n">
        <v>23661</v>
      </c>
      <c r="B1473" s="7" t="inlineStr">
        <is>
          <t>TEZ PREMIUM 35 GM LEAF RG</t>
        </is>
      </c>
      <c r="C1473" s="7" t="n">
        <v>1</v>
      </c>
    </row>
    <row r="1474" hidden="1" ht="14.25" customHeight="1" s="5">
      <c r="A1474" s="7" t="n">
        <v>19128</v>
      </c>
      <c r="B1474" s="7" t="inlineStr">
        <is>
          <t>TEZ Premium 50 GM Leaf RD</t>
        </is>
      </c>
      <c r="C1474" s="7" t="n">
        <v>1</v>
      </c>
    </row>
    <row r="1475" hidden="1" ht="14.25" customHeight="1" s="5">
      <c r="A1475" s="7" t="n">
        <v>19127</v>
      </c>
      <c r="B1475" s="7" t="inlineStr">
        <is>
          <t>TEZ Premium 50 GM Leaf RE</t>
        </is>
      </c>
      <c r="C1475" s="7" t="n">
        <v>1</v>
      </c>
    </row>
    <row r="1476" hidden="1" ht="14.25" customHeight="1" s="5">
      <c r="A1476" s="7" t="n">
        <v>19674</v>
      </c>
      <c r="B1476" s="7" t="inlineStr">
        <is>
          <t>TEZ Premium 50 GM Leaf RG</t>
        </is>
      </c>
      <c r="C1476" s="7" t="n">
        <v>1</v>
      </c>
    </row>
    <row r="1477" hidden="1" ht="14.25" customHeight="1" s="5">
      <c r="A1477" s="7" t="n">
        <v>21972</v>
      </c>
      <c r="B1477" s="7" t="inlineStr">
        <is>
          <t>TEZ Premium 500 GM Leaf RC</t>
        </is>
      </c>
      <c r="C1477" s="7" t="n">
        <v>1</v>
      </c>
    </row>
    <row r="1478" hidden="1" ht="14.25" customHeight="1" s="5">
      <c r="A1478" s="7" t="n">
        <v>19114</v>
      </c>
      <c r="B1478" s="7" t="inlineStr">
        <is>
          <t>TEZ Premium 500 GM Leaf RC 50% Extra</t>
        </is>
      </c>
      <c r="C1478" s="7" t="n">
        <v>1.5</v>
      </c>
    </row>
    <row r="1479" hidden="1" ht="14.25" customHeight="1" s="5">
      <c r="A1479" s="7" t="n">
        <v>37809</v>
      </c>
      <c r="B1479" s="7" t="inlineStr">
        <is>
          <t>TEZ PREMIUM CLASSIC MILI DUST-VENDING 1 KG POUCH</t>
        </is>
      </c>
      <c r="C1479" s="7" t="n">
        <v>1</v>
      </c>
    </row>
    <row r="1480" hidden="1" ht="14.25" customHeight="1" s="5">
      <c r="A1480" s="7" t="n">
        <v>20014</v>
      </c>
      <c r="B1480" s="7" t="inlineStr">
        <is>
          <t>TEZ PREMIUM LEAF RC 1 KG POUCH</t>
        </is>
      </c>
      <c r="C1480" s="7" t="n">
        <v>1</v>
      </c>
    </row>
    <row r="1481" hidden="1" ht="14.25" customHeight="1" s="5">
      <c r="A1481" s="7" t="n">
        <v>27240</v>
      </c>
      <c r="B1481" s="7" t="inlineStr">
        <is>
          <t>TEZ PREMIUM LEAF RC 20 GM POUCH</t>
        </is>
      </c>
      <c r="C1481" s="7" t="n">
        <v>1</v>
      </c>
    </row>
    <row r="1482" hidden="1" ht="14.25" customHeight="1" s="5">
      <c r="A1482" s="7" t="n">
        <v>22916</v>
      </c>
      <c r="B1482" s="7" t="inlineStr">
        <is>
          <t>TEZ PREMIUM LEAF RC 250 GMS CTN</t>
        </is>
      </c>
      <c r="C1482" s="7" t="n">
        <v>1</v>
      </c>
    </row>
    <row r="1483" hidden="1" ht="14.25" customHeight="1" s="5">
      <c r="A1483" s="7" t="n">
        <v>35044</v>
      </c>
      <c r="B1483" s="7" t="inlineStr">
        <is>
          <t>TEZ PREMIUM LEAF RG STAR 24 GM POUCH</t>
        </is>
      </c>
      <c r="C1483" s="7" t="n">
        <v>1</v>
      </c>
    </row>
    <row r="1484" hidden="1" ht="14.25" customHeight="1" s="5">
      <c r="A1484" s="7" t="n">
        <v>32762</v>
      </c>
      <c r="B1484" s="7" t="inlineStr">
        <is>
          <t>TEZ PREMIUM LEAF RG-(S) 12 GM POUCH</t>
        </is>
      </c>
      <c r="C1484" s="7" t="n">
        <v>1</v>
      </c>
    </row>
    <row r="1485" hidden="1" ht="14.25" customHeight="1" s="5">
      <c r="A1485" s="7" t="n">
        <v>32835</v>
      </c>
      <c r="B1485" s="7" t="inlineStr">
        <is>
          <t>TEZ PREMIUM LEAF RG-(S) 24 GM POUCH</t>
        </is>
      </c>
      <c r="C1485" s="7" t="n">
        <v>1</v>
      </c>
    </row>
    <row r="1486" hidden="1" ht="14.25" customHeight="1" s="5">
      <c r="A1486" s="7" t="n">
        <v>31767</v>
      </c>
      <c r="B1486" s="7" t="inlineStr">
        <is>
          <t>TEZ PREMIUM LEAF RG-Jago L 1 KG POUCH</t>
        </is>
      </c>
      <c r="C1486" s="7" t="n">
        <v>1</v>
      </c>
    </row>
    <row r="1487" hidden="1" ht="14.25" customHeight="1" s="5">
      <c r="A1487" s="7" t="n">
        <v>23779</v>
      </c>
      <c r="B1487" s="7" t="inlineStr">
        <is>
          <t>TEZ PREMIUM LEAF SFA 100 GM CTN</t>
        </is>
      </c>
      <c r="C1487" s="7" t="n">
        <v>1</v>
      </c>
    </row>
    <row r="1488" hidden="1" ht="14.25" customHeight="1" s="5">
      <c r="A1488" s="7" t="n">
        <v>28290</v>
      </c>
      <c r="B1488" s="7" t="inlineStr">
        <is>
          <t>TEZ PREMIUM LEAF SFA 20 GM POUCH</t>
        </is>
      </c>
      <c r="C1488" s="7" t="n">
        <v>1</v>
      </c>
    </row>
    <row r="1489" hidden="1" ht="14.25" customHeight="1" s="5">
      <c r="A1489" s="7" t="n">
        <v>23777</v>
      </c>
      <c r="B1489" s="7" t="inlineStr">
        <is>
          <t>TEZ PREMIUM LEAF SFA 250 GMS CTN</t>
        </is>
      </c>
      <c r="C1489" s="7" t="n">
        <v>1</v>
      </c>
    </row>
    <row r="1490" hidden="1" ht="14.25" customHeight="1" s="5">
      <c r="A1490" s="7" t="n">
        <v>27169</v>
      </c>
      <c r="B1490" s="7" t="inlineStr">
        <is>
          <t>TEZ PREMIUM LEAF STD- KTSPECIAL 20 GM POUCH</t>
        </is>
      </c>
      <c r="C1490" s="7" t="n">
        <v>1</v>
      </c>
    </row>
    <row r="1491" hidden="1" ht="14.25" customHeight="1" s="5">
      <c r="A1491" s="7" t="n">
        <v>26832</v>
      </c>
      <c r="B1491" s="7" t="inlineStr">
        <is>
          <t>TEZ PREMIUM LEAF STD- KTSPECIAL 250 GM POUCH</t>
        </is>
      </c>
      <c r="C1491" s="7" t="n">
        <v>1</v>
      </c>
    </row>
    <row r="1492" hidden="1" ht="14.25" customHeight="1" s="5">
      <c r="A1492" s="7" t="n">
        <v>31822</v>
      </c>
      <c r="B1492" s="7" t="inlineStr">
        <is>
          <t>TEZ PREMIUM LEAF TV 250 GM POUCH</t>
        </is>
      </c>
      <c r="C1492" s="7" t="n">
        <v>1</v>
      </c>
    </row>
    <row r="1493" hidden="1" ht="14.25" customHeight="1" s="5">
      <c r="A1493" s="7" t="n">
        <v>27170</v>
      </c>
      <c r="B1493" s="7" t="inlineStr">
        <is>
          <t>TEZ PREMIUM MAHESHWARI FANNINGS 20 GM POUCH</t>
        </is>
      </c>
      <c r="C1493" s="7" t="n">
        <v>1</v>
      </c>
    </row>
    <row r="1494" hidden="1" ht="14.25" customHeight="1" s="5">
      <c r="A1494" s="7" t="n">
        <v>26928</v>
      </c>
      <c r="B1494" s="7" t="inlineStr">
        <is>
          <t>TEZ PREMIUM MAHESHWARI FANNINGS 250 GM POUCH</t>
        </is>
      </c>
      <c r="C1494" s="7" t="n">
        <v>1</v>
      </c>
    </row>
    <row r="1495" hidden="1" ht="14.25" customHeight="1" s="5">
      <c r="A1495" s="7" t="n">
        <v>22596</v>
      </c>
      <c r="B1495" s="7" t="inlineStr">
        <is>
          <t>TEZ PREMIUM NOON CHAI MJMC 1 KG (500 GM X 2) POUCH</t>
        </is>
      </c>
      <c r="C1495" s="7" t="n">
        <v>1</v>
      </c>
    </row>
    <row r="1496" hidden="1" ht="14.25" customHeight="1" s="5">
      <c r="A1496" s="7" t="n">
        <v>27142</v>
      </c>
      <c r="B1496" s="7" t="inlineStr">
        <is>
          <t>TEZ PREMIUM NOON CHAI STD-MJMC 25 GM POUCH</t>
        </is>
      </c>
      <c r="C1496" s="7" t="n">
        <v>1</v>
      </c>
    </row>
    <row r="1497" hidden="1" ht="14.25" customHeight="1" s="5">
      <c r="A1497" s="7" t="n">
        <v>37590</v>
      </c>
      <c r="B1497" s="7" t="inlineStr">
        <is>
          <t>TEZ PREMIUM PF S (NEW) 250 GM POUCH</t>
        </is>
      </c>
      <c r="C1497" s="7" t="n">
        <v>1</v>
      </c>
    </row>
    <row r="1498" hidden="1" ht="14.25" customHeight="1" s="5">
      <c r="A1498" s="7" t="n">
        <v>23657</v>
      </c>
      <c r="B1498" s="7" t="inlineStr">
        <is>
          <t>TEZ PREMIUM PF TV 1 KG POUCH</t>
        </is>
      </c>
      <c r="C1498" s="7" t="n">
        <v>1</v>
      </c>
    </row>
    <row r="1499" hidden="1" ht="14.25" customHeight="1" s="5">
      <c r="A1499" s="7" t="n">
        <v>33013</v>
      </c>
      <c r="B1499" s="7" t="inlineStr">
        <is>
          <t>TEZ PREMIUM PF TV 200 GM POUCH</t>
        </is>
      </c>
      <c r="C1499" s="7" t="n">
        <v>1</v>
      </c>
    </row>
    <row r="1500" hidden="1" ht="14.25" customHeight="1" s="5">
      <c r="A1500" s="7" t="n">
        <v>19124</v>
      </c>
      <c r="B1500" s="7" t="inlineStr">
        <is>
          <t>TEZ Premium SV 250 GM Leaf RC</t>
        </is>
      </c>
      <c r="C1500" s="7" t="n">
        <v>1</v>
      </c>
    </row>
    <row r="1501" hidden="1" ht="14.25" customHeight="1" s="5">
      <c r="A1501" s="7" t="n">
        <v>19116</v>
      </c>
      <c r="B1501" s="7" t="inlineStr">
        <is>
          <t>TEZ Red 100 GM Leaf RF</t>
        </is>
      </c>
      <c r="C1501" s="7" t="n">
        <v>1</v>
      </c>
    </row>
    <row r="1502" hidden="1" ht="14.25" customHeight="1" s="5">
      <c r="A1502" s="7" t="n">
        <v>19115</v>
      </c>
      <c r="B1502" s="7" t="inlineStr">
        <is>
          <t>TEZ Red 100 GM Leaf RG</t>
        </is>
      </c>
      <c r="C1502" s="7" t="n">
        <v>1</v>
      </c>
    </row>
    <row r="1503" hidden="1" ht="14.25" customHeight="1" s="5">
      <c r="A1503" s="7" t="n">
        <v>36162</v>
      </c>
      <c r="B1503" s="7" t="inlineStr">
        <is>
          <t>TEZ Red 100 GM Leaf RG (V2)</t>
        </is>
      </c>
      <c r="C1503" s="7" t="n">
        <v>1</v>
      </c>
    </row>
    <row r="1504" hidden="1" ht="14.25" customHeight="1" s="5">
      <c r="A1504" s="7" t="n">
        <v>19121</v>
      </c>
      <c r="B1504" s="7" t="inlineStr">
        <is>
          <t>TEZ Red 250 GM Dust CP Battery RD</t>
        </is>
      </c>
      <c r="C1504" s="7" t="n">
        <v>1</v>
      </c>
    </row>
    <row r="1505" hidden="1" ht="14.25" customHeight="1" s="5">
      <c r="A1505" s="7" t="n">
        <v>22358</v>
      </c>
      <c r="B1505" s="7" t="inlineStr">
        <is>
          <t>TEZ RED 250 GM DUST STD- MJ-DEVAGIRI</t>
        </is>
      </c>
      <c r="C1505" s="7" t="n">
        <v>1</v>
      </c>
    </row>
    <row r="1506" hidden="1" ht="14.25" customHeight="1" s="5">
      <c r="A1506" s="7" t="n">
        <v>19392</v>
      </c>
      <c r="B1506" s="7" t="inlineStr">
        <is>
          <t>TEZ Red 250 GM Leaf CP Battery RF(BLEND correct)</t>
        </is>
      </c>
      <c r="C1506" s="7" t="n">
        <v>1</v>
      </c>
    </row>
    <row r="1507" hidden="1" ht="14.25" customHeight="1" s="5">
      <c r="A1507" s="7" t="n">
        <v>19103</v>
      </c>
      <c r="B1507" s="7" t="inlineStr">
        <is>
          <t>TEZ Red 250 GM Leaf CP Battery RG</t>
        </is>
      </c>
      <c r="C1507" s="7" t="n">
        <v>1</v>
      </c>
    </row>
    <row r="1508" hidden="1" ht="14.25" customHeight="1" s="5">
      <c r="A1508" s="7" t="n">
        <v>19620</v>
      </c>
      <c r="B1508" s="7" t="inlineStr">
        <is>
          <t>TEZ Red 250 GM Leaf RG</t>
        </is>
      </c>
      <c r="C1508" s="7" t="n">
        <v>1</v>
      </c>
    </row>
    <row r="1509" hidden="1" ht="14.25" customHeight="1" s="5">
      <c r="A1509" s="7" t="n">
        <v>28076</v>
      </c>
      <c r="B1509" s="7" t="inlineStr">
        <is>
          <t>TEZ RED 40 GM LEAF RG</t>
        </is>
      </c>
      <c r="C1509" s="7" t="n">
        <v>1</v>
      </c>
    </row>
    <row r="1510" hidden="1" ht="14.25" customHeight="1" s="5">
      <c r="A1510" s="7" t="n">
        <v>19126</v>
      </c>
      <c r="B1510" s="7" t="inlineStr">
        <is>
          <t>TEZ Red 75 GM Leaf RG</t>
        </is>
      </c>
      <c r="C1510" s="7" t="n">
        <v>1</v>
      </c>
    </row>
    <row r="1511" hidden="1" ht="14.25" customHeight="1" s="5">
      <c r="A1511" s="7" t="n">
        <v>35780</v>
      </c>
      <c r="B1511" s="7" t="inlineStr">
        <is>
          <t>TEZ RED DUST MWB2 1 KG POUCH</t>
        </is>
      </c>
      <c r="C1511" s="7" t="n">
        <v>1</v>
      </c>
    </row>
    <row r="1512" hidden="1" ht="14.25" customHeight="1" s="5">
      <c r="A1512" s="7" t="n">
        <v>35779</v>
      </c>
      <c r="B1512" s="7" t="inlineStr">
        <is>
          <t>TEZ RED DUST MWB2 200 GM POUCH</t>
        </is>
      </c>
      <c r="C1512" s="7" t="n">
        <v>1</v>
      </c>
    </row>
    <row r="1513" hidden="1" ht="14.25" customHeight="1" s="5">
      <c r="A1513" s="7" t="n">
        <v>35778</v>
      </c>
      <c r="B1513" s="7" t="inlineStr">
        <is>
          <t>TEZ RED DUST MWB2 250 GM POUCH</t>
        </is>
      </c>
      <c r="C1513" s="7" t="n">
        <v>1</v>
      </c>
    </row>
    <row r="1514" hidden="1" ht="14.25" customHeight="1" s="5">
      <c r="A1514" s="7" t="n">
        <v>32722</v>
      </c>
      <c r="B1514" s="7" t="inlineStr">
        <is>
          <t>TEZ RED DUST TEA 200 GMS PKT</t>
        </is>
      </c>
      <c r="C1514" s="7" t="n">
        <v>1</v>
      </c>
    </row>
    <row r="1515" hidden="1" ht="14.25" customHeight="1" s="5">
      <c r="A1515" s="7" t="n">
        <v>32721</v>
      </c>
      <c r="B1515" s="7" t="inlineStr">
        <is>
          <t>TEZ RED DUST TEA 250 GMS PKT</t>
        </is>
      </c>
      <c r="C1515" s="7" t="n">
        <v>1</v>
      </c>
    </row>
    <row r="1516" hidden="1" ht="14.25" customHeight="1" s="5">
      <c r="A1516" s="7" t="n">
        <v>22881</v>
      </c>
      <c r="B1516" s="7" t="inlineStr">
        <is>
          <t>TEZ RED LEAF RG 1 KG POUCH</t>
        </is>
      </c>
      <c r="C1516" s="7" t="n">
        <v>1</v>
      </c>
    </row>
    <row r="1517" hidden="1" ht="14.25" customHeight="1" s="5">
      <c r="A1517" s="7" t="n">
        <v>36160</v>
      </c>
      <c r="B1517" s="7" t="inlineStr">
        <is>
          <t>TEZ RED LEAF RG 1 KG POUCH (V2)</t>
        </is>
      </c>
      <c r="C1517" s="7" t="n">
        <v>1</v>
      </c>
    </row>
    <row r="1518" hidden="1" ht="14.25" customHeight="1" s="5">
      <c r="A1518" s="7" t="n">
        <v>26046</v>
      </c>
      <c r="B1518" s="7" t="inlineStr">
        <is>
          <t>TEZ RED LEAF RG 500 GM POUCH</t>
        </is>
      </c>
      <c r="C1518" s="7" t="n">
        <v>1</v>
      </c>
    </row>
    <row r="1519" hidden="1" ht="14.25" customHeight="1" s="5">
      <c r="A1519" s="7" t="n">
        <v>36161</v>
      </c>
      <c r="B1519" s="7" t="inlineStr">
        <is>
          <t>TEZ RED LEAF RG TRD CBE 75 GM POUCH</t>
        </is>
      </c>
      <c r="C1519" s="7" t="n">
        <v>1</v>
      </c>
    </row>
    <row r="1520" hidden="1" ht="14.25" customHeight="1" s="5">
      <c r="A1520" s="7" t="n">
        <v>33142</v>
      </c>
      <c r="B1520" s="7" t="inlineStr">
        <is>
          <t>TEZ RED LEAF RG TRD SLP 75 GM POUCH</t>
        </is>
      </c>
      <c r="C1520" s="7" t="n">
        <v>1</v>
      </c>
    </row>
    <row r="1521" hidden="1" ht="14.25" customHeight="1" s="5">
      <c r="A1521" s="7" t="n">
        <v>31766</v>
      </c>
      <c r="B1521" s="7" t="inlineStr">
        <is>
          <t>TEZ RED LEAF RG-Jago L 1 KG POUCH</t>
        </is>
      </c>
      <c r="C1521" s="7" t="n">
        <v>1</v>
      </c>
    </row>
    <row r="1522" hidden="1" ht="14.25" customHeight="1" s="5">
      <c r="A1522" s="7" t="n">
        <v>35725</v>
      </c>
      <c r="B1522" s="7" t="inlineStr">
        <is>
          <t>TEZ RED LEAF RG-JAGO L 250 GM POUCH</t>
        </is>
      </c>
      <c r="C1522" s="7" t="n">
        <v>1</v>
      </c>
    </row>
    <row r="1523" hidden="1" ht="14.25" customHeight="1" s="5">
      <c r="A1523" s="7" t="n">
        <v>32329</v>
      </c>
      <c r="B1523" s="7" t="inlineStr">
        <is>
          <t>TEZ CAFE HOT CHOCOLATE (30GMS)</t>
        </is>
      </c>
      <c r="C1523" s="7" t="n">
        <v>1</v>
      </c>
    </row>
    <row r="1524" hidden="1" ht="14.25" customHeight="1" s="5">
      <c r="A1524" s="7" t="n">
        <v>22464</v>
      </c>
      <c r="B1524" s="7" t="inlineStr">
        <is>
          <t>TOPS 100 ENV TBGS</t>
        </is>
      </c>
      <c r="C1524" s="7" t="n">
        <v>100</v>
      </c>
    </row>
    <row r="1525" hidden="1" ht="14.25" customHeight="1" s="5">
      <c r="A1525" s="7" t="n">
        <v>23668</v>
      </c>
      <c r="B1525" s="7" t="inlineStr">
        <is>
          <t>TRSCO 3 OZ AB RND RFA ITBS</t>
        </is>
      </c>
      <c r="C1525" s="7" t="n">
        <v>8</v>
      </c>
    </row>
    <row r="1526" hidden="1" ht="14.25" customHeight="1" s="5">
      <c r="A1526" s="7" t="n">
        <v>36709</v>
      </c>
      <c r="B1526" s="7" t="inlineStr">
        <is>
          <t>TRUEVALUE GB GREEN TEA 100 DC SF HS ENV TBGS</t>
        </is>
      </c>
      <c r="C1526" s="7" t="n">
        <v>100</v>
      </c>
    </row>
    <row r="1527" hidden="1" ht="14.25" customHeight="1" s="5">
      <c r="A1527" s="7" t="n">
        <v>36708</v>
      </c>
      <c r="B1527" s="7" t="inlineStr">
        <is>
          <t>TRUEVALUE GB LEMON TEA 100 DC SF HS ENV TBGS</t>
        </is>
      </c>
      <c r="C1527" s="7" t="n">
        <v>100</v>
      </c>
    </row>
    <row r="1528" hidden="1" ht="14.25" customHeight="1" s="5">
      <c r="A1528" s="7" t="n">
        <v>17857</v>
      </c>
      <c r="B1528" s="7" t="inlineStr">
        <is>
          <t>TRUEVALUE GRANULES BEANS GREEN TEA 100 SC HS ENV TBGS</t>
        </is>
      </c>
      <c r="C1528" s="7" t="n">
        <v>100</v>
      </c>
    </row>
    <row r="1529" hidden="1" ht="14.25" customHeight="1" s="5">
      <c r="A1529" s="7" t="n">
        <v>17860</v>
      </c>
      <c r="B1529" s="7" t="inlineStr">
        <is>
          <t>TRUEVALUE GRANULES BEANS LEMON TEA 100 SC HS ENV TBGS</t>
        </is>
      </c>
      <c r="C1529" s="7" t="n">
        <v>100</v>
      </c>
    </row>
    <row r="1530" hidden="1" ht="14.25" customHeight="1" s="5">
      <c r="A1530" s="7" t="n">
        <v>22999</v>
      </c>
      <c r="B1530" s="7" t="inlineStr">
        <is>
          <t>TRUEVALUE GRANULES BEANS PF TV 100 GM POUCH</t>
        </is>
      </c>
      <c r="C1530" s="7" t="n">
        <v>1</v>
      </c>
    </row>
    <row r="1531" hidden="1" ht="14.25" customHeight="1" s="5">
      <c r="A1531" s="7" t="n">
        <v>32371</v>
      </c>
      <c r="B1531" s="7" t="inlineStr">
        <is>
          <t>VEDAKA DETOX KAHWA 100 DC SF HS ENV TBGS</t>
        </is>
      </c>
      <c r="C1531" s="7" t="n">
        <v>100</v>
      </c>
    </row>
    <row r="1532" hidden="1" ht="14.25" customHeight="1" s="5">
      <c r="A1532" s="7" t="n">
        <v>32388</v>
      </c>
      <c r="B1532" s="7" t="inlineStr">
        <is>
          <t>VEDAKA DETOX KAHWA 36 DC SF HS ENV TBGS</t>
        </is>
      </c>
      <c r="C1532" s="7" t="n">
        <v>36</v>
      </c>
    </row>
    <row r="1533" hidden="1" ht="14.25" customHeight="1" s="5">
      <c r="A1533" s="7" t="n">
        <v>66</v>
      </c>
      <c r="B1533" s="7" t="inlineStr">
        <is>
          <t>VEDAKA GREEN TEA HONEY &amp; LEMON 100 DC SF HS ENV TBGS-B07KJ5S8P7-PANTRY</t>
        </is>
      </c>
      <c r="C1533" s="7" t="n">
        <v>100</v>
      </c>
    </row>
    <row r="1534" hidden="1" ht="14.25" customHeight="1" s="5">
      <c r="A1534" s="7" t="n">
        <v>77</v>
      </c>
      <c r="B1534" s="7" t="inlineStr">
        <is>
          <t>VEDAKA GREEN TEA HONEY &amp; LEMON 100 DC SF HS ENV TBGS-B07KJRWMF3-FBA</t>
        </is>
      </c>
      <c r="C1534" s="7" t="n">
        <v>100</v>
      </c>
    </row>
    <row r="1535" hidden="1" ht="14.25" customHeight="1" s="5">
      <c r="A1535" s="7" t="n">
        <v>79</v>
      </c>
      <c r="B1535" s="7" t="inlineStr">
        <is>
          <t>VEDAKA GREEN TEA HONEY &amp; LEMON 25 DC SF HS ENV TBGS-B07KJ5KKQF-PANTRY</t>
        </is>
      </c>
      <c r="C1535" s="7" t="n">
        <v>25</v>
      </c>
    </row>
    <row r="1536" hidden="1" ht="14.25" customHeight="1" s="5">
      <c r="A1536" s="7" t="n">
        <v>85</v>
      </c>
      <c r="B1536" s="7" t="inlineStr">
        <is>
          <t>VEDAKA GREEN TEA HONEY &amp; LEMON 25 DC SF HS ENV TBGS-B07KJRXD9V-FBA</t>
        </is>
      </c>
      <c r="C1536" s="7" t="n">
        <v>25</v>
      </c>
    </row>
    <row r="1537" hidden="1" ht="14.25" customHeight="1" s="5">
      <c r="A1537" s="7" t="n">
        <v>17938</v>
      </c>
      <c r="B1537" s="7" t="inlineStr">
        <is>
          <t>VEDAKA GREEN TEA LEMON 25 DC SF HS ENV TBGS-B07KJ2KK4D-PANTRY</t>
        </is>
      </c>
      <c r="C1537" s="7" t="n">
        <v>25</v>
      </c>
    </row>
    <row r="1538" hidden="1" ht="14.25" customHeight="1" s="5">
      <c r="A1538" s="7" t="n">
        <v>23005</v>
      </c>
      <c r="B1538" s="7" t="inlineStr">
        <is>
          <t>VEDAKA GREEN TEA LEMON 25 DC SF HS ENV TBGS-B08MXKS8TX-PANTRY</t>
        </is>
      </c>
      <c r="C1538" s="7" t="n">
        <v>25</v>
      </c>
    </row>
    <row r="1539" hidden="1" ht="14.25" customHeight="1" s="5">
      <c r="A1539" s="7" t="n">
        <v>87</v>
      </c>
      <c r="B1539" s="7" t="inlineStr">
        <is>
          <t>VEDAKA GREEN TEA NATURAL 100 DC SF HS ENV TBGS-B07KJ2KK4C-PANTRY</t>
        </is>
      </c>
      <c r="C1539" s="7" t="n">
        <v>100</v>
      </c>
    </row>
    <row r="1540" hidden="1" ht="14.25" customHeight="1" s="5">
      <c r="A1540" s="7" t="n">
        <v>93</v>
      </c>
      <c r="B1540" s="7" t="inlineStr">
        <is>
          <t>VEDAKA GREEN TEA NATURAL 100 DC SF HS ENV TBGS-B07KJYF3QT-FBA</t>
        </is>
      </c>
      <c r="C1540" s="7" t="n">
        <v>100</v>
      </c>
    </row>
    <row r="1541" hidden="1" ht="14.25" customHeight="1" s="5">
      <c r="A1541" s="7" t="n">
        <v>95</v>
      </c>
      <c r="B1541" s="7" t="inlineStr">
        <is>
          <t>VEDAKA GREEN TEA NATURAL 25 DC SF HS ENV TBGS-B07KJ2KK4G-PANTRY</t>
        </is>
      </c>
      <c r="C1541" s="7" t="n">
        <v>25</v>
      </c>
    </row>
    <row r="1542" hidden="1" ht="14.25" customHeight="1" s="5">
      <c r="A1542" s="7" t="n">
        <v>98</v>
      </c>
      <c r="B1542" s="7" t="inlineStr">
        <is>
          <t>VEDAKA GREEN TEA NATURAL 25 DC SF HS ENV TBGS-B07KK22H65-FBA</t>
        </is>
      </c>
      <c r="C1542" s="7" t="n">
        <v>25</v>
      </c>
    </row>
    <row r="1543" hidden="1" ht="14.25" customHeight="1" s="5">
      <c r="A1543" s="7" t="n">
        <v>17941</v>
      </c>
      <c r="B1543" s="7" t="inlineStr">
        <is>
          <t>VEDAKA GREEN TEA TULSI 25 DC SF HS ENV TBGS-B07KJ84B92-PANTRY</t>
        </is>
      </c>
      <c r="C1543" s="7" t="n">
        <v>25</v>
      </c>
    </row>
    <row r="1544" hidden="1" ht="14.25" customHeight="1" s="5">
      <c r="A1544" s="7" t="n">
        <v>23007</v>
      </c>
      <c r="B1544" s="7" t="inlineStr">
        <is>
          <t>VEDAKA GREEN TEA TULSI 25 DC SF HS ENV TBGS-B08R11597T-PANTRY</t>
        </is>
      </c>
      <c r="C1544" s="7" t="n">
        <v>25</v>
      </c>
    </row>
    <row r="1545" hidden="1" ht="14.25" customHeight="1" s="5">
      <c r="A1545" s="7" t="n">
        <v>18687</v>
      </c>
      <c r="B1545" s="7" t="inlineStr">
        <is>
          <t>VEGO 106 SC TBGS TAGLESS TBGS</t>
        </is>
      </c>
      <c r="C1545" s="7" t="n">
        <v>106</v>
      </c>
    </row>
    <row r="1546" hidden="1" ht="14.25" customHeight="1" s="5">
      <c r="A1546" s="7" t="n">
        <v>18690</v>
      </c>
      <c r="B1546" s="7" t="inlineStr">
        <is>
          <t>VEGO PREMIUM 106 DC ENV TBGS</t>
        </is>
      </c>
      <c r="C1546" s="7" t="n">
        <v>106</v>
      </c>
    </row>
    <row r="1547" hidden="1" ht="14.25" customHeight="1" s="5">
      <c r="A1547" s="7" t="n">
        <v>34210</v>
      </c>
      <c r="B1547" s="7" t="inlineStr">
        <is>
          <t>VIVO 100 DC ENV TBGS</t>
        </is>
      </c>
      <c r="C1547" s="7" t="n">
        <v>100</v>
      </c>
    </row>
    <row r="1548" hidden="1" ht="14.25" customHeight="1" s="5">
      <c r="A1548" s="7" t="n">
        <v>26753</v>
      </c>
      <c r="B1548" s="7" t="inlineStr">
        <is>
          <t>VIVO 25 DC ENV TBGS</t>
        </is>
      </c>
      <c r="C1548" s="7" t="n">
        <v>25</v>
      </c>
    </row>
    <row r="1549" hidden="1" ht="14.25" customHeight="1" s="5">
      <c r="A1549" s="7" t="n">
        <v>27671</v>
      </c>
      <c r="B1549" s="7" t="inlineStr">
        <is>
          <t>VOMA 100 DC ENV TBGS</t>
        </is>
      </c>
      <c r="C1549" s="7" t="n">
        <v>100</v>
      </c>
    </row>
    <row r="1550" hidden="1" ht="14.25" customHeight="1" s="5">
      <c r="A1550" s="7" t="n">
        <v>27670</v>
      </c>
      <c r="B1550" s="7" t="inlineStr">
        <is>
          <t>VOMA 25 DC ENV TBGS</t>
        </is>
      </c>
      <c r="C1550" s="7" t="n">
        <v>25</v>
      </c>
    </row>
    <row r="1551" hidden="1" ht="14.25" customHeight="1" s="5">
      <c r="A1551" s="7" t="n">
        <v>27674</v>
      </c>
      <c r="B1551" s="7" t="inlineStr">
        <is>
          <t>VOMA GINGER 25 DC ENV TBGS</t>
        </is>
      </c>
      <c r="C1551" s="7" t="n">
        <v>25</v>
      </c>
    </row>
    <row r="1552" hidden="1" ht="14.25" customHeight="1" s="5">
      <c r="A1552" s="7" t="n">
        <v>27675</v>
      </c>
      <c r="B1552" s="7" t="inlineStr">
        <is>
          <t>VOMA GREEN TEA 25 DC ENV TBGS</t>
        </is>
      </c>
      <c r="C1552" s="7" t="n">
        <v>25</v>
      </c>
    </row>
    <row r="1553" hidden="1" ht="14.25" customHeight="1" s="5">
      <c r="A1553" s="7" t="n">
        <v>27673</v>
      </c>
      <c r="B1553" s="7" t="inlineStr">
        <is>
          <t>VOMA LEMON 25 DC ENV TBGS</t>
        </is>
      </c>
      <c r="C1553" s="7" t="n">
        <v>25</v>
      </c>
    </row>
    <row r="1554" hidden="1" ht="14.25" customHeight="1" s="5">
      <c r="A1554" s="7" t="n">
        <v>27672</v>
      </c>
      <c r="B1554" s="7" t="inlineStr">
        <is>
          <t>VOMA MINT 25 DC ENV TBGS</t>
        </is>
      </c>
      <c r="C1554" s="7" t="n">
        <v>25</v>
      </c>
    </row>
    <row r="1555" hidden="1" ht="14.25" customHeight="1" s="5">
      <c r="A1555" s="7" t="n">
        <v>22460</v>
      </c>
      <c r="B1555" s="7" t="inlineStr">
        <is>
          <t>WEIS 100 PENV TBGS</t>
        </is>
      </c>
      <c r="C1555" s="7" t="n">
        <v>100</v>
      </c>
    </row>
    <row r="1556" hidden="1" ht="14.25" customHeight="1" s="5">
      <c r="A1556" s="7" t="n">
        <v>34086</v>
      </c>
      <c r="B1556" s="7" t="inlineStr">
        <is>
          <t>WILDBEAN CAFE ASSAM TEA 100 STAPLE LESS TAG TBGS</t>
        </is>
      </c>
      <c r="C1556" s="7" t="n">
        <v>100</v>
      </c>
    </row>
    <row r="1557" hidden="1" ht="14.25" customHeight="1" s="5">
      <c r="A1557" s="7" t="n">
        <v>34085</v>
      </c>
      <c r="B1557" s="7" t="inlineStr">
        <is>
          <t>WILDBEAN CAFE CARDAMOM TEA 100 STAPLE LESS TAG TBGS</t>
        </is>
      </c>
      <c r="C1557" s="7" t="n">
        <v>100</v>
      </c>
    </row>
    <row r="1558" hidden="1" ht="14.25" customHeight="1" s="5">
      <c r="A1558" s="7" t="n">
        <v>34083</v>
      </c>
      <c r="B1558" s="7" t="inlineStr">
        <is>
          <t>WILDBEAN CAFE GINGER TEA 100 STAPLE LESS TAG TBGS</t>
        </is>
      </c>
      <c r="C1558" s="7" t="n">
        <v>100</v>
      </c>
    </row>
    <row r="1559" hidden="1" ht="14.25" customHeight="1" s="5">
      <c r="A1559" s="7" t="n">
        <v>33607</v>
      </c>
      <c r="B1559" s="7" t="inlineStr">
        <is>
          <t>WILDBEAN CAFE GREEN TEA 25 DC HS SF ENV. TBGS</t>
        </is>
      </c>
      <c r="C1559" s="7" t="n">
        <v>25</v>
      </c>
    </row>
    <row r="1560" hidden="1" ht="14.25" customHeight="1" s="5">
      <c r="A1560" s="7" t="n">
        <v>33610</v>
      </c>
      <c r="B1560" s="7" t="inlineStr">
        <is>
          <t>WILDBEAN CAFE LEMON &amp; HONEY GREEN TEA 25 DC HS SF ENV TBGS</t>
        </is>
      </c>
      <c r="C1560" s="7" t="n">
        <v>25</v>
      </c>
    </row>
    <row r="1561" hidden="1" ht="14.25" customHeight="1" s="5">
      <c r="A1561" s="7" t="n">
        <v>33609</v>
      </c>
      <c r="B1561" s="7" t="inlineStr">
        <is>
          <t>WILDBEAN CAFE LEMON TEA 25 DC HS SF ENV TBGS</t>
        </is>
      </c>
      <c r="C1561" s="7" t="n">
        <v>25</v>
      </c>
    </row>
    <row r="1562" hidden="1" ht="14.25" customHeight="1" s="5">
      <c r="A1562" s="7" t="n">
        <v>34084</v>
      </c>
      <c r="B1562" s="7" t="inlineStr">
        <is>
          <t>WILDBEAN CAFE MASALA TEA 100 STAPLE LESS TAG TBGS</t>
        </is>
      </c>
      <c r="C1562" s="7" t="n">
        <v>100</v>
      </c>
    </row>
    <row r="1563" hidden="1" ht="14.25" customHeight="1" s="5">
      <c r="A1563" s="7" t="n">
        <v>33606</v>
      </c>
      <c r="B1563" s="7" t="inlineStr">
        <is>
          <t>WILDBEAN CAFE MINT GREEN TEA 25 DC HS SF ENV TBGS</t>
        </is>
      </c>
      <c r="C1563" s="7" t="n">
        <v>25</v>
      </c>
    </row>
    <row r="1564" hidden="1" ht="14.25" customHeight="1" s="5">
      <c r="A1564" s="7" t="n">
        <v>33608</v>
      </c>
      <c r="B1564" s="7" t="inlineStr">
        <is>
          <t>WILDBEAN CAFE TULSI GREEN TEA 25 DC HS SF ENV TBGS</t>
        </is>
      </c>
      <c r="C1564" s="7" t="n">
        <v>24</v>
      </c>
    </row>
    <row r="1565" hidden="1" ht="14.25" customHeight="1" s="5">
      <c r="A1565" s="7" t="n">
        <v>22672</v>
      </c>
      <c r="B1565" s="7" t="inlineStr">
        <is>
          <t>WINCO 100 PTAG TBGS</t>
        </is>
      </c>
      <c r="C1565" s="7" t="n">
        <v>100</v>
      </c>
    </row>
    <row r="1566" hidden="1" ht="14.25" customHeight="1" s="5">
      <c r="A1566" s="7" t="n">
        <v>31707</v>
      </c>
      <c r="B1566" s="7" t="inlineStr">
        <is>
          <t>WORLD OF FOODS CARDAMOM TEA 100 DC HS SF ENV</t>
        </is>
      </c>
      <c r="C1566" s="7" t="n">
        <v>100</v>
      </c>
    </row>
    <row r="1567" hidden="1" ht="14.25" customHeight="1" s="5">
      <c r="A1567" s="7" t="n">
        <v>31697</v>
      </c>
      <c r="B1567" s="7" t="inlineStr">
        <is>
          <t>WORLD OF FOODS CARDAMOM TEA 25 DC HS SF ENV</t>
        </is>
      </c>
      <c r="C1567" s="7" t="n">
        <v>25</v>
      </c>
    </row>
    <row r="1568" hidden="1" ht="14.25" customHeight="1" s="5">
      <c r="A1568" s="7" t="n">
        <v>31708</v>
      </c>
      <c r="B1568" s="7" t="inlineStr">
        <is>
          <t>WORLD OF FOODS EARL GREY TEA 100 DC HS SF ENV</t>
        </is>
      </c>
      <c r="C1568" s="7" t="n">
        <v>100</v>
      </c>
    </row>
    <row r="1569" hidden="1" ht="14.25" customHeight="1" s="5">
      <c r="A1569" s="7" t="n">
        <v>31698</v>
      </c>
      <c r="B1569" s="7" t="inlineStr">
        <is>
          <t>WORLD OF FOODS EARL GREY TEA 25 DC HS SF ENV</t>
        </is>
      </c>
      <c r="C1569" s="7" t="n">
        <v>25</v>
      </c>
    </row>
    <row r="1570" hidden="1" ht="14.25" customHeight="1" s="5">
      <c r="A1570" s="7" t="n">
        <v>31699</v>
      </c>
      <c r="B1570" s="7" t="inlineStr">
        <is>
          <t>WORLD OF FOODS JASMINE TEA 25 DC HS SF ENV</t>
        </is>
      </c>
      <c r="C1570" s="7" t="n">
        <v>25</v>
      </c>
    </row>
    <row r="1571" hidden="1" ht="14.25" customHeight="1" s="5">
      <c r="A1571" s="7" t="n">
        <v>31709</v>
      </c>
      <c r="B1571" s="7" t="inlineStr">
        <is>
          <t>WORLD OF FOODS MASALA CHAI 100 DC HS SF ENV</t>
        </is>
      </c>
      <c r="C1571" s="7" t="n">
        <v>100</v>
      </c>
    </row>
    <row r="1572" hidden="1" ht="14.25" customHeight="1" s="5">
      <c r="A1572" s="7" t="n">
        <v>31700</v>
      </c>
      <c r="B1572" s="7" t="inlineStr">
        <is>
          <t>WORLD OF FOODS MASALA CHAI 25 DC HS SF ENV</t>
        </is>
      </c>
      <c r="C1572" s="7" t="n">
        <v>25</v>
      </c>
    </row>
    <row r="1573" hidden="1" ht="14.25" customHeight="1" s="5">
      <c r="A1573" s="7" t="n">
        <v>31706</v>
      </c>
      <c r="B1573" s="7" t="inlineStr">
        <is>
          <t>WORLD OF FOODS ORANGE PEKOE TEA 100 DC HS SF ENV</t>
        </is>
      </c>
      <c r="C1573" s="7" t="n">
        <v>100</v>
      </c>
    </row>
    <row r="1574" hidden="1" ht="14.25" customHeight="1" s="5">
      <c r="A1574" s="7" t="n">
        <v>31696</v>
      </c>
      <c r="B1574" s="7" t="inlineStr">
        <is>
          <t>WORLD OF FOODS ORANGE PEKOE TEA 25 DC HS SF ENV</t>
        </is>
      </c>
      <c r="C1574" s="7" t="n">
        <v>25</v>
      </c>
    </row>
    <row r="1575" hidden="1" ht="14.25" customHeight="1" s="5">
      <c r="A1575" s="7" t="n">
        <v>35085</v>
      </c>
      <c r="B1575" s="7" t="inlineStr">
        <is>
          <t>ZUHUUR CRANBERRY APPLE HERBAL 25 DC ENV TBGS</t>
        </is>
      </c>
      <c r="C1575" s="7" t="n">
        <v>25</v>
      </c>
    </row>
    <row r="1576" hidden="1" ht="14.25" customHeight="1" s="5">
      <c r="A1576" s="7" t="n">
        <v>35087</v>
      </c>
      <c r="B1576" s="7" t="inlineStr">
        <is>
          <t>ZUHUUR CRANBERRY MINT HERBAL 25 DC ENV TBGS</t>
        </is>
      </c>
      <c r="C1576" s="7" t="n">
        <v>25</v>
      </c>
    </row>
    <row r="1577" hidden="1" ht="14.25" customHeight="1" s="5">
      <c r="A1577" s="7" t="n">
        <v>35086</v>
      </c>
      <c r="B1577" s="7" t="inlineStr">
        <is>
          <t>ZUHUUR FRUITY CRANBERRY HERBAL 25 DC ENV TBGS</t>
        </is>
      </c>
      <c r="C1577" s="7" t="n">
        <v>25</v>
      </c>
    </row>
    <row r="1578" ht="14.25" customHeight="1" s="5">
      <c r="B1578" t="inlineStr">
        <is>
          <t>BARISSIMO BLACK TEA 100 DC TAG TBGS</t>
        </is>
      </c>
      <c r="C1578" t="n">
        <v>100</v>
      </c>
    </row>
    <row r="1579" ht="14.25" customHeight="1" s="5">
      <c r="B1579" t="inlineStr">
        <is>
          <t>GINNY 25 DC ENV TBGS</t>
        </is>
      </c>
      <c r="C1579" t="n">
        <v>25</v>
      </c>
    </row>
    <row r="1580" ht="14.25" customHeight="1" s="5">
      <c r="B1580" t="inlineStr">
        <is>
          <t>BARISSIMO PEPPERMINT HERBAL TEA 20 DC SF ENV TBGS</t>
        </is>
      </c>
      <c r="C1580" t="n">
        <v>20</v>
      </c>
    </row>
    <row r="1581" ht="14.25" customHeight="1" s="5">
      <c r="B1581" t="inlineStr">
        <is>
          <t>GOLD BOND WATERMELON 25 DC ENV TBGS</t>
        </is>
      </c>
      <c r="C1581" t="n">
        <v>25</v>
      </c>
    </row>
    <row r="1582" ht="14.25" customHeight="1" s="5">
      <c r="B1582" t="inlineStr">
        <is>
          <t>BARISSIMO GREEN TEA POMEGRANATE 20 DC SF ENV TBGS</t>
        </is>
      </c>
      <c r="C1582" t="n">
        <v>20</v>
      </c>
    </row>
    <row r="1583" ht="14.25" customHeight="1" s="5">
      <c r="B1583" t="inlineStr">
        <is>
          <t>BARISSIMO GINGER TURMERIC HERBAL TEA 20 DC SF ENV TBGS</t>
        </is>
      </c>
      <c r="C1583" t="n">
        <v>20</v>
      </c>
    </row>
    <row r="1584" ht="14.25" customHeight="1" s="5">
      <c r="B1584" t="inlineStr">
        <is>
          <t>BARISSIMO CHAMOMILE HERBAL TEA 20 DC SF ENV TBGS</t>
        </is>
      </c>
      <c r="C1584" t="n">
        <v>20</v>
      </c>
    </row>
    <row r="1585" ht="14.25" customHeight="1" s="5">
      <c r="B1585" t="inlineStr">
        <is>
          <t>BARISSIMO GREEN TEA 20 DC SF ENV TBGS</t>
        </is>
      </c>
      <c r="C1585" t="n">
        <v>20</v>
      </c>
    </row>
    <row r="1586" ht="14.25" customHeight="1" s="5">
      <c r="B1586" t="inlineStr">
        <is>
          <t>BARISSIMO LEMON GINSENG GREEN TEA 20 DC SF ENV TBGS</t>
        </is>
      </c>
      <c r="C1586" t="n">
        <v>20</v>
      </c>
    </row>
    <row r="1587" ht="14.25" customHeight="1" s="5">
      <c r="B1587" t="inlineStr">
        <is>
          <t>BARISSIMO CHAI BLACK TEA 20 DC SF ENV TBGS</t>
        </is>
      </c>
      <c r="C1587" t="n">
        <v>20</v>
      </c>
    </row>
    <row r="1588" ht="14.25" customHeight="1" s="5">
      <c r="B1588" t="inlineStr">
        <is>
          <t>BARISSIMO EARL GREY BLACK TEA 20 DC SF ENV TBGS</t>
        </is>
      </c>
      <c r="C1588" t="n">
        <v>20</v>
      </c>
    </row>
    <row r="1589" ht="14.25" customHeight="1" s="5">
      <c r="B1589" t="inlineStr">
        <is>
          <t>BARISSIMO DECAF BLACK TEA 20 DC SF ENV TBGS</t>
        </is>
      </c>
      <c r="C1589" t="n">
        <v>20</v>
      </c>
    </row>
    <row r="1590" ht="14.25" customHeight="1" s="5">
      <c r="B1590" t="inlineStr">
        <is>
          <t>GV HIBISCUS 25 DC ENV TBGS</t>
        </is>
      </c>
      <c r="C1590" t="n">
        <v>25</v>
      </c>
    </row>
  </sheetData>
  <autoFilter ref="A1:C1577">
    <filterColumn colId="1" hiddenButton="0" showButton="1">
      <filters>
        <filter val="GREAT VALUE 20 VARIETY HERBAL TEA COLLECTIONS DC SF HS ENV TBGS"/>
        <filter val="GREAT VALUE LOOSE ENV CHAMOMILE DC SF HS ENV TBGS"/>
        <filter val="GREAT VALUE LOOSE ENV HIBISCUS DC SF HS ENV TBGS"/>
        <filter val="GREAT VALUE LOOSE ENV LEMON GINGER DC SF HS ENV TBGS"/>
        <filter val="GREAT VALUE LOOSE ENV PEPPERMINT DC SF HS ENV TBGS"/>
      </filters>
    </filterColumn>
  </autoFilter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0" zoomScaleNormal="100" workbookViewId="0">
      <selection activeCell="A17" sqref="A17"/>
    </sheetView>
  </sheetViews>
  <sheetFormatPr baseColWidth="8" defaultColWidth="8.5546875" defaultRowHeight="14.4"/>
  <cols>
    <col width="26" customWidth="1" style="5" min="1" max="1"/>
    <col width="30" customWidth="1" style="5" min="2" max="2"/>
    <col width="22" customWidth="1" style="5" min="3" max="3"/>
  </cols>
  <sheetData>
    <row r="1" ht="15" customHeight="1" s="5">
      <c r="A1" s="9" t="inlineStr">
        <is>
          <t>MC CAPACITY MASTER (Day Capacity derived from Weekly_capacity_in_tbgs.xlsx, incl. real shifts/day)</t>
        </is>
      </c>
    </row>
    <row r="2" ht="27.75" customHeight="1" s="5">
      <c r="A2" s="10" t="inlineStr">
        <is>
          <t>Machine Line</t>
        </is>
      </c>
      <c r="B2" s="10" t="inlineStr">
        <is>
          <t>Weekly Capacity (lakh TBGS, from source file)</t>
        </is>
      </c>
      <c r="C2" s="10" t="inlineStr">
        <is>
          <t>Day Capacity (Weekly x 100000 / 6)</t>
        </is>
      </c>
    </row>
    <row r="3" ht="15" customHeight="1" s="5">
      <c r="A3" s="11" t="inlineStr">
        <is>
          <t>BREW MAGIC</t>
        </is>
      </c>
      <c r="B3" s="11" t="n">
        <v>0.2352</v>
      </c>
      <c r="C3" s="11">
        <f>B3*100000/6</f>
        <v/>
      </c>
    </row>
    <row r="4" ht="15" customHeight="1" s="5">
      <c r="A4" s="11" t="inlineStr">
        <is>
          <t>C250</t>
        </is>
      </c>
      <c r="B4" s="11" t="n">
        <v>43.2</v>
      </c>
      <c r="C4" s="11">
        <f>B4*100000/6</f>
        <v/>
      </c>
    </row>
    <row r="5" ht="15" customHeight="1" s="5">
      <c r="A5" s="11" t="inlineStr">
        <is>
          <t>C250 AF</t>
        </is>
      </c>
      <c r="B5" s="11" t="n">
        <v>28.8</v>
      </c>
      <c r="C5" s="11">
        <f>B5*100000/6</f>
        <v/>
      </c>
    </row>
    <row r="6" ht="15" customHeight="1" s="5">
      <c r="A6" s="11" t="inlineStr">
        <is>
          <t>C250-A</t>
        </is>
      </c>
      <c r="B6" s="11" t="n">
        <v>43.2</v>
      </c>
      <c r="C6" s="11">
        <f>B6*100000/6</f>
        <v/>
      </c>
    </row>
    <row r="7" ht="15" customHeight="1" s="5">
      <c r="A7" s="11" t="inlineStr">
        <is>
          <t>C250F3 ENV</t>
        </is>
      </c>
      <c r="B7" s="11" t="n">
        <v>14.4</v>
      </c>
      <c r="C7" s="11">
        <f>B7*100000/6</f>
        <v/>
      </c>
    </row>
    <row r="8" ht="15" customHeight="1" s="5">
      <c r="A8" s="11" t="inlineStr">
        <is>
          <t>C250F3 HS</t>
        </is>
      </c>
      <c r="B8" s="11" t="n">
        <v>7.2</v>
      </c>
      <c r="C8" s="11">
        <f>B8*100000/6</f>
        <v/>
      </c>
    </row>
    <row r="9" ht="15" customHeight="1" s="5">
      <c r="A9" s="11" t="inlineStr">
        <is>
          <t>CONSTANTA ENV</t>
        </is>
      </c>
      <c r="B9" s="11" t="n">
        <v>23.49</v>
      </c>
      <c r="C9" s="11">
        <f>B9*100000/6</f>
        <v/>
      </c>
    </row>
    <row r="10" ht="15" customHeight="1" s="5">
      <c r="A10" s="11" t="inlineStr">
        <is>
          <t>CONSTANTA ENV BT</t>
        </is>
      </c>
      <c r="B10" s="11" t="n">
        <v>40.35</v>
      </c>
      <c r="C10" s="11">
        <f>B10*100000/6</f>
        <v/>
      </c>
    </row>
    <row r="11" ht="15" customHeight="1" s="5">
      <c r="A11" s="11" t="inlineStr">
        <is>
          <t>CONSTANTA ENV BT 25</t>
        </is>
      </c>
      <c r="B11" s="11" t="n">
        <v>32.28</v>
      </c>
      <c r="C11" s="11">
        <f>B11*100000/6</f>
        <v/>
      </c>
    </row>
    <row r="12" ht="15" customHeight="1" s="5">
      <c r="A12" s="11" t="inlineStr">
        <is>
          <t>CONSTANTA ENV F</t>
        </is>
      </c>
      <c r="B12" s="11" t="n">
        <v>39.15</v>
      </c>
      <c r="C12" s="11">
        <f>B12*100000/6</f>
        <v/>
      </c>
    </row>
    <row r="13" ht="15" customHeight="1" s="5">
      <c r="A13" s="11" t="inlineStr">
        <is>
          <t>CONSTANTA ENV G</t>
        </is>
      </c>
      <c r="B13" s="11" t="n">
        <v>23.49</v>
      </c>
      <c r="C13" s="11">
        <f>B13*100000/6</f>
        <v/>
      </c>
    </row>
    <row r="14" ht="15" customHeight="1" s="5">
      <c r="A14" s="11" t="inlineStr">
        <is>
          <t>CONSTANTA ENV H</t>
        </is>
      </c>
      <c r="B14" s="11" t="n">
        <v>45</v>
      </c>
      <c r="C14" s="11">
        <f>B14*100000/6</f>
        <v/>
      </c>
    </row>
    <row r="15" ht="15" customHeight="1" s="5">
      <c r="A15" s="11" t="inlineStr">
        <is>
          <t>CONSTANTA ENV HF</t>
        </is>
      </c>
      <c r="B15" s="11" t="n">
        <v>22.5</v>
      </c>
      <c r="C15" s="11">
        <f>B15*100000/6</f>
        <v/>
      </c>
    </row>
    <row r="16" ht="15" customHeight="1" s="5">
      <c r="A16" s="11" t="inlineStr">
        <is>
          <t>CONSTANTA ENV M</t>
        </is>
      </c>
      <c r="B16" s="11" t="n">
        <v>23.49</v>
      </c>
      <c r="C16" s="11">
        <f>B16*100000/6</f>
        <v/>
      </c>
    </row>
    <row r="17" ht="15" customHeight="1" s="5">
      <c r="A17" s="11" t="inlineStr">
        <is>
          <t>CONSTANTA FAMILY SIZE</t>
        </is>
      </c>
      <c r="B17" s="11" t="n">
        <v>11.628</v>
      </c>
      <c r="C17" s="11">
        <f>B17*100000/6</f>
        <v/>
      </c>
    </row>
    <row r="18" ht="15" customHeight="1" s="5">
      <c r="A18" s="11" t="inlineStr">
        <is>
          <t>CONSTANTA TAG</t>
        </is>
      </c>
      <c r="B18" s="11" t="n">
        <v>14.688</v>
      </c>
      <c r="C18" s="11">
        <f>B18*100000/6</f>
        <v/>
      </c>
    </row>
    <row r="19" ht="15" customHeight="1" s="5">
      <c r="A19" s="11" t="inlineStr">
        <is>
          <t>CONSTANTA TAG (D)</t>
        </is>
      </c>
      <c r="B19" s="11" t="n">
        <v>66.096</v>
      </c>
      <c r="C19" s="11">
        <f>B19*100000/6</f>
        <v/>
      </c>
    </row>
    <row r="20" ht="15" customHeight="1" s="5">
      <c r="A20" s="11" t="inlineStr">
        <is>
          <t>INSTANT COFFEE STICK PACK</t>
        </is>
      </c>
      <c r="B20" s="11" t="n">
        <v>3.9</v>
      </c>
      <c r="C20" s="11">
        <f>B20*100000/6</f>
        <v/>
      </c>
    </row>
    <row r="21" ht="15" customHeight="1" s="5">
      <c r="A21" s="11" t="inlineStr">
        <is>
          <t>Instant Tea</t>
        </is>
      </c>
      <c r="B21" s="11" t="n">
        <v>0.4368</v>
      </c>
      <c r="C21" s="11">
        <f>B21*100000/6</f>
        <v/>
      </c>
    </row>
    <row r="22" ht="15" customHeight="1" s="5">
      <c r="A22" s="11" t="inlineStr">
        <is>
          <t>MAISA ENV</t>
        </is>
      </c>
      <c r="B22" s="11" t="n">
        <v>6.168</v>
      </c>
      <c r="C22" s="11">
        <f>B22*100000/6</f>
        <v/>
      </c>
    </row>
    <row r="23" ht="15" customHeight="1" s="5">
      <c r="A23" s="11" t="inlineStr">
        <is>
          <t>MAISA TAG</t>
        </is>
      </c>
      <c r="B23" s="11" t="n">
        <v>3.084</v>
      </c>
      <c r="C23" s="11">
        <f>B23*100000/6</f>
        <v/>
      </c>
    </row>
    <row r="24" ht="15" customHeight="1" s="5">
      <c r="A24" s="11" t="inlineStr">
        <is>
          <t>MAISA TAGLESS</t>
        </is>
      </c>
      <c r="B24" s="11" t="n">
        <v>22.68</v>
      </c>
      <c r="C24" s="11">
        <f>B24*100000/6</f>
        <v/>
      </c>
    </row>
    <row r="25" ht="15" customHeight="1" s="5">
      <c r="A25" s="11" t="inlineStr">
        <is>
          <t>MD20 4GM TAG</t>
        </is>
      </c>
      <c r="B25" s="11" t="n">
        <v>7.65</v>
      </c>
      <c r="C25" s="11">
        <f>B25*100000/6</f>
        <v/>
      </c>
    </row>
    <row r="26" ht="15" customHeight="1" s="5">
      <c r="A26" s="11" t="inlineStr">
        <is>
          <t>MD20 ENV</t>
        </is>
      </c>
      <c r="B26" s="11" t="n">
        <v>21.312</v>
      </c>
      <c r="C26" s="11">
        <f>B26*100000/6</f>
        <v/>
      </c>
    </row>
    <row r="27" ht="15" customHeight="1" s="5">
      <c r="A27" s="11" t="inlineStr">
        <is>
          <t>MD20 ENV GARANT</t>
        </is>
      </c>
      <c r="B27" s="11" t="n">
        <v>21.312</v>
      </c>
      <c r="C27" s="11">
        <f>B27*100000/6</f>
        <v/>
      </c>
    </row>
    <row r="28" ht="15" customHeight="1" s="5">
      <c r="A28" s="11" t="inlineStr">
        <is>
          <t>MD20 HS</t>
        </is>
      </c>
      <c r="B28" s="11" t="n">
        <v>19.584</v>
      </c>
      <c r="C28" s="11">
        <f>B28*100000/6</f>
        <v/>
      </c>
    </row>
    <row r="29" ht="15" customHeight="1" s="5">
      <c r="A29" s="11" t="inlineStr">
        <is>
          <t>PAKONA 250GMS/500GMS/1000GMS</t>
        </is>
      </c>
      <c r="B29" s="11" t="n">
        <v>0.612</v>
      </c>
      <c r="C29" s="11">
        <f>B29*100000/6</f>
        <v/>
      </c>
    </row>
    <row r="30" ht="15" customHeight="1" s="5">
      <c r="A30" s="11" t="inlineStr">
        <is>
          <t>Pearl Pack-FFS POUCH</t>
        </is>
      </c>
      <c r="B30" s="11" t="n">
        <v>0.3978</v>
      </c>
      <c r="C30" s="11">
        <f>B30*100000/6</f>
        <v/>
      </c>
    </row>
    <row r="31" ht="15" customHeight="1" s="5">
      <c r="A31" s="11" t="inlineStr">
        <is>
          <t>PEARL PACK-NANO</t>
        </is>
      </c>
      <c r="B31" s="11" t="n">
        <v>1.836</v>
      </c>
      <c r="C31" s="11">
        <f>B31*100000/6</f>
        <v/>
      </c>
    </row>
    <row r="32" ht="15" customHeight="1" s="5">
      <c r="A32" s="11" t="inlineStr">
        <is>
          <t>PEARL PACK-PREMIX</t>
        </is>
      </c>
      <c r="B32" s="11" t="n">
        <v>1.836</v>
      </c>
      <c r="C32" s="11">
        <f>B32*100000/6</f>
        <v/>
      </c>
    </row>
    <row r="33" ht="15" customHeight="1" s="5">
      <c r="A33" s="11" t="inlineStr">
        <is>
          <t>PEARL PACK-PREMIX 2</t>
        </is>
      </c>
      <c r="B33" s="11" t="n">
        <v>1.836</v>
      </c>
      <c r="C33" s="11">
        <f>B33*100000/6</f>
        <v/>
      </c>
    </row>
    <row r="34" ht="15" customHeight="1" s="5">
      <c r="A34" s="11" t="inlineStr">
        <is>
          <t>PERFACTA TAG</t>
        </is>
      </c>
      <c r="B34" s="11" t="n">
        <v>36</v>
      </c>
      <c r="C34" s="11">
        <f>B34*100000/6</f>
        <v/>
      </c>
    </row>
    <row r="35" ht="15" customHeight="1" s="5">
      <c r="A35" s="11" t="inlineStr">
        <is>
          <t>PERFECTA  K 45 TAG</t>
        </is>
      </c>
      <c r="B35" s="11" t="n">
        <v>14.4</v>
      </c>
      <c r="C35" s="11">
        <f>B35*100000/6</f>
        <v/>
      </c>
    </row>
    <row r="36" ht="15" customHeight="1" s="5">
      <c r="A36" s="11" t="inlineStr">
        <is>
          <t>PERFECTA ENV</t>
        </is>
      </c>
      <c r="B36" s="11" t="n">
        <v>48.384</v>
      </c>
      <c r="C36" s="11">
        <f>B36*100000/6</f>
        <v/>
      </c>
    </row>
    <row r="37" ht="15" customHeight="1" s="5">
      <c r="A37" s="11" t="inlineStr">
        <is>
          <t>Shubam-FFS POUCH - 13G- 40G</t>
        </is>
      </c>
      <c r="B37" s="11" t="n">
        <v>7.1298</v>
      </c>
      <c r="C37" s="11">
        <f>B37*100000/6</f>
        <v/>
      </c>
    </row>
    <row r="38" ht="15" customHeight="1" s="5">
      <c r="A38" s="11" t="inlineStr">
        <is>
          <t>UNIVERSAL POT BAG</t>
        </is>
      </c>
      <c r="B38" s="11" t="n">
        <v>16.6464</v>
      </c>
      <c r="C38" s="11">
        <f>B38*100000/6</f>
        <v/>
      </c>
    </row>
    <row r="39" ht="15" customHeight="1" s="5">
      <c r="A39" s="11" t="inlineStr">
        <is>
          <t>UNIVERSAL TWIN BAG</t>
        </is>
      </c>
      <c r="B39" s="11" t="n">
        <v>25.704</v>
      </c>
      <c r="C39" s="11">
        <f>B39*100000/6</f>
        <v/>
      </c>
    </row>
    <row r="40" ht="15" customHeight="1" s="5">
      <c r="A40" s="11" t="inlineStr">
        <is>
          <t>VARIETIES PACK</t>
        </is>
      </c>
      <c r="B40" s="11" t="n">
        <v>14.4</v>
      </c>
      <c r="C40" s="11">
        <f>B40*100000/6</f>
        <v/>
      </c>
    </row>
    <row r="41" ht="15" customHeight="1" s="5">
      <c r="A41" s="11" t="inlineStr">
        <is>
          <t>VIKING-MULTITRACK</t>
        </is>
      </c>
      <c r="B41" s="11" t="n">
        <v>1.7136</v>
      </c>
      <c r="C41" s="11">
        <f>B41*100000/6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tabSelected="0" topLeftCell="A2" zoomScaleNormal="100" workbookViewId="0">
      <pane ySplit="1" topLeftCell="A8" activePane="bottomLeft" state="frozen"/>
      <selection activeCell="A2" sqref="A2"/>
      <selection pane="bottomLeft" activeCell="M2" sqref="M2"/>
    </sheetView>
  </sheetViews>
  <sheetFormatPr baseColWidth="8" defaultColWidth="8.5546875" defaultRowHeight="14.4"/>
  <cols>
    <col width="33.109375" customWidth="1" style="5" min="1" max="1"/>
    <col width="14.88671875" customWidth="1" style="5" min="2" max="2"/>
    <col width="12.109375" customWidth="1" style="5" min="3" max="3"/>
    <col width="10.44140625" customWidth="1" style="5" min="4" max="4"/>
    <col width="16.77734375" customWidth="1" style="5" min="5" max="5"/>
    <col width="13.33203125" customWidth="1" style="5" min="6" max="6"/>
    <col width="10.6640625" customWidth="1" style="5" min="11" max="11"/>
    <col width="10.88671875" customWidth="1" style="5" min="12" max="13"/>
    <col width="12.109375" customWidth="1" style="5" min="15" max="15"/>
    <col width="16.6640625" customWidth="1" style="5" min="17" max="17"/>
    <col width="22" customWidth="1" style="5" min="18" max="18"/>
  </cols>
  <sheetData>
    <row r="1" ht="15" customHeight="1" s="5">
      <c r="H1" s="12" t="inlineStr">
        <is>
          <t>SHIFT</t>
        </is>
      </c>
    </row>
    <row r="2" ht="76.5" customHeight="1" s="5">
      <c r="A2" s="13" t="inlineStr">
        <is>
          <t>MACHINE LINE</t>
        </is>
      </c>
      <c r="B2" s="13" t="inlineStr">
        <is>
          <t>PACKER</t>
        </is>
      </c>
      <c r="C2" s="13" t="inlineStr">
        <is>
          <t>OPERATOR</t>
        </is>
      </c>
      <c r="D2" s="13" t="inlineStr">
        <is>
          <t>MACHINE NO</t>
        </is>
      </c>
      <c r="E2" s="13" t="inlineStr">
        <is>
          <t>No. of Machines</t>
        </is>
      </c>
      <c r="F2" s="13" t="inlineStr">
        <is>
          <t>No. of Shifts/day</t>
        </is>
      </c>
      <c r="G2" s="14" t="inlineStr">
        <is>
          <t>Target Tbgs/Min</t>
        </is>
      </c>
      <c r="H2" s="13" t="inlineStr">
        <is>
          <t>HR</t>
        </is>
      </c>
      <c r="I2" s="13" t="inlineStr">
        <is>
          <t>MIN</t>
        </is>
      </c>
      <c r="J2" s="13" t="inlineStr">
        <is>
          <t>SHIFT MIN</t>
        </is>
      </c>
      <c r="K2" s="13" t="inlineStr">
        <is>
          <t>TBGS/ SHIFT</t>
        </is>
      </c>
      <c r="L2" s="13" t="inlineStr">
        <is>
          <t>TBGS /WEEK</t>
        </is>
      </c>
      <c r="M2" s="15" t="inlineStr">
        <is>
          <t>Achievable Capacity</t>
        </is>
      </c>
      <c r="N2" s="13" t="inlineStr">
        <is>
          <t>TBGS PER CFC</t>
        </is>
      </c>
      <c r="O2" s="13" t="inlineStr">
        <is>
          <t>CFC/Week</t>
        </is>
      </c>
      <c r="P2" s="13" t="inlineStr">
        <is>
          <t>CFC/ CNTR</t>
        </is>
      </c>
      <c r="Q2" s="13" t="inlineStr">
        <is>
          <t>WEEKLY CAPACITY IN CNTR</t>
        </is>
      </c>
      <c r="R2" s="13" t="inlineStr">
        <is>
          <t>UNIT CAPACITY (CNTR per machine x shift) - Arul Sir file</t>
        </is>
      </c>
    </row>
    <row r="3" ht="15" customHeight="1" s="5">
      <c r="A3" s="16" t="inlineStr">
        <is>
          <t>C250 AF</t>
        </is>
      </c>
      <c r="B3" s="17" t="n"/>
      <c r="C3" s="18" t="n"/>
      <c r="D3" s="18" t="n"/>
      <c r="E3" s="19" t="n">
        <v>5</v>
      </c>
      <c r="F3" s="19" t="n">
        <v>2</v>
      </c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>
        <v>3340</v>
      </c>
      <c r="Q3" s="73" t="n"/>
      <c r="R3" s="73" t="n">
        <v>0.176497005988024</v>
      </c>
    </row>
    <row r="4" ht="15" customHeight="1" s="5">
      <c r="A4" s="16" t="inlineStr">
        <is>
          <t>CONSTANTA ENV (FLAVOUR &amp; BLACK TEA)</t>
        </is>
      </c>
      <c r="B4" s="17" t="n"/>
      <c r="C4" s="18" t="n"/>
      <c r="D4" s="18" t="n"/>
      <c r="E4" s="19" t="n">
        <v>23</v>
      </c>
      <c r="F4" s="19" t="n">
        <v>2</v>
      </c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>
        <v>6375</v>
      </c>
      <c r="Q4" s="73" t="n"/>
      <c r="R4" s="73" t="n">
        <v>0.09758823529411764</v>
      </c>
    </row>
    <row r="5" ht="15" customHeight="1" s="5">
      <c r="A5" s="16" t="inlineStr">
        <is>
          <t>CONSTANTA ENV (HERBAL)</t>
        </is>
      </c>
      <c r="B5" s="17" t="n"/>
      <c r="C5" s="18" t="n"/>
      <c r="D5" s="18" t="n"/>
      <c r="E5" s="19" t="n">
        <v>9</v>
      </c>
      <c r="F5" s="19" t="n">
        <v>2</v>
      </c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>
        <v>3340</v>
      </c>
      <c r="Q5" s="73" t="n"/>
      <c r="R5" s="73" t="n">
        <v>0.09382235528942116</v>
      </c>
    </row>
    <row r="6" ht="15" customHeight="1" s="5">
      <c r="A6" s="16" t="inlineStr">
        <is>
          <t>MD20 ENV</t>
        </is>
      </c>
      <c r="B6" s="17" t="n"/>
      <c r="C6" s="18" t="n"/>
      <c r="D6" s="18" t="n"/>
      <c r="E6" s="19" t="n">
        <v>4</v>
      </c>
      <c r="F6" s="19" t="n">
        <v>2</v>
      </c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>
        <v>3340</v>
      </c>
      <c r="Q6" s="73" t="n"/>
      <c r="R6" s="73" t="n">
        <v>0.1389161676646707</v>
      </c>
    </row>
    <row r="7" ht="15" customHeight="1" s="5">
      <c r="A7" s="16" t="inlineStr">
        <is>
          <t>PERFECTA ENV</t>
        </is>
      </c>
      <c r="B7" s="17" t="n"/>
      <c r="C7" s="18" t="n"/>
      <c r="D7" s="18" t="n"/>
      <c r="E7" s="19" t="n">
        <v>3</v>
      </c>
      <c r="F7" s="19" t="n">
        <v>2</v>
      </c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>
        <v>3340</v>
      </c>
      <c r="Q7" s="73" t="n"/>
      <c r="R7" s="73" t="n">
        <v>0.2082604790419162</v>
      </c>
    </row>
    <row r="8" ht="15" customHeight="1" s="5">
      <c r="A8" s="16" t="inlineStr">
        <is>
          <t>CONSTANTA TAG</t>
        </is>
      </c>
      <c r="B8" s="17" t="n"/>
      <c r="C8" s="18" t="n"/>
      <c r="D8" s="18" t="n"/>
      <c r="E8" s="19" t="n">
        <v>6</v>
      </c>
      <c r="F8" s="19" t="n">
        <v>1</v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>
        <v>2688</v>
      </c>
      <c r="Q8" s="73" t="n"/>
      <c r="R8" s="73" t="n">
        <v>0.1151450892857143</v>
      </c>
    </row>
    <row r="9" ht="15" customHeight="1" s="5">
      <c r="A9" s="16" t="inlineStr">
        <is>
          <t>C250</t>
        </is>
      </c>
      <c r="B9" s="17" t="n"/>
      <c r="C9" s="18" t="n"/>
      <c r="D9" s="18" t="n"/>
      <c r="E9" s="19" t="n">
        <v>3</v>
      </c>
      <c r="F9" s="19" t="n">
        <v>2</v>
      </c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>
        <v>7200</v>
      </c>
      <c r="Q9" s="73" t="n"/>
      <c r="R9" s="73" t="n">
        <v>0.2046875</v>
      </c>
    </row>
    <row r="10" ht="15" customHeight="1" s="5">
      <c r="A10" s="16" t="inlineStr">
        <is>
          <t>VARIETIES PACK</t>
        </is>
      </c>
      <c r="B10" s="17" t="n"/>
      <c r="C10" s="18" t="n"/>
      <c r="D10" s="18" t="n"/>
      <c r="E10" s="19" t="n">
        <v>1</v>
      </c>
      <c r="F10" s="19" t="n">
        <v>2</v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>
        <v>7200</v>
      </c>
      <c r="Q10" s="73" t="n"/>
      <c r="R10" s="73" t="n">
        <v>0.2046875</v>
      </c>
    </row>
    <row r="11" ht="15" customHeight="1" s="5">
      <c r="A11" s="16" t="inlineStr">
        <is>
          <t>MD20 4GM TAG</t>
        </is>
      </c>
      <c r="B11" s="17" t="n"/>
      <c r="C11" s="18" t="n"/>
      <c r="D11" s="18" t="n"/>
      <c r="E11" s="19" t="n">
        <v>1</v>
      </c>
      <c r="F11" s="19" t="n">
        <v>1</v>
      </c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>
        <v>4032</v>
      </c>
      <c r="Q11" s="73" t="n"/>
      <c r="R11" s="73" t="n">
        <v>0.2017454117063492</v>
      </c>
    </row>
    <row r="12" ht="15" customHeight="1" s="5">
      <c r="A12" s="17" t="inlineStr">
        <is>
          <t>PERFECTA  K 45 TAG</t>
        </is>
      </c>
      <c r="B12" s="17" t="n"/>
      <c r="C12" s="18" t="n"/>
      <c r="D12" s="18" t="n"/>
      <c r="E12" s="19" t="n">
        <v>1</v>
      </c>
      <c r="F12" s="19" t="n">
        <v>1</v>
      </c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>
        <v>5040</v>
      </c>
      <c r="Q12" s="73" t="n"/>
      <c r="R12" s="73" t="n">
        <v>0.2379464285714286</v>
      </c>
    </row>
    <row r="13" ht="15" customHeight="1" s="5">
      <c r="A13" s="16" t="inlineStr">
        <is>
          <t>MD20 HS</t>
        </is>
      </c>
      <c r="B13" s="17" t="n"/>
      <c r="C13" s="18" t="n"/>
      <c r="D13" s="18" t="n"/>
      <c r="E13" s="19" t="n">
        <v>2</v>
      </c>
      <c r="F13" s="19" t="n">
        <v>1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>
        <v>6500</v>
      </c>
      <c r="Q13" s="73" t="n"/>
      <c r="R13" s="73" t="n">
        <v>0.2338676923076923</v>
      </c>
    </row>
    <row r="14" ht="15" customHeight="1" s="5">
      <c r="A14" s="16" t="inlineStr">
        <is>
          <t>CONSTANTA FAMILY SIZE</t>
        </is>
      </c>
      <c r="B14" s="17" t="n"/>
      <c r="C14" s="18" t="n"/>
      <c r="D14" s="18" t="n"/>
      <c r="E14" s="19" t="n">
        <v>2</v>
      </c>
      <c r="F14" s="19" t="n">
        <v>0</v>
      </c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>
        <v>5720</v>
      </c>
      <c r="Q14" s="73" t="n"/>
      <c r="R14" s="73" t="n">
        <v>0</v>
      </c>
    </row>
    <row r="15" ht="15" customHeight="1" s="5">
      <c r="A15" s="16" t="inlineStr">
        <is>
          <t>PERFACTA TAG</t>
        </is>
      </c>
      <c r="B15" s="17" t="n"/>
      <c r="C15" s="18" t="n"/>
      <c r="D15" s="18" t="n"/>
      <c r="E15" s="19" t="n">
        <v>2</v>
      </c>
      <c r="F15" s="19" t="n">
        <v>1</v>
      </c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>
        <v>4620</v>
      </c>
      <c r="Q15" s="73" t="n"/>
      <c r="R15" s="73" t="n">
        <v>0.3238636363636364</v>
      </c>
    </row>
    <row r="16" ht="15" customHeight="1" s="5">
      <c r="A16" s="16" t="inlineStr">
        <is>
          <t>MAISA TAGLESS</t>
        </is>
      </c>
      <c r="B16" s="17" t="n"/>
      <c r="C16" s="18" t="n"/>
      <c r="D16" s="18" t="n"/>
      <c r="E16" s="19" t="n">
        <v>7</v>
      </c>
      <c r="F16" s="19" t="n">
        <v>1</v>
      </c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>
        <v>2800</v>
      </c>
      <c r="Q16" s="73" t="n"/>
      <c r="R16" s="73" t="n">
        <v>0.05649107142857142</v>
      </c>
    </row>
    <row r="17" ht="15" customHeight="1" s="5">
      <c r="A17" s="16" t="inlineStr">
        <is>
          <t>UNIVERSAL POT BAG</t>
        </is>
      </c>
      <c r="B17" s="17" t="n"/>
      <c r="C17" s="18" t="n"/>
      <c r="D17" s="18" t="n"/>
      <c r="E17" s="19" t="n">
        <v>1</v>
      </c>
      <c r="F17" s="19" t="n">
        <v>0</v>
      </c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>
        <v>3220</v>
      </c>
      <c r="Q17" s="73" t="n"/>
      <c r="R17" s="73" t="n">
        <v>0</v>
      </c>
    </row>
    <row r="18" ht="15" customHeight="1" s="5">
      <c r="A18" s="16" t="inlineStr">
        <is>
          <t>UNIVERSAL TWIN BAG</t>
        </is>
      </c>
      <c r="B18" s="17" t="n"/>
      <c r="C18" s="18" t="n"/>
      <c r="D18" s="18" t="n"/>
      <c r="E18" s="19" t="n">
        <v>1</v>
      </c>
      <c r="F18" s="19" t="n">
        <v>1</v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>
        <v>3320</v>
      </c>
      <c r="Q18" s="73" t="n"/>
      <c r="R18" s="73" t="n">
        <v>0.4063610692771085</v>
      </c>
    </row>
    <row r="19" ht="15" customHeight="1" s="5">
      <c r="A19" s="16" t="inlineStr">
        <is>
          <t>BREW MAGIC</t>
        </is>
      </c>
      <c r="B19" s="17" t="n"/>
      <c r="C19" s="18" t="n"/>
      <c r="D19" s="18" t="n"/>
      <c r="E19" s="19" t="n">
        <v>1</v>
      </c>
      <c r="F19" s="19" t="n">
        <v>1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>
        <v>3600</v>
      </c>
      <c r="Q19" s="73" t="n"/>
      <c r="R19" s="73" t="n">
        <v>0.2025</v>
      </c>
    </row>
    <row r="20" ht="15" customHeight="1" s="5">
      <c r="A20" s="16" t="inlineStr">
        <is>
          <t>MAISA ENV</t>
        </is>
      </c>
      <c r="B20" s="17" t="n"/>
      <c r="C20" s="18" t="n"/>
      <c r="D20" s="18" t="n"/>
      <c r="E20" s="19" t="n">
        <v>2</v>
      </c>
      <c r="F20" s="19" t="n">
        <v>1</v>
      </c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>
        <v>1656</v>
      </c>
      <c r="Q20" s="73" t="n"/>
      <c r="R20" s="73" t="n">
        <v>0.1560386473429952</v>
      </c>
    </row>
    <row r="21" ht="15" customHeight="1" s="5">
      <c r="A21" s="16" t="inlineStr">
        <is>
          <t>INSTANT COFFEE STICK PACK</t>
        </is>
      </c>
      <c r="B21" s="17" t="n"/>
      <c r="C21" s="18" t="n"/>
      <c r="D21" s="18" t="n"/>
      <c r="E21" s="19" t="n">
        <v>1</v>
      </c>
      <c r="F21" s="19" t="n">
        <v>1</v>
      </c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>
        <v>3000</v>
      </c>
      <c r="Q21" s="73" t="n"/>
      <c r="R21" s="73" t="n">
        <v>0.0288</v>
      </c>
    </row>
    <row r="22" ht="15" customHeight="1" s="5">
      <c r="A22" s="16" t="inlineStr">
        <is>
          <t>PEARL PACK-PREMIX</t>
        </is>
      </c>
      <c r="B22" s="17" t="n"/>
      <c r="C22" s="18" t="n"/>
      <c r="D22" s="18" t="n"/>
      <c r="E22" s="19" t="n">
        <v>1</v>
      </c>
      <c r="F22" s="19" t="n">
        <v>1</v>
      </c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>
        <v>6000</v>
      </c>
      <c r="Q22" s="73" t="n"/>
      <c r="R22" s="73" t="n">
        <v>0.12375</v>
      </c>
    </row>
    <row r="23" ht="15" customHeight="1" s="5">
      <c r="A23" s="16" t="inlineStr">
        <is>
          <t>PEARL PACK-PREMIX - cappuccino</t>
        </is>
      </c>
      <c r="B23" s="17" t="n"/>
      <c r="C23" s="18" t="n"/>
      <c r="D23" s="18" t="n"/>
      <c r="E23" s="19" t="n">
        <v>2</v>
      </c>
      <c r="F23" s="19" t="n">
        <v>1</v>
      </c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>
        <v>4800</v>
      </c>
      <c r="Q23" s="73" t="n"/>
      <c r="R23" s="73" t="n">
        <v>0.1546875</v>
      </c>
    </row>
    <row r="24" ht="15" customHeight="1" s="5">
      <c r="A24" s="16" t="inlineStr">
        <is>
          <t>Instant Tea</t>
        </is>
      </c>
      <c r="B24" s="17" t="n"/>
      <c r="C24" s="18" t="n"/>
      <c r="D24" s="18" t="n"/>
      <c r="E24" s="19" t="n">
        <v>1</v>
      </c>
      <c r="F24" s="19" t="n">
        <v>0</v>
      </c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>
        <v>15120</v>
      </c>
      <c r="Q24" s="73" t="n"/>
      <c r="R24" s="73" t="n">
        <v>0</v>
      </c>
    </row>
    <row r="25" ht="15" customHeight="1" s="5">
      <c r="A25" s="16" t="inlineStr">
        <is>
          <t>VIKING-MULTITRACK</t>
        </is>
      </c>
      <c r="B25" s="17" t="n"/>
      <c r="C25" s="18" t="n"/>
      <c r="D25" s="18" t="n"/>
      <c r="E25" s="19" t="n">
        <v>1</v>
      </c>
      <c r="F25" s="19" t="n">
        <v>0</v>
      </c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15120</v>
      </c>
      <c r="Q25" s="73" t="n"/>
      <c r="R25" s="73" t="n">
        <v>0</v>
      </c>
    </row>
    <row r="26" ht="15" customHeight="1" s="5">
      <c r="A26" s="16" t="inlineStr">
        <is>
          <t>Shubam-FFS POUCH</t>
        </is>
      </c>
      <c r="B26" s="17" t="n"/>
      <c r="C26" s="18" t="n"/>
      <c r="D26" s="18" t="n"/>
      <c r="E26" s="19" t="n">
        <v>1</v>
      </c>
      <c r="F26" s="19" t="n">
        <v>1</v>
      </c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>
        <v>0</v>
      </c>
      <c r="Q26" s="73" t="n"/>
      <c r="R26" s="73" t="n">
        <v>0</v>
      </c>
    </row>
    <row r="27" ht="15" customHeight="1" s="5">
      <c r="A27" s="16" t="inlineStr">
        <is>
          <t>Pearl Pack-FFS POUCH</t>
        </is>
      </c>
      <c r="B27" s="17" t="n"/>
      <c r="C27" s="18" t="n"/>
      <c r="D27" s="18" t="n"/>
      <c r="E27" s="19" t="n">
        <v>0.5</v>
      </c>
      <c r="F27" s="19" t="n">
        <v>1</v>
      </c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>
        <v>1200</v>
      </c>
      <c r="Q27" s="73" t="n"/>
      <c r="R27" s="73" t="n">
        <v>1.03125</v>
      </c>
    </row>
    <row r="28" ht="15" customHeight="1" s="5">
      <c r="A28" s="16" t="n"/>
      <c r="B28" s="17" t="n"/>
      <c r="C28" s="18" t="n"/>
      <c r="D28" s="18" t="n"/>
      <c r="E28" s="19" t="n"/>
      <c r="F28" s="19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73" t="n"/>
      <c r="R28" s="73" t="n"/>
    </row>
    <row r="29" ht="15" customHeight="1" s="5">
      <c r="A29" s="16" t="n"/>
      <c r="B29" s="17" t="n"/>
      <c r="C29" s="18" t="n"/>
      <c r="D29" s="18" t="n"/>
      <c r="E29" s="19" t="n"/>
      <c r="F29" s="19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73" t="n"/>
      <c r="R29" s="73" t="n"/>
    </row>
    <row r="30" ht="15" customHeight="1" s="5">
      <c r="A30" s="16" t="n"/>
      <c r="B30" s="17" t="n"/>
      <c r="C30" s="18" t="n"/>
      <c r="D30" s="18" t="n"/>
      <c r="E30" s="19" t="n"/>
      <c r="F30" s="19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73" t="n"/>
      <c r="R30" s="73" t="n"/>
    </row>
    <row r="31" ht="15" customHeight="1" s="5">
      <c r="A31" s="16" t="n"/>
      <c r="B31" s="17" t="n"/>
      <c r="C31" s="18" t="n"/>
      <c r="D31" s="18" t="n"/>
      <c r="E31" s="19" t="n"/>
      <c r="F31" s="19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73" t="n"/>
      <c r="R31" s="73" t="n"/>
    </row>
  </sheetData>
  <autoFilter ref="A2:Q31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242"/>
  <sheetViews>
    <sheetView tabSelected="0" zoomScaleNormal="100" workbookViewId="0">
      <pane ySplit="1" topLeftCell="A2" activePane="bottomLeft" state="frozen"/>
      <selection pane="bottomLeft" activeCell="A1" sqref="A1"/>
    </sheetView>
  </sheetViews>
  <sheetFormatPr baseColWidth="8" defaultColWidth="8.5546875" defaultRowHeight="14.4"/>
  <cols>
    <col width="82.21875" customWidth="1" style="5" min="1" max="1"/>
    <col width="14.77734375" customWidth="1" style="5" min="2" max="2"/>
  </cols>
  <sheetData>
    <row r="1" ht="15" customHeight="1" s="5">
      <c r="A1" s="21" t="inlineStr">
        <is>
          <t>PRODUCT NAME</t>
        </is>
      </c>
      <c r="B1" s="21" t="inlineStr">
        <is>
          <t>CFC/Container</t>
        </is>
      </c>
    </row>
    <row r="2" hidden="1" ht="15" customHeight="1" s="5">
      <c r="A2" s="22" t="inlineStr">
        <is>
          <t>AFRICA CHOICE 12/100 DC ENV TBGS</t>
        </is>
      </c>
      <c r="B2" s="22" t="n">
        <v>3321</v>
      </c>
    </row>
    <row r="3" hidden="1" ht="15" customHeight="1" s="5">
      <c r="A3" s="22" t="inlineStr">
        <is>
          <t>AFRICA CHOICE 24/25 DC ENV TBGS</t>
        </is>
      </c>
      <c r="B3" s="22" t="n">
        <v>6375</v>
      </c>
    </row>
    <row r="4" hidden="1" ht="15" customHeight="1" s="5">
      <c r="A4" s="22" t="inlineStr">
        <is>
          <t>AKOUNA INSTANT COFFEE 9/150 SACHETS (15 STRIPS X 10 SACHETS X 1.5 GMS) WITH HANGER</t>
        </is>
      </c>
      <c r="B4" s="7" t="n"/>
    </row>
    <row r="5" hidden="1" ht="15" customHeight="1" s="5">
      <c r="A5" s="22" t="inlineStr">
        <is>
          <t>AKOUNA COFFEE 3 IN 1 (25 GMS) 12 STRIPS X 10 SACHETS WITH HANGER</t>
        </is>
      </c>
      <c r="B5" s="7" t="n"/>
    </row>
    <row r="6" hidden="1" ht="15" customHeight="1" s="5">
      <c r="A6" s="22" t="inlineStr">
        <is>
          <t>AL FINA 12/100 DC ENV TBGS WITH T-SHIRT</t>
        </is>
      </c>
      <c r="B6" s="22" t="n">
        <v>3250</v>
      </c>
    </row>
    <row r="7" hidden="1" ht="15" customHeight="1" s="5">
      <c r="A7" s="22" t="inlineStr">
        <is>
          <t>AL FINA CAPPUCCINO 3 IN 1 (25 GMS) 12 STRIPS X 10 SACHETS WITH HANGER</t>
        </is>
      </c>
      <c r="B7" s="7" t="n"/>
    </row>
    <row r="8" hidden="1" ht="15" customHeight="1" s="5">
      <c r="A8" s="22" t="inlineStr">
        <is>
          <t>AL FINA CHAMOMILE 24/25 DC ENV TBGS</t>
        </is>
      </c>
      <c r="B8" s="22" t="n">
        <v>6375</v>
      </c>
    </row>
    <row r="9" hidden="1" ht="15" customHeight="1" s="5">
      <c r="A9" s="22" t="inlineStr">
        <is>
          <t>AL FINA CLOVE 24/25 DC ENV TBGS</t>
        </is>
      </c>
      <c r="B9" s="22" t="n">
        <v>6375</v>
      </c>
    </row>
    <row r="10" hidden="1" ht="15" customHeight="1" s="5">
      <c r="A10" s="22" t="inlineStr">
        <is>
          <t>AL FINA COCKTAIL 24/25 DC ENV TBGS</t>
        </is>
      </c>
      <c r="B10" s="22" t="n">
        <v>6375</v>
      </c>
    </row>
    <row r="11" hidden="1" ht="15" customHeight="1" s="5">
      <c r="A11" s="22" t="inlineStr">
        <is>
          <t>AL FINA COFFEE 3 IN 1 (20 GMS) 12 STRIPS X 10 SACHETS WITH HANGER</t>
        </is>
      </c>
      <c r="B11" s="7" t="n"/>
    </row>
    <row r="12" hidden="1" ht="15" customHeight="1" s="5">
      <c r="A12" s="22" t="inlineStr">
        <is>
          <t>AL FINA GINGER 24/25 DC ENV TBGS</t>
        </is>
      </c>
      <c r="B12" s="22" t="n">
        <v>6375</v>
      </c>
    </row>
    <row r="13" hidden="1" ht="15" customHeight="1" s="5">
      <c r="A13" s="22" t="inlineStr">
        <is>
          <t>AL FINA GREEN TEA 24/25 DC ENV TBGS</t>
        </is>
      </c>
      <c r="B13" s="22" t="n">
        <v>6375</v>
      </c>
    </row>
    <row r="14" hidden="1" ht="15" customHeight="1" s="5">
      <c r="A14" s="22" t="inlineStr">
        <is>
          <t>AL FINA LEMON 24/25 DC ENV TBGS</t>
        </is>
      </c>
      <c r="B14" s="22" t="n">
        <v>6375</v>
      </c>
    </row>
    <row r="15" hidden="1" ht="15" customHeight="1" s="5">
      <c r="A15" s="22" t="inlineStr">
        <is>
          <t>AL FINA MANGO 24/25 DC ENV TBGS</t>
        </is>
      </c>
      <c r="B15" s="22" t="n">
        <v>6375</v>
      </c>
    </row>
    <row r="16" hidden="1" ht="15" customHeight="1" s="5">
      <c r="A16" s="22" t="inlineStr">
        <is>
          <t>AL FINA MINT 24/25 DC ENV TBGS</t>
        </is>
      </c>
      <c r="B16" s="22" t="n">
        <v>6375</v>
      </c>
    </row>
    <row r="17" hidden="1" ht="15" customHeight="1" s="5">
      <c r="A17" s="22" t="inlineStr">
        <is>
          <t>AL FINA MIX 24/25 DC ENV TBGS</t>
        </is>
      </c>
      <c r="B17" s="22" t="n">
        <v>6375</v>
      </c>
    </row>
    <row r="18" hidden="1" ht="15" customHeight="1" s="5">
      <c r="A18" s="22" t="inlineStr">
        <is>
          <t>AL FINA ORANGE 24/25 DC ENV TBGS</t>
        </is>
      </c>
      <c r="B18" s="22" t="n">
        <v>6375</v>
      </c>
    </row>
    <row r="19" hidden="1" ht="15" customHeight="1" s="5">
      <c r="A19" s="22" t="inlineStr">
        <is>
          <t>AL FINA PINEAPPLE 24/25 DC ENV TBGS</t>
        </is>
      </c>
      <c r="B19" s="22" t="n">
        <v>6375</v>
      </c>
    </row>
    <row r="20" hidden="1" ht="15" customHeight="1" s="5">
      <c r="A20" s="22" t="inlineStr">
        <is>
          <t>AL FINA STRAWBERRY 24/25 DC ENV TBGS</t>
        </is>
      </c>
      <c r="B20" s="22" t="n">
        <v>6375</v>
      </c>
    </row>
    <row r="21" hidden="1" ht="15" customHeight="1" s="5">
      <c r="A21" s="22" t="inlineStr">
        <is>
          <t>AL FINA TAMARIND 24/25 DC ENV TBGS</t>
        </is>
      </c>
      <c r="B21" s="22" t="n">
        <v>6375</v>
      </c>
    </row>
    <row r="22" hidden="1" ht="15" customHeight="1" s="5">
      <c r="A22" s="22" t="inlineStr">
        <is>
          <t>ALDI VRUCHTENTHEE 24/20 DC SF ENV TBGS</t>
        </is>
      </c>
      <c r="B22" s="7" t="n"/>
    </row>
    <row r="23" hidden="1" ht="15" customHeight="1" s="5">
      <c r="A23" s="22" t="inlineStr">
        <is>
          <t>BARISSIMO BLACK TEA 6/100 DC TAG TBGS</t>
        </is>
      </c>
      <c r="B23" s="22" t="n">
        <v>4620</v>
      </c>
    </row>
    <row r="24" hidden="1" ht="15" customHeight="1" s="5">
      <c r="A24" s="22" t="inlineStr">
        <is>
          <t>BARISSIMO BLACK TEA COLLECTIONS 12/20 DC SF ENV TBGS</t>
        </is>
      </c>
      <c r="B24" s="22" t="n">
        <v>8320</v>
      </c>
    </row>
    <row r="25" hidden="1" ht="15" customHeight="1" s="5">
      <c r="A25" s="22" t="inlineStr">
        <is>
          <t>BARISSIMO BLACK TEA COLLECTIONS 12/20 DC SF ENV TBGS</t>
        </is>
      </c>
      <c r="B25" s="22" t="n">
        <v>7200</v>
      </c>
    </row>
    <row r="26" hidden="1" ht="15" customHeight="1" s="5">
      <c r="A26" s="22" t="inlineStr">
        <is>
          <t>BARISSIMO GREEN TEA COLLECTIONS 12/20 DC SF ENV TBGS</t>
        </is>
      </c>
      <c r="B26" s="22" t="n">
        <v>8320</v>
      </c>
    </row>
    <row r="27" hidden="1" ht="15" customHeight="1" s="5">
      <c r="A27" s="22" t="inlineStr">
        <is>
          <t>BARISSIMO GREEN TEA COLLECTIONS 12/20 DC SF ENV TBGS</t>
        </is>
      </c>
      <c r="B27" s="22" t="n">
        <v>7200</v>
      </c>
    </row>
    <row r="28" hidden="1" ht="15" customHeight="1" s="5">
      <c r="A28" s="22" t="inlineStr">
        <is>
          <t>BARISSIMO HERBAL TEA COLLECTIONS 12/20 DC SF ENV TBGS</t>
        </is>
      </c>
      <c r="B28" s="22" t="n">
        <v>8320</v>
      </c>
    </row>
    <row r="29" hidden="1" ht="15" customHeight="1" s="5">
      <c r="A29" s="22" t="inlineStr">
        <is>
          <t>BARISSIMO HERBAL TEA COLLECTIONS 12/20 DC SF ENV TBGS</t>
        </is>
      </c>
      <c r="B29" s="22" t="n">
        <v>7200</v>
      </c>
    </row>
    <row r="30" hidden="1" ht="15" customHeight="1" s="5">
      <c r="A30" s="22" t="inlineStr">
        <is>
          <t>BLUE DIAMOND GINGER 24/25 DC ENV TBGS</t>
        </is>
      </c>
      <c r="B30" s="22" t="n">
        <v>6375</v>
      </c>
    </row>
    <row r="31" hidden="1" ht="15" customHeight="1" s="5">
      <c r="A31" s="22" t="inlineStr">
        <is>
          <t>BLUE DIAMOND LEMON 24/25 DC ENV TBGS</t>
        </is>
      </c>
      <c r="B31" s="22" t="n">
        <v>6375</v>
      </c>
    </row>
    <row r="32" hidden="1" ht="15" customHeight="1" s="5">
      <c r="A32" s="22" t="inlineStr">
        <is>
          <t>BLUE DIAMOND MINT 24/25 DC ENV TBGS</t>
        </is>
      </c>
      <c r="B32" s="22" t="n">
        <v>6375</v>
      </c>
    </row>
    <row r="33" hidden="1" ht="15" customHeight="1" s="5">
      <c r="A33" s="22" t="inlineStr">
        <is>
          <t>BLUE DIAMOND ORANGE 24/25 DC ENV TBGS</t>
        </is>
      </c>
      <c r="B33" s="22" t="n">
        <v>6375</v>
      </c>
    </row>
    <row r="34" hidden="1" ht="15" customHeight="1" s="5">
      <c r="A34" s="22" t="inlineStr">
        <is>
          <t>BLUE DIAMOND STRAWBERRY 24/25 DC ENV TBGS</t>
        </is>
      </c>
      <c r="B34" s="22" t="n">
        <v>6375</v>
      </c>
    </row>
    <row r="35" hidden="1" ht="15" customHeight="1" s="5">
      <c r="A35" s="22" t="inlineStr">
        <is>
          <t>BLUE DIAMOND TAMARIND 24/25 DC ENV TBGS</t>
        </is>
      </c>
      <c r="B35" s="22" t="n">
        <v>6375</v>
      </c>
    </row>
    <row r="36" hidden="1" ht="15" customHeight="1" s="5">
      <c r="A36" s="22" t="inlineStr">
        <is>
          <t>BREW360 32-3 OZ BLK RND ITBS COPACK</t>
        </is>
      </c>
      <c r="B36" s="7" t="n"/>
    </row>
    <row r="37" hidden="1" ht="15" customHeight="1" s="5">
      <c r="A37" s="22" t="inlineStr">
        <is>
          <t>CENTRA GOLD BLEND TEA 12/80 TAGLESS TBGS</t>
        </is>
      </c>
      <c r="B37" s="22" t="n">
        <v>3220</v>
      </c>
    </row>
    <row r="38" hidden="1" ht="15" customHeight="1" s="5">
      <c r="A38" s="22" t="inlineStr">
        <is>
          <t>CHAYA 12/100 DC ENV TBGS</t>
        </is>
      </c>
      <c r="B38" s="22" t="n">
        <v>3321</v>
      </c>
    </row>
    <row r="39" hidden="1" ht="15" customHeight="1" s="5">
      <c r="A39" s="22" t="inlineStr">
        <is>
          <t>CHAYA 12/100 DC ENV TBGS WITH TSHIRT</t>
        </is>
      </c>
      <c r="B39" s="22" t="n">
        <v>3250</v>
      </c>
    </row>
    <row r="40" hidden="1" ht="15" customHeight="1" s="5">
      <c r="A40" s="22" t="inlineStr">
        <is>
          <t>CHAYA 24/25 DC ENV TBGS WITH T-SHIRT</t>
        </is>
      </c>
      <c r="B40" s="22" t="n">
        <v>6120</v>
      </c>
    </row>
    <row r="41" hidden="1" ht="15" customHeight="1" s="5">
      <c r="A41" s="22" t="inlineStr">
        <is>
          <t>CHAYA COCKTAIL 24/25 DC ENV TBGS</t>
        </is>
      </c>
      <c r="B41" s="22" t="n">
        <v>6375</v>
      </c>
    </row>
    <row r="42" hidden="1" ht="15" customHeight="1" s="5">
      <c r="A42" s="22" t="inlineStr">
        <is>
          <t>CHAYA GINGER 24/25 DC ENV TBGS</t>
        </is>
      </c>
      <c r="B42" s="22" t="n">
        <v>6375</v>
      </c>
    </row>
    <row r="43" hidden="1" ht="15" customHeight="1" s="5">
      <c r="A43" s="22" t="inlineStr">
        <is>
          <t>CHAYA GINGER 24/25 DC ENV TBGS WITH TSHIRT</t>
        </is>
      </c>
      <c r="B43" s="22" t="n">
        <v>6120</v>
      </c>
    </row>
    <row r="44" hidden="1" ht="15" customHeight="1" s="5">
      <c r="A44" s="22" t="inlineStr">
        <is>
          <t>CHAYA LEMON 24/25 DC ENV TBGS</t>
        </is>
      </c>
      <c r="B44" s="22" t="n">
        <v>6375</v>
      </c>
    </row>
    <row r="45" hidden="1" ht="15" customHeight="1" s="5">
      <c r="A45" s="22" t="inlineStr">
        <is>
          <t>CHAYA LEMON 24/25 DC ENV TBGS WITH T-SHIRT</t>
        </is>
      </c>
      <c r="B45" s="22" t="n">
        <v>6120</v>
      </c>
    </row>
    <row r="46" hidden="1" ht="15" customHeight="1" s="5">
      <c r="A46" s="22" t="inlineStr">
        <is>
          <t>CHAYA MINT 24/25 DC ENV TBGS</t>
        </is>
      </c>
      <c r="B46" s="22" t="n">
        <v>6375</v>
      </c>
    </row>
    <row r="47" hidden="1" ht="15" customHeight="1" s="5">
      <c r="A47" s="22" t="inlineStr">
        <is>
          <t>CHAYA MINT 24/25 DC ENV TBGS WITH T-SHIRT</t>
        </is>
      </c>
      <c r="B47" s="22" t="n">
        <v>6120</v>
      </c>
    </row>
    <row r="48" hidden="1" ht="15" customHeight="1" s="5">
      <c r="A48" s="22" t="inlineStr">
        <is>
          <t>CHAYA ORANGE 24/25 DC ENV TBGS</t>
        </is>
      </c>
      <c r="B48" s="22" t="n">
        <v>6375</v>
      </c>
    </row>
    <row r="49" hidden="1" ht="15" customHeight="1" s="5">
      <c r="A49" s="22" t="inlineStr">
        <is>
          <t>CHAYA PINEAPPLE 24/25 DC ENV TBGS</t>
        </is>
      </c>
      <c r="B49" s="22" t="n">
        <v>6375</v>
      </c>
    </row>
    <row r="50" hidden="1" ht="15" customHeight="1" s="5">
      <c r="A50" s="22" t="inlineStr">
        <is>
          <t>CHAYA STRAWBERRY 24/25 DC ENV TBGS</t>
        </is>
      </c>
      <c r="B50" s="22" t="n">
        <v>6375</v>
      </c>
    </row>
    <row r="51" hidden="1" ht="15" customHeight="1" s="5">
      <c r="A51" s="22" t="inlineStr">
        <is>
          <t>DIPLOMAT ENGLISH BREAKFAST 10/50 DC TAG TBGS</t>
        </is>
      </c>
      <c r="B51" s="22" t="n">
        <v>6912</v>
      </c>
    </row>
    <row r="52" hidden="1" ht="15" customHeight="1" s="5">
      <c r="A52" s="22" t="inlineStr">
        <is>
          <t>DIPLOMAT ENGLISH BREAKFAST 12/100 DC TAG TBGS</t>
        </is>
      </c>
      <c r="B52" s="22" t="n">
        <v>2800</v>
      </c>
    </row>
    <row r="53" hidden="1" ht="15" customHeight="1" s="5">
      <c r="A53" s="22" t="inlineStr">
        <is>
          <t>ELDORADO 12/100 DC TAG TBGS</t>
        </is>
      </c>
      <c r="B53" s="7" t="n"/>
    </row>
    <row r="54" hidden="1" ht="15" customHeight="1" s="5">
      <c r="A54" s="22" t="inlineStr">
        <is>
          <t>FIRST PRICE EARL GREY 12/50 DC ENV TBGS FAIRTRADE</t>
        </is>
      </c>
      <c r="B54" s="22" t="n">
        <v>5280</v>
      </c>
    </row>
    <row r="55" hidden="1" ht="15" customHeight="1" s="5">
      <c r="A55" s="22" t="inlineStr">
        <is>
          <t>GARANT BLACK CURRANT 15/20 DC ENV TBGS-FT</t>
        </is>
      </c>
      <c r="B55" s="22" t="n">
        <v>6000</v>
      </c>
    </row>
    <row r="56" hidden="1" ht="15" customHeight="1" s="5">
      <c r="A56" s="22" t="inlineStr">
        <is>
          <t>GARANT CHAI MASALA 12/150 GMS POUCH-100% RFA</t>
        </is>
      </c>
      <c r="B56" s="22" t="n">
        <v>4500</v>
      </c>
    </row>
    <row r="57" hidden="1" ht="15" customHeight="1" s="5">
      <c r="A57" s="22" t="inlineStr">
        <is>
          <t>GARANT EARL GREY 12/150 GMS POUCH-100% RFA</t>
        </is>
      </c>
      <c r="B57" s="22" t="n">
        <v>4500</v>
      </c>
    </row>
    <row r="58" hidden="1" ht="15" customHeight="1" s="5">
      <c r="A58" s="22" t="inlineStr">
        <is>
          <t>GARANT EARL GREY 15/20 DC ENV TBGS-FT</t>
        </is>
      </c>
      <c r="B58" s="22" t="n">
        <v>4500</v>
      </c>
    </row>
    <row r="59" hidden="1" ht="15" customHeight="1" s="5">
      <c r="A59" s="22" t="inlineStr">
        <is>
          <t>GARANT EKO ENGLISH BREAKFAST 10/50 SF DC TBGS</t>
        </is>
      </c>
      <c r="B59" s="7" t="n"/>
    </row>
    <row r="60" hidden="1" ht="15" customHeight="1" s="5">
      <c r="A60" s="22" t="inlineStr">
        <is>
          <t>GARANT EKO ENGLISH BREAKFAST 15/20 DC SF ENV TBGS</t>
        </is>
      </c>
      <c r="B60" s="7" t="n"/>
    </row>
    <row r="61" hidden="1" ht="15" customHeight="1" s="5">
      <c r="A61" s="22" t="inlineStr">
        <is>
          <t>GARANT EKO GRONT TE 15/20 DC SF ENV TBGS</t>
        </is>
      </c>
      <c r="B61" s="7" t="n"/>
    </row>
    <row r="62" hidden="1" ht="15" customHeight="1" s="5">
      <c r="A62" s="22" t="inlineStr">
        <is>
          <t>GARANT ENGLISH BREAKFAST 6/100 DC TAG TBGS-FT</t>
        </is>
      </c>
      <c r="B62" s="7" t="n"/>
    </row>
    <row r="63" hidden="1" ht="15" customHeight="1" s="5">
      <c r="A63" s="22" t="inlineStr">
        <is>
          <t>GARANT GAMLA SODER 12/150 GMS POUCH-100% RFA</t>
        </is>
      </c>
      <c r="B63" s="22" t="n">
        <v>4500</v>
      </c>
    </row>
    <row r="64" hidden="1" ht="15" customHeight="1" s="5">
      <c r="A64" s="22" t="inlineStr">
        <is>
          <t>GARANT GREEN CITRUS 12/150 GMS POUCH-100% RFA</t>
        </is>
      </c>
      <c r="B64" s="22" t="n">
        <v>4500</v>
      </c>
    </row>
    <row r="65" hidden="1" ht="15" customHeight="1" s="5">
      <c r="A65" s="22" t="inlineStr">
        <is>
          <t>GARANT GREEN TEA GINGER LEMON 15/20 DC SF ENV TBGS-FT</t>
        </is>
      </c>
      <c r="B65" s="22" t="n">
        <v>4500</v>
      </c>
    </row>
    <row r="66" hidden="1" ht="15" customHeight="1" s="5">
      <c r="A66" s="22" t="inlineStr">
        <is>
          <t>GARANT KAMOMILL TE 15/20 DC ENV TBGS (V2)</t>
        </is>
      </c>
      <c r="B66" s="22" t="n">
        <v>6000</v>
      </c>
    </row>
    <row r="67" hidden="1" ht="15" customHeight="1" s="5">
      <c r="A67" s="22" t="inlineStr">
        <is>
          <t>GARANT PEPPARMYNT TE 15/20 DC ENV TBGS (v2)</t>
        </is>
      </c>
      <c r="B67" s="22" t="n">
        <v>6000</v>
      </c>
    </row>
    <row r="68" hidden="1" ht="15" customHeight="1" s="5">
      <c r="A68" s="22" t="inlineStr">
        <is>
          <t>GARANT RHUBARBER 12/150 GMS POUCH-100% RFA</t>
        </is>
      </c>
      <c r="B68" s="22" t="n">
        <v>4500</v>
      </c>
    </row>
    <row r="69" hidden="1" ht="15" customHeight="1" s="5">
      <c r="A69" s="22" t="inlineStr">
        <is>
          <t>GARANT ROOIBOS RABARBER &amp; VANILJ 15/20 DC ENV TBGS- FT</t>
        </is>
      </c>
      <c r="B69" s="22" t="n">
        <v>6000</v>
      </c>
    </row>
    <row r="70" hidden="1" ht="15" customHeight="1" s="5">
      <c r="A70" s="22" t="inlineStr">
        <is>
          <t>GARANT ROOIBOS TEA BLAKLINT 15/20 DC ENV TBGS-FT</t>
        </is>
      </c>
      <c r="B70" s="22" t="n">
        <v>6000</v>
      </c>
    </row>
    <row r="71" hidden="1" ht="15" customHeight="1" s="5">
      <c r="A71" s="22" t="inlineStr">
        <is>
          <t>GINNY GINGER 24/25 DC ENV TBGS</t>
        </is>
      </c>
      <c r="B71" s="22" t="n">
        <v>6375</v>
      </c>
    </row>
    <row r="72" hidden="1" ht="15" customHeight="1" s="5">
      <c r="A72" s="22" t="inlineStr">
        <is>
          <t>GINNY MINT 24/25 DC ENV TBGS</t>
        </is>
      </c>
      <c r="B72" s="22" t="n">
        <v>6375</v>
      </c>
    </row>
    <row r="73" hidden="1" ht="15" customHeight="1" s="5">
      <c r="A73" s="22" t="inlineStr">
        <is>
          <t>GINNY STRAWBERRY 24/25 DC ENV TBGS</t>
        </is>
      </c>
      <c r="B73" s="22" t="n">
        <v>6375</v>
      </c>
    </row>
    <row r="74" hidden="1" ht="15" customHeight="1" s="5">
      <c r="A74" s="22" t="inlineStr">
        <is>
          <t>GOLD BOND 12/100 DC ENV TBGS</t>
        </is>
      </c>
      <c r="B74" s="22" t="n">
        <v>3321</v>
      </c>
    </row>
    <row r="75" hidden="1" ht="15" customHeight="1" s="5">
      <c r="A75" s="22" t="inlineStr">
        <is>
          <t>GOLD BOND 12/100 DC ENV TBGS WITH SHOPPING BAG</t>
        </is>
      </c>
      <c r="B75" s="22" t="n">
        <v>3321</v>
      </c>
    </row>
    <row r="76" hidden="1" ht="15" customHeight="1" s="5">
      <c r="A76" s="22" t="inlineStr">
        <is>
          <t>GOLD BOND 24/100 SC TBGS TAGLESS(1.5 GMS)</t>
        </is>
      </c>
      <c r="B76" s="22" t="n">
        <v>2838</v>
      </c>
    </row>
    <row r="77" hidden="1" ht="15" customHeight="1" s="5">
      <c r="A77" s="22" t="inlineStr">
        <is>
          <t>GOLD BOND 24/25 DC ENV TBGS</t>
        </is>
      </c>
      <c r="B77" s="22" t="n">
        <v>6375</v>
      </c>
    </row>
    <row r="78" hidden="1" ht="15" customHeight="1" s="5">
      <c r="A78" s="22" t="inlineStr">
        <is>
          <t>GOLD BOND CLOVE 48/25 DC ENV TBGS WITH SHOPPING BAG</t>
        </is>
      </c>
      <c r="B78" s="22" t="n">
        <v>3100</v>
      </c>
    </row>
    <row r="79" hidden="1" ht="15" customHeight="1" s="5">
      <c r="A79" s="22" t="inlineStr">
        <is>
          <t>GOLD BOND COCKTAIL 48/25 DC ENV TBGS WITH SHOPPING BAG</t>
        </is>
      </c>
      <c r="B79" s="22" t="n">
        <v>3100</v>
      </c>
    </row>
    <row r="80" hidden="1" ht="15" customHeight="1" s="5">
      <c r="A80" s="22" t="inlineStr">
        <is>
          <t>GOLD BOND GINGER 24/25 DC ENV TBGS WITH SHOPPING BAG</t>
        </is>
      </c>
      <c r="B80" s="22" t="n">
        <v>6120</v>
      </c>
    </row>
    <row r="81" hidden="1" ht="15" customHeight="1" s="5">
      <c r="A81" s="22" t="inlineStr">
        <is>
          <t>GOLD BOND GINGER 48/25 DC ENV TBGS WITH SHOPPING BAG</t>
        </is>
      </c>
      <c r="B81" s="22" t="n">
        <v>3100</v>
      </c>
    </row>
    <row r="82" hidden="1" ht="15" customHeight="1" s="5">
      <c r="A82" s="22" t="inlineStr">
        <is>
          <t>GOLD BOND LEMON 24/25 DC ENV TBGS WITH SHOPPING BAG</t>
        </is>
      </c>
      <c r="B82" s="22" t="n">
        <v>6120</v>
      </c>
    </row>
    <row r="83" hidden="1" ht="15" customHeight="1" s="5">
      <c r="A83" s="22" t="inlineStr">
        <is>
          <t>GOLD BOND MINT 24/25 DC ENV TBGS WITH SHOPPING BAG</t>
        </is>
      </c>
      <c r="B83" s="22" t="n">
        <v>6120</v>
      </c>
    </row>
    <row r="84" hidden="1" ht="15" customHeight="1" s="5">
      <c r="A84" s="22" t="inlineStr">
        <is>
          <t>GOLD BOND MINT 48/25 DC ENV TBGS WITH SHOPPING BAG</t>
        </is>
      </c>
      <c r="B84" s="22" t="n">
        <v>3100</v>
      </c>
    </row>
    <row r="85" hidden="1" ht="15" customHeight="1" s="5">
      <c r="A85" s="22" t="inlineStr">
        <is>
          <t>GOLD BOND ORANGE 24/25 DC ENV TBGS WITH SHOPPING BAG</t>
        </is>
      </c>
      <c r="B85" s="22" t="n">
        <v>6120</v>
      </c>
    </row>
    <row r="86" hidden="1" ht="15" customHeight="1" s="5">
      <c r="A86" s="22" t="inlineStr">
        <is>
          <t>GOLD BOND STRAWBERRY 24/25 DC ENV TBGS WITH SHOPPING BAG</t>
        </is>
      </c>
      <c r="B86" s="22" t="n">
        <v>6120</v>
      </c>
    </row>
    <row r="87" hidden="1" ht="15" customHeight="1" s="5">
      <c r="A87" s="22" t="inlineStr">
        <is>
          <t>GOLD BOND STRAWBERRY 48/25 DC ENV TBGS</t>
        </is>
      </c>
      <c r="B87" s="22" t="n">
        <v>3100</v>
      </c>
    </row>
    <row r="88" hidden="1" ht="15" customHeight="1" s="5">
      <c r="A88" s="22" t="inlineStr">
        <is>
          <t>GOLD BOND STRAWBERRY 48/25 DC ENV TBGS WITH SHOPPING BAG</t>
        </is>
      </c>
      <c r="B88" s="22" t="n">
        <v>3100</v>
      </c>
    </row>
    <row r="89" hidden="1" ht="15" customHeight="1" s="5">
      <c r="A89" s="22" t="inlineStr">
        <is>
          <t>GOLD BOND WATERMELON 48/25 DC ENV TBGS WITH SHOPPING BAG</t>
        </is>
      </c>
      <c r="B89" s="22" t="n">
        <v>3100</v>
      </c>
    </row>
    <row r="90" hidden="1" ht="15" customHeight="1" s="5">
      <c r="A90" s="22" t="inlineStr">
        <is>
          <t>GREAT VALUE 4/20 VARIETY HERBAL TEA COLLECTIONS DC SF HS ENV TBGS</t>
        </is>
      </c>
      <c r="B90" s="22" t="n">
        <v>14784</v>
      </c>
    </row>
    <row r="91" hidden="1" ht="15" customHeight="1" s="5">
      <c r="A91" s="22" t="inlineStr">
        <is>
          <t>GV BERRY DELIGHT 12/25 DC SF HS ENV TBGS (AF)</t>
        </is>
      </c>
      <c r="B91" s="7" t="n"/>
    </row>
    <row r="92" hidden="1" ht="15" customHeight="1" s="5">
      <c r="A92" s="22" t="inlineStr">
        <is>
          <t>GV CHAMOMILE 24/25 DC ENV TBGS</t>
        </is>
      </c>
      <c r="B92" s="22" t="n">
        <v>6375</v>
      </c>
    </row>
    <row r="93" hidden="1" ht="15" customHeight="1" s="5">
      <c r="A93" s="22" t="inlineStr">
        <is>
          <t>GV CINNAMON 24/25 DC ENV TBGS</t>
        </is>
      </c>
      <c r="B93" s="22" t="n">
        <v>6375</v>
      </c>
    </row>
    <row r="94" hidden="1" ht="15" customHeight="1" s="5">
      <c r="A94" s="22" t="inlineStr">
        <is>
          <t>GV CINNAMON 24/25 DC SF ENV TBGS (VINDEMIA)</t>
        </is>
      </c>
      <c r="B94" s="22" t="n">
        <v>6375</v>
      </c>
    </row>
    <row r="95" hidden="1" ht="15" customHeight="1" s="5">
      <c r="A95" s="22" t="inlineStr">
        <is>
          <t>GV CINNAMON 48/25 DC ENV TBGS</t>
        </is>
      </c>
      <c r="B95" s="22" t="n">
        <v>3100</v>
      </c>
    </row>
    <row r="96" hidden="1" ht="15" customHeight="1" s="5">
      <c r="A96" s="22" t="inlineStr">
        <is>
          <t>GV CLASSIC EARL GREY 18/25 DC TAG TBGS</t>
        </is>
      </c>
      <c r="B96" s="22" t="n">
        <v>3100</v>
      </c>
    </row>
    <row r="97" hidden="1" ht="15" customHeight="1" s="5">
      <c r="A97" s="22" t="inlineStr">
        <is>
          <t>GV CLOVE 24/25 DC ENV TBGS</t>
        </is>
      </c>
      <c r="B97" s="22" t="n">
        <v>6375</v>
      </c>
    </row>
    <row r="98" hidden="1" ht="15" customHeight="1" s="5">
      <c r="A98" s="22" t="inlineStr">
        <is>
          <t>GV CLOVE 24/25 DC ENV TBGS WITH TSHIRT</t>
        </is>
      </c>
      <c r="B98" s="22" t="n">
        <v>6120</v>
      </c>
    </row>
    <row r="99" hidden="1" ht="15" customHeight="1" s="5">
      <c r="A99" s="22" t="inlineStr">
        <is>
          <t>GV CLOVE 24/25 DC SF ENV TBGS (VINDEMIA)</t>
        </is>
      </c>
      <c r="B99" s="22" t="n">
        <v>6375</v>
      </c>
    </row>
    <row r="100" hidden="1" ht="15" customHeight="1" s="5">
      <c r="A100" s="22" t="inlineStr">
        <is>
          <t>GV CLOVE 48/25 DC ENV TBGS</t>
        </is>
      </c>
      <c r="B100" s="22" t="n">
        <v>3100</v>
      </c>
    </row>
    <row r="101" hidden="1" ht="15" customHeight="1" s="5">
      <c r="A101" s="22" t="inlineStr">
        <is>
          <t>GV COCKTAIL 24/25 DC ENV TBGS (AR)</t>
        </is>
      </c>
      <c r="B101" s="22" t="n">
        <v>6375</v>
      </c>
    </row>
    <row r="102" hidden="1" ht="15" customHeight="1" s="5">
      <c r="A102" s="22" t="inlineStr">
        <is>
          <t>GV COCKTAIL 24/25 DC SF ENV TBGS (VINDEMIA)</t>
        </is>
      </c>
      <c r="B102" s="22" t="n">
        <v>6375</v>
      </c>
    </row>
    <row r="103" hidden="1" ht="15" customHeight="1" s="5">
      <c r="A103" s="22" t="inlineStr">
        <is>
          <t>GV COCKTAIL 48/25 DC ENV TBGS</t>
        </is>
      </c>
      <c r="B103" s="22" t="n">
        <v>3100</v>
      </c>
    </row>
    <row r="104" hidden="1" ht="15" customHeight="1" s="5">
      <c r="A104" s="22" t="inlineStr">
        <is>
          <t>GV CRANBERRY APPLE 48/25 DC ENV TBGS</t>
        </is>
      </c>
      <c r="B104" s="22" t="n">
        <v>3100</v>
      </c>
    </row>
    <row r="105" hidden="1" ht="15" customHeight="1" s="5">
      <c r="A105" s="22" t="inlineStr">
        <is>
          <t>GV GARDEN STRAWBERRY 24/25 DC ENV TBGS</t>
        </is>
      </c>
      <c r="B105" s="22" t="n">
        <v>6375</v>
      </c>
    </row>
    <row r="106" hidden="1" ht="15" customHeight="1" s="5">
      <c r="A106" s="22" t="inlineStr">
        <is>
          <t>GV GARDEN STRAWBERRY 24/25 DC ENV TBGS WITH TSHIRT</t>
        </is>
      </c>
      <c r="B106" s="22" t="n">
        <v>6120</v>
      </c>
    </row>
    <row r="107" hidden="1" ht="15" customHeight="1" s="5">
      <c r="A107" s="22" t="inlineStr">
        <is>
          <t>GV GARDEN STRAWBERRY 24/25 DC SF ENV TBGS (VINDEMIA)</t>
        </is>
      </c>
      <c r="B107" s="22" t="n">
        <v>6375</v>
      </c>
    </row>
    <row r="108" hidden="1" ht="15" customHeight="1" s="5">
      <c r="A108" s="22" t="inlineStr">
        <is>
          <t>GV GARDEN STRAWBERRY 48/25 DC ENV TBGS</t>
        </is>
      </c>
      <c r="B108" s="22" t="n">
        <v>3100</v>
      </c>
    </row>
    <row r="109" hidden="1" ht="15" customHeight="1" s="5">
      <c r="A109" s="22" t="inlineStr">
        <is>
          <t>GV GINGER CLOVE 24/25 DC ENV TBGS</t>
        </is>
      </c>
      <c r="B109" s="22" t="n">
        <v>6375</v>
      </c>
    </row>
    <row r="110" hidden="1" ht="15" customHeight="1" s="5">
      <c r="A110" s="22" t="inlineStr">
        <is>
          <t>GV GINGER CLOVE 48/25 DC ENV TBGS</t>
        </is>
      </c>
      <c r="B110" s="22" t="n">
        <v>3100</v>
      </c>
    </row>
    <row r="111" hidden="1" ht="15" customHeight="1" s="5">
      <c r="A111" s="22" t="inlineStr">
        <is>
          <t>GV GREEN LEMON 24/25 DC ENV TBGS (AR)</t>
        </is>
      </c>
      <c r="B111" s="22" t="n">
        <v>6375</v>
      </c>
    </row>
    <row r="112" hidden="1" ht="15" customHeight="1" s="5">
      <c r="A112" s="22" t="inlineStr">
        <is>
          <t>GV GREEN LEMON 24/25 DC SF ENV TBGS (VINDEMIA)</t>
        </is>
      </c>
      <c r="B112" s="22" t="n">
        <v>6375</v>
      </c>
    </row>
    <row r="113" hidden="1" ht="15" customHeight="1" s="5">
      <c r="A113" s="22" t="inlineStr">
        <is>
          <t>GV GREEN TEA 24/25 DC ENV TBGS</t>
        </is>
      </c>
      <c r="B113" s="22" t="n">
        <v>6375</v>
      </c>
    </row>
    <row r="114" hidden="1" ht="15" customHeight="1" s="5">
      <c r="A114" s="22" t="inlineStr">
        <is>
          <t>GV GREEN TEA 24/25 DC SF ENV TBGS (VINDEMIA)</t>
        </is>
      </c>
      <c r="B114" s="22" t="n">
        <v>6375</v>
      </c>
    </row>
    <row r="115" hidden="1" ht="15" customHeight="1" s="5">
      <c r="A115" s="22" t="inlineStr">
        <is>
          <t>GV GREEN TEA MORINGA 24/25 DC SF ENV TBGS (VINDEMIA)</t>
        </is>
      </c>
      <c r="B115" s="22" t="n">
        <v>6375</v>
      </c>
    </row>
    <row r="116" hidden="1" ht="15" customHeight="1" s="5">
      <c r="A116" s="22" t="inlineStr">
        <is>
          <t>GV GREEN TEA MORINGA 48/25 DC ENV TBGS</t>
        </is>
      </c>
      <c r="B116" s="22" t="n">
        <v>3100</v>
      </c>
    </row>
    <row r="117" hidden="1" ht="15" customHeight="1" s="5">
      <c r="A117" s="22" t="inlineStr">
        <is>
          <t>GV GREEN TEA MORINGA 24/25 DC ENV TBGS</t>
        </is>
      </c>
      <c r="B117" s="22" t="n">
        <v>6375</v>
      </c>
    </row>
    <row r="118" hidden="1" ht="15" customHeight="1" s="5">
      <c r="A118" s="22" t="inlineStr">
        <is>
          <t>GV HIBISCUS 48/25 DC ENV TBGS</t>
        </is>
      </c>
      <c r="B118" s="22" t="n">
        <v>3100</v>
      </c>
    </row>
    <row r="119" hidden="1" ht="15" customHeight="1" s="5">
      <c r="A119" s="22" t="inlineStr">
        <is>
          <t>GV LEMON 24/25 DC SF ENV TBGS (VINDEMIA)</t>
        </is>
      </c>
      <c r="B119" s="22" t="n">
        <v>6375</v>
      </c>
    </row>
    <row r="120" hidden="1" ht="15" customHeight="1" s="5">
      <c r="A120" s="22" t="inlineStr">
        <is>
          <t>GV LEMON GRASS 24/25 DC ENV TBGS</t>
        </is>
      </c>
      <c r="B120" s="22" t="n">
        <v>6375</v>
      </c>
    </row>
    <row r="121" hidden="1" ht="15" customHeight="1" s="5">
      <c r="A121" s="22" t="inlineStr">
        <is>
          <t>GV LEMON JAZZ 12/25 DC SF HS ENV TBGS (AF)</t>
        </is>
      </c>
      <c r="B121" s="7" t="n"/>
    </row>
    <row r="122" hidden="1" ht="15" customHeight="1" s="5">
      <c r="A122" s="22" t="inlineStr">
        <is>
          <t>GV MINT 24/25 DC ENV TBGS</t>
        </is>
      </c>
      <c r="B122" s="22" t="n">
        <v>6375</v>
      </c>
    </row>
    <row r="123" hidden="1" ht="15" customHeight="1" s="5">
      <c r="A123" s="22" t="inlineStr">
        <is>
          <t>GV MINT 24/25 DC ENV TBGS WITH TSHIRT</t>
        </is>
      </c>
      <c r="B123" s="22" t="n">
        <v>6120</v>
      </c>
    </row>
    <row r="124" hidden="1" ht="15" customHeight="1" s="5">
      <c r="A124" s="22" t="inlineStr">
        <is>
          <t>GV MINT 24/25 DC SF ENV TBGS (VINDEMIA)</t>
        </is>
      </c>
      <c r="B124" s="22" t="n">
        <v>6375</v>
      </c>
    </row>
    <row r="125" hidden="1" ht="15" customHeight="1" s="5">
      <c r="A125" s="22" t="inlineStr">
        <is>
          <t>GV MINT 48/25 DC ENV TBGS</t>
        </is>
      </c>
      <c r="B125" s="22" t="n">
        <v>3100</v>
      </c>
    </row>
    <row r="126" hidden="1" ht="15" customHeight="1" s="5">
      <c r="A126" s="22" t="inlineStr">
        <is>
          <t>GV ORANGE 24/25 DC ENV TBGS (AR)</t>
        </is>
      </c>
      <c r="B126" s="22" t="n">
        <v>6375</v>
      </c>
    </row>
    <row r="127" hidden="1" ht="15" customHeight="1" s="5">
      <c r="A127" s="22" t="inlineStr">
        <is>
          <t>GV ORANGE 24/25 DC ENV TBGS WITH TSHIRT</t>
        </is>
      </c>
      <c r="B127" s="22" t="n">
        <v>6120</v>
      </c>
    </row>
    <row r="128" hidden="1" ht="15" customHeight="1" s="5">
      <c r="A128" s="22" t="inlineStr">
        <is>
          <t>GV ORANGE 24/25 DC SF ENV TBGS (VINDEMIA)</t>
        </is>
      </c>
      <c r="B128" s="22" t="n">
        <v>6375</v>
      </c>
    </row>
    <row r="129" hidden="1" ht="15" customHeight="1" s="5">
      <c r="A129" s="22" t="inlineStr">
        <is>
          <t>GV PASSION FRUIT 12/25 DC SF HS ENV TBGS (AF)</t>
        </is>
      </c>
      <c r="B129" s="7" t="n"/>
    </row>
    <row r="130" hidden="1" ht="15" customHeight="1" s="5">
      <c r="A130" s="22" t="inlineStr">
        <is>
          <t>GV PINEAPPLE 24/25 DC ENV TBGS</t>
        </is>
      </c>
      <c r="B130" s="22" t="n">
        <v>6375</v>
      </c>
    </row>
    <row r="131" hidden="1" ht="15" customHeight="1" s="5">
      <c r="A131" s="22" t="inlineStr">
        <is>
          <t>GV PINEAPPLE 24/25 DC SF ENV TBGS (VINDEMIA)</t>
        </is>
      </c>
      <c r="B131" s="22" t="n">
        <v>6375</v>
      </c>
    </row>
    <row r="132" hidden="1" ht="15" customHeight="1" s="5">
      <c r="A132" s="22" t="inlineStr">
        <is>
          <t>GV PINEAPPLE 48/25 DC ENV TBGS</t>
        </is>
      </c>
      <c r="B132" s="22" t="n">
        <v>3100</v>
      </c>
    </row>
    <row r="133" hidden="1" ht="15" customHeight="1" s="5">
      <c r="A133" s="22" t="inlineStr">
        <is>
          <t>GV RASPBERRY BLISS 12/25 DC SF HS ENV TBGS (AF)</t>
        </is>
      </c>
      <c r="B133" s="7" t="n"/>
    </row>
    <row r="134" hidden="1" ht="15" customHeight="1" s="5">
      <c r="A134" s="22" t="inlineStr">
        <is>
          <t>GV ROYAL LEMON 24/25 DC ENV TBGS</t>
        </is>
      </c>
      <c r="B134" s="22" t="n">
        <v>6375</v>
      </c>
    </row>
    <row r="135" hidden="1" ht="15" customHeight="1" s="5">
      <c r="A135" s="22" t="inlineStr">
        <is>
          <t>GV ROYAL LEMON 24/25 DC ENV TBGS WITH TSHIRT</t>
        </is>
      </c>
      <c r="B135" s="22" t="n">
        <v>6120</v>
      </c>
    </row>
    <row r="136" hidden="1" ht="15" customHeight="1" s="5">
      <c r="A136" s="22" t="inlineStr">
        <is>
          <t>GV SPICY GINGER 24/25 DC ENV TBGS (AR)</t>
        </is>
      </c>
      <c r="B136" s="22" t="n">
        <v>6375</v>
      </c>
    </row>
    <row r="137" hidden="1" ht="15" customHeight="1" s="5">
      <c r="A137" s="22" t="inlineStr">
        <is>
          <t>GV SPICY GINGER 24/25 DC ENV TBGS WITH TSHIRT</t>
        </is>
      </c>
      <c r="B137" s="22" t="n">
        <v>6120</v>
      </c>
    </row>
    <row r="138" hidden="1" ht="15" customHeight="1" s="5">
      <c r="A138" s="22" t="inlineStr">
        <is>
          <t>GV SPICY GINGER 24/25 DC SF ENV TBGS (VINDEMIA)</t>
        </is>
      </c>
      <c r="B138" s="22" t="n">
        <v>6375</v>
      </c>
    </row>
    <row r="139" hidden="1" ht="15" customHeight="1" s="5">
      <c r="A139" s="22" t="inlineStr">
        <is>
          <t>GV SPICY GINGER 48/25 DC ENV TBGS</t>
        </is>
      </c>
      <c r="B139" s="22" t="n">
        <v>3100</v>
      </c>
    </row>
    <row r="140" hidden="1" ht="15" customHeight="1" s="5">
      <c r="A140" s="22" t="inlineStr">
        <is>
          <t>GV STRAWBERRY ZEN 12/25 DC SF HS ENV TBGS (AF)</t>
        </is>
      </c>
      <c r="B140" s="7" t="n"/>
    </row>
    <row r="141" hidden="1" ht="15" customHeight="1" s="5">
      <c r="A141" s="22" t="inlineStr">
        <is>
          <t>GV TAMARIND 24/25 DC ENV TBGS</t>
        </is>
      </c>
      <c r="B141" s="22" t="n">
        <v>6375</v>
      </c>
    </row>
    <row r="142" hidden="1" ht="15" customHeight="1" s="5">
      <c r="A142" s="22" t="inlineStr">
        <is>
          <t>GV TAMARIND 24/25 DC SF ENV TBGS (VINDEMIA)</t>
        </is>
      </c>
      <c r="B142" s="22" t="n">
        <v>6375</v>
      </c>
    </row>
    <row r="143" hidden="1" ht="15" customHeight="1" s="5">
      <c r="A143" s="22" t="inlineStr">
        <is>
          <t>GV TAMARIND 48/25 DC ENV TBGS</t>
        </is>
      </c>
      <c r="B143" s="22" t="n">
        <v>3100</v>
      </c>
    </row>
    <row r="144" hidden="1" ht="15" customHeight="1" s="5">
      <c r="A144" s="22" t="inlineStr">
        <is>
          <t>GV TROPICAL JOY 12/25 DC SF HS ENV TBGS (AF)</t>
        </is>
      </c>
      <c r="B144" s="7" t="n"/>
    </row>
    <row r="145" hidden="1" ht="15" customHeight="1" s="5">
      <c r="A145" s="22" t="inlineStr">
        <is>
          <t>GV VANILLA 48/25 DC ENV TBGS</t>
        </is>
      </c>
      <c r="B145" s="7" t="n"/>
    </row>
    <row r="146" hidden="1" ht="15" customHeight="1" s="5">
      <c r="A146" s="22" t="inlineStr">
        <is>
          <t>GV WATERMELON 24/25 DC SF ENV TBGS (VINDEMIA)</t>
        </is>
      </c>
      <c r="B146" s="22" t="n">
        <v>6375</v>
      </c>
    </row>
    <row r="147" hidden="1" ht="15" customHeight="1" s="5">
      <c r="A147" s="22" t="inlineStr">
        <is>
          <t>GV WATERMELON 48/25 DC ENV TBGS</t>
        </is>
      </c>
      <c r="B147" s="22" t="n">
        <v>3100</v>
      </c>
    </row>
    <row r="148" hidden="1" ht="15" customHeight="1" s="5">
      <c r="A148" s="22" t="inlineStr">
        <is>
          <t>ICA CEYLON 12/100 DC SF TAG TBGS</t>
        </is>
      </c>
      <c r="B148" s="22" t="n">
        <v>3100</v>
      </c>
    </row>
    <row r="149" hidden="1" ht="15" customHeight="1" s="5">
      <c r="A149" s="22" t="inlineStr">
        <is>
          <t>ICA CHAI 12/20 DC SF ENV TBGS</t>
        </is>
      </c>
      <c r="B149" s="22" t="n">
        <v>6272</v>
      </c>
    </row>
    <row r="150" hidden="1" ht="15" customHeight="1" s="5">
      <c r="A150" s="22" t="inlineStr">
        <is>
          <t>ICA CHAI 12/20 DC SF ENV TBGS</t>
        </is>
      </c>
      <c r="B150" s="22" t="n">
        <v>7200</v>
      </c>
    </row>
    <row r="151" hidden="1" ht="15" customHeight="1" s="5">
      <c r="A151" s="22" t="inlineStr">
        <is>
          <t>ICA FOREST FRUIT 12/20 DC SF ENV TBGS</t>
        </is>
      </c>
      <c r="B151" s="22" t="n">
        <v>6272</v>
      </c>
    </row>
    <row r="152" hidden="1" ht="15" customHeight="1" s="5">
      <c r="A152" s="22" t="inlineStr">
        <is>
          <t>ICA FOREST FRUIT 12/20 DC SF ENV TBGS</t>
        </is>
      </c>
      <c r="B152" s="22" t="n">
        <v>7200</v>
      </c>
    </row>
    <row r="153" hidden="1" ht="15" customHeight="1" s="5">
      <c r="A153" s="22" t="inlineStr">
        <is>
          <t>ICA GREEN TEA LEMON 12/20 DC SF ENV TBGS</t>
        </is>
      </c>
      <c r="B153" s="22" t="n">
        <v>6272</v>
      </c>
    </row>
    <row r="154" hidden="1" ht="15" customHeight="1" s="5">
      <c r="A154" s="22" t="inlineStr">
        <is>
          <t>ICA GREEN TEA LEMON 12/20 DC SF ENV TBGS</t>
        </is>
      </c>
      <c r="B154" s="22" t="n">
        <v>7200</v>
      </c>
    </row>
    <row r="155" hidden="1" ht="15" customHeight="1" s="5">
      <c r="A155" s="22" t="inlineStr">
        <is>
          <t>ICA GREEN TEA ORANGE GINGER 12/20 DC SF ENV TBGS</t>
        </is>
      </c>
      <c r="B155" s="22" t="n">
        <v>6272</v>
      </c>
    </row>
    <row r="156" hidden="1" ht="15" customHeight="1" s="5">
      <c r="A156" s="22" t="inlineStr">
        <is>
          <t>ICA GREEN TEA ORANGE GINGER 12/20 DC SF ENV TBGS</t>
        </is>
      </c>
      <c r="B156" s="22" t="n">
        <v>7200</v>
      </c>
    </row>
    <row r="157" hidden="1" ht="15" customHeight="1" s="5">
      <c r="A157" s="22" t="inlineStr">
        <is>
          <t>ICA ORTTE 12/20 DC SF ENV TBGS</t>
        </is>
      </c>
      <c r="B157" s="22" t="n">
        <v>6272</v>
      </c>
    </row>
    <row r="158" hidden="1" ht="15" customHeight="1" s="5">
      <c r="A158" s="22" t="inlineStr">
        <is>
          <t>ICA SODERBLOM 12/20 DC SF ENV TBGS</t>
        </is>
      </c>
      <c r="B158" s="22" t="n">
        <v>6272</v>
      </c>
    </row>
    <row r="159" hidden="1" ht="15" customHeight="1" s="5">
      <c r="A159" s="22" t="inlineStr">
        <is>
          <t>ICA SODERBLOM 12/20 DC SF ENV TBGS</t>
        </is>
      </c>
      <c r="B159" s="22" t="n">
        <v>7200</v>
      </c>
    </row>
    <row r="160" hidden="1" ht="15" customHeight="1" s="5">
      <c r="A160" s="22" t="inlineStr">
        <is>
          <t>INDUS CLOVE 48/25 DC ENV TBGS</t>
        </is>
      </c>
      <c r="B160" s="22" t="n">
        <v>3100</v>
      </c>
    </row>
    <row r="161" hidden="1" ht="15" customHeight="1" s="5">
      <c r="A161" s="22" t="inlineStr">
        <is>
          <t>INDUS COCKTAIL 48/25 DC ENV TBGS</t>
        </is>
      </c>
      <c r="B161" s="22" t="n">
        <v>3100</v>
      </c>
    </row>
    <row r="162" hidden="1" ht="15" customHeight="1" s="5">
      <c r="A162" s="22" t="inlineStr">
        <is>
          <t>INDUS CRANBERRY APPLE HERBAL 48/25 DC ENV TBGS</t>
        </is>
      </c>
      <c r="B162" s="22" t="n">
        <v>3100</v>
      </c>
    </row>
    <row r="163" hidden="1" ht="15" customHeight="1" s="5">
      <c r="A163" s="22" t="inlineStr">
        <is>
          <t>INDUS MINT 48/25 DC ENV TBGS</t>
        </is>
      </c>
      <c r="B163" s="22" t="n">
        <v>3100</v>
      </c>
    </row>
    <row r="164" hidden="1" ht="15" customHeight="1" s="5">
      <c r="A164" s="22" t="inlineStr">
        <is>
          <t>INDUS STRAWBERRY 48/25 DC ENV TBGS</t>
        </is>
      </c>
      <c r="B164" s="22" t="n">
        <v>3100</v>
      </c>
    </row>
    <row r="165" hidden="1" ht="15" customHeight="1" s="5">
      <c r="A165" s="22" t="inlineStr">
        <is>
          <t>INDUS VANILLA 48/25 DC ENV TBGS</t>
        </is>
      </c>
      <c r="B165" s="22" t="n">
        <v>3100</v>
      </c>
    </row>
    <row r="166" hidden="1" ht="15" customHeight="1" s="5">
      <c r="A166" s="22" t="inlineStr">
        <is>
          <t>INDUS WATERMELON 48/25 DC ENV TBGS</t>
        </is>
      </c>
      <c r="B166" s="22" t="n">
        <v>3100</v>
      </c>
    </row>
    <row r="167" hidden="1" ht="15" customHeight="1" s="5">
      <c r="A167" s="22" t="inlineStr">
        <is>
          <t>JAY GV 12/100 DC ENV TBGS</t>
        </is>
      </c>
      <c r="B167" s="22" t="n">
        <v>3321</v>
      </c>
    </row>
    <row r="168" hidden="1" ht="15" customHeight="1" s="5">
      <c r="A168" s="22" t="inlineStr">
        <is>
          <t>JUMBO EARL GREY 12/20 DC SF ENV TBGS</t>
        </is>
      </c>
      <c r="B168" s="22" t="n">
        <v>7200</v>
      </c>
    </row>
    <row r="169" hidden="1" ht="15" customHeight="1" s="5">
      <c r="A169" s="22" t="inlineStr">
        <is>
          <t>JUMBO ENGELESE MELANGE 12/20 DC SF ENV TBGS</t>
        </is>
      </c>
      <c r="B169" s="22" t="n">
        <v>7200</v>
      </c>
    </row>
    <row r="170" hidden="1" ht="15" customHeight="1" s="5">
      <c r="A170" s="22" t="inlineStr">
        <is>
          <t>JUMBO ENGELESE MELANGE 12/40 DC SF TAG TBGS</t>
        </is>
      </c>
      <c r="B170" s="22" t="n">
        <v>3744</v>
      </c>
    </row>
    <row r="171" hidden="1" ht="15" customHeight="1" s="5">
      <c r="A171" s="22" t="inlineStr">
        <is>
          <t>JUMBO FOREST FRUITS 12/20 DC SF ENV TBGS</t>
        </is>
      </c>
      <c r="B171" s="22" t="n">
        <v>7200</v>
      </c>
    </row>
    <row r="172" hidden="1" ht="15" customHeight="1" s="5">
      <c r="A172" s="22" t="inlineStr">
        <is>
          <t>JUMBO GREEN LEMON 12/20 DC SF ENV TBGS</t>
        </is>
      </c>
      <c r="B172" s="22" t="n">
        <v>7200</v>
      </c>
    </row>
    <row r="173" hidden="1" ht="15" customHeight="1" s="5">
      <c r="A173" s="22" t="inlineStr">
        <is>
          <t>JUMBO GREEN TEA CRANBERRY 12/20 DC SF ENV TBGS</t>
        </is>
      </c>
      <c r="B173" s="22" t="n">
        <v>7200</v>
      </c>
    </row>
    <row r="174" hidden="1" ht="15" customHeight="1" s="5">
      <c r="A174" s="22" t="inlineStr">
        <is>
          <t>JUMBO GREEN TEA MINT 12/20 DC SF ENV TBGS</t>
        </is>
      </c>
      <c r="B174" s="22" t="n">
        <v>7200</v>
      </c>
    </row>
    <row r="175" hidden="1" ht="15" customHeight="1" s="5">
      <c r="A175" s="22" t="inlineStr">
        <is>
          <t>JUMBO GREEN TEA PURE ORIGINAL 12/20 DC SF ENV TBGS</t>
        </is>
      </c>
      <c r="B175" s="22" t="n">
        <v>7200</v>
      </c>
    </row>
    <row r="176" hidden="1" ht="15" customHeight="1" s="5">
      <c r="A176" s="22" t="inlineStr">
        <is>
          <t>JUMBO ORANGE 12/20 DC SF ENV TBGS</t>
        </is>
      </c>
      <c r="B176" s="22" t="n">
        <v>7200</v>
      </c>
    </row>
    <row r="177" hidden="1" ht="15" customHeight="1" s="5">
      <c r="A177" s="22" t="inlineStr">
        <is>
          <t>JUMBO ORANGE VARIATION 12/20 DC SF ENV TBGS</t>
        </is>
      </c>
      <c r="B177" s="22" t="n">
        <v>7200</v>
      </c>
    </row>
    <row r="178" hidden="1" ht="15" customHeight="1" s="5">
      <c r="A178" s="22" t="inlineStr">
        <is>
          <t>JUMBO RED VARIATION 12/20 DC SF ENV TBGS</t>
        </is>
      </c>
      <c r="B178" s="22" t="n">
        <v>7200</v>
      </c>
    </row>
    <row r="179" hidden="1" ht="15" customHeight="1" s="5">
      <c r="A179" s="22" t="inlineStr">
        <is>
          <t>JUMBO ROOIBOS HONEY 12/20 DC SF ENV TBGS</t>
        </is>
      </c>
      <c r="B179" s="22" t="n">
        <v>7200</v>
      </c>
    </row>
    <row r="180" hidden="1" ht="15" customHeight="1" s="5">
      <c r="A180" s="22" t="inlineStr">
        <is>
          <t>JUMBO ROOIBOS MANGO PEACH 12/20 DC SF ENV TBGS</t>
        </is>
      </c>
      <c r="B180" s="22" t="n">
        <v>7200</v>
      </c>
    </row>
    <row r="181" hidden="1" ht="15" customHeight="1" s="5">
      <c r="A181" s="22" t="inlineStr">
        <is>
          <t>JUMBO ROOIBOS ORIGINAL 12/20 DC SF ENV TBGS</t>
        </is>
      </c>
      <c r="B181" s="22" t="n">
        <v>7200</v>
      </c>
    </row>
    <row r="182" hidden="1" ht="15" customHeight="1" s="5">
      <c r="A182" s="22" t="inlineStr">
        <is>
          <t>JUMBO STRAWBERRY 12/20 DC SF ENV TBGS</t>
        </is>
      </c>
      <c r="B182" s="22" t="n">
        <v>7200</v>
      </c>
    </row>
    <row r="183" hidden="1" ht="15" customHeight="1" s="5">
      <c r="A183" s="22" t="inlineStr">
        <is>
          <t>KEEFE 10/100 SC ENV TBGS</t>
        </is>
      </c>
      <c r="B183" s="7" t="n"/>
    </row>
    <row r="184" hidden="1" ht="15" customHeight="1" s="5">
      <c r="A184" s="22" t="inlineStr">
        <is>
          <t>KEEFE 24/48 SC ENV TBGS</t>
        </is>
      </c>
      <c r="B184" s="7" t="n"/>
    </row>
    <row r="185" hidden="1" ht="15" customHeight="1" s="5">
      <c r="A185" s="22" t="inlineStr">
        <is>
          <t>KHAIMA 12/100 DC ENV TBGS</t>
        </is>
      </c>
      <c r="B185" s="22" t="n">
        <v>3321</v>
      </c>
    </row>
    <row r="186" hidden="1" ht="15" customHeight="1" s="5">
      <c r="A186" s="22" t="inlineStr">
        <is>
          <t>KHAIMA CRANBERRY APPLE 24/25 DC ENV TBGS</t>
        </is>
      </c>
      <c r="B186" s="22" t="n">
        <v>6375</v>
      </c>
    </row>
    <row r="187" hidden="1" ht="15" customHeight="1" s="5">
      <c r="A187" s="22" t="inlineStr">
        <is>
          <t>KHAIMA CRANBERRY APPLE 45/25 DC ENV TBGS</t>
        </is>
      </c>
      <c r="B187" s="22" t="n">
        <v>3330</v>
      </c>
    </row>
    <row r="188" hidden="1" ht="15" customHeight="1" s="5">
      <c r="A188" s="22" t="inlineStr">
        <is>
          <t>KHAIMA GINGER 24/25 DC ENV TBGS</t>
        </is>
      </c>
      <c r="B188" s="22" t="n">
        <v>6375</v>
      </c>
    </row>
    <row r="189" hidden="1" ht="15" customHeight="1" s="5">
      <c r="A189" s="22" t="inlineStr">
        <is>
          <t>KHAIMA MINT 24/25 DC ENV TBGS</t>
        </is>
      </c>
      <c r="B189" s="22" t="n">
        <v>6375</v>
      </c>
    </row>
    <row r="190" hidden="1" ht="15" customHeight="1" s="5">
      <c r="A190" s="22" t="inlineStr">
        <is>
          <t>KHAIMA ORANGE 24/25 DC ENV TBGS</t>
        </is>
      </c>
      <c r="B190" s="22" t="n">
        <v>6375</v>
      </c>
    </row>
    <row r="191" hidden="1" ht="15" customHeight="1" s="5">
      <c r="A191" s="22" t="inlineStr">
        <is>
          <t>KHAIMA STRAWBERRY 24/25 DC ENV TBGS</t>
        </is>
      </c>
      <c r="B191" s="22" t="n">
        <v>6375</v>
      </c>
    </row>
    <row r="192" hidden="1" ht="15" customHeight="1" s="5">
      <c r="A192" s="22" t="inlineStr">
        <is>
          <t>ORIBA GINGER  48/25 DC ENV TBGS</t>
        </is>
      </c>
      <c r="B192" s="22" t="n">
        <v>3100</v>
      </c>
    </row>
    <row r="193" hidden="1" ht="15" customHeight="1" s="5">
      <c r="A193" s="22" t="inlineStr">
        <is>
          <t>ORIBA MINT 48/25 DC ENV TBGS</t>
        </is>
      </c>
      <c r="B193" s="22" t="n">
        <v>3100</v>
      </c>
    </row>
    <row r="194" hidden="1" ht="15" customHeight="1" s="5">
      <c r="A194" s="22" t="inlineStr">
        <is>
          <t>ORIBA STRAWBERRY 48/25 DC ENV TBGS</t>
        </is>
      </c>
      <c r="B194" s="22" t="n">
        <v>3100</v>
      </c>
    </row>
    <row r="195" hidden="1" ht="15" customHeight="1" s="5">
      <c r="A195" s="22" t="inlineStr">
        <is>
          <t>PADI  24/100 SC TBGS TAGLESS (2 GMS)</t>
        </is>
      </c>
      <c r="B195" s="22" t="n">
        <v>2838</v>
      </c>
    </row>
    <row r="196" hidden="1" ht="15" customHeight="1" s="5">
      <c r="A196" s="22" t="inlineStr">
        <is>
          <t>PADI 12/100 DC ENV TBGS</t>
        </is>
      </c>
      <c r="B196" s="22" t="n">
        <v>3321</v>
      </c>
    </row>
    <row r="197" hidden="1" ht="15" customHeight="1" s="5">
      <c r="A197" s="22" t="inlineStr">
        <is>
          <t>PADI 24/25 DC ENV TBGS</t>
        </is>
      </c>
      <c r="B197" s="22" t="n">
        <v>6120</v>
      </c>
    </row>
    <row r="198" hidden="1" ht="15" customHeight="1" s="5">
      <c r="A198" s="22" t="inlineStr">
        <is>
          <t>PADI 24/50 DC ENV TBGS</t>
        </is>
      </c>
      <c r="B198" s="7" t="n"/>
    </row>
    <row r="199" hidden="1" ht="15" customHeight="1" s="5">
      <c r="A199" s="22" t="inlineStr">
        <is>
          <t>PREMIER 12/100 DC ENV TBGS</t>
        </is>
      </c>
      <c r="B199" s="22" t="n">
        <v>3321</v>
      </c>
    </row>
    <row r="200" hidden="1" ht="15" customHeight="1" s="5">
      <c r="A200" s="22" t="inlineStr">
        <is>
          <t>PREMIER CLOVE 24/25 DC ENV TBGS</t>
        </is>
      </c>
      <c r="B200" s="22" t="n">
        <v>6375</v>
      </c>
    </row>
    <row r="201" hidden="1" ht="15" customHeight="1" s="5">
      <c r="A201" s="22" t="inlineStr">
        <is>
          <t>PREMIER COCKTAIL 24/25 DC ENV TBGS</t>
        </is>
      </c>
      <c r="B201" s="22" t="n">
        <v>6375</v>
      </c>
    </row>
    <row r="202" hidden="1" ht="15" customHeight="1" s="5">
      <c r="A202" s="22" t="inlineStr">
        <is>
          <t>PREMIER GINGER 24/25 DC ENV TBGS</t>
        </is>
      </c>
      <c r="B202" s="22" t="n">
        <v>6375</v>
      </c>
    </row>
    <row r="203" hidden="1" ht="15" customHeight="1" s="5">
      <c r="A203" s="22" t="inlineStr">
        <is>
          <t>PREMIER HIBISCUS 24/25 DC ENV TBGS</t>
        </is>
      </c>
      <c r="B203" s="22" t="n">
        <v>6375</v>
      </c>
    </row>
    <row r="204" hidden="1" ht="15" customHeight="1" s="5">
      <c r="A204" s="22" t="inlineStr">
        <is>
          <t>PREMIER HIBISCUS APPLE 24/25 DC ENV TBGS</t>
        </is>
      </c>
      <c r="B204" s="22" t="n">
        <v>6375</v>
      </c>
    </row>
    <row r="205" hidden="1" ht="15" customHeight="1" s="5">
      <c r="A205" s="22" t="inlineStr">
        <is>
          <t>PREMIER LEMON 24/25 DC ENV TBGS</t>
        </is>
      </c>
      <c r="B205" s="22" t="n">
        <v>6375</v>
      </c>
    </row>
    <row r="206" hidden="1" ht="15" customHeight="1" s="5">
      <c r="A206" s="22" t="inlineStr">
        <is>
          <t>PREMIER MINT 24/25 DC ENV TBGS</t>
        </is>
      </c>
      <c r="B206" s="22" t="n">
        <v>6375</v>
      </c>
    </row>
    <row r="207" hidden="1" ht="15" customHeight="1" s="5">
      <c r="A207" s="22" t="inlineStr">
        <is>
          <t>PREMIER ORANGE 24/25 DC ENV TBGS</t>
        </is>
      </c>
      <c r="B207" s="22" t="n">
        <v>6375</v>
      </c>
    </row>
    <row r="208" hidden="1" ht="15" customHeight="1" s="5">
      <c r="A208" s="22" t="inlineStr">
        <is>
          <t>PREMIER ORANGE PEACH 24/25 DC ENV TBGS</t>
        </is>
      </c>
      <c r="B208" s="22" t="n">
        <v>6375</v>
      </c>
    </row>
    <row r="209" hidden="1" ht="15" customHeight="1" s="5">
      <c r="A209" s="22" t="inlineStr">
        <is>
          <t>PREMIER PINEAPPLE 24/25 DC ENV TBGS</t>
        </is>
      </c>
      <c r="B209" s="22" t="n">
        <v>6375</v>
      </c>
    </row>
    <row r="210" hidden="1" ht="15" customHeight="1" s="5">
      <c r="A210" s="22" t="inlineStr">
        <is>
          <t>PREMIER PINEAPPLE COCONUT 24/25 DC ENV TBGS</t>
        </is>
      </c>
      <c r="B210" s="22" t="n">
        <v>6375</v>
      </c>
    </row>
    <row r="211" hidden="1" ht="15" customHeight="1" s="5">
      <c r="A211" s="22" t="inlineStr">
        <is>
          <t>PREMIER STRAWBERRY 24/25 DC ENV TBGS</t>
        </is>
      </c>
      <c r="B211" s="22" t="n">
        <v>6375</v>
      </c>
    </row>
    <row r="212" hidden="1" ht="15" customHeight="1" s="5">
      <c r="A212" s="22" t="inlineStr">
        <is>
          <t>PREMIER TAMARIND 24/25 DC ENV TBGS</t>
        </is>
      </c>
      <c r="B212" s="22" t="n">
        <v>6375</v>
      </c>
    </row>
    <row r="213" hidden="1" ht="15" customHeight="1" s="5">
      <c r="A213" s="22" t="inlineStr">
        <is>
          <t>PREMIER WATERMELON 24/25 DC ENV TBGS</t>
        </is>
      </c>
      <c r="B213" s="22" t="n">
        <v>6375</v>
      </c>
    </row>
    <row r="214" hidden="1" ht="15" customHeight="1" s="5">
      <c r="A214" s="22" t="inlineStr">
        <is>
          <t>SANCHO 12/100 DC ENV TBGS</t>
        </is>
      </c>
      <c r="B214" s="22" t="n">
        <v>3321</v>
      </c>
    </row>
    <row r="215" hidden="1" ht="15" customHeight="1" s="5">
      <c r="A215" s="22" t="inlineStr">
        <is>
          <t>SPROUTS FARMERS MARKET ORGANIC BLACK TEA 12/100 SC ENV TBGS</t>
        </is>
      </c>
      <c r="B215" s="22" t="n">
        <v>1656</v>
      </c>
    </row>
    <row r="216" hidden="1" ht="15" customHeight="1" s="5">
      <c r="A216" s="22" t="inlineStr">
        <is>
          <t>SPROUTS FARMERS MARKET ORGANIC GREEN TEA 12/100 SC ENV TBGS</t>
        </is>
      </c>
      <c r="B216" s="22" t="n">
        <v>1656</v>
      </c>
    </row>
    <row r="217" hidden="1" ht="15" customHeight="1" s="5">
      <c r="A217" s="22" t="inlineStr">
        <is>
          <t>SUPER VALUE GOLD TEA 12/80 TAGLESS TBGS</t>
        </is>
      </c>
      <c r="B217" s="22" t="n">
        <v>3220</v>
      </c>
    </row>
    <row r="218" hidden="1" ht="15" customHeight="1" s="5">
      <c r="A218" s="22" t="inlineStr">
        <is>
          <t>TAPOK 12/100 DC ENV TBGS WITH T-SHIRT</t>
        </is>
      </c>
      <c r="B218" s="22" t="n">
        <v>3250</v>
      </c>
    </row>
    <row r="219" hidden="1" ht="15" customHeight="1" s="5">
      <c r="A219" s="22" t="inlineStr">
        <is>
          <t>TAPOK 24/50 DC ENV TBGS WITH BAG</t>
        </is>
      </c>
      <c r="B219" s="7" t="n"/>
    </row>
    <row r="220" hidden="1" ht="15" customHeight="1" s="5">
      <c r="A220" s="22" t="inlineStr">
        <is>
          <t>TAPOK CLOVE 24/25 DC ENV TBGS WITH T-SHIRT</t>
        </is>
      </c>
      <c r="B220" s="22" t="n">
        <v>6120</v>
      </c>
    </row>
    <row r="221" hidden="1" ht="15" customHeight="1" s="5">
      <c r="A221" s="22" t="inlineStr">
        <is>
          <t>TAPOK GINGER 24/25 DC ENV TBGS WITH T-SHIRT</t>
        </is>
      </c>
      <c r="B221" s="22" t="n">
        <v>6120</v>
      </c>
    </row>
    <row r="222" hidden="1" ht="15" customHeight="1" s="5">
      <c r="A222" s="22" t="inlineStr">
        <is>
          <t>TAPOK MINT 24/25 DC ENV TBGS WITH T-SHIRT</t>
        </is>
      </c>
      <c r="B222" s="22" t="n">
        <v>6120</v>
      </c>
    </row>
    <row r="223" hidden="1" ht="15" customHeight="1" s="5">
      <c r="A223" s="22" t="inlineStr">
        <is>
          <t>TAPOK ORANGE 24/25 DC ENV TBGS WITH T-SHIRT</t>
        </is>
      </c>
      <c r="B223" s="22" t="n">
        <v>6120</v>
      </c>
    </row>
    <row r="224" hidden="1" ht="15" customHeight="1" s="5">
      <c r="A224" s="22" t="inlineStr">
        <is>
          <t>TAPOK STRAWBERRY 24/25 DC ENV TBGS WITH T-SHIRT</t>
        </is>
      </c>
      <c r="B224" s="22" t="n">
        <v>6120</v>
      </c>
    </row>
    <row r="225" hidden="1" ht="15" customHeight="1" s="5">
      <c r="A225" s="22" t="inlineStr">
        <is>
          <t>TEA INDIA 12/2 LBS POLYBAG</t>
        </is>
      </c>
      <c r="B225" s="22" t="n">
        <v>2000</v>
      </c>
    </row>
    <row r="226" hidden="1" ht="15" customHeight="1" s="5">
      <c r="A226" s="22" t="inlineStr">
        <is>
          <t>TEA INDIA 24/1 LBS POLYBAG</t>
        </is>
      </c>
      <c r="B226" s="7" t="n"/>
    </row>
    <row r="227" hidden="1" ht="15" customHeight="1" s="5">
      <c r="A227" s="22" t="inlineStr">
        <is>
          <t>TEA INDIA 6/10 CHAI MMNTS GNGR TRMRIC CL (NEW)</t>
        </is>
      </c>
      <c r="B227" s="7" t="n"/>
    </row>
    <row r="228" hidden="1" ht="15" customHeight="1" s="5">
      <c r="A228" s="22" t="inlineStr">
        <is>
          <t>TEA INDIA 6/10 CHAI MMNTS INST CINN CL (NEW)</t>
        </is>
      </c>
      <c r="B228" s="7" t="n"/>
    </row>
    <row r="229" hidden="1" ht="15" customHeight="1" s="5">
      <c r="A229" s="22" t="inlineStr">
        <is>
          <t>TEA INDIA 6/10 CHAI MMNTS INST GNGR CL (V2)</t>
        </is>
      </c>
      <c r="B229" s="7" t="n"/>
    </row>
    <row r="230" hidden="1" ht="15" customHeight="1" s="5">
      <c r="A230" s="22" t="inlineStr">
        <is>
          <t>TEA INDIA 6/10 CHAI MMNTS INST MILK CL</t>
        </is>
      </c>
      <c r="B230" s="7" t="n"/>
    </row>
    <row r="231" hidden="1" ht="15" customHeight="1" s="5">
      <c r="A231" s="22" t="inlineStr">
        <is>
          <t>TEA INDIA 6/10 CHAI MMNTS INST UNSWTND CRDM</t>
        </is>
      </c>
      <c r="B231" s="7" t="n"/>
    </row>
    <row r="232" hidden="1" ht="15" customHeight="1" s="5">
      <c r="A232" s="22" t="inlineStr">
        <is>
          <t>TEA INDIA 6/10 CHAI MMNTS INST UNSWTND GNGR</t>
        </is>
      </c>
      <c r="B232" s="7" t="n"/>
    </row>
    <row r="233" hidden="1" ht="15" customHeight="1" s="5">
      <c r="A233" s="22" t="inlineStr">
        <is>
          <t>TEA INDIA 6/10 CHAI MMNTS LEMON GRASS CL</t>
        </is>
      </c>
      <c r="B233" s="7" t="n"/>
    </row>
    <row r="234" hidden="1" ht="15" customHeight="1" s="5">
      <c r="A234" s="22" t="inlineStr">
        <is>
          <t>TEA INDIA 6/10 CHAI MMNTS SAFFRON CL</t>
        </is>
      </c>
      <c r="B234" s="7" t="n"/>
    </row>
    <row r="235" hidden="1" ht="15" customHeight="1" s="5">
      <c r="A235" s="22" t="inlineStr">
        <is>
          <t>TEA INDIA 6-3 LB CTC TEA</t>
        </is>
      </c>
      <c r="B235" s="7" t="n"/>
    </row>
    <row r="236" hidden="1" ht="15" customHeight="1" s="5">
      <c r="A236" s="22" t="inlineStr">
        <is>
          <t>TEZ CAFE CAPPUCCINO 3 IN 1 (25GMS) 12 STRIPS X 10 SACHETS WITH HANGER</t>
        </is>
      </c>
      <c r="B236" s="7" t="n"/>
    </row>
    <row r="237" hidden="1" ht="15" customHeight="1" s="5">
      <c r="A237" s="22" t="inlineStr">
        <is>
          <t>TEZ CAFE HOT CHOCOLATE 3 IN 1 (30GMS) 12 STRIPS X 10 SACHETS WITH HANGER</t>
        </is>
      </c>
      <c r="B237" s="7" t="n"/>
    </row>
    <row r="238" hidden="1" ht="15" customHeight="1" s="5">
      <c r="A238" s="22" t="inlineStr">
        <is>
          <t>TEZ CAFE INSTANT COFFEE 9/150 SACHETS (15 STRIPS X 10 SACHETS X 2 GMS) WITH HANGER</t>
        </is>
      </c>
      <c r="B238" s="7" t="n"/>
    </row>
    <row r="239" hidden="1" ht="15" customHeight="1" s="5">
      <c r="A239" s="22" t="inlineStr">
        <is>
          <t>TEZ CAFE COFFEE 3 IN 1 (25GMS) 12 STRIPS X 10 SACHETS WITH HANGER</t>
        </is>
      </c>
      <c r="B239" s="7" t="n"/>
    </row>
    <row r="240" ht="15" customHeight="1" s="5">
      <c r="A240" s="22" t="inlineStr">
        <is>
          <t>TRSCO 32-3 OZ AB RND RFA ITBS</t>
        </is>
      </c>
      <c r="B240" s="7" t="n"/>
    </row>
    <row r="241" hidden="1" ht="15" customHeight="1" s="5">
      <c r="A241" s="22" t="inlineStr">
        <is>
          <t>VIVO 12/100 DC ENV TBGS</t>
        </is>
      </c>
      <c r="B241" s="22" t="n">
        <v>3321</v>
      </c>
    </row>
    <row r="242" hidden="1" ht="15" customHeight="1" s="5">
      <c r="A242" s="22" t="inlineStr">
        <is>
          <t>VIVO 24/25 DC ENV TBGS</t>
        </is>
      </c>
      <c r="B242" s="22" t="n">
        <v>6375</v>
      </c>
    </row>
  </sheetData>
  <autoFilter ref="A1:B242">
    <filterColumn colId="0" hiddenButton="0" showButton="1">
      <filters>
        <filter val="TRSCO 32-3 OZ AB RND RFA ITBS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01"/>
  <sheetViews>
    <sheetView showGridLines="0" tabSelected="0" zoomScaleNormal="100" workbookViewId="0">
      <pane ySplit="2" topLeftCell="A3" activePane="bottomLeft" state="frozen"/>
      <selection pane="bottomLeft" activeCell="D16" sqref="D16"/>
    </sheetView>
  </sheetViews>
  <sheetFormatPr baseColWidth="8" defaultColWidth="8.5546875" defaultRowHeight="14.4"/>
  <cols>
    <col width="8" customWidth="1" style="70" min="1" max="1"/>
    <col width="9" customWidth="1" style="5" min="2" max="2"/>
    <col width="9" customWidth="1" style="5" min="3" max="3"/>
    <col width="26" customWidth="1" style="5" min="4" max="4"/>
    <col width="7" customWidth="1" style="5" min="5" max="5"/>
    <col width="7" customWidth="1" style="5" min="6" max="6"/>
    <col width="9" customWidth="1" style="5" min="7" max="18"/>
    <col width="7" customWidth="1" style="5" min="8" max="8"/>
    <col width="7" customWidth="1" style="5" min="9" max="9"/>
    <col width="7" customWidth="1" style="5" min="10" max="10"/>
    <col width="7" customWidth="1" style="5" min="11" max="11"/>
    <col width="7" customWidth="1" style="5" min="12" max="12"/>
    <col width="7" customWidth="1" style="5" min="13" max="13"/>
    <col width="7" customWidth="1" style="5" min="14" max="14"/>
    <col width="7" customWidth="1" style="5" min="15" max="15"/>
    <col width="7" customWidth="1" style="5" min="16" max="16"/>
    <col width="7" customWidth="1" style="5" min="17" max="17"/>
    <col width="7" customWidth="1" style="5" min="18" max="18"/>
    <col width="7" customWidth="1" style="5" min="19" max="19"/>
    <col hidden="1" width="13" customWidth="1" style="5" min="20" max="21"/>
    <col width="7" customWidth="1" style="5" min="21" max="21"/>
    <col hidden="1" width="7" customWidth="1" style="5" min="22" max="22"/>
    <col width="7" customWidth="1" style="5" min="23" max="23"/>
    <col width="7" customWidth="1" style="5" min="24" max="24"/>
    <col width="7" customWidth="1" style="5" min="25" max="25"/>
    <col width="7" customWidth="1" style="5" min="26" max="26"/>
    <col width="7" customWidth="1" style="5" min="27" max="27"/>
    <col width="7" customWidth="1" style="5" min="28" max="28"/>
    <col width="7" customWidth="1" style="5" min="29" max="29"/>
    <col width="7" customWidth="1" style="5" min="30" max="30"/>
    <col width="7" customWidth="1" style="5" min="31" max="31"/>
    <col width="7" customWidth="1" style="5" min="32" max="32"/>
    <col width="13" customWidth="1" style="5" min="33" max="33"/>
    <col width="13" customWidth="1" style="5" min="34" max="34"/>
    <col width="13" customWidth="1" style="5" min="35" max="35"/>
  </cols>
  <sheetData>
    <row r="1" ht="15" customHeight="1" s="5">
      <c r="A1" s="99" t="inlineStr">
        <is>
          <t>Order Vs Week Distribution</t>
        </is>
      </c>
      <c r="B1" s="84" t="n"/>
      <c r="C1" s="84" t="n"/>
      <c r="D1" s="84" t="n"/>
      <c r="E1" s="84" t="n"/>
      <c r="F1" s="84" t="n"/>
      <c r="G1" s="85" t="n"/>
      <c r="H1" s="122" t="inlineStr">
        <is>
          <t>Based on Pending Production</t>
        </is>
      </c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23" t="n"/>
      <c r="U1" s="122" t="inlineStr">
        <is>
          <t>Based on Order Qty</t>
        </is>
      </c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H1" s="23" t="inlineStr">
        <is>
          <t>Routing Line</t>
        </is>
      </c>
      <c r="AI1" s="101" t="inlineStr">
        <is>
          <t>Capacity Group</t>
        </is>
      </c>
    </row>
    <row r="2" ht="27.75" customHeight="1" s="5">
      <c r="A2" s="67" t="inlineStr">
        <is>
          <t>Zone</t>
        </is>
      </c>
      <c r="B2" s="67" t="inlineStr">
        <is>
          <t>Region</t>
        </is>
      </c>
      <c r="C2" s="67" t="n"/>
      <c r="D2" s="67" t="inlineStr">
        <is>
          <t>Machine Line</t>
        </is>
      </c>
      <c r="E2" s="67" t="inlineStr">
        <is>
          <t>No. of Machines</t>
        </is>
      </c>
      <c r="F2" s="67" t="inlineStr">
        <is>
          <t>No. of Shifts</t>
        </is>
      </c>
      <c r="G2" s="67" t="inlineStr">
        <is>
          <t>Capacity(In containers)</t>
        </is>
      </c>
      <c r="H2" s="67" t="inlineStr">
        <is>
          <t>W #41</t>
        </is>
      </c>
      <c r="I2" s="67" t="inlineStr">
        <is>
          <t>W #42</t>
        </is>
      </c>
      <c r="J2" s="67" t="inlineStr">
        <is>
          <t>W #43</t>
        </is>
      </c>
      <c r="K2" s="67" t="inlineStr">
        <is>
          <t>W #44</t>
        </is>
      </c>
      <c r="L2" s="67" t="inlineStr">
        <is>
          <t>W #45</t>
        </is>
      </c>
      <c r="M2" s="67" t="inlineStr">
        <is>
          <t>W #46</t>
        </is>
      </c>
      <c r="N2" s="67" t="inlineStr">
        <is>
          <t>W #47</t>
        </is>
      </c>
      <c r="O2" s="67" t="inlineStr">
        <is>
          <t>W #48</t>
        </is>
      </c>
      <c r="P2" s="67" t="inlineStr">
        <is>
          <t>W #49</t>
        </is>
      </c>
      <c r="Q2" s="67" t="inlineStr">
        <is>
          <t>W #50</t>
        </is>
      </c>
      <c r="R2" s="67" t="inlineStr">
        <is>
          <t>W #51</t>
        </is>
      </c>
      <c r="S2" s="67" t="inlineStr">
        <is>
          <t>W #52</t>
        </is>
      </c>
      <c r="T2" s="23" t="n"/>
      <c r="U2" s="67">
        <f>H2</f>
        <v/>
      </c>
      <c r="V2" s="67">
        <f>I2</f>
        <v/>
      </c>
      <c r="W2" s="67">
        <f>J2</f>
        <v/>
      </c>
      <c r="X2" s="67">
        <f>K2</f>
        <v/>
      </c>
      <c r="Y2" s="67">
        <f>L2</f>
        <v/>
      </c>
      <c r="Z2" s="67">
        <f>M2</f>
        <v/>
      </c>
      <c r="AA2" s="67">
        <f>N2</f>
        <v/>
      </c>
      <c r="AB2" s="67">
        <f>O2</f>
        <v/>
      </c>
      <c r="AC2" s="67">
        <f>P2</f>
        <v/>
      </c>
      <c r="AD2" s="67">
        <f>Q2</f>
        <v/>
      </c>
      <c r="AE2" s="67">
        <f>R2</f>
        <v/>
      </c>
      <c r="AF2" s="67">
        <f>S2</f>
        <v/>
      </c>
      <c r="AH2" s="23" t="inlineStr">
        <is>
          <t>CONSTANTA ENV</t>
        </is>
      </c>
      <c r="AI2" s="101" t="inlineStr">
        <is>
          <t>CONSTANTA ENV (FLAVOUR &amp; BLACK TEA)</t>
        </is>
      </c>
    </row>
    <row r="3" ht="15" customHeight="1" s="5">
      <c r="A3" s="123" t="inlineStr">
        <is>
          <t>Zone 1</t>
        </is>
      </c>
      <c r="B3" s="103" t="inlineStr">
        <is>
          <t>AFRICA</t>
        </is>
      </c>
      <c r="C3" s="65" t="inlineStr">
        <is>
          <t>DC</t>
        </is>
      </c>
      <c r="D3" s="52" t="inlineStr">
        <is>
          <t>C250 AF</t>
        </is>
      </c>
      <c r="E3" s="53" t="n">
        <v>5</v>
      </c>
      <c r="F3" s="53" t="n">
        <v>2</v>
      </c>
      <c r="G3" s="75">
        <f>IFERROR(IF(OR($F3=0,VLOOKUP($D3,'MC MASTER'!$A:$R,18,0)=0),"-",ROUND(VLOOKUP($D3,'MC MASTER'!$A:$R,18,0)*$E3*$F3,3)),"-")</f>
        <v/>
      </c>
      <c r="H3" s="75">
        <f>IFERROR(SUMIFS(WORKING!$Y:$Y,WORKING!$X:$X,$D3,WORKING!$W:$W,H$500),"")</f>
        <v/>
      </c>
      <c r="I3" s="75">
        <f>IFERROR(SUMIFS(WORKING!$Y:$Y,WORKING!$X:$X,$D3,WORKING!$W:$W,I$500),"")</f>
        <v/>
      </c>
      <c r="J3" s="75">
        <f>IFERROR(SUMIFS(WORKING!$Y:$Y,WORKING!$X:$X,$D3,WORKING!$W:$W,J$500),"")</f>
        <v/>
      </c>
      <c r="K3" s="75">
        <f>IFERROR(SUMIFS(WORKING!$Y:$Y,WORKING!$X:$X,$D3,WORKING!$W:$W,K$500),"")</f>
        <v/>
      </c>
      <c r="L3" s="75">
        <f>IFERROR(SUMIFS(WORKING!$Y:$Y,WORKING!$X:$X,$D3,WORKING!$W:$W,L$500),"")</f>
        <v/>
      </c>
      <c r="M3" s="75">
        <f>IFERROR(SUMIFS(WORKING!$Y:$Y,WORKING!$X:$X,$D3,WORKING!$W:$W,M$500),"")</f>
        <v/>
      </c>
      <c r="N3" s="75">
        <f>IFERROR(SUMIFS(WORKING!$Y:$Y,WORKING!$X:$X,$D3,WORKING!$W:$W,N$500),"")</f>
        <v/>
      </c>
      <c r="O3" s="75">
        <f>IFERROR(SUMIFS(WORKING!$Y:$Y,WORKING!$X:$X,$D3,WORKING!$W:$W,O$500),"")</f>
        <v/>
      </c>
      <c r="P3" s="75">
        <f>IFERROR(SUMIFS(WORKING!$Y:$Y,WORKING!$X:$X,$D3,WORKING!$W:$W,P$500),"")</f>
        <v/>
      </c>
      <c r="Q3" s="75">
        <f>IFERROR(SUMIFS(WORKING!$Y:$Y,WORKING!$X:$X,$D3,WORKING!$W:$W,Q$500),"")</f>
        <v/>
      </c>
      <c r="R3" s="75">
        <f>IFERROR(SUMIFS(WORKING!$Y:$Y,WORKING!$X:$X,$D3,WORKING!$W:$W,R$500),"")</f>
        <v/>
      </c>
      <c r="S3" s="75">
        <f>IFERROR(SUMIFS(WORKING!$Y:$Y,WORKING!$X:$X,$D3,WORKING!$W:$W,S$500),"")</f>
        <v/>
      </c>
      <c r="T3" s="23" t="n"/>
      <c r="U3" s="75">
        <f>IFERROR(SUMIFS(WORKING!$Z:$Z,WORKING!$X:$X,$D3,WORKING!$W:$W,H$500),"")</f>
        <v/>
      </c>
      <c r="V3" s="75">
        <f>IFERROR(SUMIFS(WORKING!$Z:$Z,WORKING!$X:$X,$D3,WORKING!$W:$W,I$500),"")</f>
        <v/>
      </c>
      <c r="W3" s="75">
        <f>IFERROR(SUMIFS(WORKING!$Z:$Z,WORKING!$X:$X,$D3,WORKING!$W:$W,J$500),"")</f>
        <v/>
      </c>
      <c r="X3" s="75">
        <f>IFERROR(SUMIFS(WORKING!$Z:$Z,WORKING!$X:$X,$D3,WORKING!$W:$W,K$500),"")</f>
        <v/>
      </c>
      <c r="Y3" s="75">
        <f>IFERROR(SUMIFS(WORKING!$Z:$Z,WORKING!$X:$X,$D3,WORKING!$W:$W,L$500),"")</f>
        <v/>
      </c>
      <c r="Z3" s="75">
        <f>IFERROR(SUMIFS(WORKING!$Z:$Z,WORKING!$X:$X,$D3,WORKING!$W:$W,M$500),"")</f>
        <v/>
      </c>
      <c r="AA3" s="75">
        <f>IFERROR(SUMIFS(WORKING!$Z:$Z,WORKING!$X:$X,$D3,WORKING!$W:$W,N$500),"")</f>
        <v/>
      </c>
      <c r="AB3" s="75">
        <f>IFERROR(SUMIFS(WORKING!$Z:$Z,WORKING!$X:$X,$D3,WORKING!$W:$W,O$500),"")</f>
        <v/>
      </c>
      <c r="AC3" s="75">
        <f>IFERROR(SUMIFS(WORKING!$Z:$Z,WORKING!$X:$X,$D3,WORKING!$W:$W,P$500),"")</f>
        <v/>
      </c>
      <c r="AD3" s="75">
        <f>IFERROR(SUMIFS(WORKING!$Z:$Z,WORKING!$X:$X,$D3,WORKING!$W:$W,Q$500),"")</f>
        <v/>
      </c>
      <c r="AE3" s="75">
        <f>IFERROR(SUMIFS(WORKING!$Z:$Z,WORKING!$X:$X,$D3,WORKING!$W:$W,R$500),"")</f>
        <v/>
      </c>
      <c r="AF3" s="75">
        <f>IFERROR(SUMIFS(WORKING!$Z:$Z,WORKING!$X:$X,$D3,WORKING!$W:$W,S$500),"")</f>
        <v/>
      </c>
      <c r="AH3" s="23" t="inlineStr">
        <is>
          <t>CONSTANTA ENV BT</t>
        </is>
      </c>
      <c r="AI3" s="101" t="inlineStr">
        <is>
          <t>CONSTANTA ENV (FLAVOUR &amp; BLACK TEA)</t>
        </is>
      </c>
    </row>
    <row r="4" ht="15" customHeight="1" s="5">
      <c r="A4" s="104" t="n"/>
      <c r="B4" s="104" t="n"/>
      <c r="C4" s="104" t="n"/>
      <c r="D4" s="52" t="inlineStr">
        <is>
          <t>CONSTANTA ENV (FLAVOUR &amp; BLACK TEA)</t>
        </is>
      </c>
      <c r="E4" s="53" t="n">
        <v>23</v>
      </c>
      <c r="F4" s="53" t="n">
        <v>2</v>
      </c>
      <c r="G4" s="75">
        <f>IFERROR(IF(OR($F4=0,VLOOKUP($D4,'MC MASTER'!$A:$R,18,0)=0),"-",ROUND(VLOOKUP($D4,'MC MASTER'!$A:$R,18,0)*$E4*$F4,3)),"-")</f>
        <v/>
      </c>
      <c r="H4" s="75">
        <f>IFERROR(SUMIFS(WORKING!$Y:$Y,WORKING!$X:$X,$D4,WORKING!$W:$W,H$500),"")</f>
        <v/>
      </c>
      <c r="I4" s="75">
        <f>IFERROR(SUMIFS(WORKING!$Y:$Y,WORKING!$X:$X,$D4,WORKING!$W:$W,I$500),"")</f>
        <v/>
      </c>
      <c r="J4" s="75">
        <f>IFERROR(SUMIFS(WORKING!$Y:$Y,WORKING!$X:$X,$D4,WORKING!$W:$W,J$500),"")</f>
        <v/>
      </c>
      <c r="K4" s="75">
        <f>IFERROR(SUMIFS(WORKING!$Y:$Y,WORKING!$X:$X,$D4,WORKING!$W:$W,K$500),"")</f>
        <v/>
      </c>
      <c r="L4" s="75">
        <f>IFERROR(SUMIFS(WORKING!$Y:$Y,WORKING!$X:$X,$D4,WORKING!$W:$W,L$500),"")</f>
        <v/>
      </c>
      <c r="M4" s="75">
        <f>IFERROR(SUMIFS(WORKING!$Y:$Y,WORKING!$X:$X,$D4,WORKING!$W:$W,M$500),"")</f>
        <v/>
      </c>
      <c r="N4" s="75">
        <f>IFERROR(SUMIFS(WORKING!$Y:$Y,WORKING!$X:$X,$D4,WORKING!$W:$W,N$500),"")</f>
        <v/>
      </c>
      <c r="O4" s="75">
        <f>IFERROR(SUMIFS(WORKING!$Y:$Y,WORKING!$X:$X,$D4,WORKING!$W:$W,O$500),"")</f>
        <v/>
      </c>
      <c r="P4" s="75">
        <f>IFERROR(SUMIFS(WORKING!$Y:$Y,WORKING!$X:$X,$D4,WORKING!$W:$W,P$500),"")</f>
        <v/>
      </c>
      <c r="Q4" s="75">
        <f>IFERROR(SUMIFS(WORKING!$Y:$Y,WORKING!$X:$X,$D4,WORKING!$W:$W,Q$500),"")</f>
        <v/>
      </c>
      <c r="R4" s="75">
        <f>IFERROR(SUMIFS(WORKING!$Y:$Y,WORKING!$X:$X,$D4,WORKING!$W:$W,R$500),"")</f>
        <v/>
      </c>
      <c r="S4" s="75">
        <f>IFERROR(SUMIFS(WORKING!$Y:$Y,WORKING!$X:$X,$D4,WORKING!$W:$W,S$500),"")</f>
        <v/>
      </c>
      <c r="T4" s="23" t="n"/>
      <c r="U4" s="75">
        <f>IFERROR(SUMIFS(WORKING!$Z:$Z,WORKING!$X:$X,$D4,WORKING!$W:$W,H$500),"")</f>
        <v/>
      </c>
      <c r="V4" s="75">
        <f>IFERROR(SUMIFS(WORKING!$Z:$Z,WORKING!$X:$X,$D4,WORKING!$W:$W,I$500),"")</f>
        <v/>
      </c>
      <c r="W4" s="75">
        <f>IFERROR(SUMIFS(WORKING!$Z:$Z,WORKING!$X:$X,$D4,WORKING!$W:$W,J$500),"")</f>
        <v/>
      </c>
      <c r="X4" s="75">
        <f>IFERROR(SUMIFS(WORKING!$Z:$Z,WORKING!$X:$X,$D4,WORKING!$W:$W,K$500),"")</f>
        <v/>
      </c>
      <c r="Y4" s="75">
        <f>IFERROR(SUMIFS(WORKING!$Z:$Z,WORKING!$X:$X,$D4,WORKING!$W:$W,L$500),"")</f>
        <v/>
      </c>
      <c r="Z4" s="75">
        <f>IFERROR(SUMIFS(WORKING!$Z:$Z,WORKING!$X:$X,$D4,WORKING!$W:$W,M$500),"")</f>
        <v/>
      </c>
      <c r="AA4" s="75">
        <f>IFERROR(SUMIFS(WORKING!$Z:$Z,WORKING!$X:$X,$D4,WORKING!$W:$W,N$500),"")</f>
        <v/>
      </c>
      <c r="AB4" s="75">
        <f>IFERROR(SUMIFS(WORKING!$Z:$Z,WORKING!$X:$X,$D4,WORKING!$W:$W,O$500),"")</f>
        <v/>
      </c>
      <c r="AC4" s="75">
        <f>IFERROR(SUMIFS(WORKING!$Z:$Z,WORKING!$X:$X,$D4,WORKING!$W:$W,P$500),"")</f>
        <v/>
      </c>
      <c r="AD4" s="75">
        <f>IFERROR(SUMIFS(WORKING!$Z:$Z,WORKING!$X:$X,$D4,WORKING!$W:$W,Q$500),"")</f>
        <v/>
      </c>
      <c r="AE4" s="75">
        <f>IFERROR(SUMIFS(WORKING!$Z:$Z,WORKING!$X:$X,$D4,WORKING!$W:$W,R$500),"")</f>
        <v/>
      </c>
      <c r="AF4" s="75">
        <f>IFERROR(SUMIFS(WORKING!$Z:$Z,WORKING!$X:$X,$D4,WORKING!$W:$W,S$500),"")</f>
        <v/>
      </c>
      <c r="AH4" s="23" t="inlineStr">
        <is>
          <t>CONSTANTA ENV BT 25</t>
        </is>
      </c>
      <c r="AI4" s="101" t="inlineStr">
        <is>
          <t>CONSTANTA ENV (FLAVOUR &amp; BLACK TEA)</t>
        </is>
      </c>
    </row>
    <row r="5" ht="15" customHeight="1" s="5">
      <c r="A5" s="104" t="n"/>
      <c r="B5" s="104" t="n"/>
      <c r="C5" s="104" t="n"/>
      <c r="D5" s="52" t="inlineStr">
        <is>
          <t>CONSTANTA ENV (HERBAL)</t>
        </is>
      </c>
      <c r="E5" s="53" t="n">
        <v>9</v>
      </c>
      <c r="F5" s="53" t="n">
        <v>2</v>
      </c>
      <c r="G5" s="75">
        <f>IFERROR(IF(OR($F5=0,VLOOKUP($D5,'MC MASTER'!$A:$R,18,0)=0),"-",ROUND(VLOOKUP($D5,'MC MASTER'!$A:$R,18,0)*$E5*$F5,3)),"-")</f>
        <v/>
      </c>
      <c r="H5" s="75">
        <f>IFERROR(SUMIFS(WORKING!$Y:$Y,WORKING!$X:$X,$D5,WORKING!$W:$W,H$500),"")</f>
        <v/>
      </c>
      <c r="I5" s="75">
        <f>IFERROR(SUMIFS(WORKING!$Y:$Y,WORKING!$X:$X,$D5,WORKING!$W:$W,I$500),"")</f>
        <v/>
      </c>
      <c r="J5" s="75">
        <f>IFERROR(SUMIFS(WORKING!$Y:$Y,WORKING!$X:$X,$D5,WORKING!$W:$W,J$500),"")</f>
        <v/>
      </c>
      <c r="K5" s="75">
        <f>IFERROR(SUMIFS(WORKING!$Y:$Y,WORKING!$X:$X,$D5,WORKING!$W:$W,K$500),"")</f>
        <v/>
      </c>
      <c r="L5" s="75">
        <f>IFERROR(SUMIFS(WORKING!$Y:$Y,WORKING!$X:$X,$D5,WORKING!$W:$W,L$500),"")</f>
        <v/>
      </c>
      <c r="M5" s="75">
        <f>IFERROR(SUMIFS(WORKING!$Y:$Y,WORKING!$X:$X,$D5,WORKING!$W:$W,M$500),"")</f>
        <v/>
      </c>
      <c r="N5" s="75">
        <f>IFERROR(SUMIFS(WORKING!$Y:$Y,WORKING!$X:$X,$D5,WORKING!$W:$W,N$500),"")</f>
        <v/>
      </c>
      <c r="O5" s="75">
        <f>IFERROR(SUMIFS(WORKING!$Y:$Y,WORKING!$X:$X,$D5,WORKING!$W:$W,O$500),"")</f>
        <v/>
      </c>
      <c r="P5" s="75">
        <f>IFERROR(SUMIFS(WORKING!$Y:$Y,WORKING!$X:$X,$D5,WORKING!$W:$W,P$500),"")</f>
        <v/>
      </c>
      <c r="Q5" s="75">
        <f>IFERROR(SUMIFS(WORKING!$Y:$Y,WORKING!$X:$X,$D5,WORKING!$W:$W,Q$500),"")</f>
        <v/>
      </c>
      <c r="R5" s="75">
        <f>IFERROR(SUMIFS(WORKING!$Y:$Y,WORKING!$X:$X,$D5,WORKING!$W:$W,R$500),"")</f>
        <v/>
      </c>
      <c r="S5" s="75">
        <f>IFERROR(SUMIFS(WORKING!$Y:$Y,WORKING!$X:$X,$D5,WORKING!$W:$W,S$500),"")</f>
        <v/>
      </c>
      <c r="T5" s="23" t="n"/>
      <c r="U5" s="75">
        <f>IFERROR(SUMIFS(WORKING!$Z:$Z,WORKING!$X:$X,$D5,WORKING!$W:$W,H$500),"")</f>
        <v/>
      </c>
      <c r="V5" s="75">
        <f>IFERROR(SUMIFS(WORKING!$Z:$Z,WORKING!$X:$X,$D5,WORKING!$W:$W,I$500),"")</f>
        <v/>
      </c>
      <c r="W5" s="75">
        <f>IFERROR(SUMIFS(WORKING!$Z:$Z,WORKING!$X:$X,$D5,WORKING!$W:$W,J$500),"")</f>
        <v/>
      </c>
      <c r="X5" s="75">
        <f>IFERROR(SUMIFS(WORKING!$Z:$Z,WORKING!$X:$X,$D5,WORKING!$W:$W,K$500),"")</f>
        <v/>
      </c>
      <c r="Y5" s="75">
        <f>IFERROR(SUMIFS(WORKING!$Z:$Z,WORKING!$X:$X,$D5,WORKING!$W:$W,L$500),"")</f>
        <v/>
      </c>
      <c r="Z5" s="75">
        <f>IFERROR(SUMIFS(WORKING!$Z:$Z,WORKING!$X:$X,$D5,WORKING!$W:$W,M$500),"")</f>
        <v/>
      </c>
      <c r="AA5" s="75">
        <f>IFERROR(SUMIFS(WORKING!$Z:$Z,WORKING!$X:$X,$D5,WORKING!$W:$W,N$500),"")</f>
        <v/>
      </c>
      <c r="AB5" s="75">
        <f>IFERROR(SUMIFS(WORKING!$Z:$Z,WORKING!$X:$X,$D5,WORKING!$W:$W,O$500),"")</f>
        <v/>
      </c>
      <c r="AC5" s="75">
        <f>IFERROR(SUMIFS(WORKING!$Z:$Z,WORKING!$X:$X,$D5,WORKING!$W:$W,P$500),"")</f>
        <v/>
      </c>
      <c r="AD5" s="75">
        <f>IFERROR(SUMIFS(WORKING!$Z:$Z,WORKING!$X:$X,$D5,WORKING!$W:$W,Q$500),"")</f>
        <v/>
      </c>
      <c r="AE5" s="75">
        <f>IFERROR(SUMIFS(WORKING!$Z:$Z,WORKING!$X:$X,$D5,WORKING!$W:$W,R$500),"")</f>
        <v/>
      </c>
      <c r="AF5" s="75">
        <f>IFERROR(SUMIFS(WORKING!$Z:$Z,WORKING!$X:$X,$D5,WORKING!$W:$W,S$500),"")</f>
        <v/>
      </c>
      <c r="AH5" s="23" t="inlineStr">
        <is>
          <t>CONSTANTA ENV F</t>
        </is>
      </c>
      <c r="AI5" s="101" t="inlineStr">
        <is>
          <t>CONSTANTA ENV (FLAVOUR &amp; BLACK TEA)</t>
        </is>
      </c>
    </row>
    <row r="6" ht="15" customHeight="1" s="5">
      <c r="A6" s="104" t="n"/>
      <c r="B6" s="104" t="n"/>
      <c r="C6" s="104" t="n"/>
      <c r="D6" s="52" t="inlineStr">
        <is>
          <t>MD20 ENV</t>
        </is>
      </c>
      <c r="E6" s="53" t="n">
        <v>4</v>
      </c>
      <c r="F6" s="53" t="n">
        <v>2</v>
      </c>
      <c r="G6" s="75">
        <f>IFERROR(IF(OR($F6=0,VLOOKUP($D6,'MC MASTER'!$A:$R,18,0)=0),"-",ROUND(VLOOKUP($D6,'MC MASTER'!$A:$R,18,0)*$E6*$F6,3)),"-")</f>
        <v/>
      </c>
      <c r="H6" s="75">
        <f>IFERROR(SUMIFS(WORKING!$Y:$Y,WORKING!$X:$X,$D6,WORKING!$W:$W,H$500),"")</f>
        <v/>
      </c>
      <c r="I6" s="75">
        <f>IFERROR(SUMIFS(WORKING!$Y:$Y,WORKING!$X:$X,$D6,WORKING!$W:$W,I$500),"")</f>
        <v/>
      </c>
      <c r="J6" s="75">
        <f>IFERROR(SUMIFS(WORKING!$Y:$Y,WORKING!$X:$X,$D6,WORKING!$W:$W,J$500),"")</f>
        <v/>
      </c>
      <c r="K6" s="75">
        <f>IFERROR(SUMIFS(WORKING!$Y:$Y,WORKING!$X:$X,$D6,WORKING!$W:$W,K$500),"")</f>
        <v/>
      </c>
      <c r="L6" s="75">
        <f>IFERROR(SUMIFS(WORKING!$Y:$Y,WORKING!$X:$X,$D6,WORKING!$W:$W,L$500),"")</f>
        <v/>
      </c>
      <c r="M6" s="75">
        <f>IFERROR(SUMIFS(WORKING!$Y:$Y,WORKING!$X:$X,$D6,WORKING!$W:$W,M$500),"")</f>
        <v/>
      </c>
      <c r="N6" s="75">
        <f>IFERROR(SUMIFS(WORKING!$Y:$Y,WORKING!$X:$X,$D6,WORKING!$W:$W,N$500),"")</f>
        <v/>
      </c>
      <c r="O6" s="75">
        <f>IFERROR(SUMIFS(WORKING!$Y:$Y,WORKING!$X:$X,$D6,WORKING!$W:$W,O$500),"")</f>
        <v/>
      </c>
      <c r="P6" s="75">
        <f>IFERROR(SUMIFS(WORKING!$Y:$Y,WORKING!$X:$X,$D6,WORKING!$W:$W,P$500),"")</f>
        <v/>
      </c>
      <c r="Q6" s="75">
        <f>IFERROR(SUMIFS(WORKING!$Y:$Y,WORKING!$X:$X,$D6,WORKING!$W:$W,Q$500),"")</f>
        <v/>
      </c>
      <c r="R6" s="75">
        <f>IFERROR(SUMIFS(WORKING!$Y:$Y,WORKING!$X:$X,$D6,WORKING!$W:$W,R$500),"")</f>
        <v/>
      </c>
      <c r="S6" s="75">
        <f>IFERROR(SUMIFS(WORKING!$Y:$Y,WORKING!$X:$X,$D6,WORKING!$W:$W,S$500),"")</f>
        <v/>
      </c>
      <c r="T6" s="23" t="n"/>
      <c r="U6" s="75">
        <f>IFERROR(SUMIFS(WORKING!$Z:$Z,WORKING!$X:$X,$D6,WORKING!$W:$W,H$500),"")</f>
        <v/>
      </c>
      <c r="V6" s="75">
        <f>IFERROR(SUMIFS(WORKING!$Z:$Z,WORKING!$X:$X,$D6,WORKING!$W:$W,I$500),"")</f>
        <v/>
      </c>
      <c r="W6" s="75">
        <f>IFERROR(SUMIFS(WORKING!$Z:$Z,WORKING!$X:$X,$D6,WORKING!$W:$W,J$500),"")</f>
        <v/>
      </c>
      <c r="X6" s="75">
        <f>IFERROR(SUMIFS(WORKING!$Z:$Z,WORKING!$X:$X,$D6,WORKING!$W:$W,K$500),"")</f>
        <v/>
      </c>
      <c r="Y6" s="75">
        <f>IFERROR(SUMIFS(WORKING!$Z:$Z,WORKING!$X:$X,$D6,WORKING!$W:$W,L$500),"")</f>
        <v/>
      </c>
      <c r="Z6" s="75">
        <f>IFERROR(SUMIFS(WORKING!$Z:$Z,WORKING!$X:$X,$D6,WORKING!$W:$W,M$500),"")</f>
        <v/>
      </c>
      <c r="AA6" s="75">
        <f>IFERROR(SUMIFS(WORKING!$Z:$Z,WORKING!$X:$X,$D6,WORKING!$W:$W,N$500),"")</f>
        <v/>
      </c>
      <c r="AB6" s="75">
        <f>IFERROR(SUMIFS(WORKING!$Z:$Z,WORKING!$X:$X,$D6,WORKING!$W:$W,O$500),"")</f>
        <v/>
      </c>
      <c r="AC6" s="75">
        <f>IFERROR(SUMIFS(WORKING!$Z:$Z,WORKING!$X:$X,$D6,WORKING!$W:$W,P$500),"")</f>
        <v/>
      </c>
      <c r="AD6" s="75">
        <f>IFERROR(SUMIFS(WORKING!$Z:$Z,WORKING!$X:$X,$D6,WORKING!$W:$W,Q$500),"")</f>
        <v/>
      </c>
      <c r="AE6" s="75">
        <f>IFERROR(SUMIFS(WORKING!$Z:$Z,WORKING!$X:$X,$D6,WORKING!$W:$W,R$500),"")</f>
        <v/>
      </c>
      <c r="AF6" s="75">
        <f>IFERROR(SUMIFS(WORKING!$Z:$Z,WORKING!$X:$X,$D6,WORKING!$W:$W,S$500),"")</f>
        <v/>
      </c>
      <c r="AH6" s="23" t="inlineStr">
        <is>
          <t>CONSTANTA ENV G</t>
        </is>
      </c>
      <c r="AI6" s="101" t="inlineStr">
        <is>
          <t>CONSTANTA ENV (FLAVOUR &amp; BLACK TEA)</t>
        </is>
      </c>
    </row>
    <row r="7" ht="15" customHeight="1" s="5">
      <c r="A7" s="104" t="n"/>
      <c r="B7" s="104" t="n"/>
      <c r="C7" s="86" t="n"/>
      <c r="D7" s="52" t="inlineStr">
        <is>
          <t>PERFECTA ENV</t>
        </is>
      </c>
      <c r="E7" s="53" t="n">
        <v>3</v>
      </c>
      <c r="F7" s="53" t="n">
        <v>2</v>
      </c>
      <c r="G7" s="75">
        <f>IFERROR(IF(OR($F7=0,VLOOKUP($D7,'MC MASTER'!$A:$R,18,0)=0),"-",ROUND(VLOOKUP($D7,'MC MASTER'!$A:$R,18,0)*$E7*$F7,3)),"-")</f>
        <v/>
      </c>
      <c r="H7" s="75">
        <f>IFERROR(SUMIFS(WORKING!$Y:$Y,WORKING!$X:$X,$D7,WORKING!$W:$W,H$500),"")</f>
        <v/>
      </c>
      <c r="I7" s="75">
        <f>IFERROR(SUMIFS(WORKING!$Y:$Y,WORKING!$X:$X,$D7,WORKING!$W:$W,I$500),"")</f>
        <v/>
      </c>
      <c r="J7" s="75">
        <f>IFERROR(SUMIFS(WORKING!$Y:$Y,WORKING!$X:$X,$D7,WORKING!$W:$W,J$500),"")</f>
        <v/>
      </c>
      <c r="K7" s="75">
        <f>IFERROR(SUMIFS(WORKING!$Y:$Y,WORKING!$X:$X,$D7,WORKING!$W:$W,K$500),"")</f>
        <v/>
      </c>
      <c r="L7" s="75">
        <f>IFERROR(SUMIFS(WORKING!$Y:$Y,WORKING!$X:$X,$D7,WORKING!$W:$W,L$500),"")</f>
        <v/>
      </c>
      <c r="M7" s="75">
        <f>IFERROR(SUMIFS(WORKING!$Y:$Y,WORKING!$X:$X,$D7,WORKING!$W:$W,M$500),"")</f>
        <v/>
      </c>
      <c r="N7" s="75">
        <f>IFERROR(SUMIFS(WORKING!$Y:$Y,WORKING!$X:$X,$D7,WORKING!$W:$W,N$500),"")</f>
        <v/>
      </c>
      <c r="O7" s="75">
        <f>IFERROR(SUMIFS(WORKING!$Y:$Y,WORKING!$X:$X,$D7,WORKING!$W:$W,O$500),"")</f>
        <v/>
      </c>
      <c r="P7" s="75">
        <f>IFERROR(SUMIFS(WORKING!$Y:$Y,WORKING!$X:$X,$D7,WORKING!$W:$W,P$500),"")</f>
        <v/>
      </c>
      <c r="Q7" s="75">
        <f>IFERROR(SUMIFS(WORKING!$Y:$Y,WORKING!$X:$X,$D7,WORKING!$W:$W,Q$500),"")</f>
        <v/>
      </c>
      <c r="R7" s="75">
        <f>IFERROR(SUMIFS(WORKING!$Y:$Y,WORKING!$X:$X,$D7,WORKING!$W:$W,R$500),"")</f>
        <v/>
      </c>
      <c r="S7" s="75">
        <f>IFERROR(SUMIFS(WORKING!$Y:$Y,WORKING!$X:$X,$D7,WORKING!$W:$W,S$500),"")</f>
        <v/>
      </c>
      <c r="T7" s="23" t="n"/>
      <c r="U7" s="75">
        <f>IFERROR(SUMIFS(WORKING!$Z:$Z,WORKING!$X:$X,$D7,WORKING!$W:$W,H$500),"")</f>
        <v/>
      </c>
      <c r="V7" s="75">
        <f>IFERROR(SUMIFS(WORKING!$Z:$Z,WORKING!$X:$X,$D7,WORKING!$W:$W,I$500),"")</f>
        <v/>
      </c>
      <c r="W7" s="75">
        <f>IFERROR(SUMIFS(WORKING!$Z:$Z,WORKING!$X:$X,$D7,WORKING!$W:$W,J$500),"")</f>
        <v/>
      </c>
      <c r="X7" s="75">
        <f>IFERROR(SUMIFS(WORKING!$Z:$Z,WORKING!$X:$X,$D7,WORKING!$W:$W,K$500),"")</f>
        <v/>
      </c>
      <c r="Y7" s="75">
        <f>IFERROR(SUMIFS(WORKING!$Z:$Z,WORKING!$X:$X,$D7,WORKING!$W:$W,L$500),"")</f>
        <v/>
      </c>
      <c r="Z7" s="75">
        <f>IFERROR(SUMIFS(WORKING!$Z:$Z,WORKING!$X:$X,$D7,WORKING!$W:$W,M$500),"")</f>
        <v/>
      </c>
      <c r="AA7" s="75">
        <f>IFERROR(SUMIFS(WORKING!$Z:$Z,WORKING!$X:$X,$D7,WORKING!$W:$W,N$500),"")</f>
        <v/>
      </c>
      <c r="AB7" s="75">
        <f>IFERROR(SUMIFS(WORKING!$Z:$Z,WORKING!$X:$X,$D7,WORKING!$W:$W,O$500),"")</f>
        <v/>
      </c>
      <c r="AC7" s="75">
        <f>IFERROR(SUMIFS(WORKING!$Z:$Z,WORKING!$X:$X,$D7,WORKING!$W:$W,P$500),"")</f>
        <v/>
      </c>
      <c r="AD7" s="75">
        <f>IFERROR(SUMIFS(WORKING!$Z:$Z,WORKING!$X:$X,$D7,WORKING!$W:$W,Q$500),"")</f>
        <v/>
      </c>
      <c r="AE7" s="75">
        <f>IFERROR(SUMIFS(WORKING!$Z:$Z,WORKING!$X:$X,$D7,WORKING!$W:$W,R$500),"")</f>
        <v/>
      </c>
      <c r="AF7" s="75">
        <f>IFERROR(SUMIFS(WORKING!$Z:$Z,WORKING!$X:$X,$D7,WORKING!$W:$W,S$500),"")</f>
        <v/>
      </c>
      <c r="AH7" s="23" t="inlineStr">
        <is>
          <t>CONSTANTA ENV H</t>
        </is>
      </c>
      <c r="AI7" s="101" t="inlineStr">
        <is>
          <t>CONSTANTA ENV (FLAVOUR &amp; BLACK TEA)</t>
        </is>
      </c>
    </row>
    <row r="8" ht="15" customHeight="1" s="5">
      <c r="A8" s="104" t="n"/>
      <c r="B8" s="104" t="n"/>
      <c r="C8" s="105" t="n"/>
      <c r="D8" s="125" t="inlineStr">
        <is>
          <t>TOTAL</t>
        </is>
      </c>
      <c r="E8" s="126" t="n"/>
      <c r="F8" s="126" t="n"/>
      <c r="G8" s="127">
        <f>SUM(G3:G7)</f>
        <v/>
      </c>
      <c r="H8" s="127">
        <f>SUM(H3:H7)</f>
        <v/>
      </c>
      <c r="I8" s="127">
        <f>SUM(I3:I7)</f>
        <v/>
      </c>
      <c r="J8" s="127">
        <f>SUM(J3:J7)</f>
        <v/>
      </c>
      <c r="K8" s="127">
        <f>SUM(K3:K7)</f>
        <v/>
      </c>
      <c r="L8" s="127">
        <f>SUM(L3:L7)</f>
        <v/>
      </c>
      <c r="M8" s="127">
        <f>SUM(M3:M7)</f>
        <v/>
      </c>
      <c r="N8" s="127">
        <f>SUM(N3:N7)</f>
        <v/>
      </c>
      <c r="O8" s="127">
        <f>SUM(O3:O7)</f>
        <v/>
      </c>
      <c r="P8" s="127">
        <f>SUM(P3:P7)</f>
        <v/>
      </c>
      <c r="Q8" s="127">
        <f>SUM(Q3:Q7)</f>
        <v/>
      </c>
      <c r="R8" s="127">
        <f>SUM(R3:R7)</f>
        <v/>
      </c>
      <c r="S8" s="127">
        <f>SUM(S3:S7)</f>
        <v/>
      </c>
      <c r="T8" s="23" t="n"/>
      <c r="U8" s="127">
        <f>SUM(U3:U7)</f>
        <v/>
      </c>
      <c r="V8" s="127">
        <f>SUM(V3:V7)</f>
        <v/>
      </c>
      <c r="W8" s="127">
        <f>SUM(W3:W7)</f>
        <v/>
      </c>
      <c r="X8" s="127">
        <f>SUM(X3:X7)</f>
        <v/>
      </c>
      <c r="Y8" s="127">
        <f>SUM(Y3:Y7)</f>
        <v/>
      </c>
      <c r="Z8" s="127">
        <f>SUM(Z3:Z7)</f>
        <v/>
      </c>
      <c r="AA8" s="127">
        <f>SUM(AA3:AA7)</f>
        <v/>
      </c>
      <c r="AB8" s="127">
        <f>SUM(AB3:AB7)</f>
        <v/>
      </c>
      <c r="AC8" s="127">
        <f>SUM(AC3:AC7)</f>
        <v/>
      </c>
      <c r="AD8" s="127">
        <f>SUM(AD3:AD7)</f>
        <v/>
      </c>
      <c r="AE8" s="127">
        <f>SUM(AE3:AE7)</f>
        <v/>
      </c>
      <c r="AF8" s="127">
        <f>SUM(AF3:AF7)</f>
        <v/>
      </c>
      <c r="AH8" s="23" t="inlineStr">
        <is>
          <t>CONSTANTA ENV HF</t>
        </is>
      </c>
      <c r="AI8" s="101" t="inlineStr">
        <is>
          <t>CONSTANTA ENV (FLAVOUR &amp; BLACK TEA)</t>
        </is>
      </c>
    </row>
    <row r="9" ht="15" customHeight="1" s="5">
      <c r="A9" s="104" t="n"/>
      <c r="B9" s="104" t="n"/>
      <c r="C9" s="116" t="n"/>
      <c r="D9" s="108" t="inlineStr">
        <is>
          <t>Excess Order</t>
        </is>
      </c>
      <c r="E9" s="112" t="n"/>
      <c r="F9" s="111" t="n"/>
      <c r="G9" s="111" t="n"/>
      <c r="H9" s="111">
        <f>IFERROR(IF(ROUND(H8-$G8,3)&gt;0,ROUND(H8-$G8,3),""),"")</f>
        <v/>
      </c>
      <c r="I9" s="111">
        <f>IFERROR(IF(ROUND(I8-$G8,3)&gt;0,ROUND(I8-$G8,3),""),"")</f>
        <v/>
      </c>
      <c r="J9" s="111">
        <f>IFERROR(IF(ROUND(J8-$G8,3)&gt;0,ROUND(J8-$G8,3),""),"")</f>
        <v/>
      </c>
      <c r="K9" s="111">
        <f>IFERROR(IF(ROUND(K8-$G8,3)&gt;0,ROUND(K8-$G8,3),""),"")</f>
        <v/>
      </c>
      <c r="L9" s="111">
        <f>IFERROR(IF(ROUND(L8-$G8,3)&gt;0,ROUND(L8-$G8,3),""),"")</f>
        <v/>
      </c>
      <c r="M9" s="111">
        <f>IFERROR(IF(ROUND(M8-$G8,3)&gt;0,ROUND(M8-$G8,3),""),"")</f>
        <v/>
      </c>
      <c r="N9" s="111">
        <f>IFERROR(IF(ROUND(N8-$G8,3)&gt;0,ROUND(N8-$G8,3),""),"")</f>
        <v/>
      </c>
      <c r="O9" s="111">
        <f>IFERROR(IF(ROUND(O8-$G8,3)&gt;0,ROUND(O8-$G8,3),""),"")</f>
        <v/>
      </c>
      <c r="P9" s="111">
        <f>IFERROR(IF(ROUND(P8-$G8,3)&gt;0,ROUND(P8-$G8,3),""),"")</f>
        <v/>
      </c>
      <c r="Q9" s="111">
        <f>IFERROR(IF(ROUND(Q8-$G8,3)&gt;0,ROUND(Q8-$G8,3),""),"")</f>
        <v/>
      </c>
      <c r="R9" s="111">
        <f>IFERROR(IF(ROUND(R8-$G8,3)&gt;0,ROUND(R8-$G8,3),""),"")</f>
        <v/>
      </c>
      <c r="S9" s="111">
        <f>IFERROR(IF(ROUND(S8-$G8,3)&gt;0,ROUND(S8-$G8,3),""),"")</f>
        <v/>
      </c>
      <c r="T9" s="23" t="n"/>
      <c r="U9" s="111">
        <f>IFERROR(IF(ROUND(U8-$G8,3)&gt;0,ROUND(U8-$G8,3),""),"")</f>
        <v/>
      </c>
      <c r="V9" s="111">
        <f>IFERROR(IF(ROUND(V8-$G8,3)&gt;0,ROUND(V8-$G8,3),""),"")</f>
        <v/>
      </c>
      <c r="W9" s="111">
        <f>IFERROR(IF(ROUND(W8-$G8,3)&gt;0,ROUND(W8-$G8,3),""),"")</f>
        <v/>
      </c>
      <c r="X9" s="111">
        <f>IFERROR(IF(ROUND(X8-$G8,3)&gt;0,ROUND(X8-$G8,3),""),"")</f>
        <v/>
      </c>
      <c r="Y9" s="111">
        <f>IFERROR(IF(ROUND(Y8-$G8,3)&gt;0,ROUND(Y8-$G8,3),""),"")</f>
        <v/>
      </c>
      <c r="Z9" s="111">
        <f>IFERROR(IF(ROUND(Z8-$G8,3)&gt;0,ROUND(Z8-$G8,3),""),"")</f>
        <v/>
      </c>
      <c r="AA9" s="111">
        <f>IFERROR(IF(ROUND(AA8-$G8,3)&gt;0,ROUND(AA8-$G8,3),""),"")</f>
        <v/>
      </c>
      <c r="AB9" s="111">
        <f>IFERROR(IF(ROUND(AB8-$G8,3)&gt;0,ROUND(AB8-$G8,3),""),"")</f>
        <v/>
      </c>
      <c r="AC9" s="111">
        <f>IFERROR(IF(ROUND(AC8-$G8,3)&gt;0,ROUND(AC8-$G8,3),""),"")</f>
        <v/>
      </c>
      <c r="AD9" s="111">
        <f>IFERROR(IF(ROUND(AD8-$G8,3)&gt;0,ROUND(AD8-$G8,3),""),"")</f>
        <v/>
      </c>
      <c r="AE9" s="111">
        <f>IFERROR(IF(ROUND(AE8-$G8,3)&gt;0,ROUND(AE8-$G8,3),""),"")</f>
        <v/>
      </c>
      <c r="AF9" s="111">
        <f>IFERROR(IF(ROUND(AF8-$G8,3)&gt;0,ROUND(AF8-$G8,3),""),"")</f>
        <v/>
      </c>
      <c r="AH9" s="23" t="inlineStr">
        <is>
          <t>CONSTANTA ENV M</t>
        </is>
      </c>
      <c r="AI9" s="101" t="inlineStr">
        <is>
          <t>CONSTANTA ENV (FLAVOUR &amp; BLACK TEA)</t>
        </is>
      </c>
    </row>
    <row r="10" ht="15" customHeight="1" s="5">
      <c r="A10" s="104" t="n"/>
      <c r="B10" s="86" t="n"/>
      <c r="C10" s="86" t="n"/>
      <c r="D10" s="108" t="inlineStr">
        <is>
          <t>Short Order</t>
        </is>
      </c>
      <c r="E10" s="114" t="n"/>
      <c r="F10" s="114" t="n"/>
      <c r="G10" s="115" t="n"/>
      <c r="H10" s="111">
        <f>IFERROR(IF(ROUND($G8-H8,3)&gt;0,ROUND($G8-H8,3),""),"")</f>
        <v/>
      </c>
      <c r="I10" s="111">
        <f>IFERROR(IF(ROUND($G8-I8,3)&gt;0,ROUND($G8-I8,3),""),"")</f>
        <v/>
      </c>
      <c r="J10" s="111">
        <f>IFERROR(IF(ROUND($G8-J8,3)&gt;0,ROUND($G8-J8,3),""),"")</f>
        <v/>
      </c>
      <c r="K10" s="111">
        <f>IFERROR(IF(ROUND($G8-K8,3)&gt;0,ROUND($G8-K8,3),""),"")</f>
        <v/>
      </c>
      <c r="L10" s="111">
        <f>IFERROR(IF(ROUND($G8-L8,3)&gt;0,ROUND($G8-L8,3),""),"")</f>
        <v/>
      </c>
      <c r="M10" s="111">
        <f>IFERROR(IF(ROUND($G8-M8,3)&gt;0,ROUND($G8-M8,3),""),"")</f>
        <v/>
      </c>
      <c r="N10" s="111">
        <f>IFERROR(IF(ROUND($G8-N8,3)&gt;0,ROUND($G8-N8,3),""),"")</f>
        <v/>
      </c>
      <c r="O10" s="111">
        <f>IFERROR(IF(ROUND($G8-O8,3)&gt;0,ROUND($G8-O8,3),""),"")</f>
        <v/>
      </c>
      <c r="P10" s="111">
        <f>IFERROR(IF(ROUND($G8-P8,3)&gt;0,ROUND($G8-P8,3),""),"")</f>
        <v/>
      </c>
      <c r="Q10" s="111">
        <f>IFERROR(IF(ROUND($G8-Q8,3)&gt;0,ROUND($G8-Q8,3),""),"")</f>
        <v/>
      </c>
      <c r="R10" s="111">
        <f>IFERROR(IF(ROUND($G8-R8,3)&gt;0,ROUND($G8-R8,3),""),"")</f>
        <v/>
      </c>
      <c r="S10" s="111">
        <f>IFERROR(IF(ROUND($G8-S8,3)&gt;0,ROUND($G8-S8,3),""),"")</f>
        <v/>
      </c>
      <c r="T10" s="23" t="n"/>
      <c r="U10" s="111">
        <f>IFERROR(IF(ROUND($G8-U8,3)&gt;0,ROUND($G8-U8,3),""),"")</f>
        <v/>
      </c>
      <c r="V10" s="111">
        <f>IFERROR(IF(ROUND($G8-V8,3)&gt;0,ROUND($G8-V8,3),""),"")</f>
        <v/>
      </c>
      <c r="W10" s="111">
        <f>IFERROR(IF(ROUND($G8-W8,3)&gt;0,ROUND($G8-W8,3),""),"")</f>
        <v/>
      </c>
      <c r="X10" s="111">
        <f>IFERROR(IF(ROUND($G8-X8,3)&gt;0,ROUND($G8-X8,3),""),"")</f>
        <v/>
      </c>
      <c r="Y10" s="111">
        <f>IFERROR(IF(ROUND($G8-Y8,3)&gt;0,ROUND($G8-Y8,3),""),"")</f>
        <v/>
      </c>
      <c r="Z10" s="111">
        <f>IFERROR(IF(ROUND($G8-Z8,3)&gt;0,ROUND($G8-Z8,3),""),"")</f>
        <v/>
      </c>
      <c r="AA10" s="111">
        <f>IFERROR(IF(ROUND($G8-AA8,3)&gt;0,ROUND($G8-AA8,3),""),"")</f>
        <v/>
      </c>
      <c r="AB10" s="111">
        <f>IFERROR(IF(ROUND($G8-AB8,3)&gt;0,ROUND($G8-AB8,3),""),"")</f>
        <v/>
      </c>
      <c r="AC10" s="111">
        <f>IFERROR(IF(ROUND($G8-AC8,3)&gt;0,ROUND($G8-AC8,3),""),"")</f>
        <v/>
      </c>
      <c r="AD10" s="111">
        <f>IFERROR(IF(ROUND($G8-AD8,3)&gt;0,ROUND($G8-AD8,3),""),"")</f>
        <v/>
      </c>
      <c r="AE10" s="111">
        <f>IFERROR(IF(ROUND($G8-AE8,3)&gt;0,ROUND($G8-AE8,3),""),"")</f>
        <v/>
      </c>
      <c r="AF10" s="111">
        <f>IFERROR(IF(ROUND($G8-AF8,3)&gt;0,ROUND($G8-AF8,3),""),"")</f>
        <v/>
      </c>
      <c r="AH10" s="23" t="inlineStr">
        <is>
          <t>C250</t>
        </is>
      </c>
      <c r="AI10" s="101" t="inlineStr">
        <is>
          <t>C250</t>
        </is>
      </c>
    </row>
    <row r="11" ht="15" customHeight="1" s="5">
      <c r="A11" s="104" t="n"/>
      <c r="B11" s="103" t="inlineStr">
        <is>
          <t>AUSTRALIA</t>
        </is>
      </c>
      <c r="C11" s="65" t="inlineStr">
        <is>
          <t>DC TAG</t>
        </is>
      </c>
      <c r="D11" s="52" t="inlineStr">
        <is>
          <t>CONSTANTA TAG</t>
        </is>
      </c>
      <c r="E11" s="53" t="n">
        <v>6</v>
      </c>
      <c r="F11" s="53" t="n">
        <v>1</v>
      </c>
      <c r="G11" s="75">
        <f>IFERROR(IF(OR($F11=0,VLOOKUP($D11,'MC MASTER'!$A:$R,18,0)=0),"-",ROUND(VLOOKUP($D11,'MC MASTER'!$A:$R,18,0)*$E11*$F11,3)),"-")</f>
        <v/>
      </c>
      <c r="H11" s="75">
        <f>IFERROR(SUMIFS(WORKING!$Y:$Y,WORKING!$X:$X,$D11,WORKING!$W:$W,H$500),"")</f>
        <v/>
      </c>
      <c r="I11" s="75">
        <f>IFERROR(SUMIFS(WORKING!$Y:$Y,WORKING!$X:$X,$D11,WORKING!$W:$W,I$500),"")</f>
        <v/>
      </c>
      <c r="J11" s="75">
        <f>IFERROR(SUMIFS(WORKING!$Y:$Y,WORKING!$X:$X,$D11,WORKING!$W:$W,J$500),"")</f>
        <v/>
      </c>
      <c r="K11" s="75">
        <f>IFERROR(SUMIFS(WORKING!$Y:$Y,WORKING!$X:$X,$D11,WORKING!$W:$W,K$500),"")</f>
        <v/>
      </c>
      <c r="L11" s="75">
        <f>IFERROR(SUMIFS(WORKING!$Y:$Y,WORKING!$X:$X,$D11,WORKING!$W:$W,L$500),"")</f>
        <v/>
      </c>
      <c r="M11" s="75">
        <f>IFERROR(SUMIFS(WORKING!$Y:$Y,WORKING!$X:$X,$D11,WORKING!$W:$W,M$500),"")</f>
        <v/>
      </c>
      <c r="N11" s="75">
        <f>IFERROR(SUMIFS(WORKING!$Y:$Y,WORKING!$X:$X,$D11,WORKING!$W:$W,N$500),"")</f>
        <v/>
      </c>
      <c r="O11" s="75">
        <f>IFERROR(SUMIFS(WORKING!$Y:$Y,WORKING!$X:$X,$D11,WORKING!$W:$W,O$500),"")</f>
        <v/>
      </c>
      <c r="P11" s="75">
        <f>IFERROR(SUMIFS(WORKING!$Y:$Y,WORKING!$X:$X,$D11,WORKING!$W:$W,P$500),"")</f>
        <v/>
      </c>
      <c r="Q11" s="75">
        <f>IFERROR(SUMIFS(WORKING!$Y:$Y,WORKING!$X:$X,$D11,WORKING!$W:$W,Q$500),"")</f>
        <v/>
      </c>
      <c r="R11" s="75">
        <f>IFERROR(SUMIFS(WORKING!$Y:$Y,WORKING!$X:$X,$D11,WORKING!$W:$W,R$500),"")</f>
        <v/>
      </c>
      <c r="S11" s="75">
        <f>IFERROR(SUMIFS(WORKING!$Y:$Y,WORKING!$X:$X,$D11,WORKING!$W:$W,S$500),"")</f>
        <v/>
      </c>
      <c r="T11" s="23" t="n"/>
      <c r="U11" s="75">
        <f>IFERROR(SUMIFS(WORKING!$Z:$Z,WORKING!$X:$X,$D11,WORKING!$W:$W,H$500),"")</f>
        <v/>
      </c>
      <c r="V11" s="75">
        <f>IFERROR(SUMIFS(WORKING!$Z:$Z,WORKING!$X:$X,$D11,WORKING!$W:$W,I$500),"")</f>
        <v/>
      </c>
      <c r="W11" s="75">
        <f>IFERROR(SUMIFS(WORKING!$Z:$Z,WORKING!$X:$X,$D11,WORKING!$W:$W,J$500),"")</f>
        <v/>
      </c>
      <c r="X11" s="75">
        <f>IFERROR(SUMIFS(WORKING!$Z:$Z,WORKING!$X:$X,$D11,WORKING!$W:$W,K$500),"")</f>
        <v/>
      </c>
      <c r="Y11" s="75">
        <f>IFERROR(SUMIFS(WORKING!$Z:$Z,WORKING!$X:$X,$D11,WORKING!$W:$W,L$500),"")</f>
        <v/>
      </c>
      <c r="Z11" s="75">
        <f>IFERROR(SUMIFS(WORKING!$Z:$Z,WORKING!$X:$X,$D11,WORKING!$W:$W,M$500),"")</f>
        <v/>
      </c>
      <c r="AA11" s="75">
        <f>IFERROR(SUMIFS(WORKING!$Z:$Z,WORKING!$X:$X,$D11,WORKING!$W:$W,N$500),"")</f>
        <v/>
      </c>
      <c r="AB11" s="75">
        <f>IFERROR(SUMIFS(WORKING!$Z:$Z,WORKING!$X:$X,$D11,WORKING!$W:$W,O$500),"")</f>
        <v/>
      </c>
      <c r="AC11" s="75">
        <f>IFERROR(SUMIFS(WORKING!$Z:$Z,WORKING!$X:$X,$D11,WORKING!$W:$W,P$500),"")</f>
        <v/>
      </c>
      <c r="AD11" s="75">
        <f>IFERROR(SUMIFS(WORKING!$Z:$Z,WORKING!$X:$X,$D11,WORKING!$W:$W,Q$500),"")</f>
        <v/>
      </c>
      <c r="AE11" s="75">
        <f>IFERROR(SUMIFS(WORKING!$Z:$Z,WORKING!$X:$X,$D11,WORKING!$W:$W,R$500),"")</f>
        <v/>
      </c>
      <c r="AF11" s="75">
        <f>IFERROR(SUMIFS(WORKING!$Z:$Z,WORKING!$X:$X,$D11,WORKING!$W:$W,S$500),"")</f>
        <v/>
      </c>
      <c r="AH11" s="23" t="inlineStr">
        <is>
          <t>C250 AF</t>
        </is>
      </c>
      <c r="AI11" s="101" t="inlineStr">
        <is>
          <t>C250 AF</t>
        </is>
      </c>
    </row>
    <row r="12" ht="15" customHeight="1" s="5">
      <c r="A12" s="104" t="n"/>
      <c r="B12" s="104" t="n"/>
      <c r="C12" s="105" t="n"/>
      <c r="D12" s="125" t="inlineStr">
        <is>
          <t>TOTAL</t>
        </is>
      </c>
      <c r="E12" s="126" t="n"/>
      <c r="F12" s="126" t="n"/>
      <c r="G12" s="127">
        <f>SUM(G11:G11)</f>
        <v/>
      </c>
      <c r="H12" s="127">
        <f>SUM(H11:H11)</f>
        <v/>
      </c>
      <c r="I12" s="127">
        <f>SUM(I11:I11)</f>
        <v/>
      </c>
      <c r="J12" s="127">
        <f>SUM(J11:J11)</f>
        <v/>
      </c>
      <c r="K12" s="127">
        <f>SUM(K11:K11)</f>
        <v/>
      </c>
      <c r="L12" s="127">
        <f>SUM(L11:L11)</f>
        <v/>
      </c>
      <c r="M12" s="127">
        <f>SUM(M11:M11)</f>
        <v/>
      </c>
      <c r="N12" s="127">
        <f>SUM(N11:N11)</f>
        <v/>
      </c>
      <c r="O12" s="127">
        <f>SUM(O11:O11)</f>
        <v/>
      </c>
      <c r="P12" s="127">
        <f>SUM(P11:P11)</f>
        <v/>
      </c>
      <c r="Q12" s="127">
        <f>SUM(Q11:Q11)</f>
        <v/>
      </c>
      <c r="R12" s="127">
        <f>SUM(R11:R11)</f>
        <v/>
      </c>
      <c r="S12" s="127">
        <f>SUM(S11:S11)</f>
        <v/>
      </c>
      <c r="T12" s="23" t="n"/>
      <c r="U12" s="127">
        <f>SUM(U11:U11)</f>
        <v/>
      </c>
      <c r="V12" s="127">
        <f>SUM(V11:V11)</f>
        <v/>
      </c>
      <c r="W12" s="127">
        <f>SUM(W11:W11)</f>
        <v/>
      </c>
      <c r="X12" s="127">
        <f>SUM(X11:X11)</f>
        <v/>
      </c>
      <c r="Y12" s="127">
        <f>SUM(Y11:Y11)</f>
        <v/>
      </c>
      <c r="Z12" s="127">
        <f>SUM(Z11:Z11)</f>
        <v/>
      </c>
      <c r="AA12" s="127">
        <f>SUM(AA11:AA11)</f>
        <v/>
      </c>
      <c r="AB12" s="127">
        <f>SUM(AB11:AB11)</f>
        <v/>
      </c>
      <c r="AC12" s="127">
        <f>SUM(AC11:AC11)</f>
        <v/>
      </c>
      <c r="AD12" s="127">
        <f>SUM(AD11:AD11)</f>
        <v/>
      </c>
      <c r="AE12" s="127">
        <f>SUM(AE11:AE11)</f>
        <v/>
      </c>
      <c r="AF12" s="127">
        <f>SUM(AF11:AF11)</f>
        <v/>
      </c>
      <c r="AH12" s="23" t="inlineStr">
        <is>
          <t>C250-A</t>
        </is>
      </c>
      <c r="AI12" s="101" t="inlineStr">
        <is>
          <t>C250-A</t>
        </is>
      </c>
    </row>
    <row r="13" ht="15" customHeight="1" s="5">
      <c r="A13" s="104" t="n"/>
      <c r="B13" s="104" t="n"/>
      <c r="C13" s="116" t="n"/>
      <c r="D13" s="108" t="inlineStr">
        <is>
          <t>Excess Order</t>
        </is>
      </c>
      <c r="E13" s="112" t="n"/>
      <c r="F13" s="111" t="n"/>
      <c r="G13" s="111" t="n"/>
      <c r="H13" s="111">
        <f>IFERROR(IF(ROUND(H12-$G12,3)&gt;0,ROUND(H12-$G12,3),""),"")</f>
        <v/>
      </c>
      <c r="I13" s="111">
        <f>IFERROR(IF(ROUND(I12-$G12,3)&gt;0,ROUND(I12-$G12,3),""),"")</f>
        <v/>
      </c>
      <c r="J13" s="111">
        <f>IFERROR(IF(ROUND(J12-$G12,3)&gt;0,ROUND(J12-$G12,3),""),"")</f>
        <v/>
      </c>
      <c r="K13" s="111">
        <f>IFERROR(IF(ROUND(K12-$G12,3)&gt;0,ROUND(K12-$G12,3),""),"")</f>
        <v/>
      </c>
      <c r="L13" s="111">
        <f>IFERROR(IF(ROUND(L12-$G12,3)&gt;0,ROUND(L12-$G12,3),""),"")</f>
        <v/>
      </c>
      <c r="M13" s="111">
        <f>IFERROR(IF(ROUND(M12-$G12,3)&gt;0,ROUND(M12-$G12,3),""),"")</f>
        <v/>
      </c>
      <c r="N13" s="111">
        <f>IFERROR(IF(ROUND(N12-$G12,3)&gt;0,ROUND(N12-$G12,3),""),"")</f>
        <v/>
      </c>
      <c r="O13" s="111">
        <f>IFERROR(IF(ROUND(O12-$G12,3)&gt;0,ROUND(O12-$G12,3),""),"")</f>
        <v/>
      </c>
      <c r="P13" s="111">
        <f>IFERROR(IF(ROUND(P12-$G12,3)&gt;0,ROUND(P12-$G12,3),""),"")</f>
        <v/>
      </c>
      <c r="Q13" s="111">
        <f>IFERROR(IF(ROUND(Q12-$G12,3)&gt;0,ROUND(Q12-$G12,3),""),"")</f>
        <v/>
      </c>
      <c r="R13" s="111">
        <f>IFERROR(IF(ROUND(R12-$G12,3)&gt;0,ROUND(R12-$G12,3),""),"")</f>
        <v/>
      </c>
      <c r="S13" s="111">
        <f>IFERROR(IF(ROUND(S12-$G12,3)&gt;0,ROUND(S12-$G12,3),""),"")</f>
        <v/>
      </c>
      <c r="T13" s="23" t="n"/>
      <c r="U13" s="111">
        <f>IFERROR(IF(ROUND(U12-$G12,3)&gt;0,ROUND(U12-$G12,3),""),"")</f>
        <v/>
      </c>
      <c r="V13" s="111">
        <f>IFERROR(IF(ROUND(V12-$G12,3)&gt;0,ROUND(V12-$G12,3),""),"")</f>
        <v/>
      </c>
      <c r="W13" s="111">
        <f>IFERROR(IF(ROUND(W12-$G12,3)&gt;0,ROUND(W12-$G12,3),""),"")</f>
        <v/>
      </c>
      <c r="X13" s="111">
        <f>IFERROR(IF(ROUND(X12-$G12,3)&gt;0,ROUND(X12-$G12,3),""),"")</f>
        <v/>
      </c>
      <c r="Y13" s="111">
        <f>IFERROR(IF(ROUND(Y12-$G12,3)&gt;0,ROUND(Y12-$G12,3),""),"")</f>
        <v/>
      </c>
      <c r="Z13" s="111">
        <f>IFERROR(IF(ROUND(Z12-$G12,3)&gt;0,ROUND(Z12-$G12,3),""),"")</f>
        <v/>
      </c>
      <c r="AA13" s="111">
        <f>IFERROR(IF(ROUND(AA12-$G12,3)&gt;0,ROUND(AA12-$G12,3),""),"")</f>
        <v/>
      </c>
      <c r="AB13" s="111">
        <f>IFERROR(IF(ROUND(AB12-$G12,3)&gt;0,ROUND(AB12-$G12,3),""),"")</f>
        <v/>
      </c>
      <c r="AC13" s="111">
        <f>IFERROR(IF(ROUND(AC12-$G12,3)&gt;0,ROUND(AC12-$G12,3),""),"")</f>
        <v/>
      </c>
      <c r="AD13" s="111">
        <f>IFERROR(IF(ROUND(AD12-$G12,3)&gt;0,ROUND(AD12-$G12,3),""),"")</f>
        <v/>
      </c>
      <c r="AE13" s="111">
        <f>IFERROR(IF(ROUND(AE12-$G12,3)&gt;0,ROUND(AE12-$G12,3),""),"")</f>
        <v/>
      </c>
      <c r="AF13" s="111">
        <f>IFERROR(IF(ROUND(AF12-$G12,3)&gt;0,ROUND(AF12-$G12,3),""),"")</f>
        <v/>
      </c>
      <c r="AH13" s="23" t="inlineStr">
        <is>
          <t>C250F3 ENV</t>
        </is>
      </c>
      <c r="AI13" s="101" t="inlineStr">
        <is>
          <t>C250F3 ENV</t>
        </is>
      </c>
    </row>
    <row r="14" ht="15" customHeight="1" s="5">
      <c r="A14" s="104" t="n"/>
      <c r="B14" s="86" t="n"/>
      <c r="C14" s="86" t="n"/>
      <c r="D14" s="108" t="inlineStr">
        <is>
          <t>Short Order</t>
        </is>
      </c>
      <c r="E14" s="114" t="n"/>
      <c r="F14" s="114" t="n"/>
      <c r="G14" s="115" t="n"/>
      <c r="H14" s="111">
        <f>IFERROR(IF(ROUND($G12-H12,3)&gt;0,ROUND($G12-H12,3),""),"")</f>
        <v/>
      </c>
      <c r="I14" s="111">
        <f>IFERROR(IF(ROUND($G12-I12,3)&gt;0,ROUND($G12-I12,3),""),"")</f>
        <v/>
      </c>
      <c r="J14" s="111">
        <f>IFERROR(IF(ROUND($G12-J12,3)&gt;0,ROUND($G12-J12,3),""),"")</f>
        <v/>
      </c>
      <c r="K14" s="111">
        <f>IFERROR(IF(ROUND($G12-K12,3)&gt;0,ROUND($G12-K12,3),""),"")</f>
        <v/>
      </c>
      <c r="L14" s="111">
        <f>IFERROR(IF(ROUND($G12-L12,3)&gt;0,ROUND($G12-L12,3),""),"")</f>
        <v/>
      </c>
      <c r="M14" s="111">
        <f>IFERROR(IF(ROUND($G12-M12,3)&gt;0,ROUND($G12-M12,3),""),"")</f>
        <v/>
      </c>
      <c r="N14" s="111">
        <f>IFERROR(IF(ROUND($G12-N12,3)&gt;0,ROUND($G12-N12,3),""),"")</f>
        <v/>
      </c>
      <c r="O14" s="111">
        <f>IFERROR(IF(ROUND($G12-O12,3)&gt;0,ROUND($G12-O12,3),""),"")</f>
        <v/>
      </c>
      <c r="P14" s="111">
        <f>IFERROR(IF(ROUND($G12-P12,3)&gt;0,ROUND($G12-P12,3),""),"")</f>
        <v/>
      </c>
      <c r="Q14" s="111">
        <f>IFERROR(IF(ROUND($G12-Q12,3)&gt;0,ROUND($G12-Q12,3),""),"")</f>
        <v/>
      </c>
      <c r="R14" s="111">
        <f>IFERROR(IF(ROUND($G12-R12,3)&gt;0,ROUND($G12-R12,3),""),"")</f>
        <v/>
      </c>
      <c r="S14" s="111">
        <f>IFERROR(IF(ROUND($G12-S12,3)&gt;0,ROUND($G12-S12,3),""),"")</f>
        <v/>
      </c>
      <c r="T14" s="23" t="n"/>
      <c r="U14" s="111">
        <f>IFERROR(IF(ROUND($G12-U12,3)&gt;0,ROUND($G12-U12,3),""),"")</f>
        <v/>
      </c>
      <c r="V14" s="111">
        <f>IFERROR(IF(ROUND($G12-V12,3)&gt;0,ROUND($G12-V12,3),""),"")</f>
        <v/>
      </c>
      <c r="W14" s="111">
        <f>IFERROR(IF(ROUND($G12-W12,3)&gt;0,ROUND($G12-W12,3),""),"")</f>
        <v/>
      </c>
      <c r="X14" s="111">
        <f>IFERROR(IF(ROUND($G12-X12,3)&gt;0,ROUND($G12-X12,3),""),"")</f>
        <v/>
      </c>
      <c r="Y14" s="111">
        <f>IFERROR(IF(ROUND($G12-Y12,3)&gt;0,ROUND($G12-Y12,3),""),"")</f>
        <v/>
      </c>
      <c r="Z14" s="111">
        <f>IFERROR(IF(ROUND($G12-Z12,3)&gt;0,ROUND($G12-Z12,3),""),"")</f>
        <v/>
      </c>
      <c r="AA14" s="111">
        <f>IFERROR(IF(ROUND($G12-AA12,3)&gt;0,ROUND($G12-AA12,3),""),"")</f>
        <v/>
      </c>
      <c r="AB14" s="111">
        <f>IFERROR(IF(ROUND($G12-AB12,3)&gt;0,ROUND($G12-AB12,3),""),"")</f>
        <v/>
      </c>
      <c r="AC14" s="111">
        <f>IFERROR(IF(ROUND($G12-AC12,3)&gt;0,ROUND($G12-AC12,3),""),"")</f>
        <v/>
      </c>
      <c r="AD14" s="111">
        <f>IFERROR(IF(ROUND($G12-AD12,3)&gt;0,ROUND($G12-AD12,3),""),"")</f>
        <v/>
      </c>
      <c r="AE14" s="111">
        <f>IFERROR(IF(ROUND($G12-AE12,3)&gt;0,ROUND($G12-AE12,3),""),"")</f>
        <v/>
      </c>
      <c r="AF14" s="111">
        <f>IFERROR(IF(ROUND($G12-AF12,3)&gt;0,ROUND($G12-AF12,3),""),"")</f>
        <v/>
      </c>
      <c r="AH14" s="23" t="inlineStr">
        <is>
          <t>C250F3 HS</t>
        </is>
      </c>
      <c r="AI14" s="101" t="inlineStr">
        <is>
          <t>C250F3 HS</t>
        </is>
      </c>
    </row>
    <row r="15" ht="15" customHeight="1" s="5">
      <c r="A15" s="104" t="n"/>
      <c r="B15" s="103" t="inlineStr">
        <is>
          <t>EUROPE</t>
        </is>
      </c>
      <c r="C15" s="65" t="inlineStr">
        <is>
          <t>DC SF CRIMP</t>
        </is>
      </c>
      <c r="D15" s="52" t="inlineStr">
        <is>
          <t>C250</t>
        </is>
      </c>
      <c r="E15" s="53" t="n">
        <v>3</v>
      </c>
      <c r="F15" s="53" t="n">
        <v>2</v>
      </c>
      <c r="G15" s="75">
        <f>IFERROR(IF(OR($F15=0,VLOOKUP($D15,'MC MASTER'!$A:$R,18,0)=0),"-",ROUND(VLOOKUP($D15,'MC MASTER'!$A:$R,18,0)*$E15*$F15,3)),"-")</f>
        <v/>
      </c>
      <c r="H15" s="75">
        <f>IFERROR(SUMIFS(WORKING!$Y:$Y,WORKING!$X:$X,$D15,WORKING!$W:$W,H$500),"")</f>
        <v/>
      </c>
      <c r="I15" s="75">
        <f>IFERROR(SUMIFS(WORKING!$Y:$Y,WORKING!$X:$X,$D15,WORKING!$W:$W,I$500),"")</f>
        <v/>
      </c>
      <c r="J15" s="75">
        <f>IFERROR(SUMIFS(WORKING!$Y:$Y,WORKING!$X:$X,$D15,WORKING!$W:$W,J$500),"")</f>
        <v/>
      </c>
      <c r="K15" s="75">
        <f>IFERROR(SUMIFS(WORKING!$Y:$Y,WORKING!$X:$X,$D15,WORKING!$W:$W,K$500),"")</f>
        <v/>
      </c>
      <c r="L15" s="75">
        <f>IFERROR(SUMIFS(WORKING!$Y:$Y,WORKING!$X:$X,$D15,WORKING!$W:$W,L$500),"")</f>
        <v/>
      </c>
      <c r="M15" s="75">
        <f>IFERROR(SUMIFS(WORKING!$Y:$Y,WORKING!$X:$X,$D15,WORKING!$W:$W,M$500),"")</f>
        <v/>
      </c>
      <c r="N15" s="75">
        <f>IFERROR(SUMIFS(WORKING!$Y:$Y,WORKING!$X:$X,$D15,WORKING!$W:$W,N$500),"")</f>
        <v/>
      </c>
      <c r="O15" s="75">
        <f>IFERROR(SUMIFS(WORKING!$Y:$Y,WORKING!$X:$X,$D15,WORKING!$W:$W,O$500),"")</f>
        <v/>
      </c>
      <c r="P15" s="75">
        <f>IFERROR(SUMIFS(WORKING!$Y:$Y,WORKING!$X:$X,$D15,WORKING!$W:$W,P$500),"")</f>
        <v/>
      </c>
      <c r="Q15" s="75">
        <f>IFERROR(SUMIFS(WORKING!$Y:$Y,WORKING!$X:$X,$D15,WORKING!$W:$W,Q$500),"")</f>
        <v/>
      </c>
      <c r="R15" s="75">
        <f>IFERROR(SUMIFS(WORKING!$Y:$Y,WORKING!$X:$X,$D15,WORKING!$W:$W,R$500),"")</f>
        <v/>
      </c>
      <c r="S15" s="75">
        <f>IFERROR(SUMIFS(WORKING!$Y:$Y,WORKING!$X:$X,$D15,WORKING!$W:$W,S$500),"")</f>
        <v/>
      </c>
      <c r="T15" s="23" t="n"/>
      <c r="U15" s="75">
        <f>IFERROR(SUMIFS(WORKING!$Z:$Z,WORKING!$X:$X,$D15,WORKING!$W:$W,H$500),"")</f>
        <v/>
      </c>
      <c r="V15" s="75">
        <f>IFERROR(SUMIFS(WORKING!$Z:$Z,WORKING!$X:$X,$D15,WORKING!$W:$W,I$500),"")</f>
        <v/>
      </c>
      <c r="W15" s="75">
        <f>IFERROR(SUMIFS(WORKING!$Z:$Z,WORKING!$X:$X,$D15,WORKING!$W:$W,J$500),"")</f>
        <v/>
      </c>
      <c r="X15" s="75">
        <f>IFERROR(SUMIFS(WORKING!$Z:$Z,WORKING!$X:$X,$D15,WORKING!$W:$W,K$500),"")</f>
        <v/>
      </c>
      <c r="Y15" s="75">
        <f>IFERROR(SUMIFS(WORKING!$Z:$Z,WORKING!$X:$X,$D15,WORKING!$W:$W,L$500),"")</f>
        <v/>
      </c>
      <c r="Z15" s="75">
        <f>IFERROR(SUMIFS(WORKING!$Z:$Z,WORKING!$X:$X,$D15,WORKING!$W:$W,M$500),"")</f>
        <v/>
      </c>
      <c r="AA15" s="75">
        <f>IFERROR(SUMIFS(WORKING!$Z:$Z,WORKING!$X:$X,$D15,WORKING!$W:$W,N$500),"")</f>
        <v/>
      </c>
      <c r="AB15" s="75">
        <f>IFERROR(SUMIFS(WORKING!$Z:$Z,WORKING!$X:$X,$D15,WORKING!$W:$W,O$500),"")</f>
        <v/>
      </c>
      <c r="AC15" s="75">
        <f>IFERROR(SUMIFS(WORKING!$Z:$Z,WORKING!$X:$X,$D15,WORKING!$W:$W,P$500),"")</f>
        <v/>
      </c>
      <c r="AD15" s="75">
        <f>IFERROR(SUMIFS(WORKING!$Z:$Z,WORKING!$X:$X,$D15,WORKING!$W:$W,Q$500),"")</f>
        <v/>
      </c>
      <c r="AE15" s="75">
        <f>IFERROR(SUMIFS(WORKING!$Z:$Z,WORKING!$X:$X,$D15,WORKING!$W:$W,R$500),"")</f>
        <v/>
      </c>
      <c r="AF15" s="75">
        <f>IFERROR(SUMIFS(WORKING!$Z:$Z,WORKING!$X:$X,$D15,WORKING!$W:$W,S$500),"")</f>
        <v/>
      </c>
      <c r="AH15" s="23" t="inlineStr">
        <is>
          <t>MD20 4GM TAG</t>
        </is>
      </c>
      <c r="AI15" s="101" t="inlineStr">
        <is>
          <t>MD20 4GM TAG</t>
        </is>
      </c>
    </row>
    <row r="16" ht="15" customHeight="1" s="5">
      <c r="A16" s="104" t="n"/>
      <c r="B16" s="104" t="n"/>
      <c r="C16" s="86" t="n"/>
      <c r="D16" s="52" t="inlineStr">
        <is>
          <t>VARIETIES PACK</t>
        </is>
      </c>
      <c r="E16" s="53" t="n">
        <v>1</v>
      </c>
      <c r="F16" s="53" t="n">
        <v>2</v>
      </c>
      <c r="G16" s="75">
        <f>IFERROR(IF(OR($F16=0,VLOOKUP($D16,'MC MASTER'!$A:$R,18,0)=0),"-",ROUND(VLOOKUP($D16,'MC MASTER'!$A:$R,18,0)*$E16*$F16,3)),"-")</f>
        <v/>
      </c>
      <c r="H16" s="75">
        <f>IFERROR(SUMIFS(WORKING!$Y:$Y,WORKING!$X:$X,$D16,WORKING!$W:$W,H$500),"")</f>
        <v/>
      </c>
      <c r="I16" s="75">
        <f>IFERROR(SUMIFS(WORKING!$Y:$Y,WORKING!$X:$X,$D16,WORKING!$W:$W,I$500),"")</f>
        <v/>
      </c>
      <c r="J16" s="75">
        <f>IFERROR(SUMIFS(WORKING!$Y:$Y,WORKING!$X:$X,$D16,WORKING!$W:$W,J$500),"")</f>
        <v/>
      </c>
      <c r="K16" s="75">
        <f>IFERROR(SUMIFS(WORKING!$Y:$Y,WORKING!$X:$X,$D16,WORKING!$W:$W,K$500),"")</f>
        <v/>
      </c>
      <c r="L16" s="75">
        <f>IFERROR(SUMIFS(WORKING!$Y:$Y,WORKING!$X:$X,$D16,WORKING!$W:$W,L$500),"")</f>
        <v/>
      </c>
      <c r="M16" s="75">
        <f>IFERROR(SUMIFS(WORKING!$Y:$Y,WORKING!$X:$X,$D16,WORKING!$W:$W,M$500),"")</f>
        <v/>
      </c>
      <c r="N16" s="75">
        <f>IFERROR(SUMIFS(WORKING!$Y:$Y,WORKING!$X:$X,$D16,WORKING!$W:$W,N$500),"")</f>
        <v/>
      </c>
      <c r="O16" s="75">
        <f>IFERROR(SUMIFS(WORKING!$Y:$Y,WORKING!$X:$X,$D16,WORKING!$W:$W,O$500),"")</f>
        <v/>
      </c>
      <c r="P16" s="75">
        <f>IFERROR(SUMIFS(WORKING!$Y:$Y,WORKING!$X:$X,$D16,WORKING!$W:$W,P$500),"")</f>
        <v/>
      </c>
      <c r="Q16" s="75">
        <f>IFERROR(SUMIFS(WORKING!$Y:$Y,WORKING!$X:$X,$D16,WORKING!$W:$W,Q$500),"")</f>
        <v/>
      </c>
      <c r="R16" s="75">
        <f>IFERROR(SUMIFS(WORKING!$Y:$Y,WORKING!$X:$X,$D16,WORKING!$W:$W,R$500),"")</f>
        <v/>
      </c>
      <c r="S16" s="75">
        <f>IFERROR(SUMIFS(WORKING!$Y:$Y,WORKING!$X:$X,$D16,WORKING!$W:$W,S$500),"")</f>
        <v/>
      </c>
      <c r="T16" s="23" t="n"/>
      <c r="U16" s="75">
        <f>IFERROR(SUMIFS(WORKING!$Z:$Z,WORKING!$X:$X,$D16,WORKING!$W:$W,H$500),"")</f>
        <v/>
      </c>
      <c r="V16" s="75">
        <f>IFERROR(SUMIFS(WORKING!$Z:$Z,WORKING!$X:$X,$D16,WORKING!$W:$W,I$500),"")</f>
        <v/>
      </c>
      <c r="W16" s="75">
        <f>IFERROR(SUMIFS(WORKING!$Z:$Z,WORKING!$X:$X,$D16,WORKING!$W:$W,J$500),"")</f>
        <v/>
      </c>
      <c r="X16" s="75">
        <f>IFERROR(SUMIFS(WORKING!$Z:$Z,WORKING!$X:$X,$D16,WORKING!$W:$W,K$500),"")</f>
        <v/>
      </c>
      <c r="Y16" s="75">
        <f>IFERROR(SUMIFS(WORKING!$Z:$Z,WORKING!$X:$X,$D16,WORKING!$W:$W,L$500),"")</f>
        <v/>
      </c>
      <c r="Z16" s="75">
        <f>IFERROR(SUMIFS(WORKING!$Z:$Z,WORKING!$X:$X,$D16,WORKING!$W:$W,M$500),"")</f>
        <v/>
      </c>
      <c r="AA16" s="75">
        <f>IFERROR(SUMIFS(WORKING!$Z:$Z,WORKING!$X:$X,$D16,WORKING!$W:$W,N$500),"")</f>
        <v/>
      </c>
      <c r="AB16" s="75">
        <f>IFERROR(SUMIFS(WORKING!$Z:$Z,WORKING!$X:$X,$D16,WORKING!$W:$W,O$500),"")</f>
        <v/>
      </c>
      <c r="AC16" s="75">
        <f>IFERROR(SUMIFS(WORKING!$Z:$Z,WORKING!$X:$X,$D16,WORKING!$W:$W,P$500),"")</f>
        <v/>
      </c>
      <c r="AD16" s="75">
        <f>IFERROR(SUMIFS(WORKING!$Z:$Z,WORKING!$X:$X,$D16,WORKING!$W:$W,Q$500),"")</f>
        <v/>
      </c>
      <c r="AE16" s="75">
        <f>IFERROR(SUMIFS(WORKING!$Z:$Z,WORKING!$X:$X,$D16,WORKING!$W:$W,R$500),"")</f>
        <v/>
      </c>
      <c r="AF16" s="75">
        <f>IFERROR(SUMIFS(WORKING!$Z:$Z,WORKING!$X:$X,$D16,WORKING!$W:$W,S$500),"")</f>
        <v/>
      </c>
      <c r="AH16" s="23" t="inlineStr">
        <is>
          <t>MD20 ENV</t>
        </is>
      </c>
      <c r="AI16" s="101" t="inlineStr">
        <is>
          <t>MD20 ENV</t>
        </is>
      </c>
    </row>
    <row r="17" ht="15" customHeight="1" s="5">
      <c r="A17" s="104" t="n"/>
      <c r="B17" s="104" t="n"/>
      <c r="C17" s="105" t="n"/>
      <c r="D17" s="125" t="inlineStr">
        <is>
          <t>TOTAL</t>
        </is>
      </c>
      <c r="E17" s="126" t="n"/>
      <c r="F17" s="126" t="n"/>
      <c r="G17" s="127">
        <f>SUM(G15:G16)</f>
        <v/>
      </c>
      <c r="H17" s="127">
        <f>SUM(H15:H16)</f>
        <v/>
      </c>
      <c r="I17" s="127">
        <f>SUM(I15:I16)</f>
        <v/>
      </c>
      <c r="J17" s="127">
        <f>SUM(J15:J16)</f>
        <v/>
      </c>
      <c r="K17" s="127">
        <f>SUM(K15:K16)</f>
        <v/>
      </c>
      <c r="L17" s="127">
        <f>SUM(L15:L16)</f>
        <v/>
      </c>
      <c r="M17" s="127">
        <f>SUM(M15:M16)</f>
        <v/>
      </c>
      <c r="N17" s="127">
        <f>SUM(N15:N16)</f>
        <v/>
      </c>
      <c r="O17" s="127">
        <f>SUM(O15:O16)</f>
        <v/>
      </c>
      <c r="P17" s="127">
        <f>SUM(P15:P16)</f>
        <v/>
      </c>
      <c r="Q17" s="127">
        <f>SUM(Q15:Q16)</f>
        <v/>
      </c>
      <c r="R17" s="127">
        <f>SUM(R15:R16)</f>
        <v/>
      </c>
      <c r="S17" s="127">
        <f>SUM(S15:S16)</f>
        <v/>
      </c>
      <c r="T17" s="23" t="n"/>
      <c r="U17" s="127">
        <f>SUM(U15:U16)</f>
        <v/>
      </c>
      <c r="V17" s="127">
        <f>SUM(V15:V16)</f>
        <v/>
      </c>
      <c r="W17" s="127">
        <f>SUM(W15:W16)</f>
        <v/>
      </c>
      <c r="X17" s="127">
        <f>SUM(X15:X16)</f>
        <v/>
      </c>
      <c r="Y17" s="127">
        <f>SUM(Y15:Y16)</f>
        <v/>
      </c>
      <c r="Z17" s="127">
        <f>SUM(Z15:Z16)</f>
        <v/>
      </c>
      <c r="AA17" s="127">
        <f>SUM(AA15:AA16)</f>
        <v/>
      </c>
      <c r="AB17" s="127">
        <f>SUM(AB15:AB16)</f>
        <v/>
      </c>
      <c r="AC17" s="127">
        <f>SUM(AC15:AC16)</f>
        <v/>
      </c>
      <c r="AD17" s="127">
        <f>SUM(AD15:AD16)</f>
        <v/>
      </c>
      <c r="AE17" s="127">
        <f>SUM(AE15:AE16)</f>
        <v/>
      </c>
      <c r="AF17" s="127">
        <f>SUM(AF15:AF16)</f>
        <v/>
      </c>
      <c r="AH17" s="23" t="inlineStr">
        <is>
          <t>MD20 HS</t>
        </is>
      </c>
      <c r="AI17" s="101" t="inlineStr">
        <is>
          <t>MD20 HS</t>
        </is>
      </c>
    </row>
    <row r="18" ht="15" customHeight="1" s="5">
      <c r="A18" s="104" t="n"/>
      <c r="B18" s="104" t="n"/>
      <c r="C18" s="107" t="n"/>
      <c r="D18" s="108" t="inlineStr">
        <is>
          <t>Excess Order</t>
        </is>
      </c>
      <c r="E18" s="109" t="n"/>
      <c r="F18" s="110" t="n"/>
      <c r="G18" s="110" t="n"/>
      <c r="H18" s="111">
        <f>IFERROR(IF(ROUND(H17-$G17,3)&gt;0,ROUND(H17-$G17,3),""),"")</f>
        <v/>
      </c>
      <c r="I18" s="111">
        <f>IFERROR(IF(ROUND(I17-$G17,3)&gt;0,ROUND(I17-$G17,3),""),"")</f>
        <v/>
      </c>
      <c r="J18" s="111">
        <f>IFERROR(IF(ROUND(J17-$G17,3)&gt;0,ROUND(J17-$G17,3),""),"")</f>
        <v/>
      </c>
      <c r="K18" s="111">
        <f>IFERROR(IF(ROUND(K17-$G17,3)&gt;0,ROUND(K17-$G17,3),""),"")</f>
        <v/>
      </c>
      <c r="L18" s="111">
        <f>IFERROR(IF(ROUND(L17-$G17,3)&gt;0,ROUND(L17-$G17,3),""),"")</f>
        <v/>
      </c>
      <c r="M18" s="111">
        <f>IFERROR(IF(ROUND(M17-$G17,3)&gt;0,ROUND(M17-$G17,3),""),"")</f>
        <v/>
      </c>
      <c r="N18" s="111">
        <f>IFERROR(IF(ROUND(N17-$G17,3)&gt;0,ROUND(N17-$G17,3),""),"")</f>
        <v/>
      </c>
      <c r="O18" s="111">
        <f>IFERROR(IF(ROUND(O17-$G17,3)&gt;0,ROUND(O17-$G17,3),""),"")</f>
        <v/>
      </c>
      <c r="P18" s="111">
        <f>IFERROR(IF(ROUND(P17-$G17,3)&gt;0,ROUND(P17-$G17,3),""),"")</f>
        <v/>
      </c>
      <c r="Q18" s="111">
        <f>IFERROR(IF(ROUND(Q17-$G17,3)&gt;0,ROUND(Q17-$G17,3),""),"")</f>
        <v/>
      </c>
      <c r="R18" s="111">
        <f>IFERROR(IF(ROUND(R17-$G17,3)&gt;0,ROUND(R17-$G17,3),""),"")</f>
        <v/>
      </c>
      <c r="S18" s="111">
        <f>IFERROR(IF(ROUND(S17-$G17,3)&gt;0,ROUND(S17-$G17,3),""),"")</f>
        <v/>
      </c>
      <c r="T18" s="23" t="n"/>
      <c r="U18" s="111">
        <f>IFERROR(IF(ROUND(U17-$G17,3)&gt;0,ROUND(U17-$G17,3),""),"")</f>
        <v/>
      </c>
      <c r="V18" s="111">
        <f>IFERROR(IF(ROUND(V17-$G17,3)&gt;0,ROUND(V17-$G17,3),""),"")</f>
        <v/>
      </c>
      <c r="W18" s="111">
        <f>IFERROR(IF(ROUND(W17-$G17,3)&gt;0,ROUND(W17-$G17,3),""),"")</f>
        <v/>
      </c>
      <c r="X18" s="111">
        <f>IFERROR(IF(ROUND(X17-$G17,3)&gt;0,ROUND(X17-$G17,3),""),"")</f>
        <v/>
      </c>
      <c r="Y18" s="111">
        <f>IFERROR(IF(ROUND(Y17-$G17,3)&gt;0,ROUND(Y17-$G17,3),""),"")</f>
        <v/>
      </c>
      <c r="Z18" s="111">
        <f>IFERROR(IF(ROUND(Z17-$G17,3)&gt;0,ROUND(Z17-$G17,3),""),"")</f>
        <v/>
      </c>
      <c r="AA18" s="111">
        <f>IFERROR(IF(ROUND(AA17-$G17,3)&gt;0,ROUND(AA17-$G17,3),""),"")</f>
        <v/>
      </c>
      <c r="AB18" s="111">
        <f>IFERROR(IF(ROUND(AB17-$G17,3)&gt;0,ROUND(AB17-$G17,3),""),"")</f>
        <v/>
      </c>
      <c r="AC18" s="111">
        <f>IFERROR(IF(ROUND(AC17-$G17,3)&gt;0,ROUND(AC17-$G17,3),""),"")</f>
        <v/>
      </c>
      <c r="AD18" s="111">
        <f>IFERROR(IF(ROUND(AD17-$G17,3)&gt;0,ROUND(AD17-$G17,3),""),"")</f>
        <v/>
      </c>
      <c r="AE18" s="111">
        <f>IFERROR(IF(ROUND(AE17-$G17,3)&gt;0,ROUND(AE17-$G17,3),""),"")</f>
        <v/>
      </c>
      <c r="AF18" s="111">
        <f>IFERROR(IF(ROUND(AF17-$G17,3)&gt;0,ROUND(AF17-$G17,3),""),"")</f>
        <v/>
      </c>
      <c r="AH18" s="23" t="inlineStr">
        <is>
          <t>MAISA ENV</t>
        </is>
      </c>
      <c r="AI18" s="101" t="inlineStr">
        <is>
          <t>MAISA ENV</t>
        </is>
      </c>
    </row>
    <row r="19" ht="15" customHeight="1" s="5">
      <c r="A19" s="104" t="n"/>
      <c r="B19" s="104" t="n"/>
      <c r="C19" s="86" t="n"/>
      <c r="D19" s="108" t="inlineStr">
        <is>
          <t>Short Order</t>
        </is>
      </c>
      <c r="E19" s="112" t="n"/>
      <c r="F19" s="111" t="n"/>
      <c r="G19" s="111" t="n"/>
      <c r="H19" s="111">
        <f>IFERROR(IF(ROUND($G17-H17,3)&gt;0,ROUND($G17-H17,3),""),"")</f>
        <v/>
      </c>
      <c r="I19" s="111">
        <f>IFERROR(IF(ROUND($G17-I17,3)&gt;0,ROUND($G17-I17,3),""),"")</f>
        <v/>
      </c>
      <c r="J19" s="111">
        <f>IFERROR(IF(ROUND($G17-J17,3)&gt;0,ROUND($G17-J17,3),""),"")</f>
        <v/>
      </c>
      <c r="K19" s="111">
        <f>IFERROR(IF(ROUND($G17-K17,3)&gt;0,ROUND($G17-K17,3),""),"")</f>
        <v/>
      </c>
      <c r="L19" s="111">
        <f>IFERROR(IF(ROUND($G17-L17,3)&gt;0,ROUND($G17-L17,3),""),"")</f>
        <v/>
      </c>
      <c r="M19" s="111">
        <f>IFERROR(IF(ROUND($G17-M17,3)&gt;0,ROUND($G17-M17,3),""),"")</f>
        <v/>
      </c>
      <c r="N19" s="111">
        <f>IFERROR(IF(ROUND($G17-N17,3)&gt;0,ROUND($G17-N17,3),""),"")</f>
        <v/>
      </c>
      <c r="O19" s="111">
        <f>IFERROR(IF(ROUND($G17-O17,3)&gt;0,ROUND($G17-O17,3),""),"")</f>
        <v/>
      </c>
      <c r="P19" s="111">
        <f>IFERROR(IF(ROUND($G17-P17,3)&gt;0,ROUND($G17-P17,3),""),"")</f>
        <v/>
      </c>
      <c r="Q19" s="111">
        <f>IFERROR(IF(ROUND($G17-Q17,3)&gt;0,ROUND($G17-Q17,3),""),"")</f>
        <v/>
      </c>
      <c r="R19" s="111">
        <f>IFERROR(IF(ROUND($G17-R17,3)&gt;0,ROUND($G17-R17,3),""),"")</f>
        <v/>
      </c>
      <c r="S19" s="111">
        <f>IFERROR(IF(ROUND($G17-S17,3)&gt;0,ROUND($G17-S17,3),""),"")</f>
        <v/>
      </c>
      <c r="T19" s="23" t="n"/>
      <c r="U19" s="111">
        <f>IFERROR(IF(ROUND($G17-U17,3)&gt;0,ROUND($G17-U17,3),""),"")</f>
        <v/>
      </c>
      <c r="V19" s="111">
        <f>IFERROR(IF(ROUND($G17-V17,3)&gt;0,ROUND($G17-V17,3),""),"")</f>
        <v/>
      </c>
      <c r="W19" s="111">
        <f>IFERROR(IF(ROUND($G17-W17,3)&gt;0,ROUND($G17-W17,3),""),"")</f>
        <v/>
      </c>
      <c r="X19" s="111">
        <f>IFERROR(IF(ROUND($G17-X17,3)&gt;0,ROUND($G17-X17,3),""),"")</f>
        <v/>
      </c>
      <c r="Y19" s="111">
        <f>IFERROR(IF(ROUND($G17-Y17,3)&gt;0,ROUND($G17-Y17,3),""),"")</f>
        <v/>
      </c>
      <c r="Z19" s="111">
        <f>IFERROR(IF(ROUND($G17-Z17,3)&gt;0,ROUND($G17-Z17,3),""),"")</f>
        <v/>
      </c>
      <c r="AA19" s="111">
        <f>IFERROR(IF(ROUND($G17-AA17,3)&gt;0,ROUND($G17-AA17,3),""),"")</f>
        <v/>
      </c>
      <c r="AB19" s="111">
        <f>IFERROR(IF(ROUND($G17-AB17,3)&gt;0,ROUND($G17-AB17,3),""),"")</f>
        <v/>
      </c>
      <c r="AC19" s="111">
        <f>IFERROR(IF(ROUND($G17-AC17,3)&gt;0,ROUND($G17-AC17,3),""),"")</f>
        <v/>
      </c>
      <c r="AD19" s="111">
        <f>IFERROR(IF(ROUND($G17-AD17,3)&gt;0,ROUND($G17-AD17,3),""),"")</f>
        <v/>
      </c>
      <c r="AE19" s="111">
        <f>IFERROR(IF(ROUND($G17-AE17,3)&gt;0,ROUND($G17-AE17,3),""),"")</f>
        <v/>
      </c>
      <c r="AF19" s="111">
        <f>IFERROR(IF(ROUND($G17-AF17,3)&gt;0,ROUND($G17-AF17,3),""),"")</f>
        <v/>
      </c>
      <c r="AH19" s="23" t="inlineStr">
        <is>
          <t>MD20 ENV GARANT</t>
        </is>
      </c>
      <c r="AI19" s="101" t="inlineStr">
        <is>
          <t>MD20 ENV GARANT</t>
        </is>
      </c>
    </row>
    <row r="20" ht="15" customHeight="1" s="5">
      <c r="A20" s="104" t="n"/>
      <c r="B20" s="104" t="n"/>
      <c r="C20" s="65" t="inlineStr">
        <is>
          <t>DC TAG</t>
        </is>
      </c>
      <c r="D20" s="52" t="inlineStr">
        <is>
          <t>MD20 4GM TAG</t>
        </is>
      </c>
      <c r="E20" s="53" t="n">
        <v>1</v>
      </c>
      <c r="F20" s="53" t="n">
        <v>1</v>
      </c>
      <c r="G20" s="75">
        <f>IFERROR(IF(OR($F20=0,VLOOKUP($D20,'MC MASTER'!$A:$R,18,0)=0),"-",ROUND(VLOOKUP($D20,'MC MASTER'!$A:$R,18,0)*$E20*$F20,3)),"-")</f>
        <v/>
      </c>
      <c r="H20" s="75">
        <f>IFERROR(SUMIFS(WORKING!$Y:$Y,WORKING!$X:$X,$D20,WORKING!$W:$W,H$500),"")</f>
        <v/>
      </c>
      <c r="I20" s="75">
        <f>IFERROR(SUMIFS(WORKING!$Y:$Y,WORKING!$X:$X,$D20,WORKING!$W:$W,I$500),"")</f>
        <v/>
      </c>
      <c r="J20" s="75">
        <f>IFERROR(SUMIFS(WORKING!$Y:$Y,WORKING!$X:$X,$D20,WORKING!$W:$W,J$500),"")</f>
        <v/>
      </c>
      <c r="K20" s="75">
        <f>IFERROR(SUMIFS(WORKING!$Y:$Y,WORKING!$X:$X,$D20,WORKING!$W:$W,K$500),"")</f>
        <v/>
      </c>
      <c r="L20" s="75">
        <f>IFERROR(SUMIFS(WORKING!$Y:$Y,WORKING!$X:$X,$D20,WORKING!$W:$W,L$500),"")</f>
        <v/>
      </c>
      <c r="M20" s="75">
        <f>IFERROR(SUMIFS(WORKING!$Y:$Y,WORKING!$X:$X,$D20,WORKING!$W:$W,M$500),"")</f>
        <v/>
      </c>
      <c r="N20" s="75">
        <f>IFERROR(SUMIFS(WORKING!$Y:$Y,WORKING!$X:$X,$D20,WORKING!$W:$W,N$500),"")</f>
        <v/>
      </c>
      <c r="O20" s="75">
        <f>IFERROR(SUMIFS(WORKING!$Y:$Y,WORKING!$X:$X,$D20,WORKING!$W:$W,O$500),"")</f>
        <v/>
      </c>
      <c r="P20" s="75">
        <f>IFERROR(SUMIFS(WORKING!$Y:$Y,WORKING!$X:$X,$D20,WORKING!$W:$W,P$500),"")</f>
        <v/>
      </c>
      <c r="Q20" s="75">
        <f>IFERROR(SUMIFS(WORKING!$Y:$Y,WORKING!$X:$X,$D20,WORKING!$W:$W,Q$500),"")</f>
        <v/>
      </c>
      <c r="R20" s="75">
        <f>IFERROR(SUMIFS(WORKING!$Y:$Y,WORKING!$X:$X,$D20,WORKING!$W:$W,R$500),"")</f>
        <v/>
      </c>
      <c r="S20" s="75">
        <f>IFERROR(SUMIFS(WORKING!$Y:$Y,WORKING!$X:$X,$D20,WORKING!$W:$W,S$500),"")</f>
        <v/>
      </c>
      <c r="T20" s="23" t="n"/>
      <c r="U20" s="75">
        <f>IFERROR(SUMIFS(WORKING!$Z:$Z,WORKING!$X:$X,$D20,WORKING!$W:$W,H$500),"")</f>
        <v/>
      </c>
      <c r="V20" s="75">
        <f>IFERROR(SUMIFS(WORKING!$Z:$Z,WORKING!$X:$X,$D20,WORKING!$W:$W,I$500),"")</f>
        <v/>
      </c>
      <c r="W20" s="75">
        <f>IFERROR(SUMIFS(WORKING!$Z:$Z,WORKING!$X:$X,$D20,WORKING!$W:$W,J$500),"")</f>
        <v/>
      </c>
      <c r="X20" s="75">
        <f>IFERROR(SUMIFS(WORKING!$Z:$Z,WORKING!$X:$X,$D20,WORKING!$W:$W,K$500),"")</f>
        <v/>
      </c>
      <c r="Y20" s="75">
        <f>IFERROR(SUMIFS(WORKING!$Z:$Z,WORKING!$X:$X,$D20,WORKING!$W:$W,L$500),"")</f>
        <v/>
      </c>
      <c r="Z20" s="75">
        <f>IFERROR(SUMIFS(WORKING!$Z:$Z,WORKING!$X:$X,$D20,WORKING!$W:$W,M$500),"")</f>
        <v/>
      </c>
      <c r="AA20" s="75">
        <f>IFERROR(SUMIFS(WORKING!$Z:$Z,WORKING!$X:$X,$D20,WORKING!$W:$W,N$500),"")</f>
        <v/>
      </c>
      <c r="AB20" s="75">
        <f>IFERROR(SUMIFS(WORKING!$Z:$Z,WORKING!$X:$X,$D20,WORKING!$W:$W,O$500),"")</f>
        <v/>
      </c>
      <c r="AC20" s="75">
        <f>IFERROR(SUMIFS(WORKING!$Z:$Z,WORKING!$X:$X,$D20,WORKING!$W:$W,P$500),"")</f>
        <v/>
      </c>
      <c r="AD20" s="75">
        <f>IFERROR(SUMIFS(WORKING!$Z:$Z,WORKING!$X:$X,$D20,WORKING!$W:$W,Q$500),"")</f>
        <v/>
      </c>
      <c r="AE20" s="75">
        <f>IFERROR(SUMIFS(WORKING!$Z:$Z,WORKING!$X:$X,$D20,WORKING!$W:$W,R$500),"")</f>
        <v/>
      </c>
      <c r="AF20" s="75">
        <f>IFERROR(SUMIFS(WORKING!$Z:$Z,WORKING!$X:$X,$D20,WORKING!$W:$W,S$500),"")</f>
        <v/>
      </c>
      <c r="AH20" s="23" t="inlineStr">
        <is>
          <t>MAISA TAGLESS</t>
        </is>
      </c>
      <c r="AI20" s="101" t="inlineStr">
        <is>
          <t>MAISA TAGLESS</t>
        </is>
      </c>
    </row>
    <row r="21" ht="15" customHeight="1" s="5">
      <c r="A21" s="104" t="n"/>
      <c r="B21" s="104" t="n"/>
      <c r="C21" s="86" t="n"/>
      <c r="D21" s="52" t="inlineStr">
        <is>
          <t>PERFECTA  K 45 TAG</t>
        </is>
      </c>
      <c r="E21" s="53" t="n">
        <v>1</v>
      </c>
      <c r="F21" s="53" t="n">
        <v>1</v>
      </c>
      <c r="G21" s="75">
        <f>IFERROR(IF(OR($F21=0,VLOOKUP($D21,'MC MASTER'!$A:$R,18,0)=0),"-",ROUND(VLOOKUP($D21,'MC MASTER'!$A:$R,18,0)*$E21*$F21,3)),"-")</f>
        <v/>
      </c>
      <c r="H21" s="75">
        <f>IFERROR(SUMIFS(WORKING!$Y:$Y,WORKING!$X:$X,$D21,WORKING!$W:$W,H$500),"")</f>
        <v/>
      </c>
      <c r="I21" s="75">
        <f>IFERROR(SUMIFS(WORKING!$Y:$Y,WORKING!$X:$X,$D21,WORKING!$W:$W,I$500),"")</f>
        <v/>
      </c>
      <c r="J21" s="75">
        <f>IFERROR(SUMIFS(WORKING!$Y:$Y,WORKING!$X:$X,$D21,WORKING!$W:$W,J$500),"")</f>
        <v/>
      </c>
      <c r="K21" s="75">
        <f>IFERROR(SUMIFS(WORKING!$Y:$Y,WORKING!$X:$X,$D21,WORKING!$W:$W,K$500),"")</f>
        <v/>
      </c>
      <c r="L21" s="75">
        <f>IFERROR(SUMIFS(WORKING!$Y:$Y,WORKING!$X:$X,$D21,WORKING!$W:$W,L$500),"")</f>
        <v/>
      </c>
      <c r="M21" s="75">
        <f>IFERROR(SUMIFS(WORKING!$Y:$Y,WORKING!$X:$X,$D21,WORKING!$W:$W,M$500),"")</f>
        <v/>
      </c>
      <c r="N21" s="75">
        <f>IFERROR(SUMIFS(WORKING!$Y:$Y,WORKING!$X:$X,$D21,WORKING!$W:$W,N$500),"")</f>
        <v/>
      </c>
      <c r="O21" s="75">
        <f>IFERROR(SUMIFS(WORKING!$Y:$Y,WORKING!$X:$X,$D21,WORKING!$W:$W,O$500),"")</f>
        <v/>
      </c>
      <c r="P21" s="75">
        <f>IFERROR(SUMIFS(WORKING!$Y:$Y,WORKING!$X:$X,$D21,WORKING!$W:$W,P$500),"")</f>
        <v/>
      </c>
      <c r="Q21" s="75">
        <f>IFERROR(SUMIFS(WORKING!$Y:$Y,WORKING!$X:$X,$D21,WORKING!$W:$W,Q$500),"")</f>
        <v/>
      </c>
      <c r="R21" s="75">
        <f>IFERROR(SUMIFS(WORKING!$Y:$Y,WORKING!$X:$X,$D21,WORKING!$W:$W,R$500),"")</f>
        <v/>
      </c>
      <c r="S21" s="75">
        <f>IFERROR(SUMIFS(WORKING!$Y:$Y,WORKING!$X:$X,$D21,WORKING!$W:$W,S$500),"")</f>
        <v/>
      </c>
      <c r="T21" s="23" t="n"/>
      <c r="U21" s="75">
        <f>IFERROR(SUMIFS(WORKING!$Z:$Z,WORKING!$X:$X,$D21,WORKING!$W:$W,H$500),"")</f>
        <v/>
      </c>
      <c r="V21" s="75">
        <f>IFERROR(SUMIFS(WORKING!$Z:$Z,WORKING!$X:$X,$D21,WORKING!$W:$W,I$500),"")</f>
        <v/>
      </c>
      <c r="W21" s="75">
        <f>IFERROR(SUMIFS(WORKING!$Z:$Z,WORKING!$X:$X,$D21,WORKING!$W:$W,J$500),"")</f>
        <v/>
      </c>
      <c r="X21" s="75">
        <f>IFERROR(SUMIFS(WORKING!$Z:$Z,WORKING!$X:$X,$D21,WORKING!$W:$W,K$500),"")</f>
        <v/>
      </c>
      <c r="Y21" s="75">
        <f>IFERROR(SUMIFS(WORKING!$Z:$Z,WORKING!$X:$X,$D21,WORKING!$W:$W,L$500),"")</f>
        <v/>
      </c>
      <c r="Z21" s="75">
        <f>IFERROR(SUMIFS(WORKING!$Z:$Z,WORKING!$X:$X,$D21,WORKING!$W:$W,M$500),"")</f>
        <v/>
      </c>
      <c r="AA21" s="75">
        <f>IFERROR(SUMIFS(WORKING!$Z:$Z,WORKING!$X:$X,$D21,WORKING!$W:$W,N$500),"")</f>
        <v/>
      </c>
      <c r="AB21" s="75">
        <f>IFERROR(SUMIFS(WORKING!$Z:$Z,WORKING!$X:$X,$D21,WORKING!$W:$W,O$500),"")</f>
        <v/>
      </c>
      <c r="AC21" s="75">
        <f>IFERROR(SUMIFS(WORKING!$Z:$Z,WORKING!$X:$X,$D21,WORKING!$W:$W,P$500),"")</f>
        <v/>
      </c>
      <c r="AD21" s="75">
        <f>IFERROR(SUMIFS(WORKING!$Z:$Z,WORKING!$X:$X,$D21,WORKING!$W:$W,Q$500),"")</f>
        <v/>
      </c>
      <c r="AE21" s="75">
        <f>IFERROR(SUMIFS(WORKING!$Z:$Z,WORKING!$X:$X,$D21,WORKING!$W:$W,R$500),"")</f>
        <v/>
      </c>
      <c r="AF21" s="75">
        <f>IFERROR(SUMIFS(WORKING!$Z:$Z,WORKING!$X:$X,$D21,WORKING!$W:$W,S$500),"")</f>
        <v/>
      </c>
      <c r="AH21" s="23" t="inlineStr">
        <is>
          <t>CONSTANTA TAG</t>
        </is>
      </c>
      <c r="AI21" s="101" t="inlineStr">
        <is>
          <t>CONSTANTA TAG</t>
        </is>
      </c>
    </row>
    <row r="22" ht="15" customHeight="1" s="5">
      <c r="A22" s="104" t="n"/>
      <c r="B22" s="104" t="n"/>
      <c r="C22" s="105" t="n"/>
      <c r="D22" s="125" t="inlineStr">
        <is>
          <t>TOTAL</t>
        </is>
      </c>
      <c r="E22" s="126" t="n"/>
      <c r="F22" s="126" t="n"/>
      <c r="G22" s="127">
        <f>SUM(G20:G21)</f>
        <v/>
      </c>
      <c r="H22" s="127">
        <f>SUM(H20:H21)</f>
        <v/>
      </c>
      <c r="I22" s="127">
        <f>SUM(I20:I21)</f>
        <v/>
      </c>
      <c r="J22" s="127">
        <f>SUM(J20:J21)</f>
        <v/>
      </c>
      <c r="K22" s="127">
        <f>SUM(K20:K21)</f>
        <v/>
      </c>
      <c r="L22" s="127">
        <f>SUM(L20:L21)</f>
        <v/>
      </c>
      <c r="M22" s="127">
        <f>SUM(M20:M21)</f>
        <v/>
      </c>
      <c r="N22" s="127">
        <f>SUM(N20:N21)</f>
        <v/>
      </c>
      <c r="O22" s="127">
        <f>SUM(O20:O21)</f>
        <v/>
      </c>
      <c r="P22" s="127">
        <f>SUM(P20:P21)</f>
        <v/>
      </c>
      <c r="Q22" s="127">
        <f>SUM(Q20:Q21)</f>
        <v/>
      </c>
      <c r="R22" s="127">
        <f>SUM(R20:R21)</f>
        <v/>
      </c>
      <c r="S22" s="127">
        <f>SUM(S20:S21)</f>
        <v/>
      </c>
      <c r="T22" s="23" t="n"/>
      <c r="U22" s="127">
        <f>SUM(U20:U21)</f>
        <v/>
      </c>
      <c r="V22" s="127">
        <f>SUM(V20:V21)</f>
        <v/>
      </c>
      <c r="W22" s="127">
        <f>SUM(W20:W21)</f>
        <v/>
      </c>
      <c r="X22" s="127">
        <f>SUM(X20:X21)</f>
        <v/>
      </c>
      <c r="Y22" s="127">
        <f>SUM(Y20:Y21)</f>
        <v/>
      </c>
      <c r="Z22" s="127">
        <f>SUM(Z20:Z21)</f>
        <v/>
      </c>
      <c r="AA22" s="127">
        <f>SUM(AA20:AA21)</f>
        <v/>
      </c>
      <c r="AB22" s="127">
        <f>SUM(AB20:AB21)</f>
        <v/>
      </c>
      <c r="AC22" s="127">
        <f>SUM(AC20:AC21)</f>
        <v/>
      </c>
      <c r="AD22" s="127">
        <f>SUM(AD20:AD21)</f>
        <v/>
      </c>
      <c r="AE22" s="127">
        <f>SUM(AE20:AE21)</f>
        <v/>
      </c>
      <c r="AF22" s="127">
        <f>SUM(AF20:AF21)</f>
        <v/>
      </c>
      <c r="AH22" s="23" t="inlineStr">
        <is>
          <t>CONSTANTA TAG (D)</t>
        </is>
      </c>
      <c r="AI22" s="101" t="inlineStr">
        <is>
          <t>CONSTANTA TAG</t>
        </is>
      </c>
    </row>
    <row r="23" ht="15" customHeight="1" s="5">
      <c r="A23" s="104" t="n"/>
      <c r="B23" s="104" t="n"/>
      <c r="C23" s="106" t="n"/>
      <c r="D23" s="72" t="inlineStr">
        <is>
          <t>Excess Order</t>
        </is>
      </c>
      <c r="E23" s="57" t="n"/>
      <c r="F23" s="79" t="n"/>
      <c r="G23" s="79" t="n"/>
      <c r="H23" s="79">
        <f>IFERROR(IF(ROUND(H22-$G22,3)&gt;0,ROUND(H22-$G22,3),""),"")</f>
        <v/>
      </c>
      <c r="I23" s="79">
        <f>IFERROR(IF(ROUND(I22-$G22,3)&gt;0,ROUND(I22-$G22,3),""),"")</f>
        <v/>
      </c>
      <c r="J23" s="79">
        <f>IFERROR(IF(ROUND(J22-$G22,3)&gt;0,ROUND(J22-$G22,3),""),"")</f>
        <v/>
      </c>
      <c r="K23" s="79">
        <f>IFERROR(IF(ROUND(K22-$G22,3)&gt;0,ROUND(K22-$G22,3),""),"")</f>
        <v/>
      </c>
      <c r="L23" s="79">
        <f>IFERROR(IF(ROUND(L22-$G22,3)&gt;0,ROUND(L22-$G22,3),""),"")</f>
        <v/>
      </c>
      <c r="M23" s="79">
        <f>IFERROR(IF(ROUND(M22-$G22,3)&gt;0,ROUND(M22-$G22,3),""),"")</f>
        <v/>
      </c>
      <c r="N23" s="79">
        <f>IFERROR(IF(ROUND(N22-$G22,3)&gt;0,ROUND(N22-$G22,3),""),"")</f>
        <v/>
      </c>
      <c r="O23" s="79">
        <f>IFERROR(IF(ROUND(O22-$G22,3)&gt;0,ROUND(O22-$G22,3),""),"")</f>
        <v/>
      </c>
      <c r="P23" s="79">
        <f>IFERROR(IF(ROUND(P22-$G22,3)&gt;0,ROUND(P22-$G22,3),""),"")</f>
        <v/>
      </c>
      <c r="Q23" s="79">
        <f>IFERROR(IF(ROUND(Q22-$G22,3)&gt;0,ROUND(Q22-$G22,3),""),"")</f>
        <v/>
      </c>
      <c r="R23" s="79">
        <f>IFERROR(IF(ROUND(R22-$G22,3)&gt;0,ROUND(R22-$G22,3),""),"")</f>
        <v/>
      </c>
      <c r="S23" s="79">
        <f>IFERROR(IF(ROUND(S22-$G22,3)&gt;0,ROUND(S22-$G22,3),""),"")</f>
        <v/>
      </c>
      <c r="T23" s="23" t="n"/>
      <c r="U23" s="79">
        <f>IFERROR(IF(ROUND(U22-$G22,3)&gt;0,ROUND(U22-$G22,3),""),"")</f>
        <v/>
      </c>
      <c r="V23" s="79">
        <f>IFERROR(IF(ROUND(V22-$G22,3)&gt;0,ROUND(V22-$G22,3),""),"")</f>
        <v/>
      </c>
      <c r="W23" s="79">
        <f>IFERROR(IF(ROUND(W22-$G22,3)&gt;0,ROUND(W22-$G22,3),""),"")</f>
        <v/>
      </c>
      <c r="X23" s="79">
        <f>IFERROR(IF(ROUND(X22-$G22,3)&gt;0,ROUND(X22-$G22,3),""),"")</f>
        <v/>
      </c>
      <c r="Y23" s="79">
        <f>IFERROR(IF(ROUND(Y22-$G22,3)&gt;0,ROUND(Y22-$G22,3),""),"")</f>
        <v/>
      </c>
      <c r="Z23" s="79">
        <f>IFERROR(IF(ROUND(Z22-$G22,3)&gt;0,ROUND(Z22-$G22,3),""),"")</f>
        <v/>
      </c>
      <c r="AA23" s="79">
        <f>IFERROR(IF(ROUND(AA22-$G22,3)&gt;0,ROUND(AA22-$G22,3),""),"")</f>
        <v/>
      </c>
      <c r="AB23" s="79">
        <f>IFERROR(IF(ROUND(AB22-$G22,3)&gt;0,ROUND(AB22-$G22,3),""),"")</f>
        <v/>
      </c>
      <c r="AC23" s="79">
        <f>IFERROR(IF(ROUND(AC22-$G22,3)&gt;0,ROUND(AC22-$G22,3),""),"")</f>
        <v/>
      </c>
      <c r="AD23" s="79">
        <f>IFERROR(IF(ROUND(AD22-$G22,3)&gt;0,ROUND(AD22-$G22,3),""),"")</f>
        <v/>
      </c>
      <c r="AE23" s="79">
        <f>IFERROR(IF(ROUND(AE22-$G22,3)&gt;0,ROUND(AE22-$G22,3),""),"")</f>
        <v/>
      </c>
      <c r="AF23" s="79">
        <f>IFERROR(IF(ROUND(AF22-$G22,3)&gt;0,ROUND(AF22-$G22,3),""),"")</f>
        <v/>
      </c>
      <c r="AH23" s="23" t="inlineStr">
        <is>
          <t>PERFACTA TAG</t>
        </is>
      </c>
      <c r="AI23" s="101" t="inlineStr">
        <is>
          <t>PERFACTA TAG</t>
        </is>
      </c>
    </row>
    <row r="24" ht="15" customHeight="1" s="5">
      <c r="A24" s="104" t="n"/>
      <c r="B24" s="86" t="n"/>
      <c r="C24" s="86" t="n"/>
      <c r="D24" s="72" t="inlineStr">
        <is>
          <t>Short Order</t>
        </is>
      </c>
      <c r="E24" s="57" t="n"/>
      <c r="F24" s="79" t="n"/>
      <c r="G24" s="79" t="n"/>
      <c r="H24" s="79">
        <f>IFERROR(IF(ROUND($G22-H22,3)&gt;0,ROUND($G22-H22,3),""),"")</f>
        <v/>
      </c>
      <c r="I24" s="79">
        <f>IFERROR(IF(ROUND($G22-I22,3)&gt;0,ROUND($G22-I22,3),""),"")</f>
        <v/>
      </c>
      <c r="J24" s="79">
        <f>IFERROR(IF(ROUND($G22-J22,3)&gt;0,ROUND($G22-J22,3),""),"")</f>
        <v/>
      </c>
      <c r="K24" s="79">
        <f>IFERROR(IF(ROUND($G22-K22,3)&gt;0,ROUND($G22-K22,3),""),"")</f>
        <v/>
      </c>
      <c r="L24" s="79">
        <f>IFERROR(IF(ROUND($G22-L22,3)&gt;0,ROUND($G22-L22,3),""),"")</f>
        <v/>
      </c>
      <c r="M24" s="79">
        <f>IFERROR(IF(ROUND($G22-M22,3)&gt;0,ROUND($G22-M22,3),""),"")</f>
        <v/>
      </c>
      <c r="N24" s="79">
        <f>IFERROR(IF(ROUND($G22-N22,3)&gt;0,ROUND($G22-N22,3),""),"")</f>
        <v/>
      </c>
      <c r="O24" s="79">
        <f>IFERROR(IF(ROUND($G22-O22,3)&gt;0,ROUND($G22-O22,3),""),"")</f>
        <v/>
      </c>
      <c r="P24" s="79">
        <f>IFERROR(IF(ROUND($G22-P22,3)&gt;0,ROUND($G22-P22,3),""),"")</f>
        <v/>
      </c>
      <c r="Q24" s="79">
        <f>IFERROR(IF(ROUND($G22-Q22,3)&gt;0,ROUND($G22-Q22,3),""),"")</f>
        <v/>
      </c>
      <c r="R24" s="79">
        <f>IFERROR(IF(ROUND($G22-R22,3)&gt;0,ROUND($G22-R22,3),""),"")</f>
        <v/>
      </c>
      <c r="S24" s="79">
        <f>IFERROR(IF(ROUND($G22-S22,3)&gt;0,ROUND($G22-S22,3),""),"")</f>
        <v/>
      </c>
      <c r="T24" s="23" t="n"/>
      <c r="U24" s="79">
        <f>IFERROR(IF(ROUND($G22-U22,3)&gt;0,ROUND($G22-U22,3),""),"")</f>
        <v/>
      </c>
      <c r="V24" s="79">
        <f>IFERROR(IF(ROUND($G22-V22,3)&gt;0,ROUND($G22-V22,3),""),"")</f>
        <v/>
      </c>
      <c r="W24" s="79">
        <f>IFERROR(IF(ROUND($G22-W22,3)&gt;0,ROUND($G22-W22,3),""),"")</f>
        <v/>
      </c>
      <c r="X24" s="79">
        <f>IFERROR(IF(ROUND($G22-X22,3)&gt;0,ROUND($G22-X22,3),""),"")</f>
        <v/>
      </c>
      <c r="Y24" s="79">
        <f>IFERROR(IF(ROUND($G22-Y22,3)&gt;0,ROUND($G22-Y22,3),""),"")</f>
        <v/>
      </c>
      <c r="Z24" s="79">
        <f>IFERROR(IF(ROUND($G22-Z22,3)&gt;0,ROUND($G22-Z22,3),""),"")</f>
        <v/>
      </c>
      <c r="AA24" s="79">
        <f>IFERROR(IF(ROUND($G22-AA22,3)&gt;0,ROUND($G22-AA22,3),""),"")</f>
        <v/>
      </c>
      <c r="AB24" s="79">
        <f>IFERROR(IF(ROUND($G22-AB22,3)&gt;0,ROUND($G22-AB22,3),""),"")</f>
        <v/>
      </c>
      <c r="AC24" s="79">
        <f>IFERROR(IF(ROUND($G22-AC22,3)&gt;0,ROUND($G22-AC22,3),""),"")</f>
        <v/>
      </c>
      <c r="AD24" s="79">
        <f>IFERROR(IF(ROUND($G22-AD22,3)&gt;0,ROUND($G22-AD22,3),""),"")</f>
        <v/>
      </c>
      <c r="AE24" s="79">
        <f>IFERROR(IF(ROUND($G22-AE22,3)&gt;0,ROUND($G22-AE22,3),""),"")</f>
        <v/>
      </c>
      <c r="AF24" s="79">
        <f>IFERROR(IF(ROUND($G22-AF22,3)&gt;0,ROUND($G22-AF22,3),""),"")</f>
        <v/>
      </c>
      <c r="AH24" s="23" t="inlineStr">
        <is>
          <t>PERFECTA  K 45 TAG</t>
        </is>
      </c>
      <c r="AI24" s="101" t="inlineStr">
        <is>
          <t>PERFECTA  K 45 TAG</t>
        </is>
      </c>
    </row>
    <row r="25" ht="15" customHeight="1" s="5">
      <c r="A25" s="104" t="n"/>
      <c r="B25" s="103" t="inlineStr">
        <is>
          <t>RUSSIA</t>
        </is>
      </c>
      <c r="C25" s="65" t="inlineStr">
        <is>
          <t>DC TAG</t>
        </is>
      </c>
      <c r="D25" s="52" t="inlineStr">
        <is>
          <t>MD20 HS</t>
        </is>
      </c>
      <c r="E25" s="53" t="n">
        <v>2</v>
      </c>
      <c r="F25" s="53" t="n">
        <v>1</v>
      </c>
      <c r="G25" s="75">
        <f>IFERROR(IF(OR($F25=0,VLOOKUP($D25,'MC MASTER'!$A:$R,18,0)=0),"-",ROUND(VLOOKUP($D25,'MC MASTER'!$A:$R,18,0)*$E25*$F25,3)),"-")</f>
        <v/>
      </c>
      <c r="H25" s="75">
        <f>IFERROR(SUMIFS(WORKING!$Y:$Y,WORKING!$X:$X,$D25,WORKING!$W:$W,H$500),"")</f>
        <v/>
      </c>
      <c r="I25" s="75">
        <f>IFERROR(SUMIFS(WORKING!$Y:$Y,WORKING!$X:$X,$D25,WORKING!$W:$W,I$500),"")</f>
        <v/>
      </c>
      <c r="J25" s="75">
        <f>IFERROR(SUMIFS(WORKING!$Y:$Y,WORKING!$X:$X,$D25,WORKING!$W:$W,J$500),"")</f>
        <v/>
      </c>
      <c r="K25" s="75">
        <f>IFERROR(SUMIFS(WORKING!$Y:$Y,WORKING!$X:$X,$D25,WORKING!$W:$W,K$500),"")</f>
        <v/>
      </c>
      <c r="L25" s="75">
        <f>IFERROR(SUMIFS(WORKING!$Y:$Y,WORKING!$X:$X,$D25,WORKING!$W:$W,L$500),"")</f>
        <v/>
      </c>
      <c r="M25" s="75">
        <f>IFERROR(SUMIFS(WORKING!$Y:$Y,WORKING!$X:$X,$D25,WORKING!$W:$W,M$500),"")</f>
        <v/>
      </c>
      <c r="N25" s="75">
        <f>IFERROR(SUMIFS(WORKING!$Y:$Y,WORKING!$X:$X,$D25,WORKING!$W:$W,N$500),"")</f>
        <v/>
      </c>
      <c r="O25" s="75">
        <f>IFERROR(SUMIFS(WORKING!$Y:$Y,WORKING!$X:$X,$D25,WORKING!$W:$W,O$500),"")</f>
        <v/>
      </c>
      <c r="P25" s="75">
        <f>IFERROR(SUMIFS(WORKING!$Y:$Y,WORKING!$X:$X,$D25,WORKING!$W:$W,P$500),"")</f>
        <v/>
      </c>
      <c r="Q25" s="75">
        <f>IFERROR(SUMIFS(WORKING!$Y:$Y,WORKING!$X:$X,$D25,WORKING!$W:$W,Q$500),"")</f>
        <v/>
      </c>
      <c r="R25" s="75">
        <f>IFERROR(SUMIFS(WORKING!$Y:$Y,WORKING!$X:$X,$D25,WORKING!$W:$W,R$500),"")</f>
        <v/>
      </c>
      <c r="S25" s="75">
        <f>IFERROR(SUMIFS(WORKING!$Y:$Y,WORKING!$X:$X,$D25,WORKING!$W:$W,S$500),"")</f>
        <v/>
      </c>
      <c r="T25" s="23" t="n"/>
      <c r="U25" s="75">
        <f>IFERROR(SUMIFS(WORKING!$Z:$Z,WORKING!$X:$X,$D25,WORKING!$W:$W,H$500),"")</f>
        <v/>
      </c>
      <c r="V25" s="75">
        <f>IFERROR(SUMIFS(WORKING!$Z:$Z,WORKING!$X:$X,$D25,WORKING!$W:$W,I$500),"")</f>
        <v/>
      </c>
      <c r="W25" s="75">
        <f>IFERROR(SUMIFS(WORKING!$Z:$Z,WORKING!$X:$X,$D25,WORKING!$W:$W,J$500),"")</f>
        <v/>
      </c>
      <c r="X25" s="75">
        <f>IFERROR(SUMIFS(WORKING!$Z:$Z,WORKING!$X:$X,$D25,WORKING!$W:$W,K$500),"")</f>
        <v/>
      </c>
      <c r="Y25" s="75">
        <f>IFERROR(SUMIFS(WORKING!$Z:$Z,WORKING!$X:$X,$D25,WORKING!$W:$W,L$500),"")</f>
        <v/>
      </c>
      <c r="Z25" s="75">
        <f>IFERROR(SUMIFS(WORKING!$Z:$Z,WORKING!$X:$X,$D25,WORKING!$W:$W,M$500),"")</f>
        <v/>
      </c>
      <c r="AA25" s="75">
        <f>IFERROR(SUMIFS(WORKING!$Z:$Z,WORKING!$X:$X,$D25,WORKING!$W:$W,N$500),"")</f>
        <v/>
      </c>
      <c r="AB25" s="75">
        <f>IFERROR(SUMIFS(WORKING!$Z:$Z,WORKING!$X:$X,$D25,WORKING!$W:$W,O$500),"")</f>
        <v/>
      </c>
      <c r="AC25" s="75">
        <f>IFERROR(SUMIFS(WORKING!$Z:$Z,WORKING!$X:$X,$D25,WORKING!$W:$W,P$500),"")</f>
        <v/>
      </c>
      <c r="AD25" s="75">
        <f>IFERROR(SUMIFS(WORKING!$Z:$Z,WORKING!$X:$X,$D25,WORKING!$W:$W,Q$500),"")</f>
        <v/>
      </c>
      <c r="AE25" s="75">
        <f>IFERROR(SUMIFS(WORKING!$Z:$Z,WORKING!$X:$X,$D25,WORKING!$W:$W,R$500),"")</f>
        <v/>
      </c>
      <c r="AF25" s="75">
        <f>IFERROR(SUMIFS(WORKING!$Z:$Z,WORKING!$X:$X,$D25,WORKING!$W:$W,S$500),"")</f>
        <v/>
      </c>
      <c r="AH25" s="23" t="inlineStr">
        <is>
          <t>CONSTANTA FAMILY SIZE</t>
        </is>
      </c>
      <c r="AI25" s="101" t="inlineStr">
        <is>
          <t>CONSTANTA FAMILY SIZE</t>
        </is>
      </c>
    </row>
    <row r="26" ht="15" customHeight="1" s="5">
      <c r="A26" s="104" t="n"/>
      <c r="B26" s="104" t="n"/>
      <c r="C26" s="105" t="n"/>
      <c r="D26" s="125" t="inlineStr">
        <is>
          <t>TOTAL</t>
        </is>
      </c>
      <c r="E26" s="126" t="n"/>
      <c r="F26" s="126" t="n"/>
      <c r="G26" s="127">
        <f>SUM(G25:G25)</f>
        <v/>
      </c>
      <c r="H26" s="127">
        <f>SUM(H25:H25)</f>
        <v/>
      </c>
      <c r="I26" s="127">
        <f>SUM(I25:I25)</f>
        <v/>
      </c>
      <c r="J26" s="127">
        <f>SUM(J25:J25)</f>
        <v/>
      </c>
      <c r="K26" s="127">
        <f>SUM(K25:K25)</f>
        <v/>
      </c>
      <c r="L26" s="127">
        <f>SUM(L25:L25)</f>
        <v/>
      </c>
      <c r="M26" s="127">
        <f>SUM(M25:M25)</f>
        <v/>
      </c>
      <c r="N26" s="127">
        <f>SUM(N25:N25)</f>
        <v/>
      </c>
      <c r="O26" s="127">
        <f>SUM(O25:O25)</f>
        <v/>
      </c>
      <c r="P26" s="127">
        <f>SUM(P25:P25)</f>
        <v/>
      </c>
      <c r="Q26" s="127">
        <f>SUM(Q25:Q25)</f>
        <v/>
      </c>
      <c r="R26" s="127">
        <f>SUM(R25:R25)</f>
        <v/>
      </c>
      <c r="S26" s="127">
        <f>SUM(S25:S25)</f>
        <v/>
      </c>
      <c r="T26" s="23" t="n"/>
      <c r="U26" s="127">
        <f>SUM(U25:U25)</f>
        <v/>
      </c>
      <c r="V26" s="127">
        <f>SUM(V25:V25)</f>
        <v/>
      </c>
      <c r="W26" s="127">
        <f>SUM(W25:W25)</f>
        <v/>
      </c>
      <c r="X26" s="127">
        <f>SUM(X25:X25)</f>
        <v/>
      </c>
      <c r="Y26" s="127">
        <f>SUM(Y25:Y25)</f>
        <v/>
      </c>
      <c r="Z26" s="127">
        <f>SUM(Z25:Z25)</f>
        <v/>
      </c>
      <c r="AA26" s="127">
        <f>SUM(AA25:AA25)</f>
        <v/>
      </c>
      <c r="AB26" s="127">
        <f>SUM(AB25:AB25)</f>
        <v/>
      </c>
      <c r="AC26" s="127">
        <f>SUM(AC25:AC25)</f>
        <v/>
      </c>
      <c r="AD26" s="127">
        <f>SUM(AD25:AD25)</f>
        <v/>
      </c>
      <c r="AE26" s="127">
        <f>SUM(AE25:AE25)</f>
        <v/>
      </c>
      <c r="AF26" s="127">
        <f>SUM(AF25:AF25)</f>
        <v/>
      </c>
      <c r="AH26" s="23" t="inlineStr">
        <is>
          <t>BREW MAGIC</t>
        </is>
      </c>
      <c r="AI26" s="101" t="inlineStr">
        <is>
          <t>BREW MAGIC</t>
        </is>
      </c>
    </row>
    <row r="27" ht="18" customHeight="1" s="5">
      <c r="A27" s="104" t="n"/>
      <c r="B27" s="104" t="n"/>
      <c r="C27" s="116" t="n"/>
      <c r="D27" s="108" t="inlineStr">
        <is>
          <t>Excess Order</t>
        </is>
      </c>
      <c r="E27" s="114" t="n"/>
      <c r="F27" s="114" t="n"/>
      <c r="G27" s="115" t="n"/>
      <c r="H27" s="111">
        <f>IFERROR(IF(ROUND(H26-$G26,3)&gt;0,ROUND(H26-$G26,3),""),"")</f>
        <v/>
      </c>
      <c r="I27" s="111">
        <f>IFERROR(IF(ROUND(I26-$G26,3)&gt;0,ROUND(I26-$G26,3),""),"")</f>
        <v/>
      </c>
      <c r="J27" s="111">
        <f>IFERROR(IF(ROUND(J26-$G26,3)&gt;0,ROUND(J26-$G26,3),""),"")</f>
        <v/>
      </c>
      <c r="K27" s="111">
        <f>IFERROR(IF(ROUND(K26-$G26,3)&gt;0,ROUND(K26-$G26,3),""),"")</f>
        <v/>
      </c>
      <c r="L27" s="111">
        <f>IFERROR(IF(ROUND(L26-$G26,3)&gt;0,ROUND(L26-$G26,3),""),"")</f>
        <v/>
      </c>
      <c r="M27" s="111">
        <f>IFERROR(IF(ROUND(M26-$G26,3)&gt;0,ROUND(M26-$G26,3),""),"")</f>
        <v/>
      </c>
      <c r="N27" s="111">
        <f>IFERROR(IF(ROUND(N26-$G26,3)&gt;0,ROUND(N26-$G26,3),""),"")</f>
        <v/>
      </c>
      <c r="O27" s="111">
        <f>IFERROR(IF(ROUND(O26-$G26,3)&gt;0,ROUND(O26-$G26,3),""),"")</f>
        <v/>
      </c>
      <c r="P27" s="111">
        <f>IFERROR(IF(ROUND(P26-$G26,3)&gt;0,ROUND(P26-$G26,3),""),"")</f>
        <v/>
      </c>
      <c r="Q27" s="111">
        <f>IFERROR(IF(ROUND(Q26-$G26,3)&gt;0,ROUND(Q26-$G26,3),""),"")</f>
        <v/>
      </c>
      <c r="R27" s="111">
        <f>IFERROR(IF(ROUND(R26-$G26,3)&gt;0,ROUND(R26-$G26,3),""),"")</f>
        <v/>
      </c>
      <c r="S27" s="111">
        <f>IFERROR(IF(ROUND(S26-$G26,3)&gt;0,ROUND(S26-$G26,3),""),"")</f>
        <v/>
      </c>
      <c r="T27" s="23" t="n"/>
      <c r="U27" s="111">
        <f>IFERROR(IF(ROUND(U26-$G26,3)&gt;0,ROUND(U26-$G26,3),""),"")</f>
        <v/>
      </c>
      <c r="V27" s="111">
        <f>IFERROR(IF(ROUND(V26-$G26,3)&gt;0,ROUND(V26-$G26,3),""),"")</f>
        <v/>
      </c>
      <c r="W27" s="111">
        <f>IFERROR(IF(ROUND(W26-$G26,3)&gt;0,ROUND(W26-$G26,3),""),"")</f>
        <v/>
      </c>
      <c r="X27" s="111">
        <f>IFERROR(IF(ROUND(X26-$G26,3)&gt;0,ROUND(X26-$G26,3),""),"")</f>
        <v/>
      </c>
      <c r="Y27" s="111">
        <f>IFERROR(IF(ROUND(Y26-$G26,3)&gt;0,ROUND(Y26-$G26,3),""),"")</f>
        <v/>
      </c>
      <c r="Z27" s="111">
        <f>IFERROR(IF(ROUND(Z26-$G26,3)&gt;0,ROUND(Z26-$G26,3),""),"")</f>
        <v/>
      </c>
      <c r="AA27" s="111">
        <f>IFERROR(IF(ROUND(AA26-$G26,3)&gt;0,ROUND(AA26-$G26,3),""),"")</f>
        <v/>
      </c>
      <c r="AB27" s="111">
        <f>IFERROR(IF(ROUND(AB26-$G26,3)&gt;0,ROUND(AB26-$G26,3),""),"")</f>
        <v/>
      </c>
      <c r="AC27" s="111">
        <f>IFERROR(IF(ROUND(AC26-$G26,3)&gt;0,ROUND(AC26-$G26,3),""),"")</f>
        <v/>
      </c>
      <c r="AD27" s="111">
        <f>IFERROR(IF(ROUND(AD26-$G26,3)&gt;0,ROUND(AD26-$G26,3),""),"")</f>
        <v/>
      </c>
      <c r="AE27" s="111">
        <f>IFERROR(IF(ROUND(AE26-$G26,3)&gt;0,ROUND(AE26-$G26,3),""),"")</f>
        <v/>
      </c>
      <c r="AF27" s="111">
        <f>IFERROR(IF(ROUND(AF26-$G26,3)&gt;0,ROUND(AF26-$G26,3),""),"")</f>
        <v/>
      </c>
      <c r="AH27" s="23" t="inlineStr">
        <is>
          <t>UNIVERSAL POT BAG</t>
        </is>
      </c>
      <c r="AI27" s="101" t="inlineStr">
        <is>
          <t>UNIVERSAL POT BAG</t>
        </is>
      </c>
    </row>
    <row r="28" ht="15" customHeight="1" s="5">
      <c r="A28" s="104" t="n"/>
      <c r="B28" s="86" t="n"/>
      <c r="C28" s="86" t="n"/>
      <c r="D28" s="108" t="inlineStr">
        <is>
          <t>Short Order</t>
        </is>
      </c>
      <c r="E28" s="117" t="n"/>
      <c r="F28" s="117" t="n"/>
      <c r="G28" s="110" t="n"/>
      <c r="H28" s="111">
        <f>IFERROR(IF(ROUND($G26-H26,3)&gt;0,ROUND($G26-H26,3),""),"")</f>
        <v/>
      </c>
      <c r="I28" s="111">
        <f>IFERROR(IF(ROUND($G26-I26,3)&gt;0,ROUND($G26-I26,3),""),"")</f>
        <v/>
      </c>
      <c r="J28" s="111">
        <f>IFERROR(IF(ROUND($G26-J26,3)&gt;0,ROUND($G26-J26,3),""),"")</f>
        <v/>
      </c>
      <c r="K28" s="111">
        <f>IFERROR(IF(ROUND($G26-K26,3)&gt;0,ROUND($G26-K26,3),""),"")</f>
        <v/>
      </c>
      <c r="L28" s="111">
        <f>IFERROR(IF(ROUND($G26-L26,3)&gt;0,ROUND($G26-L26,3),""),"")</f>
        <v/>
      </c>
      <c r="M28" s="111">
        <f>IFERROR(IF(ROUND($G26-M26,3)&gt;0,ROUND($G26-M26,3),""),"")</f>
        <v/>
      </c>
      <c r="N28" s="111">
        <f>IFERROR(IF(ROUND($G26-N26,3)&gt;0,ROUND($G26-N26,3),""),"")</f>
        <v/>
      </c>
      <c r="O28" s="111">
        <f>IFERROR(IF(ROUND($G26-O26,3)&gt;0,ROUND($G26-O26,3),""),"")</f>
        <v/>
      </c>
      <c r="P28" s="111">
        <f>IFERROR(IF(ROUND($G26-P26,3)&gt;0,ROUND($G26-P26,3),""),"")</f>
        <v/>
      </c>
      <c r="Q28" s="111">
        <f>IFERROR(IF(ROUND($G26-Q26,3)&gt;0,ROUND($G26-Q26,3),""),"")</f>
        <v/>
      </c>
      <c r="R28" s="111">
        <f>IFERROR(IF(ROUND($G26-R26,3)&gt;0,ROUND($G26-R26,3),""),"")</f>
        <v/>
      </c>
      <c r="S28" s="111">
        <f>IFERROR(IF(ROUND($G26-S26,3)&gt;0,ROUND($G26-S26,3),""),"")</f>
        <v/>
      </c>
      <c r="T28" s="23" t="n"/>
      <c r="U28" s="111">
        <f>IFERROR(IF(ROUND($G26-U26,3)&gt;0,ROUND($G26-U26,3),""),"")</f>
        <v/>
      </c>
      <c r="V28" s="111">
        <f>IFERROR(IF(ROUND($G26-V26,3)&gt;0,ROUND($G26-V26,3),""),"")</f>
        <v/>
      </c>
      <c r="W28" s="111">
        <f>IFERROR(IF(ROUND($G26-W26,3)&gt;0,ROUND($G26-W26,3),""),"")</f>
        <v/>
      </c>
      <c r="X28" s="111">
        <f>IFERROR(IF(ROUND($G26-X26,3)&gt;0,ROUND($G26-X26,3),""),"")</f>
        <v/>
      </c>
      <c r="Y28" s="111">
        <f>IFERROR(IF(ROUND($G26-Y26,3)&gt;0,ROUND($G26-Y26,3),""),"")</f>
        <v/>
      </c>
      <c r="Z28" s="111">
        <f>IFERROR(IF(ROUND($G26-Z26,3)&gt;0,ROUND($G26-Z26,3),""),"")</f>
        <v/>
      </c>
      <c r="AA28" s="111">
        <f>IFERROR(IF(ROUND($G26-AA26,3)&gt;0,ROUND($G26-AA26,3),""),"")</f>
        <v/>
      </c>
      <c r="AB28" s="111">
        <f>IFERROR(IF(ROUND($G26-AB26,3)&gt;0,ROUND($G26-AB26,3),""),"")</f>
        <v/>
      </c>
      <c r="AC28" s="111">
        <f>IFERROR(IF(ROUND($G26-AC26,3)&gt;0,ROUND($G26-AC26,3),""),"")</f>
        <v/>
      </c>
      <c r="AD28" s="111">
        <f>IFERROR(IF(ROUND($G26-AD26,3)&gt;0,ROUND($G26-AD26,3),""),"")</f>
        <v/>
      </c>
      <c r="AE28" s="111">
        <f>IFERROR(IF(ROUND($G26-AE26,3)&gt;0,ROUND($G26-AE26,3),""),"")</f>
        <v/>
      </c>
      <c r="AF28" s="111">
        <f>IFERROR(IF(ROUND($G26-AF26,3)&gt;0,ROUND($G26-AF26,3),""),"")</f>
        <v/>
      </c>
      <c r="AH28" s="23" t="inlineStr">
        <is>
          <t>UNIVERSAL TWIN BAG</t>
        </is>
      </c>
      <c r="AI28" s="101" t="inlineStr">
        <is>
          <t>UNIVERSAL TWIN BAG</t>
        </is>
      </c>
    </row>
    <row r="29" ht="15" customHeight="1" s="5">
      <c r="A29" s="104" t="n"/>
      <c r="B29" s="103" t="inlineStr">
        <is>
          <t>USA</t>
        </is>
      </c>
      <c r="C29" s="65" t="inlineStr">
        <is>
          <t>TREE HOUSE</t>
        </is>
      </c>
      <c r="D29" s="52" t="inlineStr">
        <is>
          <t>CONSTANTA FAMILY SIZE</t>
        </is>
      </c>
      <c r="E29" s="53" t="n">
        <v>2</v>
      </c>
      <c r="F29" s="53" t="n">
        <v>0</v>
      </c>
      <c r="G29" s="75">
        <f>IFERROR(IF(OR($F29=0,VLOOKUP($D29,'MC MASTER'!$A:$R,18,0)=0),"-",ROUND(VLOOKUP($D29,'MC MASTER'!$A:$R,18,0)*$E29*$F29,3)),"-")</f>
        <v/>
      </c>
      <c r="H29" s="75">
        <f>IFERROR(SUMIFS(WORKING!$Y:$Y,WORKING!$X:$X,$D29,WORKING!$W:$W,H$500),"")</f>
        <v/>
      </c>
      <c r="I29" s="75">
        <f>IFERROR(SUMIFS(WORKING!$Y:$Y,WORKING!$X:$X,$D29,WORKING!$W:$W,I$500),"")</f>
        <v/>
      </c>
      <c r="J29" s="75">
        <f>IFERROR(SUMIFS(WORKING!$Y:$Y,WORKING!$X:$X,$D29,WORKING!$W:$W,J$500),"")</f>
        <v/>
      </c>
      <c r="K29" s="75">
        <f>IFERROR(SUMIFS(WORKING!$Y:$Y,WORKING!$X:$X,$D29,WORKING!$W:$W,K$500),"")</f>
        <v/>
      </c>
      <c r="L29" s="75">
        <f>IFERROR(SUMIFS(WORKING!$Y:$Y,WORKING!$X:$X,$D29,WORKING!$W:$W,L$500),"")</f>
        <v/>
      </c>
      <c r="M29" s="75">
        <f>IFERROR(SUMIFS(WORKING!$Y:$Y,WORKING!$X:$X,$D29,WORKING!$W:$W,M$500),"")</f>
        <v/>
      </c>
      <c r="N29" s="75">
        <f>IFERROR(SUMIFS(WORKING!$Y:$Y,WORKING!$X:$X,$D29,WORKING!$W:$W,N$500),"")</f>
        <v/>
      </c>
      <c r="O29" s="75">
        <f>IFERROR(SUMIFS(WORKING!$Y:$Y,WORKING!$X:$X,$D29,WORKING!$W:$W,O$500),"")</f>
        <v/>
      </c>
      <c r="P29" s="75">
        <f>IFERROR(SUMIFS(WORKING!$Y:$Y,WORKING!$X:$X,$D29,WORKING!$W:$W,P$500),"")</f>
        <v/>
      </c>
      <c r="Q29" s="75">
        <f>IFERROR(SUMIFS(WORKING!$Y:$Y,WORKING!$X:$X,$D29,WORKING!$W:$W,Q$500),"")</f>
        <v/>
      </c>
      <c r="R29" s="75">
        <f>IFERROR(SUMIFS(WORKING!$Y:$Y,WORKING!$X:$X,$D29,WORKING!$W:$W,R$500),"")</f>
        <v/>
      </c>
      <c r="S29" s="75">
        <f>IFERROR(SUMIFS(WORKING!$Y:$Y,WORKING!$X:$X,$D29,WORKING!$W:$W,S$500),"")</f>
        <v/>
      </c>
      <c r="T29" s="23" t="n"/>
      <c r="U29" s="75">
        <f>IFERROR(SUMIFS(WORKING!$Z:$Z,WORKING!$X:$X,$D29,WORKING!$W:$W,H$500),"")</f>
        <v/>
      </c>
      <c r="V29" s="75">
        <f>IFERROR(SUMIFS(WORKING!$Z:$Z,WORKING!$X:$X,$D29,WORKING!$W:$W,I$500),"")</f>
        <v/>
      </c>
      <c r="W29" s="75">
        <f>IFERROR(SUMIFS(WORKING!$Z:$Z,WORKING!$X:$X,$D29,WORKING!$W:$W,J$500),"")</f>
        <v/>
      </c>
      <c r="X29" s="75">
        <f>IFERROR(SUMIFS(WORKING!$Z:$Z,WORKING!$X:$X,$D29,WORKING!$W:$W,K$500),"")</f>
        <v/>
      </c>
      <c r="Y29" s="75">
        <f>IFERROR(SUMIFS(WORKING!$Z:$Z,WORKING!$X:$X,$D29,WORKING!$W:$W,L$500),"")</f>
        <v/>
      </c>
      <c r="Z29" s="75">
        <f>IFERROR(SUMIFS(WORKING!$Z:$Z,WORKING!$X:$X,$D29,WORKING!$W:$W,M$500),"")</f>
        <v/>
      </c>
      <c r="AA29" s="75">
        <f>IFERROR(SUMIFS(WORKING!$Z:$Z,WORKING!$X:$X,$D29,WORKING!$W:$W,N$500),"")</f>
        <v/>
      </c>
      <c r="AB29" s="75">
        <f>IFERROR(SUMIFS(WORKING!$Z:$Z,WORKING!$X:$X,$D29,WORKING!$W:$W,O$500),"")</f>
        <v/>
      </c>
      <c r="AC29" s="75">
        <f>IFERROR(SUMIFS(WORKING!$Z:$Z,WORKING!$X:$X,$D29,WORKING!$W:$W,P$500),"")</f>
        <v/>
      </c>
      <c r="AD29" s="75">
        <f>IFERROR(SUMIFS(WORKING!$Z:$Z,WORKING!$X:$X,$D29,WORKING!$W:$W,Q$500),"")</f>
        <v/>
      </c>
      <c r="AE29" s="75">
        <f>IFERROR(SUMIFS(WORKING!$Z:$Z,WORKING!$X:$X,$D29,WORKING!$W:$W,R$500),"")</f>
        <v/>
      </c>
      <c r="AF29" s="75">
        <f>IFERROR(SUMIFS(WORKING!$Z:$Z,WORKING!$X:$X,$D29,WORKING!$W:$W,S$500),"")</f>
        <v/>
      </c>
      <c r="AH29" s="23" t="inlineStr">
        <is>
          <t>PEARL PACK-PREMIX</t>
        </is>
      </c>
      <c r="AI29" s="101" t="inlineStr">
        <is>
          <t>PEARL PACK-PREMIX</t>
        </is>
      </c>
    </row>
    <row r="30" ht="15" customHeight="1" s="5">
      <c r="A30" s="104" t="n"/>
      <c r="B30" s="104" t="n"/>
      <c r="C30" s="86" t="n"/>
      <c r="D30" s="52" t="inlineStr">
        <is>
          <t>PERFACTA TAG</t>
        </is>
      </c>
      <c r="E30" s="53" t="n">
        <v>2</v>
      </c>
      <c r="F30" s="53" t="n">
        <v>1</v>
      </c>
      <c r="G30" s="75">
        <f>IFERROR(IF(OR($F30=0,VLOOKUP($D30,'MC MASTER'!$A:$R,18,0)=0),"-",ROUND(VLOOKUP($D30,'MC MASTER'!$A:$R,18,0)*$E30*$F30,3)),"-")</f>
        <v/>
      </c>
      <c r="H30" s="75">
        <f>IFERROR(SUMIFS(WORKING!$Y:$Y,WORKING!$X:$X,$D30,WORKING!$W:$W,H$500),"")</f>
        <v/>
      </c>
      <c r="I30" s="75">
        <f>IFERROR(SUMIFS(WORKING!$Y:$Y,WORKING!$X:$X,$D30,WORKING!$W:$W,I$500),"")</f>
        <v/>
      </c>
      <c r="J30" s="75">
        <f>IFERROR(SUMIFS(WORKING!$Y:$Y,WORKING!$X:$X,$D30,WORKING!$W:$W,J$500),"")</f>
        <v/>
      </c>
      <c r="K30" s="75">
        <f>IFERROR(SUMIFS(WORKING!$Y:$Y,WORKING!$X:$X,$D30,WORKING!$W:$W,K$500),"")</f>
        <v/>
      </c>
      <c r="L30" s="75">
        <f>IFERROR(SUMIFS(WORKING!$Y:$Y,WORKING!$X:$X,$D30,WORKING!$W:$W,L$500),"")</f>
        <v/>
      </c>
      <c r="M30" s="75">
        <f>IFERROR(SUMIFS(WORKING!$Y:$Y,WORKING!$X:$X,$D30,WORKING!$W:$W,M$500),"")</f>
        <v/>
      </c>
      <c r="N30" s="75">
        <f>IFERROR(SUMIFS(WORKING!$Y:$Y,WORKING!$X:$X,$D30,WORKING!$W:$W,N$500),"")</f>
        <v/>
      </c>
      <c r="O30" s="75">
        <f>IFERROR(SUMIFS(WORKING!$Y:$Y,WORKING!$X:$X,$D30,WORKING!$W:$W,O$500),"")</f>
        <v/>
      </c>
      <c r="P30" s="75">
        <f>IFERROR(SUMIFS(WORKING!$Y:$Y,WORKING!$X:$X,$D30,WORKING!$W:$W,P$500),"")</f>
        <v/>
      </c>
      <c r="Q30" s="75">
        <f>IFERROR(SUMIFS(WORKING!$Y:$Y,WORKING!$X:$X,$D30,WORKING!$W:$W,Q$500),"")</f>
        <v/>
      </c>
      <c r="R30" s="75">
        <f>IFERROR(SUMIFS(WORKING!$Y:$Y,WORKING!$X:$X,$D30,WORKING!$W:$W,R$500),"")</f>
        <v/>
      </c>
      <c r="S30" s="75">
        <f>IFERROR(SUMIFS(WORKING!$Y:$Y,WORKING!$X:$X,$D30,WORKING!$W:$W,S$500),"")</f>
        <v/>
      </c>
      <c r="T30" s="23" t="n"/>
      <c r="U30" s="75">
        <f>IFERROR(SUMIFS(WORKING!$Z:$Z,WORKING!$X:$X,$D30,WORKING!$W:$W,H$500),"")</f>
        <v/>
      </c>
      <c r="V30" s="75">
        <f>IFERROR(SUMIFS(WORKING!$Z:$Z,WORKING!$X:$X,$D30,WORKING!$W:$W,I$500),"")</f>
        <v/>
      </c>
      <c r="W30" s="75">
        <f>IFERROR(SUMIFS(WORKING!$Z:$Z,WORKING!$X:$X,$D30,WORKING!$W:$W,J$500),"")</f>
        <v/>
      </c>
      <c r="X30" s="75">
        <f>IFERROR(SUMIFS(WORKING!$Z:$Z,WORKING!$X:$X,$D30,WORKING!$W:$W,K$500),"")</f>
        <v/>
      </c>
      <c r="Y30" s="75">
        <f>IFERROR(SUMIFS(WORKING!$Z:$Z,WORKING!$X:$X,$D30,WORKING!$W:$W,L$500),"")</f>
        <v/>
      </c>
      <c r="Z30" s="75">
        <f>IFERROR(SUMIFS(WORKING!$Z:$Z,WORKING!$X:$X,$D30,WORKING!$W:$W,M$500),"")</f>
        <v/>
      </c>
      <c r="AA30" s="75">
        <f>IFERROR(SUMIFS(WORKING!$Z:$Z,WORKING!$X:$X,$D30,WORKING!$W:$W,N$500),"")</f>
        <v/>
      </c>
      <c r="AB30" s="75">
        <f>IFERROR(SUMIFS(WORKING!$Z:$Z,WORKING!$X:$X,$D30,WORKING!$W:$W,O$500),"")</f>
        <v/>
      </c>
      <c r="AC30" s="75">
        <f>IFERROR(SUMIFS(WORKING!$Z:$Z,WORKING!$X:$X,$D30,WORKING!$W:$W,P$500),"")</f>
        <v/>
      </c>
      <c r="AD30" s="75">
        <f>IFERROR(SUMIFS(WORKING!$Z:$Z,WORKING!$X:$X,$D30,WORKING!$W:$W,Q$500),"")</f>
        <v/>
      </c>
      <c r="AE30" s="75">
        <f>IFERROR(SUMIFS(WORKING!$Z:$Z,WORKING!$X:$X,$D30,WORKING!$W:$W,R$500),"")</f>
        <v/>
      </c>
      <c r="AF30" s="75">
        <f>IFERROR(SUMIFS(WORKING!$Z:$Z,WORKING!$X:$X,$D30,WORKING!$W:$W,S$500),"")</f>
        <v/>
      </c>
      <c r="AH30" s="23" t="inlineStr">
        <is>
          <t>PEARL PACK-PREMIX 2</t>
        </is>
      </c>
      <c r="AI30" s="101" t="inlineStr">
        <is>
          <t>PEARL PACK-PREMIX</t>
        </is>
      </c>
    </row>
    <row r="31" ht="15" customHeight="1" s="5">
      <c r="A31" s="104" t="n"/>
      <c r="B31" s="104" t="n"/>
      <c r="C31" s="105" t="n"/>
      <c r="D31" s="125" t="inlineStr">
        <is>
          <t>TOTAL</t>
        </is>
      </c>
      <c r="E31" s="126" t="n"/>
      <c r="F31" s="126" t="n"/>
      <c r="G31" s="127">
        <f>SUM(G29:G30)</f>
        <v/>
      </c>
      <c r="H31" s="127">
        <f>SUM(H29:H30)</f>
        <v/>
      </c>
      <c r="I31" s="127">
        <f>SUM(I29:I30)</f>
        <v/>
      </c>
      <c r="J31" s="127">
        <f>SUM(J29:J30)</f>
        <v/>
      </c>
      <c r="K31" s="127">
        <f>SUM(K29:K30)</f>
        <v/>
      </c>
      <c r="L31" s="127">
        <f>SUM(L29:L30)</f>
        <v/>
      </c>
      <c r="M31" s="127">
        <f>SUM(M29:M30)</f>
        <v/>
      </c>
      <c r="N31" s="127">
        <f>SUM(N29:N30)</f>
        <v/>
      </c>
      <c r="O31" s="127">
        <f>SUM(O29:O30)</f>
        <v/>
      </c>
      <c r="P31" s="127">
        <f>SUM(P29:P30)</f>
        <v/>
      </c>
      <c r="Q31" s="127">
        <f>SUM(Q29:Q30)</f>
        <v/>
      </c>
      <c r="R31" s="127">
        <f>SUM(R29:R30)</f>
        <v/>
      </c>
      <c r="S31" s="127">
        <f>SUM(S29:S30)</f>
        <v/>
      </c>
      <c r="T31" s="23" t="n"/>
      <c r="U31" s="127">
        <f>SUM(U29:U30)</f>
        <v/>
      </c>
      <c r="V31" s="127">
        <f>SUM(V29:V30)</f>
        <v/>
      </c>
      <c r="W31" s="127">
        <f>SUM(W29:W30)</f>
        <v/>
      </c>
      <c r="X31" s="127">
        <f>SUM(X29:X30)</f>
        <v/>
      </c>
      <c r="Y31" s="127">
        <f>SUM(Y29:Y30)</f>
        <v/>
      </c>
      <c r="Z31" s="127">
        <f>SUM(Z29:Z30)</f>
        <v/>
      </c>
      <c r="AA31" s="127">
        <f>SUM(AA29:AA30)</f>
        <v/>
      </c>
      <c r="AB31" s="127">
        <f>SUM(AB29:AB30)</f>
        <v/>
      </c>
      <c r="AC31" s="127">
        <f>SUM(AC29:AC30)</f>
        <v/>
      </c>
      <c r="AD31" s="127">
        <f>SUM(AD29:AD30)</f>
        <v/>
      </c>
      <c r="AE31" s="127">
        <f>SUM(AE29:AE30)</f>
        <v/>
      </c>
      <c r="AF31" s="127">
        <f>SUM(AF29:AF30)</f>
        <v/>
      </c>
      <c r="AH31" s="23" t="inlineStr">
        <is>
          <t>INSTANT COFFEE STICK PACK</t>
        </is>
      </c>
      <c r="AI31" s="101" t="inlineStr">
        <is>
          <t>INSTANT COFFEE STICK PACK</t>
        </is>
      </c>
    </row>
    <row r="32" ht="15" customHeight="1" s="5">
      <c r="A32" s="104" t="n"/>
      <c r="B32" s="104" t="n"/>
      <c r="C32" s="116" t="n"/>
      <c r="D32" s="108" t="inlineStr">
        <is>
          <t>Excess Order</t>
        </is>
      </c>
      <c r="E32" s="117" t="n"/>
      <c r="F32" s="117" t="n"/>
      <c r="G32" s="110" t="n"/>
      <c r="H32" s="111">
        <f>IFERROR(IF(ROUND(H31-$G31,3)&gt;0,ROUND(H31-$G31,3),""),"")</f>
        <v/>
      </c>
      <c r="I32" s="111">
        <f>IFERROR(IF(ROUND(I31-$G31,3)&gt;0,ROUND(I31-$G31,3),""),"")</f>
        <v/>
      </c>
      <c r="J32" s="111">
        <f>IFERROR(IF(ROUND(J31-$G31,3)&gt;0,ROUND(J31-$G31,3),""),"")</f>
        <v/>
      </c>
      <c r="K32" s="111">
        <f>IFERROR(IF(ROUND(K31-$G31,3)&gt;0,ROUND(K31-$G31,3),""),"")</f>
        <v/>
      </c>
      <c r="L32" s="111">
        <f>IFERROR(IF(ROUND(L31-$G31,3)&gt;0,ROUND(L31-$G31,3),""),"")</f>
        <v/>
      </c>
      <c r="M32" s="111">
        <f>IFERROR(IF(ROUND(M31-$G31,3)&gt;0,ROUND(M31-$G31,3),""),"")</f>
        <v/>
      </c>
      <c r="N32" s="111">
        <f>IFERROR(IF(ROUND(N31-$G31,3)&gt;0,ROUND(N31-$G31,3),""),"")</f>
        <v/>
      </c>
      <c r="O32" s="111">
        <f>IFERROR(IF(ROUND(O31-$G31,3)&gt;0,ROUND(O31-$G31,3),""),"")</f>
        <v/>
      </c>
      <c r="P32" s="111">
        <f>IFERROR(IF(ROUND(P31-$G31,3)&gt;0,ROUND(P31-$G31,3),""),"")</f>
        <v/>
      </c>
      <c r="Q32" s="111">
        <f>IFERROR(IF(ROUND(Q31-$G31,3)&gt;0,ROUND(Q31-$G31,3),""),"")</f>
        <v/>
      </c>
      <c r="R32" s="111">
        <f>IFERROR(IF(ROUND(R31-$G31,3)&gt;0,ROUND(R31-$G31,3),""),"")</f>
        <v/>
      </c>
      <c r="S32" s="111">
        <f>IFERROR(IF(ROUND(S31-$G31,3)&gt;0,ROUND(S31-$G31,3),""),"")</f>
        <v/>
      </c>
      <c r="T32" s="23" t="n"/>
      <c r="U32" s="111">
        <f>IFERROR(IF(ROUND(U31-$G31,3)&gt;0,ROUND(U31-$G31,3),""),"")</f>
        <v/>
      </c>
      <c r="V32" s="111">
        <f>IFERROR(IF(ROUND(V31-$G31,3)&gt;0,ROUND(V31-$G31,3),""),"")</f>
        <v/>
      </c>
      <c r="W32" s="111">
        <f>IFERROR(IF(ROUND(W31-$G31,3)&gt;0,ROUND(W31-$G31,3),""),"")</f>
        <v/>
      </c>
      <c r="X32" s="111">
        <f>IFERROR(IF(ROUND(X31-$G31,3)&gt;0,ROUND(X31-$G31,3),""),"")</f>
        <v/>
      </c>
      <c r="Y32" s="111">
        <f>IFERROR(IF(ROUND(Y31-$G31,3)&gt;0,ROUND(Y31-$G31,3),""),"")</f>
        <v/>
      </c>
      <c r="Z32" s="111">
        <f>IFERROR(IF(ROUND(Z31-$G31,3)&gt;0,ROUND(Z31-$G31,3),""),"")</f>
        <v/>
      </c>
      <c r="AA32" s="111">
        <f>IFERROR(IF(ROUND(AA31-$G31,3)&gt;0,ROUND(AA31-$G31,3),""),"")</f>
        <v/>
      </c>
      <c r="AB32" s="111">
        <f>IFERROR(IF(ROUND(AB31-$G31,3)&gt;0,ROUND(AB31-$G31,3),""),"")</f>
        <v/>
      </c>
      <c r="AC32" s="111">
        <f>IFERROR(IF(ROUND(AC31-$G31,3)&gt;0,ROUND(AC31-$G31,3),""),"")</f>
        <v/>
      </c>
      <c r="AD32" s="111">
        <f>IFERROR(IF(ROUND(AD31-$G31,3)&gt;0,ROUND(AD31-$G31,3),""),"")</f>
        <v/>
      </c>
      <c r="AE32" s="111">
        <f>IFERROR(IF(ROUND(AE31-$G31,3)&gt;0,ROUND(AE31-$G31,3),""),"")</f>
        <v/>
      </c>
      <c r="AF32" s="111">
        <f>IFERROR(IF(ROUND(AF31-$G31,3)&gt;0,ROUND(AF31-$G31,3),""),"")</f>
        <v/>
      </c>
      <c r="AH32" s="23" t="inlineStr">
        <is>
          <t>Instant Tea</t>
        </is>
      </c>
      <c r="AI32" s="101" t="inlineStr">
        <is>
          <t>Instant Tea</t>
        </is>
      </c>
    </row>
    <row r="33" ht="15" customHeight="1" s="5">
      <c r="A33" s="86" t="n"/>
      <c r="B33" s="86" t="n"/>
      <c r="C33" s="86" t="n"/>
      <c r="D33" s="108" t="inlineStr">
        <is>
          <t>Short Order</t>
        </is>
      </c>
      <c r="E33" s="109" t="n"/>
      <c r="F33" s="110" t="n"/>
      <c r="G33" s="110" t="n"/>
      <c r="H33" s="111">
        <f>IFERROR(IF(ROUND($G31-H31,3)&gt;0,ROUND($G31-H31,3),""),"")</f>
        <v/>
      </c>
      <c r="I33" s="111">
        <f>IFERROR(IF(ROUND($G31-I31,3)&gt;0,ROUND($G31-I31,3),""),"")</f>
        <v/>
      </c>
      <c r="J33" s="111">
        <f>IFERROR(IF(ROUND($G31-J31,3)&gt;0,ROUND($G31-J31,3),""),"")</f>
        <v/>
      </c>
      <c r="K33" s="111">
        <f>IFERROR(IF(ROUND($G31-K31,3)&gt;0,ROUND($G31-K31,3),""),"")</f>
        <v/>
      </c>
      <c r="L33" s="111">
        <f>IFERROR(IF(ROUND($G31-L31,3)&gt;0,ROUND($G31-L31,3),""),"")</f>
        <v/>
      </c>
      <c r="M33" s="111">
        <f>IFERROR(IF(ROUND($G31-M31,3)&gt;0,ROUND($G31-M31,3),""),"")</f>
        <v/>
      </c>
      <c r="N33" s="111">
        <f>IFERROR(IF(ROUND($G31-N31,3)&gt;0,ROUND($G31-N31,3),""),"")</f>
        <v/>
      </c>
      <c r="O33" s="111">
        <f>IFERROR(IF(ROUND($G31-O31,3)&gt;0,ROUND($G31-O31,3),""),"")</f>
        <v/>
      </c>
      <c r="P33" s="111">
        <f>IFERROR(IF(ROUND($G31-P31,3)&gt;0,ROUND($G31-P31,3),""),"")</f>
        <v/>
      </c>
      <c r="Q33" s="111">
        <f>IFERROR(IF(ROUND($G31-Q31,3)&gt;0,ROUND($G31-Q31,3),""),"")</f>
        <v/>
      </c>
      <c r="R33" s="111">
        <f>IFERROR(IF(ROUND($G31-R31,3)&gt;0,ROUND($G31-R31,3),""),"")</f>
        <v/>
      </c>
      <c r="S33" s="111">
        <f>IFERROR(IF(ROUND($G31-S31,3)&gt;0,ROUND($G31-S31,3),""),"")</f>
        <v/>
      </c>
      <c r="T33" s="23" t="n"/>
      <c r="U33" s="111">
        <f>IFERROR(IF(ROUND($G31-U31,3)&gt;0,ROUND($G31-U31,3),""),"")</f>
        <v/>
      </c>
      <c r="V33" s="111">
        <f>IFERROR(IF(ROUND($G31-V31,3)&gt;0,ROUND($G31-V31,3),""),"")</f>
        <v/>
      </c>
      <c r="W33" s="111">
        <f>IFERROR(IF(ROUND($G31-W31,3)&gt;0,ROUND($G31-W31,3),""),"")</f>
        <v/>
      </c>
      <c r="X33" s="111">
        <f>IFERROR(IF(ROUND($G31-X31,3)&gt;0,ROUND($G31-X31,3),""),"")</f>
        <v/>
      </c>
      <c r="Y33" s="111">
        <f>IFERROR(IF(ROUND($G31-Y31,3)&gt;0,ROUND($G31-Y31,3),""),"")</f>
        <v/>
      </c>
      <c r="Z33" s="111">
        <f>IFERROR(IF(ROUND($G31-Z31,3)&gt;0,ROUND($G31-Z31,3),""),"")</f>
        <v/>
      </c>
      <c r="AA33" s="111">
        <f>IFERROR(IF(ROUND($G31-AA31,3)&gt;0,ROUND($G31-AA31,3),""),"")</f>
        <v/>
      </c>
      <c r="AB33" s="111">
        <f>IFERROR(IF(ROUND($G31-AB31,3)&gt;0,ROUND($G31-AB31,3),""),"")</f>
        <v/>
      </c>
      <c r="AC33" s="111">
        <f>IFERROR(IF(ROUND($G31-AC31,3)&gt;0,ROUND($G31-AC31,3),""),"")</f>
        <v/>
      </c>
      <c r="AD33" s="111">
        <f>IFERROR(IF(ROUND($G31-AD31,3)&gt;0,ROUND($G31-AD31,3),""),"")</f>
        <v/>
      </c>
      <c r="AE33" s="111">
        <f>IFERROR(IF(ROUND($G31-AE31,3)&gt;0,ROUND($G31-AE31,3),""),"")</f>
        <v/>
      </c>
      <c r="AF33" s="111">
        <f>IFERROR(IF(ROUND($G31-AF31,3)&gt;0,ROUND($G31-AF31,3),""),"")</f>
        <v/>
      </c>
      <c r="AH33" s="23" t="inlineStr">
        <is>
          <t>VIKING-MULTITRACK</t>
        </is>
      </c>
      <c r="AI33" s="101" t="inlineStr">
        <is>
          <t>VIKING-MULTITRACK</t>
        </is>
      </c>
    </row>
    <row r="34" ht="15" customHeight="1" s="5">
      <c r="A34" s="128" t="inlineStr">
        <is>
          <t>Zone 2</t>
        </is>
      </c>
      <c r="B34" s="103" t="inlineStr">
        <is>
          <t>AFRICA</t>
        </is>
      </c>
      <c r="C34" s="65" t="inlineStr">
        <is>
          <t>SC</t>
        </is>
      </c>
      <c r="D34" s="52" t="inlineStr">
        <is>
          <t>MAISA TAGLESS</t>
        </is>
      </c>
      <c r="E34" s="53" t="n">
        <v>7</v>
      </c>
      <c r="F34" s="53" t="n">
        <v>1</v>
      </c>
      <c r="G34" s="75">
        <f>IFERROR(IF(OR($F34=0,VLOOKUP($D34,'MC MASTER'!$A:$R,18,0)=0),"-",ROUND(VLOOKUP($D34,'MC MASTER'!$A:$R,18,0)*$E34*$F34,3)),"-")</f>
        <v/>
      </c>
      <c r="H34" s="75">
        <f>IFERROR(SUMIFS(WORKING!$Y:$Y,WORKING!$X:$X,$D34,WORKING!$W:$W,H$500),"")</f>
        <v/>
      </c>
      <c r="I34" s="75">
        <f>IFERROR(SUMIFS(WORKING!$Y:$Y,WORKING!$X:$X,$D34,WORKING!$W:$W,I$500),"")</f>
        <v/>
      </c>
      <c r="J34" s="75">
        <f>IFERROR(SUMIFS(WORKING!$Y:$Y,WORKING!$X:$X,$D34,WORKING!$W:$W,J$500),"")</f>
        <v/>
      </c>
      <c r="K34" s="75">
        <f>IFERROR(SUMIFS(WORKING!$Y:$Y,WORKING!$X:$X,$D34,WORKING!$W:$W,K$500),"")</f>
        <v/>
      </c>
      <c r="L34" s="75">
        <f>IFERROR(SUMIFS(WORKING!$Y:$Y,WORKING!$X:$X,$D34,WORKING!$W:$W,L$500),"")</f>
        <v/>
      </c>
      <c r="M34" s="75">
        <f>IFERROR(SUMIFS(WORKING!$Y:$Y,WORKING!$X:$X,$D34,WORKING!$W:$W,M$500),"")</f>
        <v/>
      </c>
      <c r="N34" s="75">
        <f>IFERROR(SUMIFS(WORKING!$Y:$Y,WORKING!$X:$X,$D34,WORKING!$W:$W,N$500),"")</f>
        <v/>
      </c>
      <c r="O34" s="75">
        <f>IFERROR(SUMIFS(WORKING!$Y:$Y,WORKING!$X:$X,$D34,WORKING!$W:$W,O$500),"")</f>
        <v/>
      </c>
      <c r="P34" s="75">
        <f>IFERROR(SUMIFS(WORKING!$Y:$Y,WORKING!$X:$X,$D34,WORKING!$W:$W,P$500),"")</f>
        <v/>
      </c>
      <c r="Q34" s="75">
        <f>IFERROR(SUMIFS(WORKING!$Y:$Y,WORKING!$X:$X,$D34,WORKING!$W:$W,Q$500),"")</f>
        <v/>
      </c>
      <c r="R34" s="75">
        <f>IFERROR(SUMIFS(WORKING!$Y:$Y,WORKING!$X:$X,$D34,WORKING!$W:$W,R$500),"")</f>
        <v/>
      </c>
      <c r="S34" s="75">
        <f>IFERROR(SUMIFS(WORKING!$Y:$Y,WORKING!$X:$X,$D34,WORKING!$W:$W,S$500),"")</f>
        <v/>
      </c>
      <c r="T34" s="23" t="n"/>
      <c r="U34" s="75">
        <f>IFERROR(SUMIFS(WORKING!$Z:$Z,WORKING!$X:$X,$D34,WORKING!$W:$W,H$500),"")</f>
        <v/>
      </c>
      <c r="V34" s="75">
        <f>IFERROR(SUMIFS(WORKING!$Z:$Z,WORKING!$X:$X,$D34,WORKING!$W:$W,I$500),"")</f>
        <v/>
      </c>
      <c r="W34" s="75">
        <f>IFERROR(SUMIFS(WORKING!$Z:$Z,WORKING!$X:$X,$D34,WORKING!$W:$W,J$500),"")</f>
        <v/>
      </c>
      <c r="X34" s="75">
        <f>IFERROR(SUMIFS(WORKING!$Z:$Z,WORKING!$X:$X,$D34,WORKING!$W:$W,K$500),"")</f>
        <v/>
      </c>
      <c r="Y34" s="75">
        <f>IFERROR(SUMIFS(WORKING!$Z:$Z,WORKING!$X:$X,$D34,WORKING!$W:$W,L$500),"")</f>
        <v/>
      </c>
      <c r="Z34" s="75">
        <f>IFERROR(SUMIFS(WORKING!$Z:$Z,WORKING!$X:$X,$D34,WORKING!$W:$W,M$500),"")</f>
        <v/>
      </c>
      <c r="AA34" s="75">
        <f>IFERROR(SUMIFS(WORKING!$Z:$Z,WORKING!$X:$X,$D34,WORKING!$W:$W,N$500),"")</f>
        <v/>
      </c>
      <c r="AB34" s="75">
        <f>IFERROR(SUMIFS(WORKING!$Z:$Z,WORKING!$X:$X,$D34,WORKING!$W:$W,O$500),"")</f>
        <v/>
      </c>
      <c r="AC34" s="75">
        <f>IFERROR(SUMIFS(WORKING!$Z:$Z,WORKING!$X:$X,$D34,WORKING!$W:$W,P$500),"")</f>
        <v/>
      </c>
      <c r="AD34" s="75">
        <f>IFERROR(SUMIFS(WORKING!$Z:$Z,WORKING!$X:$X,$D34,WORKING!$W:$W,Q$500),"")</f>
        <v/>
      </c>
      <c r="AE34" s="75">
        <f>IFERROR(SUMIFS(WORKING!$Z:$Z,WORKING!$X:$X,$D34,WORKING!$W:$W,R$500),"")</f>
        <v/>
      </c>
      <c r="AF34" s="75">
        <f>IFERROR(SUMIFS(WORKING!$Z:$Z,WORKING!$X:$X,$D34,WORKING!$W:$W,S$500),"")</f>
        <v/>
      </c>
      <c r="AH34" s="23" t="inlineStr">
        <is>
          <t>Pearl Pack-FFS POUCH</t>
        </is>
      </c>
      <c r="AI34" s="101" t="inlineStr">
        <is>
          <t>Pearl Pack-FFS POUCH</t>
        </is>
      </c>
    </row>
    <row r="35" ht="15" customHeight="1" s="5">
      <c r="A35" s="104" t="n"/>
      <c r="B35" s="104" t="n"/>
      <c r="C35" s="105" t="n"/>
      <c r="D35" s="71" t="inlineStr">
        <is>
          <t>TOTAL</t>
        </is>
      </c>
      <c r="E35" s="105" t="n"/>
      <c r="F35" s="105" t="n"/>
      <c r="G35" s="78">
        <f>SUM(G34:G34)</f>
        <v/>
      </c>
      <c r="H35" s="78">
        <f>SUM(H34:H34)</f>
        <v/>
      </c>
      <c r="I35" s="78">
        <f>SUM(I34:I34)</f>
        <v/>
      </c>
      <c r="J35" s="78">
        <f>SUM(J34:J34)</f>
        <v/>
      </c>
      <c r="K35" s="78">
        <f>SUM(K34:K34)</f>
        <v/>
      </c>
      <c r="L35" s="78">
        <f>SUM(L34:L34)</f>
        <v/>
      </c>
      <c r="M35" s="78">
        <f>SUM(M34:M34)</f>
        <v/>
      </c>
      <c r="N35" s="78">
        <f>SUM(N34:N34)</f>
        <v/>
      </c>
      <c r="O35" s="78">
        <f>SUM(O34:O34)</f>
        <v/>
      </c>
      <c r="P35" s="78">
        <f>SUM(P34:P34)</f>
        <v/>
      </c>
      <c r="Q35" s="78">
        <f>SUM(Q34:Q34)</f>
        <v/>
      </c>
      <c r="R35" s="78">
        <f>SUM(R34:R34)</f>
        <v/>
      </c>
      <c r="S35" s="78">
        <f>SUM(S34:S34)</f>
        <v/>
      </c>
      <c r="T35" s="23" t="n"/>
      <c r="U35" s="78">
        <f>SUM(U34:U34)</f>
        <v/>
      </c>
      <c r="V35" s="78">
        <f>SUM(V34:V34)</f>
        <v/>
      </c>
      <c r="W35" s="78">
        <f>SUM(W34:W34)</f>
        <v/>
      </c>
      <c r="X35" s="78">
        <f>SUM(X34:X34)</f>
        <v/>
      </c>
      <c r="Y35" s="78">
        <f>SUM(Y34:Y34)</f>
        <v/>
      </c>
      <c r="Z35" s="78">
        <f>SUM(Z34:Z34)</f>
        <v/>
      </c>
      <c r="AA35" s="78">
        <f>SUM(AA34:AA34)</f>
        <v/>
      </c>
      <c r="AB35" s="78">
        <f>SUM(AB34:AB34)</f>
        <v/>
      </c>
      <c r="AC35" s="78">
        <f>SUM(AC34:AC34)</f>
        <v/>
      </c>
      <c r="AD35" s="78">
        <f>SUM(AD34:AD34)</f>
        <v/>
      </c>
      <c r="AE35" s="78">
        <f>SUM(AE34:AE34)</f>
        <v/>
      </c>
      <c r="AF35" s="78">
        <f>SUM(AF34:AF34)</f>
        <v/>
      </c>
      <c r="AH35" s="23" t="inlineStr">
        <is>
          <t>PEARL PACK-NANO</t>
        </is>
      </c>
      <c r="AI35" s="101" t="inlineStr">
        <is>
          <t>PEARL PACK-NANO</t>
        </is>
      </c>
    </row>
    <row r="36" ht="15" customHeight="1" s="5">
      <c r="A36" s="104" t="n"/>
      <c r="B36" s="104" t="n"/>
      <c r="C36" s="116" t="n"/>
      <c r="D36" s="108" t="inlineStr">
        <is>
          <t>Excess Order</t>
        </is>
      </c>
      <c r="E36" s="114" t="n"/>
      <c r="F36" s="114" t="n"/>
      <c r="G36" s="115" t="n"/>
      <c r="H36" s="111">
        <f>IFERROR(IF(ROUND(H35-$G35,3)&gt;0,ROUND(H35-$G35,3),""),"")</f>
        <v/>
      </c>
      <c r="I36" s="111">
        <f>IFERROR(IF(ROUND(I35-$G35,3)&gt;0,ROUND(I35-$G35,3),""),"")</f>
        <v/>
      </c>
      <c r="J36" s="111">
        <f>IFERROR(IF(ROUND(J35-$G35,3)&gt;0,ROUND(J35-$G35,3),""),"")</f>
        <v/>
      </c>
      <c r="K36" s="111">
        <f>IFERROR(IF(ROUND(K35-$G35,3)&gt;0,ROUND(K35-$G35,3),""),"")</f>
        <v/>
      </c>
      <c r="L36" s="111">
        <f>IFERROR(IF(ROUND(L35-$G35,3)&gt;0,ROUND(L35-$G35,3),""),"")</f>
        <v/>
      </c>
      <c r="M36" s="111">
        <f>IFERROR(IF(ROUND(M35-$G35,3)&gt;0,ROUND(M35-$G35,3),""),"")</f>
        <v/>
      </c>
      <c r="N36" s="111">
        <f>IFERROR(IF(ROUND(N35-$G35,3)&gt;0,ROUND(N35-$G35,3),""),"")</f>
        <v/>
      </c>
      <c r="O36" s="111">
        <f>IFERROR(IF(ROUND(O35-$G35,3)&gt;0,ROUND(O35-$G35,3),""),"")</f>
        <v/>
      </c>
      <c r="P36" s="111">
        <f>IFERROR(IF(ROUND(P35-$G35,3)&gt;0,ROUND(P35-$G35,3),""),"")</f>
        <v/>
      </c>
      <c r="Q36" s="111">
        <f>IFERROR(IF(ROUND(Q35-$G35,3)&gt;0,ROUND(Q35-$G35,3),""),"")</f>
        <v/>
      </c>
      <c r="R36" s="111">
        <f>IFERROR(IF(ROUND(R35-$G35,3)&gt;0,ROUND(R35-$G35,3),""),"")</f>
        <v/>
      </c>
      <c r="S36" s="111">
        <f>IFERROR(IF(ROUND(S35-$G35,3)&gt;0,ROUND(S35-$G35,3),""),"")</f>
        <v/>
      </c>
      <c r="T36" s="23" t="n"/>
      <c r="U36" s="111">
        <f>IFERROR(IF(ROUND(U35-$G35,3)&gt;0,ROUND(U35-$G35,3),""),"")</f>
        <v/>
      </c>
      <c r="V36" s="111">
        <f>IFERROR(IF(ROUND(V35-$G35,3)&gt;0,ROUND(V35-$G35,3),""),"")</f>
        <v/>
      </c>
      <c r="W36" s="111">
        <f>IFERROR(IF(ROUND(W35-$G35,3)&gt;0,ROUND(W35-$G35,3),""),"")</f>
        <v/>
      </c>
      <c r="X36" s="111">
        <f>IFERROR(IF(ROUND(X35-$G35,3)&gt;0,ROUND(X35-$G35,3),""),"")</f>
        <v/>
      </c>
      <c r="Y36" s="111">
        <f>IFERROR(IF(ROUND(Y35-$G35,3)&gt;0,ROUND(Y35-$G35,3),""),"")</f>
        <v/>
      </c>
      <c r="Z36" s="111">
        <f>IFERROR(IF(ROUND(Z35-$G35,3)&gt;0,ROUND(Z35-$G35,3),""),"")</f>
        <v/>
      </c>
      <c r="AA36" s="111">
        <f>IFERROR(IF(ROUND(AA35-$G35,3)&gt;0,ROUND(AA35-$G35,3),""),"")</f>
        <v/>
      </c>
      <c r="AB36" s="111">
        <f>IFERROR(IF(ROUND(AB35-$G35,3)&gt;0,ROUND(AB35-$G35,3),""),"")</f>
        <v/>
      </c>
      <c r="AC36" s="111">
        <f>IFERROR(IF(ROUND(AC35-$G35,3)&gt;0,ROUND(AC35-$G35,3),""),"")</f>
        <v/>
      </c>
      <c r="AD36" s="111">
        <f>IFERROR(IF(ROUND(AD35-$G35,3)&gt;0,ROUND(AD35-$G35,3),""),"")</f>
        <v/>
      </c>
      <c r="AE36" s="111">
        <f>IFERROR(IF(ROUND(AE35-$G35,3)&gt;0,ROUND(AE35-$G35,3),""),"")</f>
        <v/>
      </c>
      <c r="AF36" s="111">
        <f>IFERROR(IF(ROUND(AF35-$G35,3)&gt;0,ROUND(AF35-$G35,3),""),"")</f>
        <v/>
      </c>
      <c r="AH36" s="23" t="inlineStr">
        <is>
          <t>VARIETIES PACK</t>
        </is>
      </c>
      <c r="AI36" s="101" t="inlineStr">
        <is>
          <t>VARIETIES PACK</t>
        </is>
      </c>
    </row>
    <row r="37" ht="15" customHeight="1" s="5">
      <c r="A37" s="104" t="n"/>
      <c r="B37" s="86" t="n"/>
      <c r="C37" s="86" t="n"/>
      <c r="D37" s="108" t="inlineStr">
        <is>
          <t>Short Order</t>
        </is>
      </c>
      <c r="E37" s="114" t="n"/>
      <c r="F37" s="114" t="n"/>
      <c r="G37" s="115" t="n"/>
      <c r="H37" s="111">
        <f>IFERROR(IF(ROUND($G35-H35,3)&gt;0,ROUND($G35-H35,3),""),"")</f>
        <v/>
      </c>
      <c r="I37" s="111">
        <f>IFERROR(IF(ROUND($G35-I35,3)&gt;0,ROUND($G35-I35,3),""),"")</f>
        <v/>
      </c>
      <c r="J37" s="111">
        <f>IFERROR(IF(ROUND($G35-J35,3)&gt;0,ROUND($G35-J35,3),""),"")</f>
        <v/>
      </c>
      <c r="K37" s="111">
        <f>IFERROR(IF(ROUND($G35-K35,3)&gt;0,ROUND($G35-K35,3),""),"")</f>
        <v/>
      </c>
      <c r="L37" s="111">
        <f>IFERROR(IF(ROUND($G35-L35,3)&gt;0,ROUND($G35-L35,3),""),"")</f>
        <v/>
      </c>
      <c r="M37" s="111">
        <f>IFERROR(IF(ROUND($G35-M35,3)&gt;0,ROUND($G35-M35,3),""),"")</f>
        <v/>
      </c>
      <c r="N37" s="111">
        <f>IFERROR(IF(ROUND($G35-N35,3)&gt;0,ROUND($G35-N35,3),""),"")</f>
        <v/>
      </c>
      <c r="O37" s="111">
        <f>IFERROR(IF(ROUND($G35-O35,3)&gt;0,ROUND($G35-O35,3),""),"")</f>
        <v/>
      </c>
      <c r="P37" s="111">
        <f>IFERROR(IF(ROUND($G35-P35,3)&gt;0,ROUND($G35-P35,3),""),"")</f>
        <v/>
      </c>
      <c r="Q37" s="111">
        <f>IFERROR(IF(ROUND($G35-Q35,3)&gt;0,ROUND($G35-Q35,3),""),"")</f>
        <v/>
      </c>
      <c r="R37" s="111">
        <f>IFERROR(IF(ROUND($G35-R35,3)&gt;0,ROUND($G35-R35,3),""),"")</f>
        <v/>
      </c>
      <c r="S37" s="111">
        <f>IFERROR(IF(ROUND($G35-S35,3)&gt;0,ROUND($G35-S35,3),""),"")</f>
        <v/>
      </c>
      <c r="T37" s="23" t="n"/>
      <c r="U37" s="111">
        <f>IFERROR(IF(ROUND($G35-U35,3)&gt;0,ROUND($G35-U35,3),""),"")</f>
        <v/>
      </c>
      <c r="V37" s="111">
        <f>IFERROR(IF(ROUND($G35-V35,3)&gt;0,ROUND($G35-V35,3),""),"")</f>
        <v/>
      </c>
      <c r="W37" s="111">
        <f>IFERROR(IF(ROUND($G35-W35,3)&gt;0,ROUND($G35-W35,3),""),"")</f>
        <v/>
      </c>
      <c r="X37" s="111">
        <f>IFERROR(IF(ROUND($G35-X35,3)&gt;0,ROUND($G35-X35,3),""),"")</f>
        <v/>
      </c>
      <c r="Y37" s="111">
        <f>IFERROR(IF(ROUND($G35-Y35,3)&gt;0,ROUND($G35-Y35,3),""),"")</f>
        <v/>
      </c>
      <c r="Z37" s="111">
        <f>IFERROR(IF(ROUND($G35-Z35,3)&gt;0,ROUND($G35-Z35,3),""),"")</f>
        <v/>
      </c>
      <c r="AA37" s="111">
        <f>IFERROR(IF(ROUND($G35-AA35,3)&gt;0,ROUND($G35-AA35,3),""),"")</f>
        <v/>
      </c>
      <c r="AB37" s="111">
        <f>IFERROR(IF(ROUND($G35-AB35,3)&gt;0,ROUND($G35-AB35,3),""),"")</f>
        <v/>
      </c>
      <c r="AC37" s="111">
        <f>IFERROR(IF(ROUND($G35-AC35,3)&gt;0,ROUND($G35-AC35,3),""),"")</f>
        <v/>
      </c>
      <c r="AD37" s="111">
        <f>IFERROR(IF(ROUND($G35-AD35,3)&gt;0,ROUND($G35-AD35,3),""),"")</f>
        <v/>
      </c>
      <c r="AE37" s="111">
        <f>IFERROR(IF(ROUND($G35-AE35,3)&gt;0,ROUND($G35-AE35,3),""),"")</f>
        <v/>
      </c>
      <c r="AF37" s="111">
        <f>IFERROR(IF(ROUND($G35-AF35,3)&gt;0,ROUND($G35-AF35,3),""),"")</f>
        <v/>
      </c>
      <c r="AH37" s="23" t="inlineStr">
        <is>
          <t>PERFECTA ENV</t>
        </is>
      </c>
      <c r="AI37" s="101" t="inlineStr">
        <is>
          <t>PERFECTA ENV</t>
        </is>
      </c>
    </row>
    <row r="38" ht="15" customHeight="1" s="5">
      <c r="A38" s="104" t="n"/>
      <c r="B38" s="103" t="inlineStr">
        <is>
          <t>EUROPE</t>
        </is>
      </c>
      <c r="C38" s="65" t="inlineStr">
        <is>
          <t>SC</t>
        </is>
      </c>
      <c r="D38" s="52" t="inlineStr">
        <is>
          <t>UNIVERSAL POT BAG</t>
        </is>
      </c>
      <c r="E38" s="53" t="n">
        <v>1</v>
      </c>
      <c r="F38" s="53" t="n">
        <v>0</v>
      </c>
      <c r="G38" s="75">
        <f>IFERROR(IF(OR($F38=0,VLOOKUP($D38,'MC MASTER'!$A:$R,18,0)=0),"-",ROUND(VLOOKUP($D38,'MC MASTER'!$A:$R,18,0)*$E38*$F38,3)),"-")</f>
        <v/>
      </c>
      <c r="H38" s="75">
        <f>IFERROR(SUMIFS(WORKING!$Y:$Y,WORKING!$X:$X,$D38,WORKING!$W:$W,H$500),"")</f>
        <v/>
      </c>
      <c r="I38" s="75">
        <f>IFERROR(SUMIFS(WORKING!$Y:$Y,WORKING!$X:$X,$D38,WORKING!$W:$W,I$500),"")</f>
        <v/>
      </c>
      <c r="J38" s="75">
        <f>IFERROR(SUMIFS(WORKING!$Y:$Y,WORKING!$X:$X,$D38,WORKING!$W:$W,J$500),"")</f>
        <v/>
      </c>
      <c r="K38" s="75">
        <f>IFERROR(SUMIFS(WORKING!$Y:$Y,WORKING!$X:$X,$D38,WORKING!$W:$W,K$500),"")</f>
        <v/>
      </c>
      <c r="L38" s="75">
        <f>IFERROR(SUMIFS(WORKING!$Y:$Y,WORKING!$X:$X,$D38,WORKING!$W:$W,L$500),"")</f>
        <v/>
      </c>
      <c r="M38" s="75">
        <f>IFERROR(SUMIFS(WORKING!$Y:$Y,WORKING!$X:$X,$D38,WORKING!$W:$W,M$500),"")</f>
        <v/>
      </c>
      <c r="N38" s="75">
        <f>IFERROR(SUMIFS(WORKING!$Y:$Y,WORKING!$X:$X,$D38,WORKING!$W:$W,N$500),"")</f>
        <v/>
      </c>
      <c r="O38" s="75">
        <f>IFERROR(SUMIFS(WORKING!$Y:$Y,WORKING!$X:$X,$D38,WORKING!$W:$W,O$500),"")</f>
        <v/>
      </c>
      <c r="P38" s="75">
        <f>IFERROR(SUMIFS(WORKING!$Y:$Y,WORKING!$X:$X,$D38,WORKING!$W:$W,P$500),"")</f>
        <v/>
      </c>
      <c r="Q38" s="75">
        <f>IFERROR(SUMIFS(WORKING!$Y:$Y,WORKING!$X:$X,$D38,WORKING!$W:$W,Q$500),"")</f>
        <v/>
      </c>
      <c r="R38" s="75">
        <f>IFERROR(SUMIFS(WORKING!$Y:$Y,WORKING!$X:$X,$D38,WORKING!$W:$W,R$500),"")</f>
        <v/>
      </c>
      <c r="S38" s="75">
        <f>IFERROR(SUMIFS(WORKING!$Y:$Y,WORKING!$X:$X,$D38,WORKING!$W:$W,S$500),"")</f>
        <v/>
      </c>
      <c r="T38" s="23" t="n"/>
      <c r="U38" s="75">
        <f>IFERROR(SUMIFS(WORKING!$Z:$Z,WORKING!$X:$X,$D38,WORKING!$W:$W,H$500),"")</f>
        <v/>
      </c>
      <c r="V38" s="75">
        <f>IFERROR(SUMIFS(WORKING!$Z:$Z,WORKING!$X:$X,$D38,WORKING!$W:$W,I$500),"")</f>
        <v/>
      </c>
      <c r="W38" s="75">
        <f>IFERROR(SUMIFS(WORKING!$Z:$Z,WORKING!$X:$X,$D38,WORKING!$W:$W,J$500),"")</f>
        <v/>
      </c>
      <c r="X38" s="75">
        <f>IFERROR(SUMIFS(WORKING!$Z:$Z,WORKING!$X:$X,$D38,WORKING!$W:$W,K$500),"")</f>
        <v/>
      </c>
      <c r="Y38" s="75">
        <f>IFERROR(SUMIFS(WORKING!$Z:$Z,WORKING!$X:$X,$D38,WORKING!$W:$W,L$500),"")</f>
        <v/>
      </c>
      <c r="Z38" s="75">
        <f>IFERROR(SUMIFS(WORKING!$Z:$Z,WORKING!$X:$X,$D38,WORKING!$W:$W,M$500),"")</f>
        <v/>
      </c>
      <c r="AA38" s="75">
        <f>IFERROR(SUMIFS(WORKING!$Z:$Z,WORKING!$X:$X,$D38,WORKING!$W:$W,N$500),"")</f>
        <v/>
      </c>
      <c r="AB38" s="75">
        <f>IFERROR(SUMIFS(WORKING!$Z:$Z,WORKING!$X:$X,$D38,WORKING!$W:$W,O$500),"")</f>
        <v/>
      </c>
      <c r="AC38" s="75">
        <f>IFERROR(SUMIFS(WORKING!$Z:$Z,WORKING!$X:$X,$D38,WORKING!$W:$W,P$500),"")</f>
        <v/>
      </c>
      <c r="AD38" s="75">
        <f>IFERROR(SUMIFS(WORKING!$Z:$Z,WORKING!$X:$X,$D38,WORKING!$W:$W,Q$500),"")</f>
        <v/>
      </c>
      <c r="AE38" s="75">
        <f>IFERROR(SUMIFS(WORKING!$Z:$Z,WORKING!$X:$X,$D38,WORKING!$W:$W,R$500),"")</f>
        <v/>
      </c>
      <c r="AF38" s="75">
        <f>IFERROR(SUMIFS(WORKING!$Z:$Z,WORKING!$X:$X,$D38,WORKING!$W:$W,S$500),"")</f>
        <v/>
      </c>
      <c r="AH38" s="23" t="inlineStr">
        <is>
          <t>CONSTANTA TAG D</t>
        </is>
      </c>
      <c r="AI38" s="101" t="inlineStr">
        <is>
          <t>CONSTANTA TAG</t>
        </is>
      </c>
    </row>
    <row r="39" ht="15" customHeight="1" s="5">
      <c r="A39" s="104" t="n"/>
      <c r="B39" s="104" t="n"/>
      <c r="C39" s="86" t="n"/>
      <c r="D39" s="52" t="inlineStr">
        <is>
          <t>UNIVERSAL TWIN BAG</t>
        </is>
      </c>
      <c r="E39" s="53" t="n">
        <v>1</v>
      </c>
      <c r="F39" s="53" t="n">
        <v>1</v>
      </c>
      <c r="G39" s="75">
        <f>IFERROR(IF(OR($F39=0,VLOOKUP($D39,'MC MASTER'!$A:$R,18,0)=0),"-",ROUND(VLOOKUP($D39,'MC MASTER'!$A:$R,18,0)*$E39*$F39,3)),"-")</f>
        <v/>
      </c>
      <c r="H39" s="75">
        <f>IFERROR(SUMIFS(WORKING!$Y:$Y,WORKING!$X:$X,$D39,WORKING!$W:$W,H$500),"")</f>
        <v/>
      </c>
      <c r="I39" s="75">
        <f>IFERROR(SUMIFS(WORKING!$Y:$Y,WORKING!$X:$X,$D39,WORKING!$W:$W,I$500),"")</f>
        <v/>
      </c>
      <c r="J39" s="75">
        <f>IFERROR(SUMIFS(WORKING!$Y:$Y,WORKING!$X:$X,$D39,WORKING!$W:$W,J$500),"")</f>
        <v/>
      </c>
      <c r="K39" s="75">
        <f>IFERROR(SUMIFS(WORKING!$Y:$Y,WORKING!$X:$X,$D39,WORKING!$W:$W,K$500),"")</f>
        <v/>
      </c>
      <c r="L39" s="75">
        <f>IFERROR(SUMIFS(WORKING!$Y:$Y,WORKING!$X:$X,$D39,WORKING!$W:$W,L$500),"")</f>
        <v/>
      </c>
      <c r="M39" s="75">
        <f>IFERROR(SUMIFS(WORKING!$Y:$Y,WORKING!$X:$X,$D39,WORKING!$W:$W,M$500),"")</f>
        <v/>
      </c>
      <c r="N39" s="75">
        <f>IFERROR(SUMIFS(WORKING!$Y:$Y,WORKING!$X:$X,$D39,WORKING!$W:$W,N$500),"")</f>
        <v/>
      </c>
      <c r="O39" s="75">
        <f>IFERROR(SUMIFS(WORKING!$Y:$Y,WORKING!$X:$X,$D39,WORKING!$W:$W,O$500),"")</f>
        <v/>
      </c>
      <c r="P39" s="75">
        <f>IFERROR(SUMIFS(WORKING!$Y:$Y,WORKING!$X:$X,$D39,WORKING!$W:$W,P$500),"")</f>
        <v/>
      </c>
      <c r="Q39" s="75">
        <f>IFERROR(SUMIFS(WORKING!$Y:$Y,WORKING!$X:$X,$D39,WORKING!$W:$W,Q$500),"")</f>
        <v/>
      </c>
      <c r="R39" s="75">
        <f>IFERROR(SUMIFS(WORKING!$Y:$Y,WORKING!$X:$X,$D39,WORKING!$W:$W,R$500),"")</f>
        <v/>
      </c>
      <c r="S39" s="75">
        <f>IFERROR(SUMIFS(WORKING!$Y:$Y,WORKING!$X:$X,$D39,WORKING!$W:$W,S$500),"")</f>
        <v/>
      </c>
      <c r="T39" s="23" t="n"/>
      <c r="U39" s="75">
        <f>IFERROR(SUMIFS(WORKING!$Z:$Z,WORKING!$X:$X,$D39,WORKING!$W:$W,H$500),"")</f>
        <v/>
      </c>
      <c r="V39" s="75">
        <f>IFERROR(SUMIFS(WORKING!$Z:$Z,WORKING!$X:$X,$D39,WORKING!$W:$W,I$500),"")</f>
        <v/>
      </c>
      <c r="W39" s="75">
        <f>IFERROR(SUMIFS(WORKING!$Z:$Z,WORKING!$X:$X,$D39,WORKING!$W:$W,J$500),"")</f>
        <v/>
      </c>
      <c r="X39" s="75">
        <f>IFERROR(SUMIFS(WORKING!$Z:$Z,WORKING!$X:$X,$D39,WORKING!$W:$W,K$500),"")</f>
        <v/>
      </c>
      <c r="Y39" s="75">
        <f>IFERROR(SUMIFS(WORKING!$Z:$Z,WORKING!$X:$X,$D39,WORKING!$W:$W,L$500),"")</f>
        <v/>
      </c>
      <c r="Z39" s="75">
        <f>IFERROR(SUMIFS(WORKING!$Z:$Z,WORKING!$X:$X,$D39,WORKING!$W:$W,M$500),"")</f>
        <v/>
      </c>
      <c r="AA39" s="75">
        <f>IFERROR(SUMIFS(WORKING!$Z:$Z,WORKING!$X:$X,$D39,WORKING!$W:$W,N$500),"")</f>
        <v/>
      </c>
      <c r="AB39" s="75">
        <f>IFERROR(SUMIFS(WORKING!$Z:$Z,WORKING!$X:$X,$D39,WORKING!$W:$W,O$500),"")</f>
        <v/>
      </c>
      <c r="AC39" s="75">
        <f>IFERROR(SUMIFS(WORKING!$Z:$Z,WORKING!$X:$X,$D39,WORKING!$W:$W,P$500),"")</f>
        <v/>
      </c>
      <c r="AD39" s="75">
        <f>IFERROR(SUMIFS(WORKING!$Z:$Z,WORKING!$X:$X,$D39,WORKING!$W:$W,Q$500),"")</f>
        <v/>
      </c>
      <c r="AE39" s="75">
        <f>IFERROR(SUMIFS(WORKING!$Z:$Z,WORKING!$X:$X,$D39,WORKING!$W:$W,R$500),"")</f>
        <v/>
      </c>
      <c r="AF39" s="75">
        <f>IFERROR(SUMIFS(WORKING!$Z:$Z,WORKING!$X:$X,$D39,WORKING!$W:$W,S$500),"")</f>
        <v/>
      </c>
      <c r="AH39" s="23" t="inlineStr">
        <is>
          <t>MD 20 4GM</t>
        </is>
      </c>
      <c r="AI39" s="101" t="inlineStr">
        <is>
          <t>MD20 4GM TAG</t>
        </is>
      </c>
    </row>
    <row r="40" ht="15" customHeight="1" s="5">
      <c r="A40" s="104" t="n"/>
      <c r="B40" s="104" t="n"/>
      <c r="C40" s="105" t="n"/>
      <c r="D40" s="125" t="inlineStr">
        <is>
          <t>TOTAL</t>
        </is>
      </c>
      <c r="E40" s="126" t="n"/>
      <c r="F40" s="126" t="n"/>
      <c r="G40" s="127">
        <f>SUM(G38:G39)</f>
        <v/>
      </c>
      <c r="H40" s="127">
        <f>SUM(H38:H39)</f>
        <v/>
      </c>
      <c r="I40" s="127">
        <f>SUM(I38:I39)</f>
        <v/>
      </c>
      <c r="J40" s="127">
        <f>SUM(J38:J39)</f>
        <v/>
      </c>
      <c r="K40" s="127">
        <f>SUM(K38:K39)</f>
        <v/>
      </c>
      <c r="L40" s="127">
        <f>SUM(L38:L39)</f>
        <v/>
      </c>
      <c r="M40" s="127">
        <f>SUM(M38:M39)</f>
        <v/>
      </c>
      <c r="N40" s="127">
        <f>SUM(N38:N39)</f>
        <v/>
      </c>
      <c r="O40" s="127">
        <f>SUM(O38:O39)</f>
        <v/>
      </c>
      <c r="P40" s="127">
        <f>SUM(P38:P39)</f>
        <v/>
      </c>
      <c r="Q40" s="127">
        <f>SUM(Q38:Q39)</f>
        <v/>
      </c>
      <c r="R40" s="127">
        <f>SUM(R38:R39)</f>
        <v/>
      </c>
      <c r="S40" s="127">
        <f>SUM(S38:S39)</f>
        <v/>
      </c>
      <c r="T40" s="23" t="n"/>
      <c r="U40" s="127">
        <f>SUM(U38:U39)</f>
        <v/>
      </c>
      <c r="V40" s="127">
        <f>SUM(V38:V39)</f>
        <v/>
      </c>
      <c r="W40" s="127">
        <f>SUM(W38:W39)</f>
        <v/>
      </c>
      <c r="X40" s="127">
        <f>SUM(X38:X39)</f>
        <v/>
      </c>
      <c r="Y40" s="127">
        <f>SUM(Y38:Y39)</f>
        <v/>
      </c>
      <c r="Z40" s="127">
        <f>SUM(Z38:Z39)</f>
        <v/>
      </c>
      <c r="AA40" s="127">
        <f>SUM(AA38:AA39)</f>
        <v/>
      </c>
      <c r="AB40" s="127">
        <f>SUM(AB38:AB39)</f>
        <v/>
      </c>
      <c r="AC40" s="127">
        <f>SUM(AC38:AC39)</f>
        <v/>
      </c>
      <c r="AD40" s="127">
        <f>SUM(AD38:AD39)</f>
        <v/>
      </c>
      <c r="AE40" s="127">
        <f>SUM(AE38:AE39)</f>
        <v/>
      </c>
      <c r="AF40" s="127">
        <f>SUM(AF38:AF39)</f>
        <v/>
      </c>
      <c r="AH40" s="23" t="inlineStr">
        <is>
          <t>Pearl Pack Premix</t>
        </is>
      </c>
      <c r="AI40" s="101" t="inlineStr">
        <is>
          <t>PEARL PACK-PREMIX</t>
        </is>
      </c>
    </row>
    <row r="41" ht="15" customHeight="1" s="5">
      <c r="A41" s="104" t="n"/>
      <c r="B41" s="104" t="n"/>
      <c r="C41" s="65" t="n"/>
      <c r="D41" s="108" t="inlineStr">
        <is>
          <t>Excess Order</t>
        </is>
      </c>
      <c r="E41" s="114" t="n"/>
      <c r="F41" s="114" t="n"/>
      <c r="G41" s="115" t="n"/>
      <c r="H41" s="111">
        <f>IFERROR(IF(ROUND(H40-$G40,3)&gt;0,ROUND(H40-$G40,3),""),"")</f>
        <v/>
      </c>
      <c r="I41" s="111">
        <f>IFERROR(IF(ROUND(I40-$G40,3)&gt;0,ROUND(I40-$G40,3),""),"")</f>
        <v/>
      </c>
      <c r="J41" s="111">
        <f>IFERROR(IF(ROUND(J40-$G40,3)&gt;0,ROUND(J40-$G40,3),""),"")</f>
        <v/>
      </c>
      <c r="K41" s="111">
        <f>IFERROR(IF(ROUND(K40-$G40,3)&gt;0,ROUND(K40-$G40,3),""),"")</f>
        <v/>
      </c>
      <c r="L41" s="111">
        <f>IFERROR(IF(ROUND(L40-$G40,3)&gt;0,ROUND(L40-$G40,3),""),"")</f>
        <v/>
      </c>
      <c r="M41" s="111">
        <f>IFERROR(IF(ROUND(M40-$G40,3)&gt;0,ROUND(M40-$G40,3),""),"")</f>
        <v/>
      </c>
      <c r="N41" s="111">
        <f>IFERROR(IF(ROUND(N40-$G40,3)&gt;0,ROUND(N40-$G40,3),""),"")</f>
        <v/>
      </c>
      <c r="O41" s="111">
        <f>IFERROR(IF(ROUND(O40-$G40,3)&gt;0,ROUND(O40-$G40,3),""),"")</f>
        <v/>
      </c>
      <c r="P41" s="111">
        <f>IFERROR(IF(ROUND(P40-$G40,3)&gt;0,ROUND(P40-$G40,3),""),"")</f>
        <v/>
      </c>
      <c r="Q41" s="111">
        <f>IFERROR(IF(ROUND(Q40-$G40,3)&gt;0,ROUND(Q40-$G40,3),""),"")</f>
        <v/>
      </c>
      <c r="R41" s="111">
        <f>IFERROR(IF(ROUND(R40-$G40,3)&gt;0,ROUND(R40-$G40,3),""),"")</f>
        <v/>
      </c>
      <c r="S41" s="111">
        <f>IFERROR(IF(ROUND(S40-$G40,3)&gt;0,ROUND(S40-$G40,3),""),"")</f>
        <v/>
      </c>
      <c r="T41" s="101" t="n"/>
      <c r="U41" s="111">
        <f>IFERROR(IF(ROUND(U40-$G40,3)&gt;0,ROUND(U40-$G40,3),""),"")</f>
        <v/>
      </c>
      <c r="V41" s="111">
        <f>IFERROR(IF(ROUND(V40-$G40,3)&gt;0,ROUND(V40-$G40,3),""),"")</f>
        <v/>
      </c>
      <c r="W41" s="111">
        <f>IFERROR(IF(ROUND(W40-$G40,3)&gt;0,ROUND(W40-$G40,3),""),"")</f>
        <v/>
      </c>
      <c r="X41" s="111">
        <f>IFERROR(IF(ROUND(X40-$G40,3)&gt;0,ROUND(X40-$G40,3),""),"")</f>
        <v/>
      </c>
      <c r="Y41" s="111">
        <f>IFERROR(IF(ROUND(Y40-$G40,3)&gt;0,ROUND(Y40-$G40,3),""),"")</f>
        <v/>
      </c>
      <c r="Z41" s="111">
        <f>IFERROR(IF(ROUND(Z40-$G40,3)&gt;0,ROUND(Z40-$G40,3),""),"")</f>
        <v/>
      </c>
      <c r="AA41" s="111">
        <f>IFERROR(IF(ROUND(AA40-$G40,3)&gt;0,ROUND(AA40-$G40,3),""),"")</f>
        <v/>
      </c>
      <c r="AB41" s="111">
        <f>IFERROR(IF(ROUND(AB40-$G40,3)&gt;0,ROUND(AB40-$G40,3),""),"")</f>
        <v/>
      </c>
      <c r="AC41" s="111">
        <f>IFERROR(IF(ROUND(AC40-$G40,3)&gt;0,ROUND(AC40-$G40,3),""),"")</f>
        <v/>
      </c>
      <c r="AD41" s="111">
        <f>IFERROR(IF(ROUND(AD40-$G40,3)&gt;0,ROUND(AD40-$G40,3),""),"")</f>
        <v/>
      </c>
      <c r="AE41" s="111">
        <f>IFERROR(IF(ROUND(AE40-$G40,3)&gt;0,ROUND(AE40-$G40,3),""),"")</f>
        <v/>
      </c>
      <c r="AF41" s="111">
        <f>IFERROR(IF(ROUND(AF40-$G40,3)&gt;0,ROUND(AF40-$G40,3),""),"")</f>
        <v/>
      </c>
    </row>
    <row r="42" ht="15" customHeight="1" s="5">
      <c r="A42" s="104" t="n"/>
      <c r="B42" s="86" t="n"/>
      <c r="C42" s="86" t="n"/>
      <c r="D42" s="108" t="inlineStr">
        <is>
          <t>Short Order</t>
        </is>
      </c>
      <c r="E42" s="117" t="n"/>
      <c r="F42" s="117" t="n"/>
      <c r="G42" s="110" t="n"/>
      <c r="H42" s="111">
        <f>IFERROR(IF(ROUND($G40-H40,3)&gt;0,ROUND($G40-H40,3),""),"")</f>
        <v/>
      </c>
      <c r="I42" s="111">
        <f>IFERROR(IF(ROUND($G40-I40,3)&gt;0,ROUND($G40-I40,3),""),"")</f>
        <v/>
      </c>
      <c r="J42" s="111">
        <f>IFERROR(IF(ROUND($G40-J40,3)&gt;0,ROUND($G40-J40,3),""),"")</f>
        <v/>
      </c>
      <c r="K42" s="111">
        <f>IFERROR(IF(ROUND($G40-K40,3)&gt;0,ROUND($G40-K40,3),""),"")</f>
        <v/>
      </c>
      <c r="L42" s="111">
        <f>IFERROR(IF(ROUND($G40-L40,3)&gt;0,ROUND($G40-L40,3),""),"")</f>
        <v/>
      </c>
      <c r="M42" s="111">
        <f>IFERROR(IF(ROUND($G40-M40,3)&gt;0,ROUND($G40-M40,3),""),"")</f>
        <v/>
      </c>
      <c r="N42" s="111">
        <f>IFERROR(IF(ROUND($G40-N40,3)&gt;0,ROUND($G40-N40,3),""),"")</f>
        <v/>
      </c>
      <c r="O42" s="111">
        <f>IFERROR(IF(ROUND($G40-O40,3)&gt;0,ROUND($G40-O40,3),""),"")</f>
        <v/>
      </c>
      <c r="P42" s="111">
        <f>IFERROR(IF(ROUND($G40-P40,3)&gt;0,ROUND($G40-P40,3),""),"")</f>
        <v/>
      </c>
      <c r="Q42" s="111">
        <f>IFERROR(IF(ROUND($G40-Q40,3)&gt;0,ROUND($G40-Q40,3),""),"")</f>
        <v/>
      </c>
      <c r="R42" s="111">
        <f>IFERROR(IF(ROUND($G40-R40,3)&gt;0,ROUND($G40-R40,3),""),"")</f>
        <v/>
      </c>
      <c r="S42" s="111">
        <f>IFERROR(IF(ROUND($G40-S40,3)&gt;0,ROUND($G40-S40,3),""),"")</f>
        <v/>
      </c>
      <c r="T42" s="101" t="n"/>
      <c r="U42" s="111">
        <f>IFERROR(IF(ROUND($G40-U40,3)&gt;0,ROUND($G40-U40,3),""),"")</f>
        <v/>
      </c>
      <c r="V42" s="111">
        <f>IFERROR(IF(ROUND($G40-V40,3)&gt;0,ROUND($G40-V40,3),""),"")</f>
        <v/>
      </c>
      <c r="W42" s="111">
        <f>IFERROR(IF(ROUND($G40-W40,3)&gt;0,ROUND($G40-W40,3),""),"")</f>
        <v/>
      </c>
      <c r="X42" s="111">
        <f>IFERROR(IF(ROUND($G40-X40,3)&gt;0,ROUND($G40-X40,3),""),"")</f>
        <v/>
      </c>
      <c r="Y42" s="111">
        <f>IFERROR(IF(ROUND($G40-Y40,3)&gt;0,ROUND($G40-Y40,3),""),"")</f>
        <v/>
      </c>
      <c r="Z42" s="111">
        <f>IFERROR(IF(ROUND($G40-Z40,3)&gt;0,ROUND($G40-Z40,3),""),"")</f>
        <v/>
      </c>
      <c r="AA42" s="111">
        <f>IFERROR(IF(ROUND($G40-AA40,3)&gt;0,ROUND($G40-AA40,3),""),"")</f>
        <v/>
      </c>
      <c r="AB42" s="111">
        <f>IFERROR(IF(ROUND($G40-AB40,3)&gt;0,ROUND($G40-AB40,3),""),"")</f>
        <v/>
      </c>
      <c r="AC42" s="111">
        <f>IFERROR(IF(ROUND($G40-AC40,3)&gt;0,ROUND($G40-AC40,3),""),"")</f>
        <v/>
      </c>
      <c r="AD42" s="111">
        <f>IFERROR(IF(ROUND($G40-AD40,3)&gt;0,ROUND($G40-AD40,3),""),"")</f>
        <v/>
      </c>
      <c r="AE42" s="111">
        <f>IFERROR(IF(ROUND($G40-AE40,3)&gt;0,ROUND($G40-AE40,3),""),"")</f>
        <v/>
      </c>
      <c r="AF42" s="111">
        <f>IFERROR(IF(ROUND($G40-AF40,3)&gt;0,ROUND($G40-AF40,3),""),"")</f>
        <v/>
      </c>
    </row>
    <row r="43" ht="15" customHeight="1" s="5">
      <c r="A43" s="104" t="n"/>
      <c r="B43" s="103" t="inlineStr">
        <is>
          <t>USA</t>
        </is>
      </c>
      <c r="C43" s="65" t="inlineStr">
        <is>
          <t>TREE HOUSE</t>
        </is>
      </c>
      <c r="D43" s="52" t="inlineStr">
        <is>
          <t>BREW MAGIC</t>
        </is>
      </c>
      <c r="E43" s="53" t="n">
        <v>1</v>
      </c>
      <c r="F43" s="53" t="n">
        <v>1</v>
      </c>
      <c r="G43" s="75">
        <f>IFERROR(IF(OR($F43=0,VLOOKUP($D43,'MC MASTER'!$A:$R,18,0)=0),"-",ROUND(VLOOKUP($D43,'MC MASTER'!$A:$R,18,0)*$E43*$F43,3)),"-")</f>
        <v/>
      </c>
      <c r="H43" s="75">
        <f>IFERROR(SUMIFS(WORKING!$Y:$Y,WORKING!$X:$X,$D43,WORKING!$W:$W,H$500),"")</f>
        <v/>
      </c>
      <c r="I43" s="75">
        <f>IFERROR(SUMIFS(WORKING!$Y:$Y,WORKING!$X:$X,$D43,WORKING!$W:$W,I$500),"")</f>
        <v/>
      </c>
      <c r="J43" s="75">
        <f>IFERROR(SUMIFS(WORKING!$Y:$Y,WORKING!$X:$X,$D43,WORKING!$W:$W,J$500),"")</f>
        <v/>
      </c>
      <c r="K43" s="75">
        <f>IFERROR(SUMIFS(WORKING!$Y:$Y,WORKING!$X:$X,$D43,WORKING!$W:$W,K$500),"")</f>
        <v/>
      </c>
      <c r="L43" s="75">
        <f>IFERROR(SUMIFS(WORKING!$Y:$Y,WORKING!$X:$X,$D43,WORKING!$W:$W,L$500),"")</f>
        <v/>
      </c>
      <c r="M43" s="75">
        <f>IFERROR(SUMIFS(WORKING!$Y:$Y,WORKING!$X:$X,$D43,WORKING!$W:$W,M$500),"")</f>
        <v/>
      </c>
      <c r="N43" s="75">
        <f>IFERROR(SUMIFS(WORKING!$Y:$Y,WORKING!$X:$X,$D43,WORKING!$W:$W,N$500),"")</f>
        <v/>
      </c>
      <c r="O43" s="75">
        <f>IFERROR(SUMIFS(WORKING!$Y:$Y,WORKING!$X:$X,$D43,WORKING!$W:$W,O$500),"")</f>
        <v/>
      </c>
      <c r="P43" s="75">
        <f>IFERROR(SUMIFS(WORKING!$Y:$Y,WORKING!$X:$X,$D43,WORKING!$W:$W,P$500),"")</f>
        <v/>
      </c>
      <c r="Q43" s="75">
        <f>IFERROR(SUMIFS(WORKING!$Y:$Y,WORKING!$X:$X,$D43,WORKING!$W:$W,Q$500),"")</f>
        <v/>
      </c>
      <c r="R43" s="75">
        <f>IFERROR(SUMIFS(WORKING!$Y:$Y,WORKING!$X:$X,$D43,WORKING!$W:$W,R$500),"")</f>
        <v/>
      </c>
      <c r="S43" s="75">
        <f>IFERROR(SUMIFS(WORKING!$Y:$Y,WORKING!$X:$X,$D43,WORKING!$W:$W,S$500),"")</f>
        <v/>
      </c>
      <c r="T43" s="101" t="n"/>
      <c r="U43" s="75">
        <f>IFERROR(SUMIFS(WORKING!$Z:$Z,WORKING!$X:$X,$D43,WORKING!$W:$W,H$500),"")</f>
        <v/>
      </c>
      <c r="V43" s="75">
        <f>IFERROR(SUMIFS(WORKING!$Z:$Z,WORKING!$X:$X,$D43,WORKING!$W:$W,I$500),"")</f>
        <v/>
      </c>
      <c r="W43" s="75">
        <f>IFERROR(SUMIFS(WORKING!$Z:$Z,WORKING!$X:$X,$D43,WORKING!$W:$W,J$500),"")</f>
        <v/>
      </c>
      <c r="X43" s="75">
        <f>IFERROR(SUMIFS(WORKING!$Z:$Z,WORKING!$X:$X,$D43,WORKING!$W:$W,K$500),"")</f>
        <v/>
      </c>
      <c r="Y43" s="75">
        <f>IFERROR(SUMIFS(WORKING!$Z:$Z,WORKING!$X:$X,$D43,WORKING!$W:$W,L$500),"")</f>
        <v/>
      </c>
      <c r="Z43" s="75">
        <f>IFERROR(SUMIFS(WORKING!$Z:$Z,WORKING!$X:$X,$D43,WORKING!$W:$W,M$500),"")</f>
        <v/>
      </c>
      <c r="AA43" s="75">
        <f>IFERROR(SUMIFS(WORKING!$Z:$Z,WORKING!$X:$X,$D43,WORKING!$W:$W,N$500),"")</f>
        <v/>
      </c>
      <c r="AB43" s="75">
        <f>IFERROR(SUMIFS(WORKING!$Z:$Z,WORKING!$X:$X,$D43,WORKING!$W:$W,O$500),"")</f>
        <v/>
      </c>
      <c r="AC43" s="75">
        <f>IFERROR(SUMIFS(WORKING!$Z:$Z,WORKING!$X:$X,$D43,WORKING!$W:$W,P$500),"")</f>
        <v/>
      </c>
      <c r="AD43" s="75">
        <f>IFERROR(SUMIFS(WORKING!$Z:$Z,WORKING!$X:$X,$D43,WORKING!$W:$W,Q$500),"")</f>
        <v/>
      </c>
      <c r="AE43" s="75">
        <f>IFERROR(SUMIFS(WORKING!$Z:$Z,WORKING!$X:$X,$D43,WORKING!$W:$W,R$500),"")</f>
        <v/>
      </c>
      <c r="AF43" s="75">
        <f>IFERROR(SUMIFS(WORKING!$Z:$Z,WORKING!$X:$X,$D43,WORKING!$W:$W,S$500),"")</f>
        <v/>
      </c>
    </row>
    <row r="44" ht="15" customHeight="1" s="5">
      <c r="A44" s="104" t="n"/>
      <c r="B44" s="104" t="n"/>
      <c r="C44" s="86" t="n"/>
      <c r="D44" s="52" t="inlineStr">
        <is>
          <t>MAISA ENV</t>
        </is>
      </c>
      <c r="E44" s="53" t="n">
        <v>2</v>
      </c>
      <c r="F44" s="53" t="n">
        <v>1</v>
      </c>
      <c r="G44" s="75">
        <f>IFERROR(IF(OR($F44=0,VLOOKUP($D44,'MC MASTER'!$A:$R,18,0)=0),"-",ROUND(VLOOKUP($D44,'MC MASTER'!$A:$R,18,0)*$E44*$F44,3)),"-")</f>
        <v/>
      </c>
      <c r="H44" s="75">
        <f>IFERROR(SUMIFS(WORKING!$Y:$Y,WORKING!$X:$X,$D44,WORKING!$W:$W,H$500),"")</f>
        <v/>
      </c>
      <c r="I44" s="75">
        <f>IFERROR(SUMIFS(WORKING!$Y:$Y,WORKING!$X:$X,$D44,WORKING!$W:$W,I$500),"")</f>
        <v/>
      </c>
      <c r="J44" s="75">
        <f>IFERROR(SUMIFS(WORKING!$Y:$Y,WORKING!$X:$X,$D44,WORKING!$W:$W,J$500),"")</f>
        <v/>
      </c>
      <c r="K44" s="75">
        <f>IFERROR(SUMIFS(WORKING!$Y:$Y,WORKING!$X:$X,$D44,WORKING!$W:$W,K$500),"")</f>
        <v/>
      </c>
      <c r="L44" s="75">
        <f>IFERROR(SUMIFS(WORKING!$Y:$Y,WORKING!$X:$X,$D44,WORKING!$W:$W,L$500),"")</f>
        <v/>
      </c>
      <c r="M44" s="75">
        <f>IFERROR(SUMIFS(WORKING!$Y:$Y,WORKING!$X:$X,$D44,WORKING!$W:$W,M$500),"")</f>
        <v/>
      </c>
      <c r="N44" s="75">
        <f>IFERROR(SUMIFS(WORKING!$Y:$Y,WORKING!$X:$X,$D44,WORKING!$W:$W,N$500),"")</f>
        <v/>
      </c>
      <c r="O44" s="75">
        <f>IFERROR(SUMIFS(WORKING!$Y:$Y,WORKING!$X:$X,$D44,WORKING!$W:$W,O$500),"")</f>
        <v/>
      </c>
      <c r="P44" s="75">
        <f>IFERROR(SUMIFS(WORKING!$Y:$Y,WORKING!$X:$X,$D44,WORKING!$W:$W,P$500),"")</f>
        <v/>
      </c>
      <c r="Q44" s="75">
        <f>IFERROR(SUMIFS(WORKING!$Y:$Y,WORKING!$X:$X,$D44,WORKING!$W:$W,Q$500),"")</f>
        <v/>
      </c>
      <c r="R44" s="75">
        <f>IFERROR(SUMIFS(WORKING!$Y:$Y,WORKING!$X:$X,$D44,WORKING!$W:$W,R$500),"")</f>
        <v/>
      </c>
      <c r="S44" s="75">
        <f>IFERROR(SUMIFS(WORKING!$Y:$Y,WORKING!$X:$X,$D44,WORKING!$W:$W,S$500),"")</f>
        <v/>
      </c>
      <c r="T44" s="101" t="n"/>
      <c r="U44" s="75">
        <f>IFERROR(SUMIFS(WORKING!$Z:$Z,WORKING!$X:$X,$D44,WORKING!$W:$W,H$500),"")</f>
        <v/>
      </c>
      <c r="V44" s="75">
        <f>IFERROR(SUMIFS(WORKING!$Z:$Z,WORKING!$X:$X,$D44,WORKING!$W:$W,I$500),"")</f>
        <v/>
      </c>
      <c r="W44" s="75">
        <f>IFERROR(SUMIFS(WORKING!$Z:$Z,WORKING!$X:$X,$D44,WORKING!$W:$W,J$500),"")</f>
        <v/>
      </c>
      <c r="X44" s="75">
        <f>IFERROR(SUMIFS(WORKING!$Z:$Z,WORKING!$X:$X,$D44,WORKING!$W:$W,K$500),"")</f>
        <v/>
      </c>
      <c r="Y44" s="75">
        <f>IFERROR(SUMIFS(WORKING!$Z:$Z,WORKING!$X:$X,$D44,WORKING!$W:$W,L$500),"")</f>
        <v/>
      </c>
      <c r="Z44" s="75">
        <f>IFERROR(SUMIFS(WORKING!$Z:$Z,WORKING!$X:$X,$D44,WORKING!$W:$W,M$500),"")</f>
        <v/>
      </c>
      <c r="AA44" s="75">
        <f>IFERROR(SUMIFS(WORKING!$Z:$Z,WORKING!$X:$X,$D44,WORKING!$W:$W,N$500),"")</f>
        <v/>
      </c>
      <c r="AB44" s="75">
        <f>IFERROR(SUMIFS(WORKING!$Z:$Z,WORKING!$X:$X,$D44,WORKING!$W:$W,O$500),"")</f>
        <v/>
      </c>
      <c r="AC44" s="75">
        <f>IFERROR(SUMIFS(WORKING!$Z:$Z,WORKING!$X:$X,$D44,WORKING!$W:$W,P$500),"")</f>
        <v/>
      </c>
      <c r="AD44" s="75">
        <f>IFERROR(SUMIFS(WORKING!$Z:$Z,WORKING!$X:$X,$D44,WORKING!$W:$W,Q$500),"")</f>
        <v/>
      </c>
      <c r="AE44" s="75">
        <f>IFERROR(SUMIFS(WORKING!$Z:$Z,WORKING!$X:$X,$D44,WORKING!$W:$W,R$500),"")</f>
        <v/>
      </c>
      <c r="AF44" s="75">
        <f>IFERROR(SUMIFS(WORKING!$Z:$Z,WORKING!$X:$X,$D44,WORKING!$W:$W,S$500),"")</f>
        <v/>
      </c>
    </row>
    <row r="45" ht="15" customHeight="1" s="5">
      <c r="A45" s="104" t="n"/>
      <c r="B45" s="104" t="n"/>
      <c r="C45" s="105" t="n"/>
      <c r="D45" s="125" t="inlineStr">
        <is>
          <t>TOTAL</t>
        </is>
      </c>
      <c r="E45" s="126" t="n"/>
      <c r="F45" s="126" t="n"/>
      <c r="G45" s="127">
        <f>SUM(G43:G44)</f>
        <v/>
      </c>
      <c r="H45" s="127">
        <f>SUM(H43:H44)</f>
        <v/>
      </c>
      <c r="I45" s="127">
        <f>SUM(I43:I44)</f>
        <v/>
      </c>
      <c r="J45" s="127">
        <f>SUM(J43:J44)</f>
        <v/>
      </c>
      <c r="K45" s="127">
        <f>SUM(K43:K44)</f>
        <v/>
      </c>
      <c r="L45" s="127">
        <f>SUM(L43:L44)</f>
        <v/>
      </c>
      <c r="M45" s="127">
        <f>SUM(M43:M44)</f>
        <v/>
      </c>
      <c r="N45" s="127">
        <f>SUM(N43:N44)</f>
        <v/>
      </c>
      <c r="O45" s="127">
        <f>SUM(O43:O44)</f>
        <v/>
      </c>
      <c r="P45" s="127">
        <f>SUM(P43:P44)</f>
        <v/>
      </c>
      <c r="Q45" s="127">
        <f>SUM(Q43:Q44)</f>
        <v/>
      </c>
      <c r="R45" s="127">
        <f>SUM(R43:R44)</f>
        <v/>
      </c>
      <c r="S45" s="127">
        <f>SUM(S43:S44)</f>
        <v/>
      </c>
      <c r="T45" s="101" t="n"/>
      <c r="U45" s="127">
        <f>SUM(U43:U44)</f>
        <v/>
      </c>
      <c r="V45" s="127">
        <f>SUM(V43:V44)</f>
        <v/>
      </c>
      <c r="W45" s="127">
        <f>SUM(W43:W44)</f>
        <v/>
      </c>
      <c r="X45" s="127">
        <f>SUM(X43:X44)</f>
        <v/>
      </c>
      <c r="Y45" s="127">
        <f>SUM(Y43:Y44)</f>
        <v/>
      </c>
      <c r="Z45" s="127">
        <f>SUM(Z43:Z44)</f>
        <v/>
      </c>
      <c r="AA45" s="127">
        <f>SUM(AA43:AA44)</f>
        <v/>
      </c>
      <c r="AB45" s="127">
        <f>SUM(AB43:AB44)</f>
        <v/>
      </c>
      <c r="AC45" s="127">
        <f>SUM(AC43:AC44)</f>
        <v/>
      </c>
      <c r="AD45" s="127">
        <f>SUM(AD43:AD44)</f>
        <v/>
      </c>
      <c r="AE45" s="127">
        <f>SUM(AE43:AE44)</f>
        <v/>
      </c>
      <c r="AF45" s="127">
        <f>SUM(AF43:AF44)</f>
        <v/>
      </c>
    </row>
    <row r="46" ht="15" customHeight="1" s="5">
      <c r="A46" s="104" t="n"/>
      <c r="B46" s="104" t="n"/>
      <c r="C46" s="116" t="n"/>
      <c r="D46" s="108" t="inlineStr">
        <is>
          <t>Excess Order</t>
        </is>
      </c>
      <c r="E46" s="114" t="n"/>
      <c r="F46" s="114" t="n"/>
      <c r="G46" s="115" t="n"/>
      <c r="H46" s="111">
        <f>IFERROR(IF(ROUND(H45-$G45,3)&gt;0,ROUND(H45-$G45,3),""),"")</f>
        <v/>
      </c>
      <c r="I46" s="111">
        <f>IFERROR(IF(ROUND(I45-$G45,3)&gt;0,ROUND(I45-$G45,3),""),"")</f>
        <v/>
      </c>
      <c r="J46" s="111">
        <f>IFERROR(IF(ROUND(J45-$G45,3)&gt;0,ROUND(J45-$G45,3),""),"")</f>
        <v/>
      </c>
      <c r="K46" s="111">
        <f>IFERROR(IF(ROUND(K45-$G45,3)&gt;0,ROUND(K45-$G45,3),""),"")</f>
        <v/>
      </c>
      <c r="L46" s="111">
        <f>IFERROR(IF(ROUND(L45-$G45,3)&gt;0,ROUND(L45-$G45,3),""),"")</f>
        <v/>
      </c>
      <c r="M46" s="111">
        <f>IFERROR(IF(ROUND(M45-$G45,3)&gt;0,ROUND(M45-$G45,3),""),"")</f>
        <v/>
      </c>
      <c r="N46" s="111">
        <f>IFERROR(IF(ROUND(N45-$G45,3)&gt;0,ROUND(N45-$G45,3),""),"")</f>
        <v/>
      </c>
      <c r="O46" s="111">
        <f>IFERROR(IF(ROUND(O45-$G45,3)&gt;0,ROUND(O45-$G45,3),""),"")</f>
        <v/>
      </c>
      <c r="P46" s="111">
        <f>IFERROR(IF(ROUND(P45-$G45,3)&gt;0,ROUND(P45-$G45,3),""),"")</f>
        <v/>
      </c>
      <c r="Q46" s="111">
        <f>IFERROR(IF(ROUND(Q45-$G45,3)&gt;0,ROUND(Q45-$G45,3),""),"")</f>
        <v/>
      </c>
      <c r="R46" s="111">
        <f>IFERROR(IF(ROUND(R45-$G45,3)&gt;0,ROUND(R45-$G45,3),""),"")</f>
        <v/>
      </c>
      <c r="S46" s="111">
        <f>IFERROR(IF(ROUND(S45-$G45,3)&gt;0,ROUND(S45-$G45,3),""),"")</f>
        <v/>
      </c>
      <c r="T46" s="101" t="n"/>
      <c r="U46" s="111">
        <f>IFERROR(IF(ROUND(U45-$G45,3)&gt;0,ROUND(U45-$G45,3),""),"")</f>
        <v/>
      </c>
      <c r="V46" s="111">
        <f>IFERROR(IF(ROUND(V45-$G45,3)&gt;0,ROUND(V45-$G45,3),""),"")</f>
        <v/>
      </c>
      <c r="W46" s="111">
        <f>IFERROR(IF(ROUND(W45-$G45,3)&gt;0,ROUND(W45-$G45,3),""),"")</f>
        <v/>
      </c>
      <c r="X46" s="111">
        <f>IFERROR(IF(ROUND(X45-$G45,3)&gt;0,ROUND(X45-$G45,3),""),"")</f>
        <v/>
      </c>
      <c r="Y46" s="111">
        <f>IFERROR(IF(ROUND(Y45-$G45,3)&gt;0,ROUND(Y45-$G45,3),""),"")</f>
        <v/>
      </c>
      <c r="Z46" s="111">
        <f>IFERROR(IF(ROUND(Z45-$G45,3)&gt;0,ROUND(Z45-$G45,3),""),"")</f>
        <v/>
      </c>
      <c r="AA46" s="111">
        <f>IFERROR(IF(ROUND(AA45-$G45,3)&gt;0,ROUND(AA45-$G45,3),""),"")</f>
        <v/>
      </c>
      <c r="AB46" s="111">
        <f>IFERROR(IF(ROUND(AB45-$G45,3)&gt;0,ROUND(AB45-$G45,3),""),"")</f>
        <v/>
      </c>
      <c r="AC46" s="111">
        <f>IFERROR(IF(ROUND(AC45-$G45,3)&gt;0,ROUND(AC45-$G45,3),""),"")</f>
        <v/>
      </c>
      <c r="AD46" s="111">
        <f>IFERROR(IF(ROUND(AD45-$G45,3)&gt;0,ROUND(AD45-$G45,3),""),"")</f>
        <v/>
      </c>
      <c r="AE46" s="111">
        <f>IFERROR(IF(ROUND(AE45-$G45,3)&gt;0,ROUND(AE45-$G45,3),""),"")</f>
        <v/>
      </c>
      <c r="AF46" s="111">
        <f>IFERROR(IF(ROUND(AF45-$G45,3)&gt;0,ROUND(AF45-$G45,3),""),"")</f>
        <v/>
      </c>
    </row>
    <row r="47" ht="15" customHeight="1" s="5">
      <c r="A47" s="86" t="n"/>
      <c r="B47" s="86" t="n"/>
      <c r="C47" s="86" t="n"/>
      <c r="D47" s="108" t="inlineStr">
        <is>
          <t>Short Order</t>
        </is>
      </c>
      <c r="E47" s="117" t="n"/>
      <c r="F47" s="117" t="n"/>
      <c r="G47" s="110" t="n"/>
      <c r="H47" s="111">
        <f>IFERROR(IF(ROUND($G45-H45,3)&gt;0,ROUND($G45-H45,3),""),"")</f>
        <v/>
      </c>
      <c r="I47" s="111">
        <f>IFERROR(IF(ROUND($G45-I45,3)&gt;0,ROUND($G45-I45,3),""),"")</f>
        <v/>
      </c>
      <c r="J47" s="111">
        <f>IFERROR(IF(ROUND($G45-J45,3)&gt;0,ROUND($G45-J45,3),""),"")</f>
        <v/>
      </c>
      <c r="K47" s="111">
        <f>IFERROR(IF(ROUND($G45-K45,3)&gt;0,ROUND($G45-K45,3),""),"")</f>
        <v/>
      </c>
      <c r="L47" s="111">
        <f>IFERROR(IF(ROUND($G45-L45,3)&gt;0,ROUND($G45-L45,3),""),"")</f>
        <v/>
      </c>
      <c r="M47" s="111">
        <f>IFERROR(IF(ROUND($G45-M45,3)&gt;0,ROUND($G45-M45,3),""),"")</f>
        <v/>
      </c>
      <c r="N47" s="111">
        <f>IFERROR(IF(ROUND($G45-N45,3)&gt;0,ROUND($G45-N45,3),""),"")</f>
        <v/>
      </c>
      <c r="O47" s="111">
        <f>IFERROR(IF(ROUND($G45-O45,3)&gt;0,ROUND($G45-O45,3),""),"")</f>
        <v/>
      </c>
      <c r="P47" s="111">
        <f>IFERROR(IF(ROUND($G45-P45,3)&gt;0,ROUND($G45-P45,3),""),"")</f>
        <v/>
      </c>
      <c r="Q47" s="111">
        <f>IFERROR(IF(ROUND($G45-Q45,3)&gt;0,ROUND($G45-Q45,3),""),"")</f>
        <v/>
      </c>
      <c r="R47" s="111">
        <f>IFERROR(IF(ROUND($G45-R45,3)&gt;0,ROUND($G45-R45,3),""),"")</f>
        <v/>
      </c>
      <c r="S47" s="111">
        <f>IFERROR(IF(ROUND($G45-S45,3)&gt;0,ROUND($G45-S45,3),""),"")</f>
        <v/>
      </c>
      <c r="T47" s="101" t="n"/>
      <c r="U47" s="111">
        <f>IFERROR(IF(ROUND($G45-U45,3)&gt;0,ROUND($G45-U45,3),""),"")</f>
        <v/>
      </c>
      <c r="V47" s="111">
        <f>IFERROR(IF(ROUND($G45-V45,3)&gt;0,ROUND($G45-V45,3),""),"")</f>
        <v/>
      </c>
      <c r="W47" s="111">
        <f>IFERROR(IF(ROUND($G45-W45,3)&gt;0,ROUND($G45-W45,3),""),"")</f>
        <v/>
      </c>
      <c r="X47" s="111">
        <f>IFERROR(IF(ROUND($G45-X45,3)&gt;0,ROUND($G45-X45,3),""),"")</f>
        <v/>
      </c>
      <c r="Y47" s="111">
        <f>IFERROR(IF(ROUND($G45-Y45,3)&gt;0,ROUND($G45-Y45,3),""),"")</f>
        <v/>
      </c>
      <c r="Z47" s="111">
        <f>IFERROR(IF(ROUND($G45-Z45,3)&gt;0,ROUND($G45-Z45,3),""),"")</f>
        <v/>
      </c>
      <c r="AA47" s="111">
        <f>IFERROR(IF(ROUND($G45-AA45,3)&gt;0,ROUND($G45-AA45,3),""),"")</f>
        <v/>
      </c>
      <c r="AB47" s="111">
        <f>IFERROR(IF(ROUND($G45-AB45,3)&gt;0,ROUND($G45-AB45,3),""),"")</f>
        <v/>
      </c>
      <c r="AC47" s="111">
        <f>IFERROR(IF(ROUND($G45-AC45,3)&gt;0,ROUND($G45-AC45,3),""),"")</f>
        <v/>
      </c>
      <c r="AD47" s="111">
        <f>IFERROR(IF(ROUND($G45-AD45,3)&gt;0,ROUND($G45-AD45,3),""),"")</f>
        <v/>
      </c>
      <c r="AE47" s="111">
        <f>IFERROR(IF(ROUND($G45-AE45,3)&gt;0,ROUND($G45-AE45,3),""),"")</f>
        <v/>
      </c>
      <c r="AF47" s="111">
        <f>IFERROR(IF(ROUND($G45-AF45,3)&gt;0,ROUND($G45-AF45,3),""),"")</f>
        <v/>
      </c>
    </row>
    <row r="48" ht="15" customHeight="1" s="5">
      <c r="A48" s="123" t="inlineStr">
        <is>
          <t>Zone 3</t>
        </is>
      </c>
      <c r="B48" s="103" t="inlineStr">
        <is>
          <t>AFRICA</t>
        </is>
      </c>
      <c r="C48" s="65" t="inlineStr">
        <is>
          <t>PREMIX</t>
        </is>
      </c>
      <c r="D48" s="52" t="inlineStr">
        <is>
          <t>INSTANT COFFEE STICK PACK</t>
        </is>
      </c>
      <c r="E48" s="53" t="n">
        <v>1</v>
      </c>
      <c r="F48" s="53" t="n">
        <v>1</v>
      </c>
      <c r="G48" s="75">
        <f>IFERROR(IF(OR($F48=0,VLOOKUP($D48,'MC MASTER'!$A:$R,18,0)=0),"-",ROUND(VLOOKUP($D48,'MC MASTER'!$A:$R,18,0)*$E48*$F48,3)),"-")</f>
        <v/>
      </c>
      <c r="H48" s="75">
        <f>IFERROR(SUMIFS(WORKING!$Y:$Y,WORKING!$X:$X,$D48,WORKING!$W:$W,H$500),"")</f>
        <v/>
      </c>
      <c r="I48" s="75">
        <f>IFERROR(SUMIFS(WORKING!$Y:$Y,WORKING!$X:$X,$D48,WORKING!$W:$W,I$500),"")</f>
        <v/>
      </c>
      <c r="J48" s="75">
        <f>IFERROR(SUMIFS(WORKING!$Y:$Y,WORKING!$X:$X,$D48,WORKING!$W:$W,J$500),"")</f>
        <v/>
      </c>
      <c r="K48" s="75">
        <f>IFERROR(SUMIFS(WORKING!$Y:$Y,WORKING!$X:$X,$D48,WORKING!$W:$W,K$500),"")</f>
        <v/>
      </c>
      <c r="L48" s="75">
        <f>IFERROR(SUMIFS(WORKING!$Y:$Y,WORKING!$X:$X,$D48,WORKING!$W:$W,L$500),"")</f>
        <v/>
      </c>
      <c r="M48" s="75">
        <f>IFERROR(SUMIFS(WORKING!$Y:$Y,WORKING!$X:$X,$D48,WORKING!$W:$W,M$500),"")</f>
        <v/>
      </c>
      <c r="N48" s="75">
        <f>IFERROR(SUMIFS(WORKING!$Y:$Y,WORKING!$X:$X,$D48,WORKING!$W:$W,N$500),"")</f>
        <v/>
      </c>
      <c r="O48" s="75">
        <f>IFERROR(SUMIFS(WORKING!$Y:$Y,WORKING!$X:$X,$D48,WORKING!$W:$W,O$500),"")</f>
        <v/>
      </c>
      <c r="P48" s="75">
        <f>IFERROR(SUMIFS(WORKING!$Y:$Y,WORKING!$X:$X,$D48,WORKING!$W:$W,P$500),"")</f>
        <v/>
      </c>
      <c r="Q48" s="75">
        <f>IFERROR(SUMIFS(WORKING!$Y:$Y,WORKING!$X:$X,$D48,WORKING!$W:$W,Q$500),"")</f>
        <v/>
      </c>
      <c r="R48" s="75">
        <f>IFERROR(SUMIFS(WORKING!$Y:$Y,WORKING!$X:$X,$D48,WORKING!$W:$W,R$500),"")</f>
        <v/>
      </c>
      <c r="S48" s="75">
        <f>IFERROR(SUMIFS(WORKING!$Y:$Y,WORKING!$X:$X,$D48,WORKING!$W:$W,S$500),"")</f>
        <v/>
      </c>
      <c r="T48" s="101" t="n"/>
      <c r="U48" s="75">
        <f>IFERROR(SUMIFS(WORKING!$Z:$Z,WORKING!$X:$X,$D48,WORKING!$W:$W,H$500),"")</f>
        <v/>
      </c>
      <c r="V48" s="75">
        <f>IFERROR(SUMIFS(WORKING!$Z:$Z,WORKING!$X:$X,$D48,WORKING!$W:$W,I$500),"")</f>
        <v/>
      </c>
      <c r="W48" s="75">
        <f>IFERROR(SUMIFS(WORKING!$Z:$Z,WORKING!$X:$X,$D48,WORKING!$W:$W,J$500),"")</f>
        <v/>
      </c>
      <c r="X48" s="75">
        <f>IFERROR(SUMIFS(WORKING!$Z:$Z,WORKING!$X:$X,$D48,WORKING!$W:$W,K$500),"")</f>
        <v/>
      </c>
      <c r="Y48" s="75">
        <f>IFERROR(SUMIFS(WORKING!$Z:$Z,WORKING!$X:$X,$D48,WORKING!$W:$W,L$500),"")</f>
        <v/>
      </c>
      <c r="Z48" s="75">
        <f>IFERROR(SUMIFS(WORKING!$Z:$Z,WORKING!$X:$X,$D48,WORKING!$W:$W,M$500),"")</f>
        <v/>
      </c>
      <c r="AA48" s="75">
        <f>IFERROR(SUMIFS(WORKING!$Z:$Z,WORKING!$X:$X,$D48,WORKING!$W:$W,N$500),"")</f>
        <v/>
      </c>
      <c r="AB48" s="75">
        <f>IFERROR(SUMIFS(WORKING!$Z:$Z,WORKING!$X:$X,$D48,WORKING!$W:$W,O$500),"")</f>
        <v/>
      </c>
      <c r="AC48" s="75">
        <f>IFERROR(SUMIFS(WORKING!$Z:$Z,WORKING!$X:$X,$D48,WORKING!$W:$W,P$500),"")</f>
        <v/>
      </c>
      <c r="AD48" s="75">
        <f>IFERROR(SUMIFS(WORKING!$Z:$Z,WORKING!$X:$X,$D48,WORKING!$W:$W,Q$500),"")</f>
        <v/>
      </c>
      <c r="AE48" s="75">
        <f>IFERROR(SUMIFS(WORKING!$Z:$Z,WORKING!$X:$X,$D48,WORKING!$W:$W,R$500),"")</f>
        <v/>
      </c>
      <c r="AF48" s="75">
        <f>IFERROR(SUMIFS(WORKING!$Z:$Z,WORKING!$X:$X,$D48,WORKING!$W:$W,S$500),"")</f>
        <v/>
      </c>
    </row>
    <row r="49" ht="15" customHeight="1" s="5">
      <c r="A49" s="104" t="n"/>
      <c r="B49" s="104" t="n"/>
      <c r="C49" s="104" t="n"/>
      <c r="D49" s="52" t="inlineStr">
        <is>
          <t>PEARL PACK-PREMIX</t>
        </is>
      </c>
      <c r="E49" s="53" t="n">
        <v>1</v>
      </c>
      <c r="F49" s="53" t="n">
        <v>1</v>
      </c>
      <c r="G49" s="75">
        <f>IFERROR(IF(OR($F49=0,VLOOKUP($D49,'MC MASTER'!$A:$R,18,0)=0),"-",ROUND(VLOOKUP($D49,'MC MASTER'!$A:$R,18,0)*$E49*$F49,3)),"-")</f>
        <v/>
      </c>
      <c r="H49" s="75">
        <f>IFERROR(SUMIFS(WORKING!$Y:$Y,WORKING!$X:$X,$D49,WORKING!$W:$W,H$500),"")</f>
        <v/>
      </c>
      <c r="I49" s="75">
        <f>IFERROR(SUMIFS(WORKING!$Y:$Y,WORKING!$X:$X,$D49,WORKING!$W:$W,I$500),"")</f>
        <v/>
      </c>
      <c r="J49" s="75">
        <f>IFERROR(SUMIFS(WORKING!$Y:$Y,WORKING!$X:$X,$D49,WORKING!$W:$W,J$500),"")</f>
        <v/>
      </c>
      <c r="K49" s="75">
        <f>IFERROR(SUMIFS(WORKING!$Y:$Y,WORKING!$X:$X,$D49,WORKING!$W:$W,K$500),"")</f>
        <v/>
      </c>
      <c r="L49" s="75">
        <f>IFERROR(SUMIFS(WORKING!$Y:$Y,WORKING!$X:$X,$D49,WORKING!$W:$W,L$500),"")</f>
        <v/>
      </c>
      <c r="M49" s="75">
        <f>IFERROR(SUMIFS(WORKING!$Y:$Y,WORKING!$X:$X,$D49,WORKING!$W:$W,M$500),"")</f>
        <v/>
      </c>
      <c r="N49" s="75">
        <f>IFERROR(SUMIFS(WORKING!$Y:$Y,WORKING!$X:$X,$D49,WORKING!$W:$W,N$500),"")</f>
        <v/>
      </c>
      <c r="O49" s="75">
        <f>IFERROR(SUMIFS(WORKING!$Y:$Y,WORKING!$X:$X,$D49,WORKING!$W:$W,O$500),"")</f>
        <v/>
      </c>
      <c r="P49" s="75">
        <f>IFERROR(SUMIFS(WORKING!$Y:$Y,WORKING!$X:$X,$D49,WORKING!$W:$W,P$500),"")</f>
        <v/>
      </c>
      <c r="Q49" s="75">
        <f>IFERROR(SUMIFS(WORKING!$Y:$Y,WORKING!$X:$X,$D49,WORKING!$W:$W,Q$500),"")</f>
        <v/>
      </c>
      <c r="R49" s="75">
        <f>IFERROR(SUMIFS(WORKING!$Y:$Y,WORKING!$X:$X,$D49,WORKING!$W:$W,R$500),"")</f>
        <v/>
      </c>
      <c r="S49" s="75">
        <f>IFERROR(SUMIFS(WORKING!$Y:$Y,WORKING!$X:$X,$D49,WORKING!$W:$W,S$500),"")</f>
        <v/>
      </c>
      <c r="T49" s="101" t="n"/>
      <c r="U49" s="75">
        <f>IFERROR(SUMIFS(WORKING!$Z:$Z,WORKING!$X:$X,$D49,WORKING!$W:$W,H$500),"")</f>
        <v/>
      </c>
      <c r="V49" s="75">
        <f>IFERROR(SUMIFS(WORKING!$Z:$Z,WORKING!$X:$X,$D49,WORKING!$W:$W,I$500),"")</f>
        <v/>
      </c>
      <c r="W49" s="75">
        <f>IFERROR(SUMIFS(WORKING!$Z:$Z,WORKING!$X:$X,$D49,WORKING!$W:$W,J$500),"")</f>
        <v/>
      </c>
      <c r="X49" s="75">
        <f>IFERROR(SUMIFS(WORKING!$Z:$Z,WORKING!$X:$X,$D49,WORKING!$W:$W,K$500),"")</f>
        <v/>
      </c>
      <c r="Y49" s="75">
        <f>IFERROR(SUMIFS(WORKING!$Z:$Z,WORKING!$X:$X,$D49,WORKING!$W:$W,L$500),"")</f>
        <v/>
      </c>
      <c r="Z49" s="75">
        <f>IFERROR(SUMIFS(WORKING!$Z:$Z,WORKING!$X:$X,$D49,WORKING!$W:$W,M$500),"")</f>
        <v/>
      </c>
      <c r="AA49" s="75">
        <f>IFERROR(SUMIFS(WORKING!$Z:$Z,WORKING!$X:$X,$D49,WORKING!$W:$W,N$500),"")</f>
        <v/>
      </c>
      <c r="AB49" s="75">
        <f>IFERROR(SUMIFS(WORKING!$Z:$Z,WORKING!$X:$X,$D49,WORKING!$W:$W,O$500),"")</f>
        <v/>
      </c>
      <c r="AC49" s="75">
        <f>IFERROR(SUMIFS(WORKING!$Z:$Z,WORKING!$X:$X,$D49,WORKING!$W:$W,P$500),"")</f>
        <v/>
      </c>
      <c r="AD49" s="75">
        <f>IFERROR(SUMIFS(WORKING!$Z:$Z,WORKING!$X:$X,$D49,WORKING!$W:$W,Q$500),"")</f>
        <v/>
      </c>
      <c r="AE49" s="75">
        <f>IFERROR(SUMIFS(WORKING!$Z:$Z,WORKING!$X:$X,$D49,WORKING!$W:$W,R$500),"")</f>
        <v/>
      </c>
      <c r="AF49" s="75">
        <f>IFERROR(SUMIFS(WORKING!$Z:$Z,WORKING!$X:$X,$D49,WORKING!$W:$W,S$500),"")</f>
        <v/>
      </c>
    </row>
    <row r="50" ht="15" customHeight="1" s="5">
      <c r="A50" s="104" t="n"/>
      <c r="B50" s="104" t="n"/>
      <c r="C50" s="86" t="n"/>
      <c r="D50" s="52" t="inlineStr">
        <is>
          <t>PEARL PACK-PREMIX - cappuccino</t>
        </is>
      </c>
      <c r="E50" s="53" t="n">
        <v>2</v>
      </c>
      <c r="F50" s="53" t="n">
        <v>1</v>
      </c>
      <c r="G50" s="75">
        <f>IFERROR(IF(OR($F50=0,VLOOKUP($D50,'MC MASTER'!$A:$R,18,0)=0),"-",ROUND(VLOOKUP($D50,'MC MASTER'!$A:$R,18,0)*$E50*$F50,3)),"-")</f>
        <v/>
      </c>
      <c r="H50" s="75">
        <f>IFERROR(SUMIFS(WORKING!$Y:$Y,WORKING!$X:$X,$D50,WORKING!$W:$W,H$500),"")</f>
        <v/>
      </c>
      <c r="I50" s="75">
        <f>IFERROR(SUMIFS(WORKING!$Y:$Y,WORKING!$X:$X,$D50,WORKING!$W:$W,I$500),"")</f>
        <v/>
      </c>
      <c r="J50" s="75">
        <f>IFERROR(SUMIFS(WORKING!$Y:$Y,WORKING!$X:$X,$D50,WORKING!$W:$W,J$500),"")</f>
        <v/>
      </c>
      <c r="K50" s="75">
        <f>IFERROR(SUMIFS(WORKING!$Y:$Y,WORKING!$X:$X,$D50,WORKING!$W:$W,K$500),"")</f>
        <v/>
      </c>
      <c r="L50" s="75">
        <f>IFERROR(SUMIFS(WORKING!$Y:$Y,WORKING!$X:$X,$D50,WORKING!$W:$W,L$500),"")</f>
        <v/>
      </c>
      <c r="M50" s="75">
        <f>IFERROR(SUMIFS(WORKING!$Y:$Y,WORKING!$X:$X,$D50,WORKING!$W:$W,M$500),"")</f>
        <v/>
      </c>
      <c r="N50" s="75">
        <f>IFERROR(SUMIFS(WORKING!$Y:$Y,WORKING!$X:$X,$D50,WORKING!$W:$W,N$500),"")</f>
        <v/>
      </c>
      <c r="O50" s="75">
        <f>IFERROR(SUMIFS(WORKING!$Y:$Y,WORKING!$X:$X,$D50,WORKING!$W:$W,O$500),"")</f>
        <v/>
      </c>
      <c r="P50" s="75">
        <f>IFERROR(SUMIFS(WORKING!$Y:$Y,WORKING!$X:$X,$D50,WORKING!$W:$W,P$500),"")</f>
        <v/>
      </c>
      <c r="Q50" s="75">
        <f>IFERROR(SUMIFS(WORKING!$Y:$Y,WORKING!$X:$X,$D50,WORKING!$W:$W,Q$500),"")</f>
        <v/>
      </c>
      <c r="R50" s="75">
        <f>IFERROR(SUMIFS(WORKING!$Y:$Y,WORKING!$X:$X,$D50,WORKING!$W:$W,R$500),"")</f>
        <v/>
      </c>
      <c r="S50" s="75">
        <f>IFERROR(SUMIFS(WORKING!$Y:$Y,WORKING!$X:$X,$D50,WORKING!$W:$W,S$500),"")</f>
        <v/>
      </c>
      <c r="T50" s="101" t="n"/>
      <c r="U50" s="75">
        <f>IFERROR(SUMIFS(WORKING!$Z:$Z,WORKING!$X:$X,$D50,WORKING!$W:$W,H$500),"")</f>
        <v/>
      </c>
      <c r="V50" s="75">
        <f>IFERROR(SUMIFS(WORKING!$Z:$Z,WORKING!$X:$X,$D50,WORKING!$W:$W,I$500),"")</f>
        <v/>
      </c>
      <c r="W50" s="75">
        <f>IFERROR(SUMIFS(WORKING!$Z:$Z,WORKING!$X:$X,$D50,WORKING!$W:$W,J$500),"")</f>
        <v/>
      </c>
      <c r="X50" s="75">
        <f>IFERROR(SUMIFS(WORKING!$Z:$Z,WORKING!$X:$X,$D50,WORKING!$W:$W,K$500),"")</f>
        <v/>
      </c>
      <c r="Y50" s="75">
        <f>IFERROR(SUMIFS(WORKING!$Z:$Z,WORKING!$X:$X,$D50,WORKING!$W:$W,L$500),"")</f>
        <v/>
      </c>
      <c r="Z50" s="75">
        <f>IFERROR(SUMIFS(WORKING!$Z:$Z,WORKING!$X:$X,$D50,WORKING!$W:$W,M$500),"")</f>
        <v/>
      </c>
      <c r="AA50" s="75">
        <f>IFERROR(SUMIFS(WORKING!$Z:$Z,WORKING!$X:$X,$D50,WORKING!$W:$W,N$500),"")</f>
        <v/>
      </c>
      <c r="AB50" s="75">
        <f>IFERROR(SUMIFS(WORKING!$Z:$Z,WORKING!$X:$X,$D50,WORKING!$W:$W,O$500),"")</f>
        <v/>
      </c>
      <c r="AC50" s="75">
        <f>IFERROR(SUMIFS(WORKING!$Z:$Z,WORKING!$X:$X,$D50,WORKING!$W:$W,P$500),"")</f>
        <v/>
      </c>
      <c r="AD50" s="75">
        <f>IFERROR(SUMIFS(WORKING!$Z:$Z,WORKING!$X:$X,$D50,WORKING!$W:$W,Q$500),"")</f>
        <v/>
      </c>
      <c r="AE50" s="75">
        <f>IFERROR(SUMIFS(WORKING!$Z:$Z,WORKING!$X:$X,$D50,WORKING!$W:$W,R$500),"")</f>
        <v/>
      </c>
      <c r="AF50" s="75">
        <f>IFERROR(SUMIFS(WORKING!$Z:$Z,WORKING!$X:$X,$D50,WORKING!$W:$W,S$500),"")</f>
        <v/>
      </c>
    </row>
    <row r="51" ht="15" customHeight="1" s="5">
      <c r="A51" s="104" t="n"/>
      <c r="B51" s="104" t="n"/>
      <c r="C51" s="105" t="n"/>
      <c r="D51" s="125" t="inlineStr">
        <is>
          <t>TOTAL</t>
        </is>
      </c>
      <c r="E51" s="126" t="n"/>
      <c r="F51" s="126" t="n"/>
      <c r="G51" s="127">
        <f>SUM(G48:G50)</f>
        <v/>
      </c>
      <c r="H51" s="127">
        <f>SUM(H48:H50)</f>
        <v/>
      </c>
      <c r="I51" s="127">
        <f>SUM(I48:I50)</f>
        <v/>
      </c>
      <c r="J51" s="127">
        <f>SUM(J48:J50)</f>
        <v/>
      </c>
      <c r="K51" s="127">
        <f>SUM(K48:K50)</f>
        <v/>
      </c>
      <c r="L51" s="127">
        <f>SUM(L48:L50)</f>
        <v/>
      </c>
      <c r="M51" s="127">
        <f>SUM(M48:M50)</f>
        <v/>
      </c>
      <c r="N51" s="127">
        <f>SUM(N48:N50)</f>
        <v/>
      </c>
      <c r="O51" s="127">
        <f>SUM(O48:O50)</f>
        <v/>
      </c>
      <c r="P51" s="127">
        <f>SUM(P48:P50)</f>
        <v/>
      </c>
      <c r="Q51" s="127">
        <f>SUM(Q48:Q50)</f>
        <v/>
      </c>
      <c r="R51" s="127">
        <f>SUM(R48:R50)</f>
        <v/>
      </c>
      <c r="S51" s="127">
        <f>SUM(S48:S50)</f>
        <v/>
      </c>
      <c r="T51" s="101" t="n"/>
      <c r="U51" s="127">
        <f>SUM(U48:U50)</f>
        <v/>
      </c>
      <c r="V51" s="127">
        <f>SUM(V48:V50)</f>
        <v/>
      </c>
      <c r="W51" s="127">
        <f>SUM(W48:W50)</f>
        <v/>
      </c>
      <c r="X51" s="127">
        <f>SUM(X48:X50)</f>
        <v/>
      </c>
      <c r="Y51" s="127">
        <f>SUM(Y48:Y50)</f>
        <v/>
      </c>
      <c r="Z51" s="127">
        <f>SUM(Z48:Z50)</f>
        <v/>
      </c>
      <c r="AA51" s="127">
        <f>SUM(AA48:AA50)</f>
        <v/>
      </c>
      <c r="AB51" s="127">
        <f>SUM(AB48:AB50)</f>
        <v/>
      </c>
      <c r="AC51" s="127">
        <f>SUM(AC48:AC50)</f>
        <v/>
      </c>
      <c r="AD51" s="127">
        <f>SUM(AD48:AD50)</f>
        <v/>
      </c>
      <c r="AE51" s="127">
        <f>SUM(AE48:AE50)</f>
        <v/>
      </c>
      <c r="AF51" s="127">
        <f>SUM(AF48:AF50)</f>
        <v/>
      </c>
    </row>
    <row r="52" ht="15" customHeight="1" s="5">
      <c r="A52" s="104" t="n"/>
      <c r="B52" s="104" t="n"/>
      <c r="C52" s="116" t="n"/>
      <c r="D52" s="108" t="inlineStr">
        <is>
          <t>Excess Order</t>
        </is>
      </c>
      <c r="E52" s="117" t="n"/>
      <c r="F52" s="117" t="n"/>
      <c r="G52" s="110" t="n"/>
      <c r="H52" s="111">
        <f>IFERROR(IF(ROUND(H51-$G51,3)&gt;0,ROUND(H51-$G51,3),""),"")</f>
        <v/>
      </c>
      <c r="I52" s="111">
        <f>IFERROR(IF(ROUND(I51-$G51,3)&gt;0,ROUND(I51-$G51,3),""),"")</f>
        <v/>
      </c>
      <c r="J52" s="111">
        <f>IFERROR(IF(ROUND(J51-$G51,3)&gt;0,ROUND(J51-$G51,3),""),"")</f>
        <v/>
      </c>
      <c r="K52" s="111">
        <f>IFERROR(IF(ROUND(K51-$G51,3)&gt;0,ROUND(K51-$G51,3),""),"")</f>
        <v/>
      </c>
      <c r="L52" s="111">
        <f>IFERROR(IF(ROUND(L51-$G51,3)&gt;0,ROUND(L51-$G51,3),""),"")</f>
        <v/>
      </c>
      <c r="M52" s="111">
        <f>IFERROR(IF(ROUND(M51-$G51,3)&gt;0,ROUND(M51-$G51,3),""),"")</f>
        <v/>
      </c>
      <c r="N52" s="111">
        <f>IFERROR(IF(ROUND(N51-$G51,3)&gt;0,ROUND(N51-$G51,3),""),"")</f>
        <v/>
      </c>
      <c r="O52" s="111">
        <f>IFERROR(IF(ROUND(O51-$G51,3)&gt;0,ROUND(O51-$G51,3),""),"")</f>
        <v/>
      </c>
      <c r="P52" s="111">
        <f>IFERROR(IF(ROUND(P51-$G51,3)&gt;0,ROUND(P51-$G51,3),""),"")</f>
        <v/>
      </c>
      <c r="Q52" s="111">
        <f>IFERROR(IF(ROUND(Q51-$G51,3)&gt;0,ROUND(Q51-$G51,3),""),"")</f>
        <v/>
      </c>
      <c r="R52" s="111">
        <f>IFERROR(IF(ROUND(R51-$G51,3)&gt;0,ROUND(R51-$G51,3),""),"")</f>
        <v/>
      </c>
      <c r="S52" s="111">
        <f>IFERROR(IF(ROUND(S51-$G51,3)&gt;0,ROUND(S51-$G51,3),""),"")</f>
        <v/>
      </c>
      <c r="T52" s="101" t="n"/>
      <c r="U52" s="111">
        <f>IFERROR(IF(ROUND(U51-$G51,3)&gt;0,ROUND(U51-$G51,3),""),"")</f>
        <v/>
      </c>
      <c r="V52" s="111">
        <f>IFERROR(IF(ROUND(V51-$G51,3)&gt;0,ROUND(V51-$G51,3),""),"")</f>
        <v/>
      </c>
      <c r="W52" s="111">
        <f>IFERROR(IF(ROUND(W51-$G51,3)&gt;0,ROUND(W51-$G51,3),""),"")</f>
        <v/>
      </c>
      <c r="X52" s="111">
        <f>IFERROR(IF(ROUND(X51-$G51,3)&gt;0,ROUND(X51-$G51,3),""),"")</f>
        <v/>
      </c>
      <c r="Y52" s="111">
        <f>IFERROR(IF(ROUND(Y51-$G51,3)&gt;0,ROUND(Y51-$G51,3),""),"")</f>
        <v/>
      </c>
      <c r="Z52" s="111">
        <f>IFERROR(IF(ROUND(Z51-$G51,3)&gt;0,ROUND(Z51-$G51,3),""),"")</f>
        <v/>
      </c>
      <c r="AA52" s="111">
        <f>IFERROR(IF(ROUND(AA51-$G51,3)&gt;0,ROUND(AA51-$G51,3),""),"")</f>
        <v/>
      </c>
      <c r="AB52" s="111">
        <f>IFERROR(IF(ROUND(AB51-$G51,3)&gt;0,ROUND(AB51-$G51,3),""),"")</f>
        <v/>
      </c>
      <c r="AC52" s="111">
        <f>IFERROR(IF(ROUND(AC51-$G51,3)&gt;0,ROUND(AC51-$G51,3),""),"")</f>
        <v/>
      </c>
      <c r="AD52" s="111">
        <f>IFERROR(IF(ROUND(AD51-$G51,3)&gt;0,ROUND(AD51-$G51,3),""),"")</f>
        <v/>
      </c>
      <c r="AE52" s="111">
        <f>IFERROR(IF(ROUND(AE51-$G51,3)&gt;0,ROUND(AE51-$G51,3),""),"")</f>
        <v/>
      </c>
      <c r="AF52" s="111">
        <f>IFERROR(IF(ROUND(AF51-$G51,3)&gt;0,ROUND(AF51-$G51,3),""),"")</f>
        <v/>
      </c>
    </row>
    <row r="53" ht="15" customHeight="1" s="5">
      <c r="A53" s="104" t="n"/>
      <c r="B53" s="86" t="n"/>
      <c r="C53" s="86" t="n"/>
      <c r="D53" s="108" t="inlineStr">
        <is>
          <t>Short Order</t>
        </is>
      </c>
      <c r="E53" s="114" t="n"/>
      <c r="F53" s="115" t="n"/>
      <c r="G53" s="115" t="n"/>
      <c r="H53" s="111">
        <f>IFERROR(IF(ROUND($G51-H51,3)&gt;0,ROUND($G51-H51,3),""),"")</f>
        <v/>
      </c>
      <c r="I53" s="111">
        <f>IFERROR(IF(ROUND($G51-I51,3)&gt;0,ROUND($G51-I51,3),""),"")</f>
        <v/>
      </c>
      <c r="J53" s="111">
        <f>IFERROR(IF(ROUND($G51-J51,3)&gt;0,ROUND($G51-J51,3),""),"")</f>
        <v/>
      </c>
      <c r="K53" s="111">
        <f>IFERROR(IF(ROUND($G51-K51,3)&gt;0,ROUND($G51-K51,3),""),"")</f>
        <v/>
      </c>
      <c r="L53" s="111">
        <f>IFERROR(IF(ROUND($G51-L51,3)&gt;0,ROUND($G51-L51,3),""),"")</f>
        <v/>
      </c>
      <c r="M53" s="111">
        <f>IFERROR(IF(ROUND($G51-M51,3)&gt;0,ROUND($G51-M51,3),""),"")</f>
        <v/>
      </c>
      <c r="N53" s="111">
        <f>IFERROR(IF(ROUND($G51-N51,3)&gt;0,ROUND($G51-N51,3),""),"")</f>
        <v/>
      </c>
      <c r="O53" s="111">
        <f>IFERROR(IF(ROUND($G51-O51,3)&gt;0,ROUND($G51-O51,3),""),"")</f>
        <v/>
      </c>
      <c r="P53" s="111">
        <f>IFERROR(IF(ROUND($G51-P51,3)&gt;0,ROUND($G51-P51,3),""),"")</f>
        <v/>
      </c>
      <c r="Q53" s="111">
        <f>IFERROR(IF(ROUND($G51-Q51,3)&gt;0,ROUND($G51-Q51,3),""),"")</f>
        <v/>
      </c>
      <c r="R53" s="111">
        <f>IFERROR(IF(ROUND($G51-R51,3)&gt;0,ROUND($G51-R51,3),""),"")</f>
        <v/>
      </c>
      <c r="S53" s="111">
        <f>IFERROR(IF(ROUND($G51-S51,3)&gt;0,ROUND($G51-S51,3),""),"")</f>
        <v/>
      </c>
      <c r="T53" s="101" t="n"/>
      <c r="U53" s="111">
        <f>IFERROR(IF(ROUND($G51-U51,3)&gt;0,ROUND($G51-U51,3),""),"")</f>
        <v/>
      </c>
      <c r="V53" s="111">
        <f>IFERROR(IF(ROUND($G51-V51,3)&gt;0,ROUND($G51-V51,3),""),"")</f>
        <v/>
      </c>
      <c r="W53" s="111">
        <f>IFERROR(IF(ROUND($G51-W51,3)&gt;0,ROUND($G51-W51,3),""),"")</f>
        <v/>
      </c>
      <c r="X53" s="111">
        <f>IFERROR(IF(ROUND($G51-X51,3)&gt;0,ROUND($G51-X51,3),""),"")</f>
        <v/>
      </c>
      <c r="Y53" s="111">
        <f>IFERROR(IF(ROUND($G51-Y51,3)&gt;0,ROUND($G51-Y51,3),""),"")</f>
        <v/>
      </c>
      <c r="Z53" s="111">
        <f>IFERROR(IF(ROUND($G51-Z51,3)&gt;0,ROUND($G51-Z51,3),""),"")</f>
        <v/>
      </c>
      <c r="AA53" s="111">
        <f>IFERROR(IF(ROUND($G51-AA51,3)&gt;0,ROUND($G51-AA51,3),""),"")</f>
        <v/>
      </c>
      <c r="AB53" s="111">
        <f>IFERROR(IF(ROUND($G51-AB51,3)&gt;0,ROUND($G51-AB51,3),""),"")</f>
        <v/>
      </c>
      <c r="AC53" s="111">
        <f>IFERROR(IF(ROUND($G51-AC51,3)&gt;0,ROUND($G51-AC51,3),""),"")</f>
        <v/>
      </c>
      <c r="AD53" s="111">
        <f>IFERROR(IF(ROUND($G51-AD51,3)&gt;0,ROUND($G51-AD51,3),""),"")</f>
        <v/>
      </c>
      <c r="AE53" s="111">
        <f>IFERROR(IF(ROUND($G51-AE51,3)&gt;0,ROUND($G51-AE51,3),""),"")</f>
        <v/>
      </c>
      <c r="AF53" s="111">
        <f>IFERROR(IF(ROUND($G51-AF51,3)&gt;0,ROUND($G51-AF51,3),""),"")</f>
        <v/>
      </c>
    </row>
    <row r="54" ht="15" customHeight="1" s="5">
      <c r="A54" s="104" t="n"/>
      <c r="B54" s="103" t="inlineStr">
        <is>
          <t>USA</t>
        </is>
      </c>
      <c r="C54" s="65" t="inlineStr">
        <is>
          <t>TREE HOUSE</t>
        </is>
      </c>
      <c r="D54" s="52" t="inlineStr">
        <is>
          <t>Instant Tea</t>
        </is>
      </c>
      <c r="E54" s="53" t="n">
        <v>1</v>
      </c>
      <c r="F54" s="53" t="n">
        <v>0</v>
      </c>
      <c r="G54" s="75">
        <f>IFERROR(IF(OR($F54=0,VLOOKUP($D54,'MC MASTER'!$A:$R,18,0)=0),"-",ROUND(VLOOKUP($D54,'MC MASTER'!$A:$R,18,0)*$E54*$F54,3)),"-")</f>
        <v/>
      </c>
      <c r="H54" s="75">
        <f>IFERROR(SUMIFS(WORKING!$Y:$Y,WORKING!$X:$X,$D54,WORKING!$W:$W,H$500),"")</f>
        <v/>
      </c>
      <c r="I54" s="75">
        <f>IFERROR(SUMIFS(WORKING!$Y:$Y,WORKING!$X:$X,$D54,WORKING!$W:$W,I$500),"")</f>
        <v/>
      </c>
      <c r="J54" s="75">
        <f>IFERROR(SUMIFS(WORKING!$Y:$Y,WORKING!$X:$X,$D54,WORKING!$W:$W,J$500),"")</f>
        <v/>
      </c>
      <c r="K54" s="75">
        <f>IFERROR(SUMIFS(WORKING!$Y:$Y,WORKING!$X:$X,$D54,WORKING!$W:$W,K$500),"")</f>
        <v/>
      </c>
      <c r="L54" s="75">
        <f>IFERROR(SUMIFS(WORKING!$Y:$Y,WORKING!$X:$X,$D54,WORKING!$W:$W,L$500),"")</f>
        <v/>
      </c>
      <c r="M54" s="75">
        <f>IFERROR(SUMIFS(WORKING!$Y:$Y,WORKING!$X:$X,$D54,WORKING!$W:$W,M$500),"")</f>
        <v/>
      </c>
      <c r="N54" s="75">
        <f>IFERROR(SUMIFS(WORKING!$Y:$Y,WORKING!$X:$X,$D54,WORKING!$W:$W,N$500),"")</f>
        <v/>
      </c>
      <c r="O54" s="75">
        <f>IFERROR(SUMIFS(WORKING!$Y:$Y,WORKING!$X:$X,$D54,WORKING!$W:$W,O$500),"")</f>
        <v/>
      </c>
      <c r="P54" s="75">
        <f>IFERROR(SUMIFS(WORKING!$Y:$Y,WORKING!$X:$X,$D54,WORKING!$W:$W,P$500),"")</f>
        <v/>
      </c>
      <c r="Q54" s="75">
        <f>IFERROR(SUMIFS(WORKING!$Y:$Y,WORKING!$X:$X,$D54,WORKING!$W:$W,Q$500),"")</f>
        <v/>
      </c>
      <c r="R54" s="75">
        <f>IFERROR(SUMIFS(WORKING!$Y:$Y,WORKING!$X:$X,$D54,WORKING!$W:$W,R$500),"")</f>
        <v/>
      </c>
      <c r="S54" s="75">
        <f>IFERROR(SUMIFS(WORKING!$Y:$Y,WORKING!$X:$X,$D54,WORKING!$W:$W,S$500),"")</f>
        <v/>
      </c>
      <c r="T54" s="101" t="n"/>
      <c r="U54" s="75">
        <f>IFERROR(SUMIFS(WORKING!$Z:$Z,WORKING!$X:$X,$D54,WORKING!$W:$W,H$500),"")</f>
        <v/>
      </c>
      <c r="V54" s="75">
        <f>IFERROR(SUMIFS(WORKING!$Z:$Z,WORKING!$X:$X,$D54,WORKING!$W:$W,I$500),"")</f>
        <v/>
      </c>
      <c r="W54" s="75">
        <f>IFERROR(SUMIFS(WORKING!$Z:$Z,WORKING!$X:$X,$D54,WORKING!$W:$W,J$500),"")</f>
        <v/>
      </c>
      <c r="X54" s="75">
        <f>IFERROR(SUMIFS(WORKING!$Z:$Z,WORKING!$X:$X,$D54,WORKING!$W:$W,K$500),"")</f>
        <v/>
      </c>
      <c r="Y54" s="75">
        <f>IFERROR(SUMIFS(WORKING!$Z:$Z,WORKING!$X:$X,$D54,WORKING!$W:$W,L$500),"")</f>
        <v/>
      </c>
      <c r="Z54" s="75">
        <f>IFERROR(SUMIFS(WORKING!$Z:$Z,WORKING!$X:$X,$D54,WORKING!$W:$W,M$500),"")</f>
        <v/>
      </c>
      <c r="AA54" s="75">
        <f>IFERROR(SUMIFS(WORKING!$Z:$Z,WORKING!$X:$X,$D54,WORKING!$W:$W,N$500),"")</f>
        <v/>
      </c>
      <c r="AB54" s="75">
        <f>IFERROR(SUMIFS(WORKING!$Z:$Z,WORKING!$X:$X,$D54,WORKING!$W:$W,O$500),"")</f>
        <v/>
      </c>
      <c r="AC54" s="75">
        <f>IFERROR(SUMIFS(WORKING!$Z:$Z,WORKING!$X:$X,$D54,WORKING!$W:$W,P$500),"")</f>
        <v/>
      </c>
      <c r="AD54" s="75">
        <f>IFERROR(SUMIFS(WORKING!$Z:$Z,WORKING!$X:$X,$D54,WORKING!$W:$W,Q$500),"")</f>
        <v/>
      </c>
      <c r="AE54" s="75">
        <f>IFERROR(SUMIFS(WORKING!$Z:$Z,WORKING!$X:$X,$D54,WORKING!$W:$W,R$500),"")</f>
        <v/>
      </c>
      <c r="AF54" s="75">
        <f>IFERROR(SUMIFS(WORKING!$Z:$Z,WORKING!$X:$X,$D54,WORKING!$W:$W,S$500),"")</f>
        <v/>
      </c>
    </row>
    <row r="55" ht="15" customHeight="1" s="5">
      <c r="A55" s="104" t="n"/>
      <c r="B55" s="104" t="n"/>
      <c r="C55" s="86" t="n"/>
      <c r="D55" s="52" t="inlineStr">
        <is>
          <t>VIKING-MULTITRACK</t>
        </is>
      </c>
      <c r="E55" s="53" t="n">
        <v>1</v>
      </c>
      <c r="F55" s="53" t="n">
        <v>0</v>
      </c>
      <c r="G55" s="75">
        <f>IFERROR(IF(OR($F55=0,VLOOKUP($D55,'MC MASTER'!$A:$R,18,0)=0),"-",ROUND(VLOOKUP($D55,'MC MASTER'!$A:$R,18,0)*$E55*$F55,3)),"-")</f>
        <v/>
      </c>
      <c r="H55" s="75">
        <f>IFERROR(SUMIFS(WORKING!$Y:$Y,WORKING!$X:$X,$D55,WORKING!$W:$W,H$500),"")</f>
        <v/>
      </c>
      <c r="I55" s="75">
        <f>IFERROR(SUMIFS(WORKING!$Y:$Y,WORKING!$X:$X,$D55,WORKING!$W:$W,I$500),"")</f>
        <v/>
      </c>
      <c r="J55" s="75">
        <f>IFERROR(SUMIFS(WORKING!$Y:$Y,WORKING!$X:$X,$D55,WORKING!$W:$W,J$500),"")</f>
        <v/>
      </c>
      <c r="K55" s="75">
        <f>IFERROR(SUMIFS(WORKING!$Y:$Y,WORKING!$X:$X,$D55,WORKING!$W:$W,K$500),"")</f>
        <v/>
      </c>
      <c r="L55" s="75">
        <f>IFERROR(SUMIFS(WORKING!$Y:$Y,WORKING!$X:$X,$D55,WORKING!$W:$W,L$500),"")</f>
        <v/>
      </c>
      <c r="M55" s="75">
        <f>IFERROR(SUMIFS(WORKING!$Y:$Y,WORKING!$X:$X,$D55,WORKING!$W:$W,M$500),"")</f>
        <v/>
      </c>
      <c r="N55" s="75">
        <f>IFERROR(SUMIFS(WORKING!$Y:$Y,WORKING!$X:$X,$D55,WORKING!$W:$W,N$500),"")</f>
        <v/>
      </c>
      <c r="O55" s="75">
        <f>IFERROR(SUMIFS(WORKING!$Y:$Y,WORKING!$X:$X,$D55,WORKING!$W:$W,O$500),"")</f>
        <v/>
      </c>
      <c r="P55" s="75">
        <f>IFERROR(SUMIFS(WORKING!$Y:$Y,WORKING!$X:$X,$D55,WORKING!$W:$W,P$500),"")</f>
        <v/>
      </c>
      <c r="Q55" s="75">
        <f>IFERROR(SUMIFS(WORKING!$Y:$Y,WORKING!$X:$X,$D55,WORKING!$W:$W,Q$500),"")</f>
        <v/>
      </c>
      <c r="R55" s="75">
        <f>IFERROR(SUMIFS(WORKING!$Y:$Y,WORKING!$X:$X,$D55,WORKING!$W:$W,R$500),"")</f>
        <v/>
      </c>
      <c r="S55" s="75">
        <f>IFERROR(SUMIFS(WORKING!$Y:$Y,WORKING!$X:$X,$D55,WORKING!$W:$W,S$500),"")</f>
        <v/>
      </c>
      <c r="T55" s="101" t="n"/>
      <c r="U55" s="75">
        <f>IFERROR(SUMIFS(WORKING!$Z:$Z,WORKING!$X:$X,$D55,WORKING!$W:$W,H$500),"")</f>
        <v/>
      </c>
      <c r="V55" s="75">
        <f>IFERROR(SUMIFS(WORKING!$Z:$Z,WORKING!$X:$X,$D55,WORKING!$W:$W,I$500),"")</f>
        <v/>
      </c>
      <c r="W55" s="75">
        <f>IFERROR(SUMIFS(WORKING!$Z:$Z,WORKING!$X:$X,$D55,WORKING!$W:$W,J$500),"")</f>
        <v/>
      </c>
      <c r="X55" s="75">
        <f>IFERROR(SUMIFS(WORKING!$Z:$Z,WORKING!$X:$X,$D55,WORKING!$W:$W,K$500),"")</f>
        <v/>
      </c>
      <c r="Y55" s="75">
        <f>IFERROR(SUMIFS(WORKING!$Z:$Z,WORKING!$X:$X,$D55,WORKING!$W:$W,L$500),"")</f>
        <v/>
      </c>
      <c r="Z55" s="75">
        <f>IFERROR(SUMIFS(WORKING!$Z:$Z,WORKING!$X:$X,$D55,WORKING!$W:$W,M$500),"")</f>
        <v/>
      </c>
      <c r="AA55" s="75">
        <f>IFERROR(SUMIFS(WORKING!$Z:$Z,WORKING!$X:$X,$D55,WORKING!$W:$W,N$500),"")</f>
        <v/>
      </c>
      <c r="AB55" s="75">
        <f>IFERROR(SUMIFS(WORKING!$Z:$Z,WORKING!$X:$X,$D55,WORKING!$W:$W,O$500),"")</f>
        <v/>
      </c>
      <c r="AC55" s="75">
        <f>IFERROR(SUMIFS(WORKING!$Z:$Z,WORKING!$X:$X,$D55,WORKING!$W:$W,P$500),"")</f>
        <v/>
      </c>
      <c r="AD55" s="75">
        <f>IFERROR(SUMIFS(WORKING!$Z:$Z,WORKING!$X:$X,$D55,WORKING!$W:$W,Q$500),"")</f>
        <v/>
      </c>
      <c r="AE55" s="75">
        <f>IFERROR(SUMIFS(WORKING!$Z:$Z,WORKING!$X:$X,$D55,WORKING!$W:$W,R$500),"")</f>
        <v/>
      </c>
      <c r="AF55" s="75">
        <f>IFERROR(SUMIFS(WORKING!$Z:$Z,WORKING!$X:$X,$D55,WORKING!$W:$W,S$500),"")</f>
        <v/>
      </c>
    </row>
    <row r="56" ht="15" customHeight="1" s="5">
      <c r="A56" s="104" t="n"/>
      <c r="B56" s="104" t="n"/>
      <c r="C56" s="105" t="n"/>
      <c r="D56" s="125" t="inlineStr">
        <is>
          <t>TOTAL</t>
        </is>
      </c>
      <c r="E56" s="126" t="n"/>
      <c r="F56" s="126" t="n"/>
      <c r="G56" s="127">
        <f>SUM(G54:G55)</f>
        <v/>
      </c>
      <c r="H56" s="127">
        <f>SUM(H54:H55)</f>
        <v/>
      </c>
      <c r="I56" s="127">
        <f>SUM(I54:I55)</f>
        <v/>
      </c>
      <c r="J56" s="127">
        <f>SUM(J54:J55)</f>
        <v/>
      </c>
      <c r="K56" s="127">
        <f>SUM(K54:K55)</f>
        <v/>
      </c>
      <c r="L56" s="127">
        <f>SUM(L54:L55)</f>
        <v/>
      </c>
      <c r="M56" s="127">
        <f>SUM(M54:M55)</f>
        <v/>
      </c>
      <c r="N56" s="127">
        <f>SUM(N54:N55)</f>
        <v/>
      </c>
      <c r="O56" s="127">
        <f>SUM(O54:O55)</f>
        <v/>
      </c>
      <c r="P56" s="127">
        <f>SUM(P54:P55)</f>
        <v/>
      </c>
      <c r="Q56" s="127">
        <f>SUM(Q54:Q55)</f>
        <v/>
      </c>
      <c r="R56" s="127">
        <f>SUM(R54:R55)</f>
        <v/>
      </c>
      <c r="S56" s="127">
        <f>SUM(S54:S55)</f>
        <v/>
      </c>
      <c r="T56" s="101" t="n"/>
      <c r="U56" s="127">
        <f>SUM(U54:U55)</f>
        <v/>
      </c>
      <c r="V56" s="127">
        <f>SUM(V54:V55)</f>
        <v/>
      </c>
      <c r="W56" s="127">
        <f>SUM(W54:W55)</f>
        <v/>
      </c>
      <c r="X56" s="127">
        <f>SUM(X54:X55)</f>
        <v/>
      </c>
      <c r="Y56" s="127">
        <f>SUM(Y54:Y55)</f>
        <v/>
      </c>
      <c r="Z56" s="127">
        <f>SUM(Z54:Z55)</f>
        <v/>
      </c>
      <c r="AA56" s="127">
        <f>SUM(AA54:AA55)</f>
        <v/>
      </c>
      <c r="AB56" s="127">
        <f>SUM(AB54:AB55)</f>
        <v/>
      </c>
      <c r="AC56" s="127">
        <f>SUM(AC54:AC55)</f>
        <v/>
      </c>
      <c r="AD56" s="127">
        <f>SUM(AD54:AD55)</f>
        <v/>
      </c>
      <c r="AE56" s="127">
        <f>SUM(AE54:AE55)</f>
        <v/>
      </c>
      <c r="AF56" s="127">
        <f>SUM(AF54:AF55)</f>
        <v/>
      </c>
    </row>
    <row r="57" ht="15" customHeight="1" s="5">
      <c r="A57" s="104" t="n"/>
      <c r="B57" s="104" t="n"/>
      <c r="C57" s="116" t="n"/>
      <c r="D57" s="108" t="inlineStr">
        <is>
          <t>Excess Order</t>
        </is>
      </c>
      <c r="E57" s="114" t="n"/>
      <c r="F57" s="114" t="n"/>
      <c r="G57" s="115" t="n"/>
      <c r="H57" s="111">
        <f>IFERROR(IF(ROUND(H56-$G56,3)&gt;0,ROUND(H56-$G56,3),""),"")</f>
        <v/>
      </c>
      <c r="I57" s="111">
        <f>IFERROR(IF(ROUND(I56-$G56,3)&gt;0,ROUND(I56-$G56,3),""),"")</f>
        <v/>
      </c>
      <c r="J57" s="111">
        <f>IFERROR(IF(ROUND(J56-$G56,3)&gt;0,ROUND(J56-$G56,3),""),"")</f>
        <v/>
      </c>
      <c r="K57" s="111">
        <f>IFERROR(IF(ROUND(K56-$G56,3)&gt;0,ROUND(K56-$G56,3),""),"")</f>
        <v/>
      </c>
      <c r="L57" s="111">
        <f>IFERROR(IF(ROUND(L56-$G56,3)&gt;0,ROUND(L56-$G56,3),""),"")</f>
        <v/>
      </c>
      <c r="M57" s="111">
        <f>IFERROR(IF(ROUND(M56-$G56,3)&gt;0,ROUND(M56-$G56,3),""),"")</f>
        <v/>
      </c>
      <c r="N57" s="111">
        <f>IFERROR(IF(ROUND(N56-$G56,3)&gt;0,ROUND(N56-$G56,3),""),"")</f>
        <v/>
      </c>
      <c r="O57" s="111">
        <f>IFERROR(IF(ROUND(O56-$G56,3)&gt;0,ROUND(O56-$G56,3),""),"")</f>
        <v/>
      </c>
      <c r="P57" s="111">
        <f>IFERROR(IF(ROUND(P56-$G56,3)&gt;0,ROUND(P56-$G56,3),""),"")</f>
        <v/>
      </c>
      <c r="Q57" s="111">
        <f>IFERROR(IF(ROUND(Q56-$G56,3)&gt;0,ROUND(Q56-$G56,3),""),"")</f>
        <v/>
      </c>
      <c r="R57" s="111">
        <f>IFERROR(IF(ROUND(R56-$G56,3)&gt;0,ROUND(R56-$G56,3),""),"")</f>
        <v/>
      </c>
      <c r="S57" s="111">
        <f>IFERROR(IF(ROUND(S56-$G56,3)&gt;0,ROUND(S56-$G56,3),""),"")</f>
        <v/>
      </c>
      <c r="T57" s="101" t="n"/>
      <c r="U57" s="111">
        <f>IFERROR(IF(ROUND(U56-$G56,3)&gt;0,ROUND(U56-$G56,3),""),"")</f>
        <v/>
      </c>
      <c r="V57" s="111">
        <f>IFERROR(IF(ROUND(V56-$G56,3)&gt;0,ROUND(V56-$G56,3),""),"")</f>
        <v/>
      </c>
      <c r="W57" s="111">
        <f>IFERROR(IF(ROUND(W56-$G56,3)&gt;0,ROUND(W56-$G56,3),""),"")</f>
        <v/>
      </c>
      <c r="X57" s="111">
        <f>IFERROR(IF(ROUND(X56-$G56,3)&gt;0,ROUND(X56-$G56,3),""),"")</f>
        <v/>
      </c>
      <c r="Y57" s="111">
        <f>IFERROR(IF(ROUND(Y56-$G56,3)&gt;0,ROUND(Y56-$G56,3),""),"")</f>
        <v/>
      </c>
      <c r="Z57" s="111">
        <f>IFERROR(IF(ROUND(Z56-$G56,3)&gt;0,ROUND(Z56-$G56,3),""),"")</f>
        <v/>
      </c>
      <c r="AA57" s="111">
        <f>IFERROR(IF(ROUND(AA56-$G56,3)&gt;0,ROUND(AA56-$G56,3),""),"")</f>
        <v/>
      </c>
      <c r="AB57" s="111">
        <f>IFERROR(IF(ROUND(AB56-$G56,3)&gt;0,ROUND(AB56-$G56,3),""),"")</f>
        <v/>
      </c>
      <c r="AC57" s="111">
        <f>IFERROR(IF(ROUND(AC56-$G56,3)&gt;0,ROUND(AC56-$G56,3),""),"")</f>
        <v/>
      </c>
      <c r="AD57" s="111">
        <f>IFERROR(IF(ROUND(AD56-$G56,3)&gt;0,ROUND(AD56-$G56,3),""),"")</f>
        <v/>
      </c>
      <c r="AE57" s="111">
        <f>IFERROR(IF(ROUND(AE56-$G56,3)&gt;0,ROUND(AE56-$G56,3),""),"")</f>
        <v/>
      </c>
      <c r="AF57" s="111">
        <f>IFERROR(IF(ROUND(AF56-$G56,3)&gt;0,ROUND(AF56-$G56,3),""),"")</f>
        <v/>
      </c>
    </row>
    <row r="58" ht="15" customHeight="1" s="5">
      <c r="A58" s="86" t="n"/>
      <c r="B58" s="86" t="n"/>
      <c r="C58" s="86" t="n"/>
      <c r="D58" s="108" t="inlineStr">
        <is>
          <t>Short Order</t>
        </is>
      </c>
      <c r="E58" s="114" t="n"/>
      <c r="F58" s="114" t="n"/>
      <c r="G58" s="115" t="n"/>
      <c r="H58" s="111">
        <f>IFERROR(IF(ROUND($G56-H56,3)&gt;0,ROUND($G56-H56,3),""),"")</f>
        <v/>
      </c>
      <c r="I58" s="111">
        <f>IFERROR(IF(ROUND($G56-I56,3)&gt;0,ROUND($G56-I56,3),""),"")</f>
        <v/>
      </c>
      <c r="J58" s="111">
        <f>IFERROR(IF(ROUND($G56-J56,3)&gt;0,ROUND($G56-J56,3),""),"")</f>
        <v/>
      </c>
      <c r="K58" s="111">
        <f>IFERROR(IF(ROUND($G56-K56,3)&gt;0,ROUND($G56-K56,3),""),"")</f>
        <v/>
      </c>
      <c r="L58" s="111">
        <f>IFERROR(IF(ROUND($G56-L56,3)&gt;0,ROUND($G56-L56,3),""),"")</f>
        <v/>
      </c>
      <c r="M58" s="111">
        <f>IFERROR(IF(ROUND($G56-M56,3)&gt;0,ROUND($G56-M56,3),""),"")</f>
        <v/>
      </c>
      <c r="N58" s="111">
        <f>IFERROR(IF(ROUND($G56-N56,3)&gt;0,ROUND($G56-N56,3),""),"")</f>
        <v/>
      </c>
      <c r="O58" s="111">
        <f>IFERROR(IF(ROUND($G56-O56,3)&gt;0,ROUND($G56-O56,3),""),"")</f>
        <v/>
      </c>
      <c r="P58" s="111">
        <f>IFERROR(IF(ROUND($G56-P56,3)&gt;0,ROUND($G56-P56,3),""),"")</f>
        <v/>
      </c>
      <c r="Q58" s="111">
        <f>IFERROR(IF(ROUND($G56-Q56,3)&gt;0,ROUND($G56-Q56,3),""),"")</f>
        <v/>
      </c>
      <c r="R58" s="111">
        <f>IFERROR(IF(ROUND($G56-R56,3)&gt;0,ROUND($G56-R56,3),""),"")</f>
        <v/>
      </c>
      <c r="S58" s="111">
        <f>IFERROR(IF(ROUND($G56-S56,3)&gt;0,ROUND($G56-S56,3),""),"")</f>
        <v/>
      </c>
      <c r="T58" s="101" t="n"/>
      <c r="U58" s="111">
        <f>IFERROR(IF(ROUND($G56-U56,3)&gt;0,ROUND($G56-U56,3),""),"")</f>
        <v/>
      </c>
      <c r="V58" s="111">
        <f>IFERROR(IF(ROUND($G56-V56,3)&gt;0,ROUND($G56-V56,3),""),"")</f>
        <v/>
      </c>
      <c r="W58" s="111">
        <f>IFERROR(IF(ROUND($G56-W56,3)&gt;0,ROUND($G56-W56,3),""),"")</f>
        <v/>
      </c>
      <c r="X58" s="111">
        <f>IFERROR(IF(ROUND($G56-X56,3)&gt;0,ROUND($G56-X56,3),""),"")</f>
        <v/>
      </c>
      <c r="Y58" s="111">
        <f>IFERROR(IF(ROUND($G56-Y56,3)&gt;0,ROUND($G56-Y56,3),""),"")</f>
        <v/>
      </c>
      <c r="Z58" s="111">
        <f>IFERROR(IF(ROUND($G56-Z56,3)&gt;0,ROUND($G56-Z56,3),""),"")</f>
        <v/>
      </c>
      <c r="AA58" s="111">
        <f>IFERROR(IF(ROUND($G56-AA56,3)&gt;0,ROUND($G56-AA56,3),""),"")</f>
        <v/>
      </c>
      <c r="AB58" s="111">
        <f>IFERROR(IF(ROUND($G56-AB56,3)&gt;0,ROUND($G56-AB56,3),""),"")</f>
        <v/>
      </c>
      <c r="AC58" s="111">
        <f>IFERROR(IF(ROUND($G56-AC56,3)&gt;0,ROUND($G56-AC56,3),""),"")</f>
        <v/>
      </c>
      <c r="AD58" s="111">
        <f>IFERROR(IF(ROUND($G56-AD56,3)&gt;0,ROUND($G56-AD56,3),""),"")</f>
        <v/>
      </c>
      <c r="AE58" s="111">
        <f>IFERROR(IF(ROUND($G56-AE56,3)&gt;0,ROUND($G56-AE56,3),""),"")</f>
        <v/>
      </c>
      <c r="AF58" s="111">
        <f>IFERROR(IF(ROUND($G56-AF56,3)&gt;0,ROUND($G56-AF56,3),""),"")</f>
        <v/>
      </c>
    </row>
    <row r="59" ht="15" customHeight="1" s="5">
      <c r="A59" s="128" t="inlineStr">
        <is>
          <t>Zone 4</t>
        </is>
      </c>
      <c r="B59" s="103" t="inlineStr">
        <is>
          <t>INDIA</t>
        </is>
      </c>
      <c r="C59" s="65" t="inlineStr">
        <is>
          <t>HF Co</t>
        </is>
      </c>
      <c r="D59" s="52" t="inlineStr">
        <is>
          <t>Shubam-FFS POUCH</t>
        </is>
      </c>
      <c r="E59" s="53" t="n">
        <v>1</v>
      </c>
      <c r="F59" s="53" t="n">
        <v>1</v>
      </c>
      <c r="G59" s="75">
        <f>IFERROR(IF(OR($F59=0,VLOOKUP($D59,'MC MASTER'!$A:$R,18,0)=0),"-",ROUND(VLOOKUP($D59,'MC MASTER'!$A:$R,18,0)*$E59*$F59,3)),"-")</f>
        <v/>
      </c>
      <c r="H59" s="75">
        <f>IFERROR(SUMIFS(WORKING!$Y:$Y,WORKING!$X:$X,$D59,WORKING!$W:$W,H$500),"")</f>
        <v/>
      </c>
      <c r="I59" s="75">
        <f>IFERROR(SUMIFS(WORKING!$Y:$Y,WORKING!$X:$X,$D59,WORKING!$W:$W,I$500),"")</f>
        <v/>
      </c>
      <c r="J59" s="75">
        <f>IFERROR(SUMIFS(WORKING!$Y:$Y,WORKING!$X:$X,$D59,WORKING!$W:$W,J$500),"")</f>
        <v/>
      </c>
      <c r="K59" s="75">
        <f>IFERROR(SUMIFS(WORKING!$Y:$Y,WORKING!$X:$X,$D59,WORKING!$W:$W,K$500),"")</f>
        <v/>
      </c>
      <c r="L59" s="75">
        <f>IFERROR(SUMIFS(WORKING!$Y:$Y,WORKING!$X:$X,$D59,WORKING!$W:$W,L$500),"")</f>
        <v/>
      </c>
      <c r="M59" s="75">
        <f>IFERROR(SUMIFS(WORKING!$Y:$Y,WORKING!$X:$X,$D59,WORKING!$W:$W,M$500),"")</f>
        <v/>
      </c>
      <c r="N59" s="75">
        <f>IFERROR(SUMIFS(WORKING!$Y:$Y,WORKING!$X:$X,$D59,WORKING!$W:$W,N$500),"")</f>
        <v/>
      </c>
      <c r="O59" s="75">
        <f>IFERROR(SUMIFS(WORKING!$Y:$Y,WORKING!$X:$X,$D59,WORKING!$W:$W,O$500),"")</f>
        <v/>
      </c>
      <c r="P59" s="75">
        <f>IFERROR(SUMIFS(WORKING!$Y:$Y,WORKING!$X:$X,$D59,WORKING!$W:$W,P$500),"")</f>
        <v/>
      </c>
      <c r="Q59" s="75">
        <f>IFERROR(SUMIFS(WORKING!$Y:$Y,WORKING!$X:$X,$D59,WORKING!$W:$W,Q$500),"")</f>
        <v/>
      </c>
      <c r="R59" s="75">
        <f>IFERROR(SUMIFS(WORKING!$Y:$Y,WORKING!$X:$X,$D59,WORKING!$W:$W,R$500),"")</f>
        <v/>
      </c>
      <c r="S59" s="75">
        <f>IFERROR(SUMIFS(WORKING!$Y:$Y,WORKING!$X:$X,$D59,WORKING!$W:$W,S$500),"")</f>
        <v/>
      </c>
      <c r="T59" s="101" t="n"/>
      <c r="U59" s="75">
        <f>IFERROR(SUMIFS(WORKING!$Z:$Z,WORKING!$X:$X,$D59,WORKING!$W:$W,H$500),"")</f>
        <v/>
      </c>
      <c r="V59" s="75">
        <f>IFERROR(SUMIFS(WORKING!$Z:$Z,WORKING!$X:$X,$D59,WORKING!$W:$W,I$500),"")</f>
        <v/>
      </c>
      <c r="W59" s="75">
        <f>IFERROR(SUMIFS(WORKING!$Z:$Z,WORKING!$X:$X,$D59,WORKING!$W:$W,J$500),"")</f>
        <v/>
      </c>
      <c r="X59" s="75">
        <f>IFERROR(SUMIFS(WORKING!$Z:$Z,WORKING!$X:$X,$D59,WORKING!$W:$W,K$500),"")</f>
        <v/>
      </c>
      <c r="Y59" s="75">
        <f>IFERROR(SUMIFS(WORKING!$Z:$Z,WORKING!$X:$X,$D59,WORKING!$W:$W,L$500),"")</f>
        <v/>
      </c>
      <c r="Z59" s="75">
        <f>IFERROR(SUMIFS(WORKING!$Z:$Z,WORKING!$X:$X,$D59,WORKING!$W:$W,M$500),"")</f>
        <v/>
      </c>
      <c r="AA59" s="75">
        <f>IFERROR(SUMIFS(WORKING!$Z:$Z,WORKING!$X:$X,$D59,WORKING!$W:$W,N$500),"")</f>
        <v/>
      </c>
      <c r="AB59" s="75">
        <f>IFERROR(SUMIFS(WORKING!$Z:$Z,WORKING!$X:$X,$D59,WORKING!$W:$W,O$500),"")</f>
        <v/>
      </c>
      <c r="AC59" s="75">
        <f>IFERROR(SUMIFS(WORKING!$Z:$Z,WORKING!$X:$X,$D59,WORKING!$W:$W,P$500),"")</f>
        <v/>
      </c>
      <c r="AD59" s="75">
        <f>IFERROR(SUMIFS(WORKING!$Z:$Z,WORKING!$X:$X,$D59,WORKING!$W:$W,Q$500),"")</f>
        <v/>
      </c>
      <c r="AE59" s="75">
        <f>IFERROR(SUMIFS(WORKING!$Z:$Z,WORKING!$X:$X,$D59,WORKING!$W:$W,R$500),"")</f>
        <v/>
      </c>
      <c r="AF59" s="75">
        <f>IFERROR(SUMIFS(WORKING!$Z:$Z,WORKING!$X:$X,$D59,WORKING!$W:$W,S$500),"")</f>
        <v/>
      </c>
    </row>
    <row r="60">
      <c r="A60" s="104" t="n"/>
      <c r="B60" s="104" t="n"/>
      <c r="C60" s="105" t="n"/>
      <c r="D60" s="125" t="inlineStr">
        <is>
          <t>TOTAL</t>
        </is>
      </c>
      <c r="E60" s="126" t="n"/>
      <c r="F60" s="126" t="n"/>
      <c r="G60" s="127">
        <f>SUM(G59:G59)</f>
        <v/>
      </c>
      <c r="H60" s="127">
        <f>SUM(H59:H59)</f>
        <v/>
      </c>
      <c r="I60" s="127">
        <f>SUM(I59:I59)</f>
        <v/>
      </c>
      <c r="J60" s="127">
        <f>SUM(J59:J59)</f>
        <v/>
      </c>
      <c r="K60" s="127">
        <f>SUM(K59:K59)</f>
        <v/>
      </c>
      <c r="L60" s="127">
        <f>SUM(L59:L59)</f>
        <v/>
      </c>
      <c r="M60" s="127">
        <f>SUM(M59:M59)</f>
        <v/>
      </c>
      <c r="N60" s="127">
        <f>SUM(N59:N59)</f>
        <v/>
      </c>
      <c r="O60" s="127">
        <f>SUM(O59:O59)</f>
        <v/>
      </c>
      <c r="P60" s="127">
        <f>SUM(P59:P59)</f>
        <v/>
      </c>
      <c r="Q60" s="127">
        <f>SUM(Q59:Q59)</f>
        <v/>
      </c>
      <c r="R60" s="127">
        <f>SUM(R59:R59)</f>
        <v/>
      </c>
      <c r="S60" s="127">
        <f>SUM(S59:S59)</f>
        <v/>
      </c>
      <c r="T60" s="101" t="n"/>
      <c r="U60" s="127">
        <f>SUM(U59:U59)</f>
        <v/>
      </c>
      <c r="V60" s="127">
        <f>SUM(V59:V59)</f>
        <v/>
      </c>
      <c r="W60" s="127">
        <f>SUM(W59:W59)</f>
        <v/>
      </c>
      <c r="X60" s="127">
        <f>SUM(X59:X59)</f>
        <v/>
      </c>
      <c r="Y60" s="127">
        <f>SUM(Y59:Y59)</f>
        <v/>
      </c>
      <c r="Z60" s="127">
        <f>SUM(Z59:Z59)</f>
        <v/>
      </c>
      <c r="AA60" s="127">
        <f>SUM(AA59:AA59)</f>
        <v/>
      </c>
      <c r="AB60" s="127">
        <f>SUM(AB59:AB59)</f>
        <v/>
      </c>
      <c r="AC60" s="127">
        <f>SUM(AC59:AC59)</f>
        <v/>
      </c>
      <c r="AD60" s="127">
        <f>SUM(AD59:AD59)</f>
        <v/>
      </c>
      <c r="AE60" s="127">
        <f>SUM(AE59:AE59)</f>
        <v/>
      </c>
      <c r="AF60" s="127">
        <f>SUM(AF59:AF59)</f>
        <v/>
      </c>
    </row>
    <row r="61">
      <c r="A61" s="104" t="n"/>
      <c r="B61" s="104" t="n"/>
      <c r="C61" s="116" t="n"/>
      <c r="D61" s="108" t="inlineStr">
        <is>
          <t>Excess Order</t>
        </is>
      </c>
      <c r="E61" s="117" t="n"/>
      <c r="F61" s="117" t="n"/>
      <c r="G61" s="117" t="n"/>
      <c r="H61" s="111">
        <f>IFERROR(IF(ROUND(H60-$G60,3)&gt;0,ROUND(H60-$G60,3),""),"")</f>
        <v/>
      </c>
      <c r="I61" s="111">
        <f>IFERROR(IF(ROUND(I60-$G60,3)&gt;0,ROUND(I60-$G60,3),""),"")</f>
        <v/>
      </c>
      <c r="J61" s="111">
        <f>IFERROR(IF(ROUND(J60-$G60,3)&gt;0,ROUND(J60-$G60,3),""),"")</f>
        <v/>
      </c>
      <c r="K61" s="111">
        <f>IFERROR(IF(ROUND(K60-$G60,3)&gt;0,ROUND(K60-$G60,3),""),"")</f>
        <v/>
      </c>
      <c r="L61" s="111">
        <f>IFERROR(IF(ROUND(L60-$G60,3)&gt;0,ROUND(L60-$G60,3),""),"")</f>
        <v/>
      </c>
      <c r="M61" s="111">
        <f>IFERROR(IF(ROUND(M60-$G60,3)&gt;0,ROUND(M60-$G60,3),""),"")</f>
        <v/>
      </c>
      <c r="N61" s="111">
        <f>IFERROR(IF(ROUND(N60-$G60,3)&gt;0,ROUND(N60-$G60,3),""),"")</f>
        <v/>
      </c>
      <c r="O61" s="111">
        <f>IFERROR(IF(ROUND(O60-$G60,3)&gt;0,ROUND(O60-$G60,3),""),"")</f>
        <v/>
      </c>
      <c r="P61" s="111">
        <f>IFERROR(IF(ROUND(P60-$G60,3)&gt;0,ROUND(P60-$G60,3),""),"")</f>
        <v/>
      </c>
      <c r="Q61" s="111">
        <f>IFERROR(IF(ROUND(Q60-$G60,3)&gt;0,ROUND(Q60-$G60,3),""),"")</f>
        <v/>
      </c>
      <c r="R61" s="111">
        <f>IFERROR(IF(ROUND(R60-$G60,3)&gt;0,ROUND(R60-$G60,3),""),"")</f>
        <v/>
      </c>
      <c r="S61" s="111">
        <f>IFERROR(IF(ROUND(S60-$G60,3)&gt;0,ROUND(S60-$G60,3),""),"")</f>
        <v/>
      </c>
      <c r="T61" s="101" t="n"/>
      <c r="U61" s="111">
        <f>IFERROR(IF(ROUND(U60-$G60,3)&gt;0,ROUND(U60-$G60,3),""),"")</f>
        <v/>
      </c>
      <c r="V61" s="111">
        <f>IFERROR(IF(ROUND(V60-$G60,3)&gt;0,ROUND(V60-$G60,3),""),"")</f>
        <v/>
      </c>
      <c r="W61" s="111">
        <f>IFERROR(IF(ROUND(W60-$G60,3)&gt;0,ROUND(W60-$G60,3),""),"")</f>
        <v/>
      </c>
      <c r="X61" s="111">
        <f>IFERROR(IF(ROUND(X60-$G60,3)&gt;0,ROUND(X60-$G60,3),""),"")</f>
        <v/>
      </c>
      <c r="Y61" s="111">
        <f>IFERROR(IF(ROUND(Y60-$G60,3)&gt;0,ROUND(Y60-$G60,3),""),"")</f>
        <v/>
      </c>
      <c r="Z61" s="111">
        <f>IFERROR(IF(ROUND(Z60-$G60,3)&gt;0,ROUND(Z60-$G60,3),""),"")</f>
        <v/>
      </c>
      <c r="AA61" s="111">
        <f>IFERROR(IF(ROUND(AA60-$G60,3)&gt;0,ROUND(AA60-$G60,3),""),"")</f>
        <v/>
      </c>
      <c r="AB61" s="111">
        <f>IFERROR(IF(ROUND(AB60-$G60,3)&gt;0,ROUND(AB60-$G60,3),""),"")</f>
        <v/>
      </c>
      <c r="AC61" s="111">
        <f>IFERROR(IF(ROUND(AC60-$G60,3)&gt;0,ROUND(AC60-$G60,3),""),"")</f>
        <v/>
      </c>
      <c r="AD61" s="111">
        <f>IFERROR(IF(ROUND(AD60-$G60,3)&gt;0,ROUND(AD60-$G60,3),""),"")</f>
        <v/>
      </c>
      <c r="AE61" s="111">
        <f>IFERROR(IF(ROUND(AE60-$G60,3)&gt;0,ROUND(AE60-$G60,3),""),"")</f>
        <v/>
      </c>
      <c r="AF61" s="111">
        <f>IFERROR(IF(ROUND(AF60-$G60,3)&gt;0,ROUND(AF60-$G60,3),""),"")</f>
        <v/>
      </c>
    </row>
    <row r="62">
      <c r="A62" s="104" t="n"/>
      <c r="B62" s="86" t="n"/>
      <c r="C62" s="86" t="n"/>
      <c r="D62" s="108" t="inlineStr">
        <is>
          <t>Short Order</t>
        </is>
      </c>
      <c r="E62" s="114" t="n"/>
      <c r="F62" s="114" t="n"/>
      <c r="G62" s="115" t="n"/>
      <c r="H62" s="111">
        <f>IFERROR(IF(ROUND($G60-H60,3)&gt;0,ROUND($G60-H60,3),""),"")</f>
        <v/>
      </c>
      <c r="I62" s="111">
        <f>IFERROR(IF(ROUND($G60-I60,3)&gt;0,ROUND($G60-I60,3),""),"")</f>
        <v/>
      </c>
      <c r="J62" s="111">
        <f>IFERROR(IF(ROUND($G60-J60,3)&gt;0,ROUND($G60-J60,3),""),"")</f>
        <v/>
      </c>
      <c r="K62" s="111">
        <f>IFERROR(IF(ROUND($G60-K60,3)&gt;0,ROUND($G60-K60,3),""),"")</f>
        <v/>
      </c>
      <c r="L62" s="111">
        <f>IFERROR(IF(ROUND($G60-L60,3)&gt;0,ROUND($G60-L60,3),""),"")</f>
        <v/>
      </c>
      <c r="M62" s="111">
        <f>IFERROR(IF(ROUND($G60-M60,3)&gt;0,ROUND($G60-M60,3),""),"")</f>
        <v/>
      </c>
      <c r="N62" s="111">
        <f>IFERROR(IF(ROUND($G60-N60,3)&gt;0,ROUND($G60-N60,3),""),"")</f>
        <v/>
      </c>
      <c r="O62" s="111">
        <f>IFERROR(IF(ROUND($G60-O60,3)&gt;0,ROUND($G60-O60,3),""),"")</f>
        <v/>
      </c>
      <c r="P62" s="111">
        <f>IFERROR(IF(ROUND($G60-P60,3)&gt;0,ROUND($G60-P60,3),""),"")</f>
        <v/>
      </c>
      <c r="Q62" s="111">
        <f>IFERROR(IF(ROUND($G60-Q60,3)&gt;0,ROUND($G60-Q60,3),""),"")</f>
        <v/>
      </c>
      <c r="R62" s="111">
        <f>IFERROR(IF(ROUND($G60-R60,3)&gt;0,ROUND($G60-R60,3),""),"")</f>
        <v/>
      </c>
      <c r="S62" s="111">
        <f>IFERROR(IF(ROUND($G60-S60,3)&gt;0,ROUND($G60-S60,3),""),"")</f>
        <v/>
      </c>
      <c r="T62" s="101" t="n"/>
      <c r="U62" s="111">
        <f>IFERROR(IF(ROUND($G60-U60,3)&gt;0,ROUND($G60-U60,3),""),"")</f>
        <v/>
      </c>
      <c r="V62" s="111">
        <f>IFERROR(IF(ROUND($G60-V60,3)&gt;0,ROUND($G60-V60,3),""),"")</f>
        <v/>
      </c>
      <c r="W62" s="111">
        <f>IFERROR(IF(ROUND($G60-W60,3)&gt;0,ROUND($G60-W60,3),""),"")</f>
        <v/>
      </c>
      <c r="X62" s="111">
        <f>IFERROR(IF(ROUND($G60-X60,3)&gt;0,ROUND($G60-X60,3),""),"")</f>
        <v/>
      </c>
      <c r="Y62" s="111">
        <f>IFERROR(IF(ROUND($G60-Y60,3)&gt;0,ROUND($G60-Y60,3),""),"")</f>
        <v/>
      </c>
      <c r="Z62" s="111">
        <f>IFERROR(IF(ROUND($G60-Z60,3)&gt;0,ROUND($G60-Z60,3),""),"")</f>
        <v/>
      </c>
      <c r="AA62" s="111">
        <f>IFERROR(IF(ROUND($G60-AA60,3)&gt;0,ROUND($G60-AA60,3),""),"")</f>
        <v/>
      </c>
      <c r="AB62" s="111">
        <f>IFERROR(IF(ROUND($G60-AB60,3)&gt;0,ROUND($G60-AB60,3),""),"")</f>
        <v/>
      </c>
      <c r="AC62" s="111">
        <f>IFERROR(IF(ROUND($G60-AC60,3)&gt;0,ROUND($G60-AC60,3),""),"")</f>
        <v/>
      </c>
      <c r="AD62" s="111">
        <f>IFERROR(IF(ROUND($G60-AD60,3)&gt;0,ROUND($G60-AD60,3),""),"")</f>
        <v/>
      </c>
      <c r="AE62" s="111">
        <f>IFERROR(IF(ROUND($G60-AE60,3)&gt;0,ROUND($G60-AE60,3),""),"")</f>
        <v/>
      </c>
      <c r="AF62" s="111">
        <f>IFERROR(IF(ROUND($G60-AF60,3)&gt;0,ROUND($G60-AF60,3),""),"")</f>
        <v/>
      </c>
    </row>
    <row r="63">
      <c r="A63" s="104" t="n"/>
      <c r="B63" s="103" t="inlineStr">
        <is>
          <t>USA</t>
        </is>
      </c>
      <c r="C63" s="65" t="inlineStr">
        <is>
          <t>HF Co</t>
        </is>
      </c>
      <c r="D63" s="52" t="inlineStr">
        <is>
          <t>Pearl Pack-FFS POUCH</t>
        </is>
      </c>
      <c r="E63" s="53" t="n">
        <v>0.5</v>
      </c>
      <c r="F63" s="53" t="n">
        <v>1</v>
      </c>
      <c r="G63" s="75">
        <f>IFERROR(IF(OR($F63=0,VLOOKUP($D63,'MC MASTER'!$A:$R,18,0)=0),"-",ROUND(VLOOKUP($D63,'MC MASTER'!$A:$R,18,0)*$E63*$F63,3)),"-")</f>
        <v/>
      </c>
      <c r="H63" s="75">
        <f>IFERROR(SUMIFS(WORKING!$Y:$Y,WORKING!$X:$X,$D63,WORKING!$W:$W,H$500),"")</f>
        <v/>
      </c>
      <c r="I63" s="75">
        <f>IFERROR(SUMIFS(WORKING!$Y:$Y,WORKING!$X:$X,$D63,WORKING!$W:$W,I$500),"")</f>
        <v/>
      </c>
      <c r="J63" s="75">
        <f>IFERROR(SUMIFS(WORKING!$Y:$Y,WORKING!$X:$X,$D63,WORKING!$W:$W,J$500),"")</f>
        <v/>
      </c>
      <c r="K63" s="75">
        <f>IFERROR(SUMIFS(WORKING!$Y:$Y,WORKING!$X:$X,$D63,WORKING!$W:$W,K$500),"")</f>
        <v/>
      </c>
      <c r="L63" s="75">
        <f>IFERROR(SUMIFS(WORKING!$Y:$Y,WORKING!$X:$X,$D63,WORKING!$W:$W,L$500),"")</f>
        <v/>
      </c>
      <c r="M63" s="75">
        <f>IFERROR(SUMIFS(WORKING!$Y:$Y,WORKING!$X:$X,$D63,WORKING!$W:$W,M$500),"")</f>
        <v/>
      </c>
      <c r="N63" s="75">
        <f>IFERROR(SUMIFS(WORKING!$Y:$Y,WORKING!$X:$X,$D63,WORKING!$W:$W,N$500),"")</f>
        <v/>
      </c>
      <c r="O63" s="75">
        <f>IFERROR(SUMIFS(WORKING!$Y:$Y,WORKING!$X:$X,$D63,WORKING!$W:$W,O$500),"")</f>
        <v/>
      </c>
      <c r="P63" s="75">
        <f>IFERROR(SUMIFS(WORKING!$Y:$Y,WORKING!$X:$X,$D63,WORKING!$W:$W,P$500),"")</f>
        <v/>
      </c>
      <c r="Q63" s="75">
        <f>IFERROR(SUMIFS(WORKING!$Y:$Y,WORKING!$X:$X,$D63,WORKING!$W:$W,Q$500),"")</f>
        <v/>
      </c>
      <c r="R63" s="75">
        <f>IFERROR(SUMIFS(WORKING!$Y:$Y,WORKING!$X:$X,$D63,WORKING!$W:$W,R$500),"")</f>
        <v/>
      </c>
      <c r="S63" s="75">
        <f>IFERROR(SUMIFS(WORKING!$Y:$Y,WORKING!$X:$X,$D63,WORKING!$W:$W,S$500),"")</f>
        <v/>
      </c>
      <c r="T63" s="101" t="n"/>
      <c r="U63" s="75">
        <f>IFERROR(SUMIFS(WORKING!$Z:$Z,WORKING!$X:$X,$D63,WORKING!$W:$W,H$500),"")</f>
        <v/>
      </c>
      <c r="V63" s="75">
        <f>IFERROR(SUMIFS(WORKING!$Z:$Z,WORKING!$X:$X,$D63,WORKING!$W:$W,I$500),"")</f>
        <v/>
      </c>
      <c r="W63" s="75">
        <f>IFERROR(SUMIFS(WORKING!$Z:$Z,WORKING!$X:$X,$D63,WORKING!$W:$W,J$500),"")</f>
        <v/>
      </c>
      <c r="X63" s="75">
        <f>IFERROR(SUMIFS(WORKING!$Z:$Z,WORKING!$X:$X,$D63,WORKING!$W:$W,K$500),"")</f>
        <v/>
      </c>
      <c r="Y63" s="75">
        <f>IFERROR(SUMIFS(WORKING!$Z:$Z,WORKING!$X:$X,$D63,WORKING!$W:$W,L$500),"")</f>
        <v/>
      </c>
      <c r="Z63" s="75">
        <f>IFERROR(SUMIFS(WORKING!$Z:$Z,WORKING!$X:$X,$D63,WORKING!$W:$W,M$500),"")</f>
        <v/>
      </c>
      <c r="AA63" s="75">
        <f>IFERROR(SUMIFS(WORKING!$Z:$Z,WORKING!$X:$X,$D63,WORKING!$W:$W,N$500),"")</f>
        <v/>
      </c>
      <c r="AB63" s="75">
        <f>IFERROR(SUMIFS(WORKING!$Z:$Z,WORKING!$X:$X,$D63,WORKING!$W:$W,O$500),"")</f>
        <v/>
      </c>
      <c r="AC63" s="75">
        <f>IFERROR(SUMIFS(WORKING!$Z:$Z,WORKING!$X:$X,$D63,WORKING!$W:$W,P$500),"")</f>
        <v/>
      </c>
      <c r="AD63" s="75">
        <f>IFERROR(SUMIFS(WORKING!$Z:$Z,WORKING!$X:$X,$D63,WORKING!$W:$W,Q$500),"")</f>
        <v/>
      </c>
      <c r="AE63" s="75">
        <f>IFERROR(SUMIFS(WORKING!$Z:$Z,WORKING!$X:$X,$D63,WORKING!$W:$W,R$500),"")</f>
        <v/>
      </c>
      <c r="AF63" s="75">
        <f>IFERROR(SUMIFS(WORKING!$Z:$Z,WORKING!$X:$X,$D63,WORKING!$W:$W,S$500),"")</f>
        <v/>
      </c>
    </row>
    <row r="64">
      <c r="A64" s="104" t="n"/>
      <c r="B64" s="104" t="n"/>
      <c r="C64" s="105" t="n"/>
      <c r="D64" s="125" t="inlineStr">
        <is>
          <t>TOTAL</t>
        </is>
      </c>
      <c r="E64" s="126" t="n"/>
      <c r="F64" s="126" t="n"/>
      <c r="G64" s="127">
        <f>SUM(G63:G63)</f>
        <v/>
      </c>
      <c r="H64" s="127">
        <f>SUM(H63:H63)</f>
        <v/>
      </c>
      <c r="I64" s="127">
        <f>SUM(I63:I63)</f>
        <v/>
      </c>
      <c r="J64" s="127">
        <f>SUM(J63:J63)</f>
        <v/>
      </c>
      <c r="K64" s="127">
        <f>SUM(K63:K63)</f>
        <v/>
      </c>
      <c r="L64" s="127">
        <f>SUM(L63:L63)</f>
        <v/>
      </c>
      <c r="M64" s="127">
        <f>SUM(M63:M63)</f>
        <v/>
      </c>
      <c r="N64" s="127">
        <f>SUM(N63:N63)</f>
        <v/>
      </c>
      <c r="O64" s="127">
        <f>SUM(O63:O63)</f>
        <v/>
      </c>
      <c r="P64" s="127">
        <f>SUM(P63:P63)</f>
        <v/>
      </c>
      <c r="Q64" s="127">
        <f>SUM(Q63:Q63)</f>
        <v/>
      </c>
      <c r="R64" s="127">
        <f>SUM(R63:R63)</f>
        <v/>
      </c>
      <c r="S64" s="127">
        <f>SUM(S63:S63)</f>
        <v/>
      </c>
      <c r="T64" s="101" t="n"/>
      <c r="U64" s="127">
        <f>SUM(U63:U63)</f>
        <v/>
      </c>
      <c r="V64" s="127">
        <f>SUM(V63:V63)</f>
        <v/>
      </c>
      <c r="W64" s="127">
        <f>SUM(W63:W63)</f>
        <v/>
      </c>
      <c r="X64" s="127">
        <f>SUM(X63:X63)</f>
        <v/>
      </c>
      <c r="Y64" s="127">
        <f>SUM(Y63:Y63)</f>
        <v/>
      </c>
      <c r="Z64" s="127">
        <f>SUM(Z63:Z63)</f>
        <v/>
      </c>
      <c r="AA64" s="127">
        <f>SUM(AA63:AA63)</f>
        <v/>
      </c>
      <c r="AB64" s="127">
        <f>SUM(AB63:AB63)</f>
        <v/>
      </c>
      <c r="AC64" s="127">
        <f>SUM(AC63:AC63)</f>
        <v/>
      </c>
      <c r="AD64" s="127">
        <f>SUM(AD63:AD63)</f>
        <v/>
      </c>
      <c r="AE64" s="127">
        <f>SUM(AE63:AE63)</f>
        <v/>
      </c>
      <c r="AF64" s="127">
        <f>SUM(AF63:AF63)</f>
        <v/>
      </c>
    </row>
    <row r="65">
      <c r="A65" s="104" t="n"/>
      <c r="B65" s="104" t="n"/>
      <c r="C65" s="116" t="n"/>
      <c r="D65" s="108" t="inlineStr">
        <is>
          <t>Excess Order</t>
        </is>
      </c>
      <c r="E65" s="117" t="n"/>
      <c r="F65" s="117" t="n"/>
      <c r="G65" s="117" t="n"/>
      <c r="H65" s="111">
        <f>IFERROR(IF(ROUND(H64-$G64,3)&gt;0,ROUND(H64-$G64,3),""),"")</f>
        <v/>
      </c>
      <c r="I65" s="111">
        <f>IFERROR(IF(ROUND(I64-$G64,3)&gt;0,ROUND(I64-$G64,3),""),"")</f>
        <v/>
      </c>
      <c r="J65" s="111">
        <f>IFERROR(IF(ROUND(J64-$G64,3)&gt;0,ROUND(J64-$G64,3),""),"")</f>
        <v/>
      </c>
      <c r="K65" s="111">
        <f>IFERROR(IF(ROUND(K64-$G64,3)&gt;0,ROUND(K64-$G64,3),""),"")</f>
        <v/>
      </c>
      <c r="L65" s="111">
        <f>IFERROR(IF(ROUND(L64-$G64,3)&gt;0,ROUND(L64-$G64,3),""),"")</f>
        <v/>
      </c>
      <c r="M65" s="111">
        <f>IFERROR(IF(ROUND(M64-$G64,3)&gt;0,ROUND(M64-$G64,3),""),"")</f>
        <v/>
      </c>
      <c r="N65" s="111">
        <f>IFERROR(IF(ROUND(N64-$G64,3)&gt;0,ROUND(N64-$G64,3),""),"")</f>
        <v/>
      </c>
      <c r="O65" s="111">
        <f>IFERROR(IF(ROUND(O64-$G64,3)&gt;0,ROUND(O64-$G64,3),""),"")</f>
        <v/>
      </c>
      <c r="P65" s="111">
        <f>IFERROR(IF(ROUND(P64-$G64,3)&gt;0,ROUND(P64-$G64,3),""),"")</f>
        <v/>
      </c>
      <c r="Q65" s="111">
        <f>IFERROR(IF(ROUND(Q64-$G64,3)&gt;0,ROUND(Q64-$G64,3),""),"")</f>
        <v/>
      </c>
      <c r="R65" s="111">
        <f>IFERROR(IF(ROUND(R64-$G64,3)&gt;0,ROUND(R64-$G64,3),""),"")</f>
        <v/>
      </c>
      <c r="S65" s="111">
        <f>IFERROR(IF(ROUND(S64-$G64,3)&gt;0,ROUND(S64-$G64,3),""),"")</f>
        <v/>
      </c>
      <c r="T65" s="101" t="n"/>
      <c r="U65" s="111">
        <f>IFERROR(IF(ROUND(U64-$G64,3)&gt;0,ROUND(U64-$G64,3),""),"")</f>
        <v/>
      </c>
      <c r="V65" s="111">
        <f>IFERROR(IF(ROUND(V64-$G64,3)&gt;0,ROUND(V64-$G64,3),""),"")</f>
        <v/>
      </c>
      <c r="W65" s="111">
        <f>IFERROR(IF(ROUND(W64-$G64,3)&gt;0,ROUND(W64-$G64,3),""),"")</f>
        <v/>
      </c>
      <c r="X65" s="111">
        <f>IFERROR(IF(ROUND(X64-$G64,3)&gt;0,ROUND(X64-$G64,3),""),"")</f>
        <v/>
      </c>
      <c r="Y65" s="111">
        <f>IFERROR(IF(ROUND(Y64-$G64,3)&gt;0,ROUND(Y64-$G64,3),""),"")</f>
        <v/>
      </c>
      <c r="Z65" s="111">
        <f>IFERROR(IF(ROUND(Z64-$G64,3)&gt;0,ROUND(Z64-$G64,3),""),"")</f>
        <v/>
      </c>
      <c r="AA65" s="111">
        <f>IFERROR(IF(ROUND(AA64-$G64,3)&gt;0,ROUND(AA64-$G64,3),""),"")</f>
        <v/>
      </c>
      <c r="AB65" s="111">
        <f>IFERROR(IF(ROUND(AB64-$G64,3)&gt;0,ROUND(AB64-$G64,3),""),"")</f>
        <v/>
      </c>
      <c r="AC65" s="111">
        <f>IFERROR(IF(ROUND(AC64-$G64,3)&gt;0,ROUND(AC64-$G64,3),""),"")</f>
        <v/>
      </c>
      <c r="AD65" s="111">
        <f>IFERROR(IF(ROUND(AD64-$G64,3)&gt;0,ROUND(AD64-$G64,3),""),"")</f>
        <v/>
      </c>
      <c r="AE65" s="111">
        <f>IFERROR(IF(ROUND(AE64-$G64,3)&gt;0,ROUND(AE64-$G64,3),""),"")</f>
        <v/>
      </c>
      <c r="AF65" s="111">
        <f>IFERROR(IF(ROUND(AF64-$G64,3)&gt;0,ROUND(AF64-$G64,3),""),"")</f>
        <v/>
      </c>
    </row>
    <row r="66">
      <c r="A66" s="86" t="n"/>
      <c r="B66" s="86" t="n"/>
      <c r="C66" s="86" t="n"/>
      <c r="D66" s="108" t="inlineStr">
        <is>
          <t>Short Order</t>
        </is>
      </c>
      <c r="E66" s="117" t="n"/>
      <c r="F66" s="117" t="n"/>
      <c r="G66" s="117" t="n"/>
      <c r="H66" s="111">
        <f>IFERROR(IF(ROUND($G64-H64,3)&gt;0,ROUND($G64-H64,3),""),"")</f>
        <v/>
      </c>
      <c r="I66" s="111">
        <f>IFERROR(IF(ROUND($G64-I64,3)&gt;0,ROUND($G64-I64,3),""),"")</f>
        <v/>
      </c>
      <c r="J66" s="111">
        <f>IFERROR(IF(ROUND($G64-J64,3)&gt;0,ROUND($G64-J64,3),""),"")</f>
        <v/>
      </c>
      <c r="K66" s="111">
        <f>IFERROR(IF(ROUND($G64-K64,3)&gt;0,ROUND($G64-K64,3),""),"")</f>
        <v/>
      </c>
      <c r="L66" s="111">
        <f>IFERROR(IF(ROUND($G64-L64,3)&gt;0,ROUND($G64-L64,3),""),"")</f>
        <v/>
      </c>
      <c r="M66" s="111">
        <f>IFERROR(IF(ROUND($G64-M64,3)&gt;0,ROUND($G64-M64,3),""),"")</f>
        <v/>
      </c>
      <c r="N66" s="111">
        <f>IFERROR(IF(ROUND($G64-N64,3)&gt;0,ROUND($G64-N64,3),""),"")</f>
        <v/>
      </c>
      <c r="O66" s="111">
        <f>IFERROR(IF(ROUND($G64-O64,3)&gt;0,ROUND($G64-O64,3),""),"")</f>
        <v/>
      </c>
      <c r="P66" s="111">
        <f>IFERROR(IF(ROUND($G64-P64,3)&gt;0,ROUND($G64-P64,3),""),"")</f>
        <v/>
      </c>
      <c r="Q66" s="111">
        <f>IFERROR(IF(ROUND($G64-Q64,3)&gt;0,ROUND($G64-Q64,3),""),"")</f>
        <v/>
      </c>
      <c r="R66" s="111">
        <f>IFERROR(IF(ROUND($G64-R64,3)&gt;0,ROUND($G64-R64,3),""),"")</f>
        <v/>
      </c>
      <c r="S66" s="111">
        <f>IFERROR(IF(ROUND($G64-S64,3)&gt;0,ROUND($G64-S64,3),""),"")</f>
        <v/>
      </c>
      <c r="T66" s="101" t="n"/>
      <c r="U66" s="111">
        <f>IFERROR(IF(ROUND($G64-U64,3)&gt;0,ROUND($G64-U64,3),""),"")</f>
        <v/>
      </c>
      <c r="V66" s="111">
        <f>IFERROR(IF(ROUND($G64-V64,3)&gt;0,ROUND($G64-V64,3),""),"")</f>
        <v/>
      </c>
      <c r="W66" s="111">
        <f>IFERROR(IF(ROUND($G64-W64,3)&gt;0,ROUND($G64-W64,3),""),"")</f>
        <v/>
      </c>
      <c r="X66" s="111">
        <f>IFERROR(IF(ROUND($G64-X64,3)&gt;0,ROUND($G64-X64,3),""),"")</f>
        <v/>
      </c>
      <c r="Y66" s="111">
        <f>IFERROR(IF(ROUND($G64-Y64,3)&gt;0,ROUND($G64-Y64,3),""),"")</f>
        <v/>
      </c>
      <c r="Z66" s="111">
        <f>IFERROR(IF(ROUND($G64-Z64,3)&gt;0,ROUND($G64-Z64,3),""),"")</f>
        <v/>
      </c>
      <c r="AA66" s="111">
        <f>IFERROR(IF(ROUND($G64-AA64,3)&gt;0,ROUND($G64-AA64,3),""),"")</f>
        <v/>
      </c>
      <c r="AB66" s="111">
        <f>IFERROR(IF(ROUND($G64-AB64,3)&gt;0,ROUND($G64-AB64,3),""),"")</f>
        <v/>
      </c>
      <c r="AC66" s="111">
        <f>IFERROR(IF(ROUND($G64-AC64,3)&gt;0,ROUND($G64-AC64,3),""),"")</f>
        <v/>
      </c>
      <c r="AD66" s="111">
        <f>IFERROR(IF(ROUND($G64-AD64,3)&gt;0,ROUND($G64-AD64,3),""),"")</f>
        <v/>
      </c>
      <c r="AE66" s="111">
        <f>IFERROR(IF(ROUND($G64-AE64,3)&gt;0,ROUND($G64-AE64,3),""),"")</f>
        <v/>
      </c>
      <c r="AF66" s="111">
        <f>IFERROR(IF(ROUND($G64-AF64,3)&gt;0,ROUND($G64-AF64,3),""),"")</f>
        <v/>
      </c>
    </row>
    <row r="67">
      <c r="A67" s="101" t="n"/>
      <c r="B67" s="101" t="n"/>
      <c r="C67" s="101" t="n"/>
      <c r="D67" s="101" t="n"/>
      <c r="E67" s="101" t="n"/>
      <c r="F67" s="101" t="n"/>
      <c r="G67" s="101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</row>
    <row r="68">
      <c r="A68" s="101" t="n"/>
      <c r="B68" s="101" t="n"/>
      <c r="C68" s="101" t="n"/>
      <c r="D68" s="101" t="n"/>
      <c r="E68" s="101" t="n"/>
      <c r="F68" s="101" t="n"/>
      <c r="G68" s="101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</row>
    <row r="69">
      <c r="A69" s="101" t="n"/>
      <c r="B69" s="101" t="n"/>
      <c r="C69" s="101" t="n"/>
      <c r="D69" s="101" t="n"/>
      <c r="E69" s="101" t="n"/>
      <c r="F69" s="101" t="n"/>
      <c r="G69" s="101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</row>
    <row r="70">
      <c r="A70" s="101" t="n"/>
      <c r="B70" s="101" t="n"/>
      <c r="C70" s="101" t="n"/>
      <c r="D70" s="101" t="n"/>
      <c r="E70" s="101" t="n"/>
      <c r="F70" s="101" t="n"/>
      <c r="G70" s="101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</row>
    <row r="71">
      <c r="A71" s="101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</row>
    <row r="72">
      <c r="A72" s="101" t="n"/>
      <c r="B72" s="101" t="n"/>
      <c r="C72" s="101" t="n"/>
      <c r="D72" s="101" t="n"/>
      <c r="E72" s="101" t="n"/>
      <c r="F72" s="101" t="n"/>
      <c r="G72" s="101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</row>
    <row r="73">
      <c r="A73" s="101" t="n"/>
      <c r="B73" s="101" t="n"/>
      <c r="C73" s="101" t="n"/>
      <c r="D73" s="101" t="n"/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</row>
    <row r="74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</row>
    <row r="75">
      <c r="A75" s="101" t="n"/>
      <c r="B75" s="101" t="n"/>
      <c r="C75" s="101" t="n"/>
      <c r="D75" s="101" t="n"/>
      <c r="E75" s="101" t="n"/>
      <c r="F75" s="101" t="n"/>
      <c r="G75" s="101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</row>
    <row r="76">
      <c r="A76" s="101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</row>
    <row r="77">
      <c r="A77" s="101" t="n"/>
      <c r="B77" s="101" t="n"/>
      <c r="C77" s="101" t="n"/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</row>
    <row r="78">
      <c r="A78" s="101" t="n"/>
      <c r="B78" s="101" t="n"/>
      <c r="C78" s="101" t="n"/>
      <c r="D78" s="101" t="n"/>
      <c r="E78" s="101" t="n"/>
      <c r="F78" s="101" t="n"/>
      <c r="G78" s="101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</row>
    <row r="79">
      <c r="A79" s="101" t="n"/>
      <c r="B79" s="101" t="n"/>
      <c r="C79" s="101" t="n"/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</row>
    <row r="80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</row>
    <row r="81">
      <c r="A81" s="101" t="n"/>
      <c r="B81" s="101" t="n"/>
      <c r="C81" s="101" t="n"/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</row>
    <row r="82">
      <c r="A82" s="101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</row>
    <row r="83">
      <c r="A83" s="101" t="n"/>
      <c r="B83" s="101" t="n"/>
      <c r="C83" s="101" t="n"/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</row>
    <row r="84">
      <c r="A84" s="101" t="n"/>
      <c r="B84" s="101" t="n"/>
      <c r="C84" s="101" t="n"/>
      <c r="D84" s="101" t="n"/>
      <c r="E84" s="101" t="n"/>
      <c r="F84" s="101" t="n"/>
      <c r="G84" s="101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</row>
    <row r="85">
      <c r="A85" s="101" t="n"/>
      <c r="B85" s="101" t="n"/>
      <c r="C85" s="101" t="n"/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</row>
    <row r="86">
      <c r="A86" s="101" t="n"/>
      <c r="B86" s="101" t="n"/>
      <c r="C86" s="101" t="n"/>
      <c r="D86" s="101" t="n"/>
      <c r="E86" s="101" t="n"/>
      <c r="F86" s="101" t="n"/>
      <c r="G86" s="101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</row>
    <row r="87">
      <c r="A87" s="101" t="n"/>
      <c r="B87" s="101" t="n"/>
      <c r="C87" s="101" t="n"/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</row>
    <row r="88">
      <c r="A88" s="101" t="n"/>
      <c r="B88" s="101" t="n"/>
      <c r="C88" s="101" t="n"/>
      <c r="D88" s="101" t="n"/>
      <c r="E88" s="101" t="n"/>
      <c r="F88" s="101" t="n"/>
      <c r="G88" s="101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</row>
    <row r="89">
      <c r="A89" s="101" t="n"/>
      <c r="B89" s="101" t="n"/>
      <c r="C89" s="101" t="n"/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</row>
    <row r="90">
      <c r="A90" s="101" t="n"/>
      <c r="B90" s="101" t="n"/>
      <c r="C90" s="101" t="n"/>
      <c r="D90" s="101" t="n"/>
      <c r="E90" s="101" t="n"/>
      <c r="F90" s="101" t="n"/>
      <c r="G90" s="101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</row>
    <row r="91">
      <c r="A91" s="101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</row>
    <row r="92">
      <c r="A92" s="101" t="n"/>
      <c r="B92" s="101" t="n"/>
      <c r="C92" s="101" t="n"/>
      <c r="D92" s="101" t="n"/>
      <c r="E92" s="101" t="n"/>
      <c r="F92" s="101" t="n"/>
      <c r="G92" s="101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</row>
    <row r="93">
      <c r="A93" s="101" t="n"/>
      <c r="B93" s="101" t="n"/>
      <c r="C93" s="101" t="n"/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</row>
    <row r="94">
      <c r="A94" s="101" t="n"/>
      <c r="B94" s="101" t="n"/>
      <c r="C94" s="101" t="n"/>
      <c r="D94" s="101" t="n"/>
      <c r="E94" s="101" t="n"/>
      <c r="F94" s="101" t="n"/>
      <c r="G94" s="101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</row>
    <row r="95">
      <c r="A95" s="101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</row>
    <row r="96">
      <c r="A96" s="101" t="n"/>
      <c r="B96" s="101" t="n"/>
      <c r="C96" s="101" t="n"/>
      <c r="D96" s="101" t="n"/>
      <c r="E96" s="101" t="n"/>
      <c r="F96" s="101" t="n"/>
      <c r="G96" s="101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</row>
    <row r="97">
      <c r="A97" s="101" t="n"/>
      <c r="B97" s="101" t="n"/>
      <c r="C97" s="101" t="n"/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</row>
    <row r="98">
      <c r="A98" s="101" t="n"/>
      <c r="B98" s="101" t="n"/>
      <c r="C98" s="101" t="n"/>
      <c r="D98" s="101" t="n"/>
      <c r="E98" s="101" t="n"/>
      <c r="F98" s="101" t="n"/>
      <c r="G98" s="101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</row>
    <row r="99">
      <c r="A99" s="101" t="n"/>
      <c r="B99" s="101" t="n"/>
      <c r="C99" s="101" t="n"/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</row>
    <row r="100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</row>
    <row r="101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</row>
    <row r="102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</row>
    <row r="103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</row>
    <row r="104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</row>
    <row r="105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</row>
    <row r="106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</row>
    <row r="107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</row>
    <row r="108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</row>
    <row r="109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</row>
    <row r="110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</row>
    <row r="111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</row>
    <row r="112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</row>
    <row r="113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</row>
    <row r="114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</row>
    <row r="115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</row>
    <row r="116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</row>
    <row r="117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</row>
    <row r="118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</row>
    <row r="119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</row>
    <row r="120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</row>
    <row r="121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</row>
    <row r="122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</row>
    <row r="123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</row>
    <row r="124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</row>
    <row r="125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</row>
    <row r="126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</row>
    <row r="127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</row>
    <row r="128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</row>
    <row r="129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</row>
    <row r="130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</row>
    <row r="131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</row>
    <row r="132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</row>
    <row r="133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</row>
    <row r="134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</row>
    <row r="135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</row>
    <row r="136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</row>
    <row r="137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</row>
    <row r="138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</row>
    <row r="139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</row>
    <row r="140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</row>
    <row r="141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</row>
    <row r="142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</row>
    <row r="143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</row>
    <row r="144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</row>
    <row r="145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</row>
    <row r="146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</row>
    <row r="147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</row>
    <row r="148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</row>
    <row r="149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</row>
    <row r="150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</row>
    <row r="151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</row>
    <row r="152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</row>
    <row r="153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</row>
    <row r="154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</row>
    <row r="155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</row>
    <row r="156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</row>
    <row r="157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</row>
    <row r="158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</row>
    <row r="159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</row>
    <row r="160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</row>
    <row r="161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</row>
    <row r="162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</row>
    <row r="163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</row>
    <row r="164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</row>
    <row r="165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</row>
    <row r="166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</row>
    <row r="167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</row>
    <row r="168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</row>
    <row r="169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</row>
    <row r="170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</row>
    <row r="171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</row>
    <row r="172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</row>
    <row r="173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</row>
    <row r="174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</row>
    <row r="175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</row>
    <row r="176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</row>
    <row r="177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</row>
    <row r="178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</row>
    <row r="179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</row>
    <row r="180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</row>
    <row r="181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</row>
    <row r="182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</row>
    <row r="183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</row>
    <row r="184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</row>
    <row r="185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</row>
    <row r="186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</row>
    <row r="187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</row>
    <row r="188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</row>
    <row r="189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</row>
    <row r="190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</row>
    <row r="191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</row>
    <row r="192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</row>
    <row r="193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</row>
    <row r="194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</row>
    <row r="195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</row>
    <row r="196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</row>
    <row r="197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</row>
    <row r="198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</row>
    <row r="199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</row>
    <row r="200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</row>
    <row r="201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</row>
    <row r="202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</row>
    <row r="203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</row>
    <row r="204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</row>
    <row r="205">
      <c r="A205" s="101" t="n"/>
      <c r="B205" s="101" t="n"/>
      <c r="C205" s="101" t="n"/>
      <c r="D205" s="101" t="n"/>
      <c r="E205" s="101" t="n"/>
      <c r="F205" s="101" t="n"/>
      <c r="G205" s="101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</row>
    <row r="206">
      <c r="A206" s="101" t="n"/>
      <c r="B206" s="101" t="n"/>
      <c r="C206" s="101" t="n"/>
      <c r="D206" s="101" t="n"/>
      <c r="E206" s="101" t="n"/>
      <c r="F206" s="101" t="n"/>
      <c r="G206" s="101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</row>
    <row r="207">
      <c r="A207" s="101" t="n"/>
      <c r="B207" s="101" t="n"/>
      <c r="C207" s="101" t="n"/>
      <c r="D207" s="101" t="n"/>
      <c r="E207" s="101" t="n"/>
      <c r="F207" s="101" t="n"/>
      <c r="G207" s="101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</row>
    <row r="208">
      <c r="A208" s="101" t="n"/>
      <c r="B208" s="101" t="n"/>
      <c r="C208" s="101" t="n"/>
      <c r="D208" s="101" t="n"/>
      <c r="E208" s="101" t="n"/>
      <c r="F208" s="101" t="n"/>
      <c r="G208" s="101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</row>
    <row r="209">
      <c r="A209" s="101" t="n"/>
      <c r="B209" s="101" t="n"/>
      <c r="C209" s="101" t="n"/>
      <c r="D209" s="101" t="n"/>
      <c r="E209" s="101" t="n"/>
      <c r="F209" s="101" t="n"/>
      <c r="G209" s="101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</row>
    <row r="210">
      <c r="A210" s="101" t="n"/>
      <c r="B210" s="101" t="n"/>
      <c r="C210" s="101" t="n"/>
      <c r="D210" s="101" t="n"/>
      <c r="E210" s="101" t="n"/>
      <c r="F210" s="101" t="n"/>
      <c r="G210" s="101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</row>
    <row r="211">
      <c r="A211" s="101" t="n"/>
      <c r="B211" s="101" t="n"/>
      <c r="C211" s="101" t="n"/>
      <c r="D211" s="101" t="n"/>
      <c r="E211" s="101" t="n"/>
      <c r="F211" s="101" t="n"/>
      <c r="G211" s="101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</row>
    <row r="212">
      <c r="A212" s="101" t="n"/>
      <c r="B212" s="101" t="n"/>
      <c r="C212" s="101" t="n"/>
      <c r="D212" s="101" t="n"/>
      <c r="E212" s="101" t="n"/>
      <c r="F212" s="101" t="n"/>
      <c r="G212" s="101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</row>
    <row r="213">
      <c r="A213" s="101" t="n"/>
      <c r="B213" s="101" t="n"/>
      <c r="C213" s="101" t="n"/>
      <c r="D213" s="101" t="n"/>
      <c r="E213" s="101" t="n"/>
      <c r="F213" s="101" t="n"/>
      <c r="G213" s="101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</row>
    <row r="214">
      <c r="A214" s="101" t="n"/>
      <c r="B214" s="101" t="n"/>
      <c r="C214" s="101" t="n"/>
      <c r="D214" s="101" t="n"/>
      <c r="E214" s="101" t="n"/>
      <c r="F214" s="101" t="n"/>
      <c r="G214" s="101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</row>
    <row r="215">
      <c r="A215" s="101" t="n"/>
      <c r="B215" s="101" t="n"/>
      <c r="C215" s="101" t="n"/>
      <c r="D215" s="101" t="n"/>
      <c r="E215" s="101" t="n"/>
      <c r="F215" s="101" t="n"/>
      <c r="G215" s="101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</row>
    <row r="216">
      <c r="A216" s="101" t="n"/>
      <c r="B216" s="101" t="n"/>
      <c r="C216" s="101" t="n"/>
      <c r="D216" s="101" t="n"/>
      <c r="E216" s="101" t="n"/>
      <c r="F216" s="101" t="n"/>
      <c r="G216" s="101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</row>
    <row r="217">
      <c r="A217" s="101" t="n"/>
      <c r="B217" s="101" t="n"/>
      <c r="C217" s="101" t="n"/>
      <c r="D217" s="101" t="n"/>
      <c r="E217" s="101" t="n"/>
      <c r="F217" s="101" t="n"/>
      <c r="G217" s="101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</row>
    <row r="218">
      <c r="A218" s="101" t="n"/>
      <c r="B218" s="101" t="n"/>
      <c r="C218" s="101" t="n"/>
      <c r="D218" s="101" t="n"/>
      <c r="E218" s="101" t="n"/>
      <c r="F218" s="101" t="n"/>
      <c r="G218" s="101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</row>
    <row r="219">
      <c r="A219" s="101" t="n"/>
      <c r="B219" s="101" t="n"/>
      <c r="C219" s="101" t="n"/>
      <c r="D219" s="101" t="n"/>
      <c r="E219" s="101" t="n"/>
      <c r="F219" s="101" t="n"/>
      <c r="G219" s="101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</row>
    <row r="220">
      <c r="A220" s="101" t="n"/>
      <c r="B220" s="101" t="n"/>
      <c r="C220" s="101" t="n"/>
      <c r="D220" s="101" t="n"/>
      <c r="E220" s="101" t="n"/>
      <c r="F220" s="101" t="n"/>
      <c r="G220" s="101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</row>
    <row r="221">
      <c r="A221" s="101" t="n"/>
      <c r="B221" s="101" t="n"/>
      <c r="C221" s="101" t="n"/>
      <c r="D221" s="101" t="n"/>
      <c r="E221" s="101" t="n"/>
      <c r="F221" s="101" t="n"/>
      <c r="G221" s="101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</row>
    <row r="222">
      <c r="A222" s="101" t="n"/>
      <c r="B222" s="101" t="n"/>
      <c r="C222" s="101" t="n"/>
      <c r="D222" s="101" t="n"/>
      <c r="E222" s="101" t="n"/>
      <c r="F222" s="101" t="n"/>
      <c r="G222" s="101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</row>
    <row r="223">
      <c r="A223" s="101" t="n"/>
      <c r="B223" s="101" t="n"/>
      <c r="C223" s="101" t="n"/>
      <c r="D223" s="101" t="n"/>
      <c r="E223" s="101" t="n"/>
      <c r="F223" s="101" t="n"/>
      <c r="G223" s="101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</row>
    <row r="224">
      <c r="A224" s="101" t="n"/>
      <c r="B224" s="101" t="n"/>
      <c r="C224" s="101" t="n"/>
      <c r="D224" s="101" t="n"/>
      <c r="E224" s="101" t="n"/>
      <c r="F224" s="101" t="n"/>
      <c r="G224" s="101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</row>
    <row r="225">
      <c r="A225" s="101" t="n"/>
      <c r="B225" s="101" t="n"/>
      <c r="C225" s="101" t="n"/>
      <c r="D225" s="101" t="n"/>
      <c r="E225" s="101" t="n"/>
      <c r="F225" s="101" t="n"/>
      <c r="G225" s="101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</row>
    <row r="226">
      <c r="A226" s="101" t="n"/>
      <c r="B226" s="101" t="n"/>
      <c r="C226" s="101" t="n"/>
      <c r="D226" s="101" t="n"/>
      <c r="E226" s="101" t="n"/>
      <c r="F226" s="101" t="n"/>
      <c r="G226" s="101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</row>
    <row r="227">
      <c r="A227" s="101" t="n"/>
      <c r="B227" s="101" t="n"/>
      <c r="C227" s="101" t="n"/>
      <c r="D227" s="101" t="n"/>
      <c r="E227" s="101" t="n"/>
      <c r="F227" s="101" t="n"/>
      <c r="G227" s="101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</row>
    <row r="228">
      <c r="A228" s="101" t="n"/>
      <c r="B228" s="101" t="n"/>
      <c r="C228" s="101" t="n"/>
      <c r="D228" s="101" t="n"/>
      <c r="E228" s="101" t="n"/>
      <c r="F228" s="101" t="n"/>
      <c r="G228" s="101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</row>
    <row r="229">
      <c r="A229" s="101" t="n"/>
      <c r="B229" s="101" t="n"/>
      <c r="C229" s="101" t="n"/>
      <c r="D229" s="101" t="n"/>
      <c r="E229" s="101" t="n"/>
      <c r="F229" s="101" t="n"/>
      <c r="G229" s="101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</row>
    <row r="230">
      <c r="A230" s="101" t="n"/>
      <c r="B230" s="101" t="n"/>
      <c r="C230" s="101" t="n"/>
      <c r="D230" s="101" t="n"/>
      <c r="E230" s="101" t="n"/>
      <c r="F230" s="101" t="n"/>
      <c r="G230" s="101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</row>
    <row r="231">
      <c r="A231" s="101" t="n"/>
      <c r="B231" s="101" t="n"/>
      <c r="C231" s="101" t="n"/>
      <c r="D231" s="101" t="n"/>
      <c r="E231" s="101" t="n"/>
      <c r="F231" s="101" t="n"/>
      <c r="G231" s="101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</row>
    <row r="232">
      <c r="A232" s="101" t="n"/>
      <c r="B232" s="101" t="n"/>
      <c r="C232" s="101" t="n"/>
      <c r="D232" s="101" t="n"/>
      <c r="E232" s="101" t="n"/>
      <c r="F232" s="101" t="n"/>
      <c r="G232" s="101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</row>
    <row r="233">
      <c r="A233" s="101" t="n"/>
      <c r="B233" s="101" t="n"/>
      <c r="C233" s="101" t="n"/>
      <c r="D233" s="101" t="n"/>
      <c r="E233" s="101" t="n"/>
      <c r="F233" s="101" t="n"/>
      <c r="G233" s="101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</row>
    <row r="234">
      <c r="A234" s="101" t="n"/>
      <c r="B234" s="101" t="n"/>
      <c r="C234" s="101" t="n"/>
      <c r="D234" s="101" t="n"/>
      <c r="E234" s="101" t="n"/>
      <c r="F234" s="101" t="n"/>
      <c r="G234" s="101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</row>
    <row r="235">
      <c r="A235" s="101" t="n"/>
      <c r="B235" s="101" t="n"/>
      <c r="C235" s="101" t="n"/>
      <c r="D235" s="101" t="n"/>
      <c r="E235" s="101" t="n"/>
      <c r="F235" s="101" t="n"/>
      <c r="G235" s="101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</row>
    <row r="236">
      <c r="A236" s="101" t="n"/>
      <c r="B236" s="101" t="n"/>
      <c r="C236" s="101" t="n"/>
      <c r="D236" s="101" t="n"/>
      <c r="E236" s="101" t="n"/>
      <c r="F236" s="101" t="n"/>
      <c r="G236" s="101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</row>
    <row r="237">
      <c r="A237" s="101" t="n"/>
      <c r="B237" s="101" t="n"/>
      <c r="C237" s="101" t="n"/>
      <c r="D237" s="101" t="n"/>
      <c r="E237" s="101" t="n"/>
      <c r="F237" s="101" t="n"/>
      <c r="G237" s="101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</row>
    <row r="238">
      <c r="A238" s="101" t="n"/>
      <c r="B238" s="101" t="n"/>
      <c r="C238" s="101" t="n"/>
      <c r="D238" s="101" t="n"/>
      <c r="E238" s="101" t="n"/>
      <c r="F238" s="101" t="n"/>
      <c r="G238" s="101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</row>
    <row r="239">
      <c r="A239" s="101" t="n"/>
      <c r="B239" s="101" t="n"/>
      <c r="C239" s="101" t="n"/>
      <c r="D239" s="101" t="n"/>
      <c r="E239" s="101" t="n"/>
      <c r="F239" s="101" t="n"/>
      <c r="G239" s="101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</row>
    <row r="240">
      <c r="A240" s="101" t="n"/>
      <c r="B240" s="101" t="n"/>
      <c r="C240" s="101" t="n"/>
      <c r="D240" s="101" t="n"/>
      <c r="E240" s="101" t="n"/>
      <c r="F240" s="101" t="n"/>
      <c r="G240" s="101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</row>
    <row r="241">
      <c r="A241" s="101" t="n"/>
      <c r="B241" s="101" t="n"/>
      <c r="C241" s="101" t="n"/>
      <c r="D241" s="101" t="n"/>
      <c r="E241" s="101" t="n"/>
      <c r="F241" s="101" t="n"/>
      <c r="G241" s="101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</row>
    <row r="242">
      <c r="A242" s="101" t="n"/>
      <c r="B242" s="101" t="n"/>
      <c r="C242" s="101" t="n"/>
      <c r="D242" s="101" t="n"/>
      <c r="E242" s="101" t="n"/>
      <c r="F242" s="101" t="n"/>
      <c r="G242" s="101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</row>
    <row r="243">
      <c r="A243" s="101" t="n"/>
      <c r="B243" s="101" t="n"/>
      <c r="C243" s="101" t="n"/>
      <c r="D243" s="101" t="n"/>
      <c r="E243" s="101" t="n"/>
      <c r="F243" s="101" t="n"/>
      <c r="G243" s="101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</row>
    <row r="244">
      <c r="A244" s="101" t="n"/>
      <c r="B244" s="101" t="n"/>
      <c r="C244" s="101" t="n"/>
      <c r="D244" s="101" t="n"/>
      <c r="E244" s="101" t="n"/>
      <c r="F244" s="101" t="n"/>
      <c r="G244" s="101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</row>
    <row r="245">
      <c r="A245" s="101" t="n"/>
      <c r="B245" s="101" t="n"/>
      <c r="C245" s="101" t="n"/>
      <c r="D245" s="101" t="n"/>
      <c r="E245" s="101" t="n"/>
      <c r="F245" s="101" t="n"/>
      <c r="G245" s="101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</row>
    <row r="246">
      <c r="A246" s="101" t="n"/>
      <c r="B246" s="101" t="n"/>
      <c r="C246" s="101" t="n"/>
      <c r="D246" s="101" t="n"/>
      <c r="E246" s="101" t="n"/>
      <c r="F246" s="101" t="n"/>
      <c r="G246" s="101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</row>
    <row r="247">
      <c r="A247" s="101" t="n"/>
      <c r="B247" s="101" t="n"/>
      <c r="C247" s="101" t="n"/>
      <c r="D247" s="101" t="n"/>
      <c r="E247" s="101" t="n"/>
      <c r="F247" s="101" t="n"/>
      <c r="G247" s="101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</row>
    <row r="248">
      <c r="A248" s="101" t="n"/>
      <c r="B248" s="101" t="n"/>
      <c r="C248" s="101" t="n"/>
      <c r="D248" s="101" t="n"/>
      <c r="E248" s="101" t="n"/>
      <c r="F248" s="101" t="n"/>
      <c r="G248" s="101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</row>
    <row r="249">
      <c r="A249" s="101" t="n"/>
      <c r="B249" s="101" t="n"/>
      <c r="C249" s="101" t="n"/>
      <c r="D249" s="101" t="n"/>
      <c r="E249" s="101" t="n"/>
      <c r="F249" s="101" t="n"/>
      <c r="G249" s="101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</row>
    <row r="250">
      <c r="A250" s="101" t="n"/>
      <c r="B250" s="101" t="n"/>
      <c r="C250" s="101" t="n"/>
      <c r="D250" s="101" t="n"/>
      <c r="E250" s="101" t="n"/>
      <c r="F250" s="101" t="n"/>
      <c r="G250" s="101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</row>
    <row r="251">
      <c r="A251" s="101" t="n"/>
      <c r="B251" s="101" t="n"/>
      <c r="C251" s="101" t="n"/>
      <c r="D251" s="101" t="n"/>
      <c r="E251" s="101" t="n"/>
      <c r="F251" s="101" t="n"/>
      <c r="G251" s="101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</row>
    <row r="252">
      <c r="A252" s="101" t="n"/>
      <c r="B252" s="101" t="n"/>
      <c r="C252" s="101" t="n"/>
      <c r="D252" s="101" t="n"/>
      <c r="E252" s="101" t="n"/>
      <c r="F252" s="101" t="n"/>
      <c r="G252" s="101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</row>
    <row r="253">
      <c r="A253" s="101" t="n"/>
      <c r="B253" s="101" t="n"/>
      <c r="C253" s="101" t="n"/>
      <c r="D253" s="101" t="n"/>
      <c r="E253" s="101" t="n"/>
      <c r="F253" s="101" t="n"/>
      <c r="G253" s="101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</row>
    <row r="254">
      <c r="A254" s="101" t="n"/>
      <c r="B254" s="101" t="n"/>
      <c r="C254" s="101" t="n"/>
      <c r="D254" s="101" t="n"/>
      <c r="E254" s="101" t="n"/>
      <c r="F254" s="101" t="n"/>
      <c r="G254" s="101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</row>
    <row r="255">
      <c r="A255" s="101" t="n"/>
      <c r="B255" s="101" t="n"/>
      <c r="C255" s="101" t="n"/>
      <c r="D255" s="101" t="n"/>
      <c r="E255" s="101" t="n"/>
      <c r="F255" s="101" t="n"/>
      <c r="G255" s="101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</row>
    <row r="256">
      <c r="A256" s="101" t="n"/>
      <c r="B256" s="101" t="n"/>
      <c r="C256" s="101" t="n"/>
      <c r="D256" s="101" t="n"/>
      <c r="E256" s="101" t="n"/>
      <c r="F256" s="101" t="n"/>
      <c r="G256" s="101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</row>
    <row r="257">
      <c r="A257" s="101" t="n"/>
      <c r="B257" s="101" t="n"/>
      <c r="C257" s="101" t="n"/>
      <c r="D257" s="101" t="n"/>
      <c r="E257" s="101" t="n"/>
      <c r="F257" s="101" t="n"/>
      <c r="G257" s="101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</row>
    <row r="258">
      <c r="A258" s="101" t="n"/>
      <c r="B258" s="101" t="n"/>
      <c r="C258" s="101" t="n"/>
      <c r="D258" s="101" t="n"/>
      <c r="E258" s="101" t="n"/>
      <c r="F258" s="101" t="n"/>
      <c r="G258" s="101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</row>
    <row r="259">
      <c r="A259" s="101" t="n"/>
      <c r="B259" s="101" t="n"/>
      <c r="C259" s="101" t="n"/>
      <c r="D259" s="101" t="n"/>
      <c r="E259" s="101" t="n"/>
      <c r="F259" s="101" t="n"/>
      <c r="G259" s="101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</row>
    <row r="260">
      <c r="A260" s="101" t="n"/>
      <c r="B260" s="101" t="n"/>
      <c r="C260" s="101" t="n"/>
      <c r="D260" s="101" t="n"/>
      <c r="E260" s="101" t="n"/>
      <c r="F260" s="101" t="n"/>
      <c r="G260" s="101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</row>
    <row r="261">
      <c r="A261" s="101" t="n"/>
      <c r="B261" s="101" t="n"/>
      <c r="C261" s="101" t="n"/>
      <c r="D261" s="101" t="n"/>
      <c r="E261" s="101" t="n"/>
      <c r="F261" s="101" t="n"/>
      <c r="G261" s="101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</row>
    <row r="262">
      <c r="A262" s="101" t="n"/>
      <c r="B262" s="101" t="n"/>
      <c r="C262" s="101" t="n"/>
      <c r="D262" s="101" t="n"/>
      <c r="E262" s="101" t="n"/>
      <c r="F262" s="101" t="n"/>
      <c r="G262" s="101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</row>
    <row r="263">
      <c r="A263" s="101" t="n"/>
      <c r="B263" s="101" t="n"/>
      <c r="C263" s="101" t="n"/>
      <c r="D263" s="101" t="n"/>
      <c r="E263" s="101" t="n"/>
      <c r="F263" s="101" t="n"/>
      <c r="G263" s="101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</row>
    <row r="264">
      <c r="A264" s="101" t="n"/>
      <c r="B264" s="101" t="n"/>
      <c r="C264" s="101" t="n"/>
      <c r="D264" s="101" t="n"/>
      <c r="E264" s="101" t="n"/>
      <c r="F264" s="101" t="n"/>
      <c r="G264" s="101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</row>
    <row r="265">
      <c r="A265" s="101" t="n"/>
      <c r="B265" s="101" t="n"/>
      <c r="C265" s="101" t="n"/>
      <c r="D265" s="101" t="n"/>
      <c r="E265" s="101" t="n"/>
      <c r="F265" s="101" t="n"/>
      <c r="G265" s="101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</row>
    <row r="266">
      <c r="A266" s="101" t="n"/>
      <c r="B266" s="101" t="n"/>
      <c r="C266" s="101" t="n"/>
      <c r="D266" s="101" t="n"/>
      <c r="E266" s="101" t="n"/>
      <c r="F266" s="101" t="n"/>
      <c r="G266" s="101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</row>
    <row r="267">
      <c r="A267" s="101" t="n"/>
      <c r="B267" s="101" t="n"/>
      <c r="C267" s="101" t="n"/>
      <c r="D267" s="101" t="n"/>
      <c r="E267" s="101" t="n"/>
      <c r="F267" s="101" t="n"/>
      <c r="G267" s="101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</row>
    <row r="268">
      <c r="A268" s="101" t="n"/>
      <c r="B268" s="101" t="n"/>
      <c r="C268" s="101" t="n"/>
      <c r="D268" s="101" t="n"/>
      <c r="E268" s="101" t="n"/>
      <c r="F268" s="101" t="n"/>
      <c r="G268" s="101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</row>
    <row r="269">
      <c r="A269" s="101" t="n"/>
      <c r="B269" s="101" t="n"/>
      <c r="C269" s="101" t="n"/>
      <c r="D269" s="101" t="n"/>
      <c r="E269" s="101" t="n"/>
      <c r="F269" s="101" t="n"/>
      <c r="G269" s="101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</row>
    <row r="270">
      <c r="A270" s="101" t="n"/>
      <c r="B270" s="101" t="n"/>
      <c r="C270" s="101" t="n"/>
      <c r="D270" s="101" t="n"/>
      <c r="E270" s="101" t="n"/>
      <c r="F270" s="101" t="n"/>
      <c r="G270" s="101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</row>
    <row r="271">
      <c r="A271" s="101" t="n"/>
      <c r="B271" s="101" t="n"/>
      <c r="C271" s="101" t="n"/>
      <c r="D271" s="101" t="n"/>
      <c r="E271" s="101" t="n"/>
      <c r="F271" s="101" t="n"/>
      <c r="G271" s="101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</row>
    <row r="272">
      <c r="A272" s="101" t="n"/>
      <c r="B272" s="101" t="n"/>
      <c r="C272" s="101" t="n"/>
      <c r="D272" s="101" t="n"/>
      <c r="E272" s="101" t="n"/>
      <c r="F272" s="101" t="n"/>
      <c r="G272" s="101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</row>
    <row r="273">
      <c r="A273" s="101" t="n"/>
      <c r="B273" s="101" t="n"/>
      <c r="C273" s="101" t="n"/>
      <c r="D273" s="101" t="n"/>
      <c r="E273" s="101" t="n"/>
      <c r="F273" s="101" t="n"/>
      <c r="G273" s="101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</row>
    <row r="274">
      <c r="A274" s="101" t="n"/>
      <c r="B274" s="101" t="n"/>
      <c r="C274" s="101" t="n"/>
      <c r="D274" s="101" t="n"/>
      <c r="E274" s="101" t="n"/>
      <c r="F274" s="101" t="n"/>
      <c r="G274" s="101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</row>
    <row r="275">
      <c r="A275" s="101" t="n"/>
      <c r="B275" s="101" t="n"/>
      <c r="C275" s="101" t="n"/>
      <c r="D275" s="101" t="n"/>
      <c r="E275" s="101" t="n"/>
      <c r="F275" s="101" t="n"/>
      <c r="G275" s="101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</row>
    <row r="276">
      <c r="A276" s="101" t="n"/>
      <c r="B276" s="101" t="n"/>
      <c r="C276" s="101" t="n"/>
      <c r="D276" s="101" t="n"/>
      <c r="E276" s="101" t="n"/>
      <c r="F276" s="101" t="n"/>
      <c r="G276" s="101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</row>
    <row r="277">
      <c r="A277" s="101" t="n"/>
      <c r="B277" s="101" t="n"/>
      <c r="C277" s="101" t="n"/>
      <c r="D277" s="101" t="n"/>
      <c r="E277" s="101" t="n"/>
      <c r="F277" s="101" t="n"/>
      <c r="G277" s="101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</row>
    <row r="278">
      <c r="A278" s="101" t="n"/>
      <c r="B278" s="101" t="n"/>
      <c r="C278" s="101" t="n"/>
      <c r="D278" s="101" t="n"/>
      <c r="E278" s="101" t="n"/>
      <c r="F278" s="101" t="n"/>
      <c r="G278" s="101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</row>
    <row r="279">
      <c r="A279" s="101" t="n"/>
      <c r="B279" s="101" t="n"/>
      <c r="C279" s="101" t="n"/>
      <c r="D279" s="101" t="n"/>
      <c r="E279" s="101" t="n"/>
      <c r="F279" s="101" t="n"/>
      <c r="G279" s="101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</row>
    <row r="280">
      <c r="A280" s="101" t="n"/>
      <c r="B280" s="101" t="n"/>
      <c r="C280" s="101" t="n"/>
      <c r="D280" s="101" t="n"/>
      <c r="E280" s="101" t="n"/>
      <c r="F280" s="101" t="n"/>
      <c r="G280" s="101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</row>
    <row r="281">
      <c r="A281" s="101" t="n"/>
      <c r="B281" s="101" t="n"/>
      <c r="C281" s="101" t="n"/>
      <c r="D281" s="101" t="n"/>
      <c r="E281" s="101" t="n"/>
      <c r="F281" s="101" t="n"/>
      <c r="G281" s="101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</row>
    <row r="282">
      <c r="A282" s="101" t="n"/>
      <c r="B282" s="101" t="n"/>
      <c r="C282" s="101" t="n"/>
      <c r="D282" s="101" t="n"/>
      <c r="E282" s="101" t="n"/>
      <c r="F282" s="101" t="n"/>
      <c r="G282" s="101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</row>
    <row r="283">
      <c r="A283" s="101" t="n"/>
      <c r="B283" s="101" t="n"/>
      <c r="C283" s="101" t="n"/>
      <c r="D283" s="101" t="n"/>
      <c r="E283" s="101" t="n"/>
      <c r="F283" s="101" t="n"/>
      <c r="G283" s="101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</row>
    <row r="284">
      <c r="A284" s="101" t="n"/>
      <c r="B284" s="101" t="n"/>
      <c r="C284" s="101" t="n"/>
      <c r="D284" s="101" t="n"/>
      <c r="E284" s="101" t="n"/>
      <c r="F284" s="101" t="n"/>
      <c r="G284" s="101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</row>
    <row r="285">
      <c r="A285" s="101" t="n"/>
      <c r="B285" s="101" t="n"/>
      <c r="C285" s="101" t="n"/>
      <c r="D285" s="101" t="n"/>
      <c r="E285" s="101" t="n"/>
      <c r="F285" s="101" t="n"/>
      <c r="G285" s="101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</row>
    <row r="286">
      <c r="A286" s="101" t="n"/>
      <c r="B286" s="101" t="n"/>
      <c r="C286" s="101" t="n"/>
      <c r="D286" s="101" t="n"/>
      <c r="E286" s="101" t="n"/>
      <c r="F286" s="101" t="n"/>
      <c r="G286" s="101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</row>
    <row r="287">
      <c r="A287" s="101" t="n"/>
      <c r="B287" s="101" t="n"/>
      <c r="C287" s="101" t="n"/>
      <c r="D287" s="101" t="n"/>
      <c r="E287" s="101" t="n"/>
      <c r="F287" s="101" t="n"/>
      <c r="G287" s="101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</row>
    <row r="288">
      <c r="A288" s="101" t="n"/>
      <c r="B288" s="101" t="n"/>
      <c r="C288" s="101" t="n"/>
      <c r="D288" s="101" t="n"/>
      <c r="E288" s="101" t="n"/>
      <c r="F288" s="101" t="n"/>
      <c r="G288" s="101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</row>
    <row r="289">
      <c r="A289" s="101" t="n"/>
      <c r="B289" s="101" t="n"/>
      <c r="C289" s="101" t="n"/>
      <c r="D289" s="101" t="n"/>
      <c r="E289" s="101" t="n"/>
      <c r="F289" s="101" t="n"/>
      <c r="G289" s="101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</row>
    <row r="290">
      <c r="A290" s="101" t="n"/>
      <c r="B290" s="101" t="n"/>
      <c r="C290" s="101" t="n"/>
      <c r="D290" s="101" t="n"/>
      <c r="E290" s="101" t="n"/>
      <c r="F290" s="101" t="n"/>
      <c r="G290" s="101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</row>
    <row r="291">
      <c r="A291" s="101" t="n"/>
      <c r="B291" s="101" t="n"/>
      <c r="C291" s="101" t="n"/>
      <c r="D291" s="101" t="n"/>
      <c r="E291" s="101" t="n"/>
      <c r="F291" s="101" t="n"/>
      <c r="G291" s="101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</row>
    <row r="292">
      <c r="A292" s="101" t="n"/>
      <c r="B292" s="101" t="n"/>
      <c r="C292" s="101" t="n"/>
      <c r="D292" s="101" t="n"/>
      <c r="E292" s="101" t="n"/>
      <c r="F292" s="101" t="n"/>
      <c r="G292" s="101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</row>
    <row r="293">
      <c r="A293" s="101" t="n"/>
      <c r="B293" s="101" t="n"/>
      <c r="C293" s="101" t="n"/>
      <c r="D293" s="101" t="n"/>
      <c r="E293" s="101" t="n"/>
      <c r="F293" s="101" t="n"/>
      <c r="G293" s="101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</row>
    <row r="294">
      <c r="A294" s="101" t="n"/>
      <c r="B294" s="101" t="n"/>
      <c r="C294" s="101" t="n"/>
      <c r="D294" s="101" t="n"/>
      <c r="E294" s="101" t="n"/>
      <c r="F294" s="101" t="n"/>
      <c r="G294" s="101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</row>
    <row r="295">
      <c r="A295" s="101" t="n"/>
      <c r="B295" s="101" t="n"/>
      <c r="C295" s="101" t="n"/>
      <c r="D295" s="101" t="n"/>
      <c r="E295" s="101" t="n"/>
      <c r="F295" s="101" t="n"/>
      <c r="G295" s="101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</row>
    <row r="296">
      <c r="A296" s="101" t="n"/>
      <c r="B296" s="101" t="n"/>
      <c r="C296" s="101" t="n"/>
      <c r="D296" s="101" t="n"/>
      <c r="E296" s="101" t="n"/>
      <c r="F296" s="101" t="n"/>
      <c r="G296" s="101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</row>
    <row r="297">
      <c r="A297" s="101" t="n"/>
      <c r="B297" s="101" t="n"/>
      <c r="C297" s="101" t="n"/>
      <c r="D297" s="101" t="n"/>
      <c r="E297" s="101" t="n"/>
      <c r="F297" s="101" t="n"/>
      <c r="G297" s="101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</row>
    <row r="298">
      <c r="A298" s="101" t="n"/>
      <c r="B298" s="101" t="n"/>
      <c r="C298" s="101" t="n"/>
      <c r="D298" s="101" t="n"/>
      <c r="E298" s="101" t="n"/>
      <c r="F298" s="101" t="n"/>
      <c r="G298" s="101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</row>
    <row r="299">
      <c r="A299" s="101" t="n"/>
      <c r="B299" s="101" t="n"/>
      <c r="C299" s="101" t="n"/>
      <c r="D299" s="101" t="n"/>
      <c r="E299" s="101" t="n"/>
      <c r="F299" s="101" t="n"/>
      <c r="G299" s="101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</row>
    <row r="300">
      <c r="A300" s="101" t="n"/>
      <c r="B300" s="101" t="n"/>
      <c r="C300" s="101" t="n"/>
      <c r="D300" s="101" t="n"/>
      <c r="E300" s="101" t="n"/>
      <c r="F300" s="101" t="n"/>
      <c r="G300" s="101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</row>
    <row r="301">
      <c r="A301" s="101" t="n"/>
      <c r="B301" s="101" t="n"/>
      <c r="C301" s="101" t="n"/>
      <c r="D301" s="101" t="n"/>
      <c r="E301" s="101" t="n"/>
      <c r="F301" s="101" t="n"/>
      <c r="G301" s="101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</row>
    <row r="302">
      <c r="A302" s="101" t="n"/>
      <c r="B302" s="101" t="n"/>
      <c r="C302" s="101" t="n"/>
      <c r="D302" s="101" t="n"/>
      <c r="E302" s="101" t="n"/>
      <c r="F302" s="101" t="n"/>
      <c r="G302" s="101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</row>
    <row r="303">
      <c r="A303" s="101" t="n"/>
      <c r="B303" s="101" t="n"/>
      <c r="C303" s="101" t="n"/>
      <c r="D303" s="101" t="n"/>
      <c r="E303" s="101" t="n"/>
      <c r="F303" s="101" t="n"/>
      <c r="G303" s="101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</row>
    <row r="304">
      <c r="A304" s="101" t="n"/>
      <c r="B304" s="101" t="n"/>
      <c r="C304" s="101" t="n"/>
      <c r="D304" s="101" t="n"/>
      <c r="E304" s="101" t="n"/>
      <c r="F304" s="101" t="n"/>
      <c r="G304" s="101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</row>
    <row r="305">
      <c r="A305" s="101" t="n"/>
      <c r="B305" s="101" t="n"/>
      <c r="C305" s="101" t="n"/>
      <c r="D305" s="101" t="n"/>
      <c r="E305" s="101" t="n"/>
      <c r="F305" s="101" t="n"/>
      <c r="G305" s="101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</row>
    <row r="306">
      <c r="A306" s="101" t="n"/>
      <c r="B306" s="101" t="n"/>
      <c r="C306" s="101" t="n"/>
      <c r="D306" s="101" t="n"/>
      <c r="E306" s="101" t="n"/>
      <c r="F306" s="101" t="n"/>
      <c r="G306" s="101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</row>
    <row r="307">
      <c r="A307" s="101" t="n"/>
      <c r="B307" s="101" t="n"/>
      <c r="C307" s="101" t="n"/>
      <c r="D307" s="101" t="n"/>
      <c r="E307" s="101" t="n"/>
      <c r="F307" s="101" t="n"/>
      <c r="G307" s="101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</row>
    <row r="308">
      <c r="A308" s="101" t="n"/>
      <c r="B308" s="101" t="n"/>
      <c r="C308" s="101" t="n"/>
      <c r="D308" s="101" t="n"/>
      <c r="E308" s="101" t="n"/>
      <c r="F308" s="101" t="n"/>
      <c r="G308" s="101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</row>
    <row r="309">
      <c r="A309" s="101" t="n"/>
      <c r="B309" s="101" t="n"/>
      <c r="C309" s="101" t="n"/>
      <c r="D309" s="101" t="n"/>
      <c r="E309" s="101" t="n"/>
      <c r="F309" s="101" t="n"/>
      <c r="G309" s="101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</row>
    <row r="310">
      <c r="A310" s="101" t="n"/>
      <c r="B310" s="101" t="n"/>
      <c r="C310" s="101" t="n"/>
      <c r="D310" s="101" t="n"/>
      <c r="E310" s="101" t="n"/>
      <c r="F310" s="101" t="n"/>
      <c r="G310" s="101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</row>
    <row r="311">
      <c r="A311" s="101" t="n"/>
      <c r="B311" s="101" t="n"/>
      <c r="C311" s="101" t="n"/>
      <c r="D311" s="101" t="n"/>
      <c r="E311" s="101" t="n"/>
      <c r="F311" s="101" t="n"/>
      <c r="G311" s="101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</row>
    <row r="312">
      <c r="A312" s="101" t="n"/>
      <c r="B312" s="101" t="n"/>
      <c r="C312" s="101" t="n"/>
      <c r="D312" s="101" t="n"/>
      <c r="E312" s="101" t="n"/>
      <c r="F312" s="101" t="n"/>
      <c r="G312" s="101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</row>
    <row r="313">
      <c r="A313" s="101" t="n"/>
      <c r="B313" s="101" t="n"/>
      <c r="C313" s="101" t="n"/>
      <c r="D313" s="101" t="n"/>
      <c r="E313" s="101" t="n"/>
      <c r="F313" s="101" t="n"/>
      <c r="G313" s="101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</row>
    <row r="314">
      <c r="A314" s="101" t="n"/>
      <c r="B314" s="101" t="n"/>
      <c r="C314" s="101" t="n"/>
      <c r="D314" s="101" t="n"/>
      <c r="E314" s="101" t="n"/>
      <c r="F314" s="101" t="n"/>
      <c r="G314" s="101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</row>
    <row r="315">
      <c r="A315" s="101" t="n"/>
      <c r="B315" s="101" t="n"/>
      <c r="C315" s="101" t="n"/>
      <c r="D315" s="101" t="n"/>
      <c r="E315" s="101" t="n"/>
      <c r="F315" s="101" t="n"/>
      <c r="G315" s="101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</row>
    <row r="316">
      <c r="A316" s="101" t="n"/>
      <c r="B316" s="101" t="n"/>
      <c r="C316" s="101" t="n"/>
      <c r="D316" s="101" t="n"/>
      <c r="E316" s="101" t="n"/>
      <c r="F316" s="101" t="n"/>
      <c r="G316" s="101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</row>
    <row r="317">
      <c r="A317" s="101" t="n"/>
      <c r="B317" s="101" t="n"/>
      <c r="C317" s="101" t="n"/>
      <c r="D317" s="101" t="n"/>
      <c r="E317" s="101" t="n"/>
      <c r="F317" s="101" t="n"/>
      <c r="G317" s="101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</row>
    <row r="318">
      <c r="A318" s="101" t="n"/>
      <c r="B318" s="101" t="n"/>
      <c r="C318" s="101" t="n"/>
      <c r="D318" s="101" t="n"/>
      <c r="E318" s="101" t="n"/>
      <c r="F318" s="101" t="n"/>
      <c r="G318" s="101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</row>
    <row r="319">
      <c r="A319" s="101" t="n"/>
      <c r="B319" s="101" t="n"/>
      <c r="C319" s="101" t="n"/>
      <c r="D319" s="101" t="n"/>
      <c r="E319" s="101" t="n"/>
      <c r="F319" s="101" t="n"/>
      <c r="G319" s="101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</row>
    <row r="320">
      <c r="A320" s="101" t="n"/>
      <c r="B320" s="101" t="n"/>
      <c r="C320" s="101" t="n"/>
      <c r="D320" s="101" t="n"/>
      <c r="E320" s="101" t="n"/>
      <c r="F320" s="101" t="n"/>
      <c r="G320" s="101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</row>
    <row r="321">
      <c r="A321" s="101" t="n"/>
      <c r="B321" s="101" t="n"/>
      <c r="C321" s="101" t="n"/>
      <c r="D321" s="101" t="n"/>
      <c r="E321" s="101" t="n"/>
      <c r="F321" s="101" t="n"/>
      <c r="G321" s="101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</row>
    <row r="322">
      <c r="A322" s="101" t="n"/>
      <c r="B322" s="101" t="n"/>
      <c r="C322" s="101" t="n"/>
      <c r="D322" s="101" t="n"/>
      <c r="E322" s="101" t="n"/>
      <c r="F322" s="101" t="n"/>
      <c r="G322" s="101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</row>
    <row r="323">
      <c r="A323" s="101" t="n"/>
      <c r="B323" s="101" t="n"/>
      <c r="C323" s="101" t="n"/>
      <c r="D323" s="101" t="n"/>
      <c r="E323" s="101" t="n"/>
      <c r="F323" s="101" t="n"/>
      <c r="G323" s="101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</row>
    <row r="324">
      <c r="A324" s="101" t="n"/>
      <c r="B324" s="101" t="n"/>
      <c r="C324" s="101" t="n"/>
      <c r="D324" s="101" t="n"/>
      <c r="E324" s="101" t="n"/>
      <c r="F324" s="101" t="n"/>
      <c r="G324" s="101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</row>
    <row r="325">
      <c r="A325" s="101" t="n"/>
      <c r="B325" s="101" t="n"/>
      <c r="C325" s="101" t="n"/>
      <c r="D325" s="101" t="n"/>
      <c r="E325" s="101" t="n"/>
      <c r="F325" s="101" t="n"/>
      <c r="G325" s="101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</row>
    <row r="326">
      <c r="A326" s="101" t="n"/>
      <c r="B326" s="101" t="n"/>
      <c r="C326" s="101" t="n"/>
      <c r="D326" s="101" t="n"/>
      <c r="E326" s="101" t="n"/>
      <c r="F326" s="101" t="n"/>
      <c r="G326" s="101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</row>
    <row r="327">
      <c r="A327" s="101" t="n"/>
      <c r="B327" s="101" t="n"/>
      <c r="C327" s="101" t="n"/>
      <c r="D327" s="101" t="n"/>
      <c r="E327" s="101" t="n"/>
      <c r="F327" s="101" t="n"/>
      <c r="G327" s="101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</row>
    <row r="328">
      <c r="A328" s="101" t="n"/>
      <c r="B328" s="101" t="n"/>
      <c r="C328" s="101" t="n"/>
      <c r="D328" s="101" t="n"/>
      <c r="E328" s="101" t="n"/>
      <c r="F328" s="101" t="n"/>
      <c r="G328" s="101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</row>
    <row r="329">
      <c r="A329" s="101" t="n"/>
      <c r="B329" s="101" t="n"/>
      <c r="C329" s="101" t="n"/>
      <c r="D329" s="101" t="n"/>
      <c r="E329" s="101" t="n"/>
      <c r="F329" s="101" t="n"/>
      <c r="G329" s="101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</row>
    <row r="330">
      <c r="A330" s="101" t="n"/>
      <c r="B330" s="101" t="n"/>
      <c r="C330" s="101" t="n"/>
      <c r="D330" s="101" t="n"/>
      <c r="E330" s="101" t="n"/>
      <c r="F330" s="101" t="n"/>
      <c r="G330" s="101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</row>
    <row r="331">
      <c r="A331" s="101" t="n"/>
      <c r="B331" s="101" t="n"/>
      <c r="C331" s="101" t="n"/>
      <c r="D331" s="101" t="n"/>
      <c r="E331" s="101" t="n"/>
      <c r="F331" s="101" t="n"/>
      <c r="G331" s="101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</row>
    <row r="332">
      <c r="A332" s="101" t="n"/>
      <c r="B332" s="101" t="n"/>
      <c r="C332" s="101" t="n"/>
      <c r="D332" s="101" t="n"/>
      <c r="E332" s="101" t="n"/>
      <c r="F332" s="101" t="n"/>
      <c r="G332" s="101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</row>
    <row r="333">
      <c r="A333" s="101" t="n"/>
      <c r="B333" s="101" t="n"/>
      <c r="C333" s="101" t="n"/>
      <c r="D333" s="101" t="n"/>
      <c r="E333" s="101" t="n"/>
      <c r="F333" s="101" t="n"/>
      <c r="G333" s="101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</row>
    <row r="334">
      <c r="A334" s="101" t="n"/>
      <c r="B334" s="101" t="n"/>
      <c r="C334" s="101" t="n"/>
      <c r="D334" s="101" t="n"/>
      <c r="E334" s="101" t="n"/>
      <c r="F334" s="101" t="n"/>
      <c r="G334" s="101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</row>
    <row r="335">
      <c r="A335" s="101" t="n"/>
      <c r="B335" s="101" t="n"/>
      <c r="C335" s="101" t="n"/>
      <c r="D335" s="101" t="n"/>
      <c r="E335" s="101" t="n"/>
      <c r="F335" s="101" t="n"/>
      <c r="G335" s="101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</row>
    <row r="336">
      <c r="A336" s="101" t="n"/>
      <c r="B336" s="101" t="n"/>
      <c r="C336" s="101" t="n"/>
      <c r="D336" s="101" t="n"/>
      <c r="E336" s="101" t="n"/>
      <c r="F336" s="101" t="n"/>
      <c r="G336" s="101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</row>
    <row r="337">
      <c r="A337" s="101" t="n"/>
      <c r="B337" s="101" t="n"/>
      <c r="C337" s="101" t="n"/>
      <c r="D337" s="101" t="n"/>
      <c r="E337" s="101" t="n"/>
      <c r="F337" s="101" t="n"/>
      <c r="G337" s="101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</row>
    <row r="338">
      <c r="A338" s="101" t="n"/>
      <c r="B338" s="101" t="n"/>
      <c r="C338" s="101" t="n"/>
      <c r="D338" s="101" t="n"/>
      <c r="E338" s="101" t="n"/>
      <c r="F338" s="101" t="n"/>
      <c r="G338" s="101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</row>
    <row r="339">
      <c r="A339" s="101" t="n"/>
      <c r="B339" s="101" t="n"/>
      <c r="C339" s="101" t="n"/>
      <c r="D339" s="101" t="n"/>
      <c r="E339" s="101" t="n"/>
      <c r="F339" s="101" t="n"/>
      <c r="G339" s="101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</row>
    <row r="340">
      <c r="A340" s="101" t="n"/>
      <c r="B340" s="101" t="n"/>
      <c r="C340" s="101" t="n"/>
      <c r="D340" s="101" t="n"/>
      <c r="E340" s="101" t="n"/>
      <c r="F340" s="101" t="n"/>
      <c r="G340" s="101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</row>
    <row r="341">
      <c r="A341" s="101" t="n"/>
      <c r="B341" s="101" t="n"/>
      <c r="C341" s="101" t="n"/>
      <c r="D341" s="101" t="n"/>
      <c r="E341" s="101" t="n"/>
      <c r="F341" s="101" t="n"/>
      <c r="G341" s="101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</row>
    <row r="342">
      <c r="A342" s="101" t="n"/>
      <c r="B342" s="101" t="n"/>
      <c r="C342" s="101" t="n"/>
      <c r="D342" s="101" t="n"/>
      <c r="E342" s="101" t="n"/>
      <c r="F342" s="101" t="n"/>
      <c r="G342" s="101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</row>
    <row r="343">
      <c r="A343" s="101" t="n"/>
      <c r="B343" s="101" t="n"/>
      <c r="C343" s="101" t="n"/>
      <c r="D343" s="101" t="n"/>
      <c r="E343" s="101" t="n"/>
      <c r="F343" s="101" t="n"/>
      <c r="G343" s="101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</row>
    <row r="344">
      <c r="A344" s="101" t="n"/>
      <c r="B344" s="101" t="n"/>
      <c r="C344" s="101" t="n"/>
      <c r="D344" s="101" t="n"/>
      <c r="E344" s="101" t="n"/>
      <c r="F344" s="101" t="n"/>
      <c r="G344" s="101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</row>
    <row r="345">
      <c r="A345" s="101" t="n"/>
      <c r="B345" s="101" t="n"/>
      <c r="C345" s="101" t="n"/>
      <c r="D345" s="101" t="n"/>
      <c r="E345" s="101" t="n"/>
      <c r="F345" s="101" t="n"/>
      <c r="G345" s="101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</row>
    <row r="346">
      <c r="A346" s="101" t="n"/>
      <c r="B346" s="101" t="n"/>
      <c r="C346" s="101" t="n"/>
      <c r="D346" s="101" t="n"/>
      <c r="E346" s="101" t="n"/>
      <c r="F346" s="101" t="n"/>
      <c r="G346" s="101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</row>
    <row r="347">
      <c r="A347" s="101" t="n"/>
      <c r="B347" s="101" t="n"/>
      <c r="C347" s="101" t="n"/>
      <c r="D347" s="101" t="n"/>
      <c r="E347" s="101" t="n"/>
      <c r="F347" s="101" t="n"/>
      <c r="G347" s="101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</row>
    <row r="348">
      <c r="A348" s="101" t="n"/>
      <c r="B348" s="101" t="n"/>
      <c r="C348" s="101" t="n"/>
      <c r="D348" s="101" t="n"/>
      <c r="E348" s="101" t="n"/>
      <c r="F348" s="101" t="n"/>
      <c r="G348" s="101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</row>
    <row r="349">
      <c r="A349" s="101" t="n"/>
      <c r="B349" s="101" t="n"/>
      <c r="C349" s="101" t="n"/>
      <c r="D349" s="101" t="n"/>
      <c r="E349" s="101" t="n"/>
      <c r="F349" s="101" t="n"/>
      <c r="G349" s="101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</row>
    <row r="350">
      <c r="A350" s="101" t="n"/>
      <c r="B350" s="101" t="n"/>
      <c r="C350" s="101" t="n"/>
      <c r="D350" s="101" t="n"/>
      <c r="E350" s="101" t="n"/>
      <c r="F350" s="101" t="n"/>
      <c r="G350" s="101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</row>
    <row r="351">
      <c r="A351" s="101" t="n"/>
      <c r="B351" s="101" t="n"/>
      <c r="C351" s="101" t="n"/>
      <c r="D351" s="101" t="n"/>
      <c r="E351" s="101" t="n"/>
      <c r="F351" s="101" t="n"/>
      <c r="G351" s="101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</row>
    <row r="352">
      <c r="A352" s="101" t="n"/>
      <c r="B352" s="101" t="n"/>
      <c r="C352" s="101" t="n"/>
      <c r="D352" s="101" t="n"/>
      <c r="E352" s="101" t="n"/>
      <c r="F352" s="101" t="n"/>
      <c r="G352" s="101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</row>
    <row r="353">
      <c r="A353" s="101" t="n"/>
      <c r="B353" s="101" t="n"/>
      <c r="C353" s="101" t="n"/>
      <c r="D353" s="101" t="n"/>
      <c r="E353" s="101" t="n"/>
      <c r="F353" s="101" t="n"/>
      <c r="G353" s="101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</row>
    <row r="354">
      <c r="A354" s="101" t="n"/>
      <c r="B354" s="101" t="n"/>
      <c r="C354" s="101" t="n"/>
      <c r="D354" s="101" t="n"/>
      <c r="E354" s="101" t="n"/>
      <c r="F354" s="101" t="n"/>
      <c r="G354" s="101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</row>
    <row r="355">
      <c r="A355" s="101" t="n"/>
      <c r="B355" s="101" t="n"/>
      <c r="C355" s="101" t="n"/>
      <c r="D355" s="101" t="n"/>
      <c r="E355" s="101" t="n"/>
      <c r="F355" s="101" t="n"/>
      <c r="G355" s="101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</row>
    <row r="356">
      <c r="A356" s="101" t="n"/>
      <c r="B356" s="101" t="n"/>
      <c r="C356" s="101" t="n"/>
      <c r="D356" s="101" t="n"/>
      <c r="E356" s="101" t="n"/>
      <c r="F356" s="101" t="n"/>
      <c r="G356" s="101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</row>
    <row r="357">
      <c r="A357" s="101" t="n"/>
      <c r="B357" s="101" t="n"/>
      <c r="C357" s="101" t="n"/>
      <c r="D357" s="101" t="n"/>
      <c r="E357" s="101" t="n"/>
      <c r="F357" s="101" t="n"/>
      <c r="G357" s="101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</row>
    <row r="358">
      <c r="A358" s="101" t="n"/>
      <c r="B358" s="101" t="n"/>
      <c r="C358" s="101" t="n"/>
      <c r="D358" s="101" t="n"/>
      <c r="E358" s="101" t="n"/>
      <c r="F358" s="101" t="n"/>
      <c r="G358" s="101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</row>
    <row r="359">
      <c r="A359" s="101" t="n"/>
      <c r="B359" s="101" t="n"/>
      <c r="C359" s="101" t="n"/>
      <c r="D359" s="101" t="n"/>
      <c r="E359" s="101" t="n"/>
      <c r="F359" s="101" t="n"/>
      <c r="G359" s="101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</row>
    <row r="360">
      <c r="A360" s="101" t="n"/>
      <c r="B360" s="101" t="n"/>
      <c r="C360" s="101" t="n"/>
      <c r="D360" s="101" t="n"/>
      <c r="E360" s="101" t="n"/>
      <c r="F360" s="101" t="n"/>
      <c r="G360" s="101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</row>
    <row r="361">
      <c r="A361" s="101" t="n"/>
      <c r="B361" s="101" t="n"/>
      <c r="C361" s="101" t="n"/>
      <c r="D361" s="101" t="n"/>
      <c r="E361" s="101" t="n"/>
      <c r="F361" s="101" t="n"/>
      <c r="G361" s="101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</row>
    <row r="362">
      <c r="A362" s="101" t="n"/>
      <c r="B362" s="101" t="n"/>
      <c r="C362" s="101" t="n"/>
      <c r="D362" s="101" t="n"/>
      <c r="E362" s="101" t="n"/>
      <c r="F362" s="101" t="n"/>
      <c r="G362" s="101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</row>
    <row r="363">
      <c r="A363" s="101" t="n"/>
      <c r="B363" s="101" t="n"/>
      <c r="C363" s="101" t="n"/>
      <c r="D363" s="101" t="n"/>
      <c r="E363" s="101" t="n"/>
      <c r="F363" s="101" t="n"/>
      <c r="G363" s="101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</row>
    <row r="364">
      <c r="A364" s="101" t="n"/>
      <c r="B364" s="101" t="n"/>
      <c r="C364" s="101" t="n"/>
      <c r="D364" s="101" t="n"/>
      <c r="E364" s="101" t="n"/>
      <c r="F364" s="101" t="n"/>
      <c r="G364" s="101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</row>
    <row r="365">
      <c r="A365" s="101" t="n"/>
      <c r="B365" s="101" t="n"/>
      <c r="C365" s="101" t="n"/>
      <c r="D365" s="101" t="n"/>
      <c r="E365" s="101" t="n"/>
      <c r="F365" s="101" t="n"/>
      <c r="G365" s="101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</row>
    <row r="366">
      <c r="A366" s="101" t="n"/>
      <c r="B366" s="101" t="n"/>
      <c r="C366" s="101" t="n"/>
      <c r="D366" s="101" t="n"/>
      <c r="E366" s="101" t="n"/>
      <c r="F366" s="101" t="n"/>
      <c r="G366" s="101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</row>
    <row r="367">
      <c r="A367" s="101" t="n"/>
      <c r="B367" s="101" t="n"/>
      <c r="C367" s="101" t="n"/>
      <c r="D367" s="101" t="n"/>
      <c r="E367" s="101" t="n"/>
      <c r="F367" s="101" t="n"/>
      <c r="G367" s="101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</row>
    <row r="368">
      <c r="A368" s="101" t="n"/>
      <c r="B368" s="101" t="n"/>
      <c r="C368" s="101" t="n"/>
      <c r="D368" s="101" t="n"/>
      <c r="E368" s="101" t="n"/>
      <c r="F368" s="101" t="n"/>
      <c r="G368" s="101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</row>
    <row r="369">
      <c r="A369" s="101" t="n"/>
      <c r="B369" s="101" t="n"/>
      <c r="C369" s="101" t="n"/>
      <c r="D369" s="101" t="n"/>
      <c r="E369" s="101" t="n"/>
      <c r="F369" s="101" t="n"/>
      <c r="G369" s="101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</row>
    <row r="370">
      <c r="A370" s="101" t="n"/>
      <c r="B370" s="101" t="n"/>
      <c r="C370" s="101" t="n"/>
      <c r="D370" s="101" t="n"/>
      <c r="E370" s="101" t="n"/>
      <c r="F370" s="101" t="n"/>
      <c r="G370" s="101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</row>
    <row r="371">
      <c r="A371" s="101" t="n"/>
      <c r="B371" s="101" t="n"/>
      <c r="C371" s="101" t="n"/>
      <c r="D371" s="101" t="n"/>
      <c r="E371" s="101" t="n"/>
      <c r="F371" s="101" t="n"/>
      <c r="G371" s="101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</row>
    <row r="372">
      <c r="A372" s="101" t="n"/>
      <c r="B372" s="101" t="n"/>
      <c r="C372" s="101" t="n"/>
      <c r="D372" s="101" t="n"/>
      <c r="E372" s="101" t="n"/>
      <c r="F372" s="101" t="n"/>
      <c r="G372" s="101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</row>
    <row r="373">
      <c r="A373" s="101" t="n"/>
      <c r="B373" s="101" t="n"/>
      <c r="C373" s="101" t="n"/>
      <c r="D373" s="101" t="n"/>
      <c r="E373" s="101" t="n"/>
      <c r="F373" s="101" t="n"/>
      <c r="G373" s="101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</row>
    <row r="374">
      <c r="A374" s="101" t="n"/>
      <c r="B374" s="101" t="n"/>
      <c r="C374" s="101" t="n"/>
      <c r="D374" s="101" t="n"/>
      <c r="E374" s="101" t="n"/>
      <c r="F374" s="101" t="n"/>
      <c r="G374" s="101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</row>
    <row r="375">
      <c r="A375" s="101" t="n"/>
      <c r="B375" s="101" t="n"/>
      <c r="C375" s="101" t="n"/>
      <c r="D375" s="101" t="n"/>
      <c r="E375" s="101" t="n"/>
      <c r="F375" s="101" t="n"/>
      <c r="G375" s="101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</row>
    <row r="376">
      <c r="A376" s="101" t="n"/>
      <c r="B376" s="101" t="n"/>
      <c r="C376" s="101" t="n"/>
      <c r="D376" s="101" t="n"/>
      <c r="E376" s="101" t="n"/>
      <c r="F376" s="101" t="n"/>
      <c r="G376" s="101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</row>
    <row r="377">
      <c r="A377" s="101" t="n"/>
      <c r="B377" s="101" t="n"/>
      <c r="C377" s="101" t="n"/>
      <c r="D377" s="101" t="n"/>
      <c r="E377" s="101" t="n"/>
      <c r="F377" s="101" t="n"/>
      <c r="G377" s="101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</row>
    <row r="378">
      <c r="A378" s="101" t="n"/>
      <c r="B378" s="101" t="n"/>
      <c r="C378" s="101" t="n"/>
      <c r="D378" s="101" t="n"/>
      <c r="E378" s="101" t="n"/>
      <c r="F378" s="101" t="n"/>
      <c r="G378" s="101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</row>
    <row r="379">
      <c r="A379" s="101" t="n"/>
      <c r="B379" s="101" t="n"/>
      <c r="C379" s="101" t="n"/>
      <c r="D379" s="101" t="n"/>
      <c r="E379" s="101" t="n"/>
      <c r="F379" s="101" t="n"/>
      <c r="G379" s="101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</row>
    <row r="380">
      <c r="A380" s="101" t="n"/>
      <c r="B380" s="101" t="n"/>
      <c r="C380" s="101" t="n"/>
      <c r="D380" s="101" t="n"/>
      <c r="E380" s="101" t="n"/>
      <c r="F380" s="101" t="n"/>
      <c r="G380" s="101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</row>
    <row r="381">
      <c r="A381" s="101" t="n"/>
      <c r="B381" s="101" t="n"/>
      <c r="C381" s="101" t="n"/>
      <c r="D381" s="101" t="n"/>
      <c r="E381" s="101" t="n"/>
      <c r="F381" s="101" t="n"/>
      <c r="G381" s="101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</row>
    <row r="382">
      <c r="A382" s="101" t="n"/>
      <c r="B382" s="101" t="n"/>
      <c r="C382" s="101" t="n"/>
      <c r="D382" s="101" t="n"/>
      <c r="E382" s="101" t="n"/>
      <c r="F382" s="101" t="n"/>
      <c r="G382" s="101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</row>
    <row r="383">
      <c r="A383" s="101" t="n"/>
      <c r="B383" s="101" t="n"/>
      <c r="C383" s="101" t="n"/>
      <c r="D383" s="101" t="n"/>
      <c r="E383" s="101" t="n"/>
      <c r="F383" s="101" t="n"/>
      <c r="G383" s="101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</row>
    <row r="384">
      <c r="A384" s="101" t="n"/>
      <c r="B384" s="101" t="n"/>
      <c r="C384" s="101" t="n"/>
      <c r="D384" s="101" t="n"/>
      <c r="E384" s="101" t="n"/>
      <c r="F384" s="101" t="n"/>
      <c r="G384" s="101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</row>
    <row r="385">
      <c r="A385" s="101" t="n"/>
      <c r="B385" s="101" t="n"/>
      <c r="C385" s="101" t="n"/>
      <c r="D385" s="101" t="n"/>
      <c r="E385" s="101" t="n"/>
      <c r="F385" s="101" t="n"/>
      <c r="G385" s="101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</row>
    <row r="386">
      <c r="A386" s="101" t="n"/>
      <c r="B386" s="101" t="n"/>
      <c r="C386" s="101" t="n"/>
      <c r="D386" s="101" t="n"/>
      <c r="E386" s="101" t="n"/>
      <c r="F386" s="101" t="n"/>
      <c r="G386" s="101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</row>
    <row r="387">
      <c r="A387" s="101" t="n"/>
      <c r="B387" s="101" t="n"/>
      <c r="C387" s="101" t="n"/>
      <c r="D387" s="101" t="n"/>
      <c r="E387" s="101" t="n"/>
      <c r="F387" s="101" t="n"/>
      <c r="G387" s="101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</row>
    <row r="388">
      <c r="A388" s="101" t="n"/>
      <c r="B388" s="101" t="n"/>
      <c r="C388" s="101" t="n"/>
      <c r="D388" s="101" t="n"/>
      <c r="E388" s="101" t="n"/>
      <c r="F388" s="101" t="n"/>
      <c r="G388" s="101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</row>
    <row r="389">
      <c r="A389" s="101" t="n"/>
      <c r="B389" s="101" t="n"/>
      <c r="C389" s="101" t="n"/>
      <c r="D389" s="101" t="n"/>
      <c r="E389" s="101" t="n"/>
      <c r="F389" s="101" t="n"/>
      <c r="G389" s="101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</row>
    <row r="390">
      <c r="A390" s="101" t="n"/>
      <c r="B390" s="101" t="n"/>
      <c r="C390" s="101" t="n"/>
      <c r="D390" s="101" t="n"/>
      <c r="E390" s="101" t="n"/>
      <c r="F390" s="101" t="n"/>
      <c r="G390" s="101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</row>
    <row r="391">
      <c r="A391" s="101" t="n"/>
      <c r="B391" s="101" t="n"/>
      <c r="C391" s="101" t="n"/>
      <c r="D391" s="101" t="n"/>
      <c r="E391" s="101" t="n"/>
      <c r="F391" s="101" t="n"/>
      <c r="G391" s="101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</row>
    <row r="392">
      <c r="A392" s="101" t="n"/>
      <c r="B392" s="101" t="n"/>
      <c r="C392" s="101" t="n"/>
      <c r="D392" s="101" t="n"/>
      <c r="E392" s="101" t="n"/>
      <c r="F392" s="101" t="n"/>
      <c r="G392" s="101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</row>
    <row r="393">
      <c r="A393" s="101" t="n"/>
      <c r="B393" s="101" t="n"/>
      <c r="C393" s="101" t="n"/>
      <c r="D393" s="101" t="n"/>
      <c r="E393" s="101" t="n"/>
      <c r="F393" s="101" t="n"/>
      <c r="G393" s="101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</row>
    <row r="394">
      <c r="A394" s="101" t="n"/>
      <c r="B394" s="101" t="n"/>
      <c r="C394" s="101" t="n"/>
      <c r="D394" s="101" t="n"/>
      <c r="E394" s="101" t="n"/>
      <c r="F394" s="101" t="n"/>
      <c r="G394" s="101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</row>
    <row r="395">
      <c r="A395" s="101" t="n"/>
      <c r="B395" s="101" t="n"/>
      <c r="C395" s="101" t="n"/>
      <c r="D395" s="101" t="n"/>
      <c r="E395" s="101" t="n"/>
      <c r="F395" s="101" t="n"/>
      <c r="G395" s="101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</row>
    <row r="396">
      <c r="A396" s="101" t="n"/>
      <c r="B396" s="101" t="n"/>
      <c r="C396" s="101" t="n"/>
      <c r="D396" s="101" t="n"/>
      <c r="E396" s="101" t="n"/>
      <c r="F396" s="101" t="n"/>
      <c r="G396" s="101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</row>
    <row r="397">
      <c r="A397" s="101" t="n"/>
      <c r="B397" s="101" t="n"/>
      <c r="C397" s="101" t="n"/>
      <c r="D397" s="101" t="n"/>
      <c r="E397" s="101" t="n"/>
      <c r="F397" s="101" t="n"/>
      <c r="G397" s="101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</row>
    <row r="398">
      <c r="A398" s="101" t="n"/>
      <c r="B398" s="101" t="n"/>
      <c r="C398" s="101" t="n"/>
      <c r="D398" s="101" t="n"/>
      <c r="E398" s="101" t="n"/>
      <c r="F398" s="101" t="n"/>
      <c r="G398" s="101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</row>
    <row r="399">
      <c r="A399" s="101" t="n"/>
      <c r="B399" s="101" t="n"/>
      <c r="C399" s="101" t="n"/>
      <c r="D399" s="101" t="n"/>
      <c r="E399" s="101" t="n"/>
      <c r="F399" s="101" t="n"/>
      <c r="G399" s="101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</row>
    <row r="400">
      <c r="A400" s="101" t="n"/>
      <c r="B400" s="101" t="n"/>
      <c r="C400" s="101" t="n"/>
      <c r="D400" s="101" t="n"/>
      <c r="E400" s="101" t="n"/>
      <c r="F400" s="101" t="n"/>
      <c r="G400" s="101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</row>
    <row r="401">
      <c r="A401" s="101" t="n"/>
      <c r="B401" s="101" t="n"/>
      <c r="C401" s="101" t="n"/>
      <c r="D401" s="101" t="n"/>
      <c r="E401" s="101" t="n"/>
      <c r="F401" s="101" t="n"/>
      <c r="G401" s="101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</row>
    <row r="402">
      <c r="A402" s="101" t="n"/>
      <c r="B402" s="101" t="n"/>
      <c r="C402" s="101" t="n"/>
      <c r="D402" s="101" t="n"/>
      <c r="E402" s="101" t="n"/>
      <c r="F402" s="101" t="n"/>
      <c r="G402" s="101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</row>
    <row r="403">
      <c r="A403" s="101" t="n"/>
      <c r="B403" s="101" t="n"/>
      <c r="C403" s="101" t="n"/>
      <c r="D403" s="101" t="n"/>
      <c r="E403" s="101" t="n"/>
      <c r="F403" s="101" t="n"/>
      <c r="G403" s="101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</row>
    <row r="404">
      <c r="A404" s="101" t="n"/>
      <c r="B404" s="101" t="n"/>
      <c r="C404" s="101" t="n"/>
      <c r="D404" s="101" t="n"/>
      <c r="E404" s="101" t="n"/>
      <c r="F404" s="101" t="n"/>
      <c r="G404" s="101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</row>
    <row r="405">
      <c r="A405" s="101" t="n"/>
      <c r="B405" s="101" t="n"/>
      <c r="C405" s="101" t="n"/>
      <c r="D405" s="101" t="n"/>
      <c r="E405" s="101" t="n"/>
      <c r="F405" s="101" t="n"/>
      <c r="G405" s="101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</row>
    <row r="406">
      <c r="A406" s="101" t="n"/>
      <c r="B406" s="101" t="n"/>
      <c r="C406" s="101" t="n"/>
      <c r="D406" s="101" t="n"/>
      <c r="E406" s="101" t="n"/>
      <c r="F406" s="101" t="n"/>
      <c r="G406" s="101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</row>
    <row r="407">
      <c r="A407" s="101" t="n"/>
      <c r="B407" s="101" t="n"/>
      <c r="C407" s="101" t="n"/>
      <c r="D407" s="101" t="n"/>
      <c r="E407" s="101" t="n"/>
      <c r="F407" s="101" t="n"/>
      <c r="G407" s="101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</row>
    <row r="408">
      <c r="A408" s="101" t="n"/>
      <c r="B408" s="101" t="n"/>
      <c r="C408" s="101" t="n"/>
      <c r="D408" s="101" t="n"/>
      <c r="E408" s="101" t="n"/>
      <c r="F408" s="101" t="n"/>
      <c r="G408" s="101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</row>
    <row r="409">
      <c r="A409" s="101" t="n"/>
      <c r="B409" s="101" t="n"/>
      <c r="C409" s="101" t="n"/>
      <c r="D409" s="101" t="n"/>
      <c r="E409" s="101" t="n"/>
      <c r="F409" s="101" t="n"/>
      <c r="G409" s="101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</row>
    <row r="410">
      <c r="A410" s="101" t="n"/>
      <c r="B410" s="101" t="n"/>
      <c r="C410" s="101" t="n"/>
      <c r="D410" s="101" t="n"/>
      <c r="E410" s="101" t="n"/>
      <c r="F410" s="101" t="n"/>
      <c r="G410" s="101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</row>
    <row r="411">
      <c r="A411" s="101" t="n"/>
      <c r="B411" s="101" t="n"/>
      <c r="C411" s="101" t="n"/>
      <c r="D411" s="101" t="n"/>
      <c r="E411" s="101" t="n"/>
      <c r="F411" s="101" t="n"/>
      <c r="G411" s="101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</row>
    <row r="412">
      <c r="A412" s="101" t="n"/>
      <c r="B412" s="101" t="n"/>
      <c r="C412" s="101" t="n"/>
      <c r="D412" s="101" t="n"/>
      <c r="E412" s="101" t="n"/>
      <c r="F412" s="101" t="n"/>
      <c r="G412" s="101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</row>
    <row r="413">
      <c r="A413" s="101" t="n"/>
      <c r="B413" s="101" t="n"/>
      <c r="C413" s="101" t="n"/>
      <c r="D413" s="101" t="n"/>
      <c r="E413" s="101" t="n"/>
      <c r="F413" s="101" t="n"/>
      <c r="G413" s="101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</row>
    <row r="414">
      <c r="A414" s="101" t="n"/>
      <c r="B414" s="101" t="n"/>
      <c r="C414" s="101" t="n"/>
      <c r="D414" s="101" t="n"/>
      <c r="E414" s="101" t="n"/>
      <c r="F414" s="101" t="n"/>
      <c r="G414" s="101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</row>
    <row r="415">
      <c r="A415" s="101" t="n"/>
      <c r="B415" s="101" t="n"/>
      <c r="C415" s="101" t="n"/>
      <c r="D415" s="101" t="n"/>
      <c r="E415" s="101" t="n"/>
      <c r="F415" s="101" t="n"/>
      <c r="G415" s="101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</row>
    <row r="416">
      <c r="A416" s="101" t="n"/>
      <c r="B416" s="101" t="n"/>
      <c r="C416" s="101" t="n"/>
      <c r="D416" s="101" t="n"/>
      <c r="E416" s="101" t="n"/>
      <c r="F416" s="101" t="n"/>
      <c r="G416" s="101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</row>
    <row r="417">
      <c r="A417" s="101" t="n"/>
      <c r="B417" s="101" t="n"/>
      <c r="C417" s="101" t="n"/>
      <c r="D417" s="101" t="n"/>
      <c r="E417" s="101" t="n"/>
      <c r="F417" s="101" t="n"/>
      <c r="G417" s="101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</row>
    <row r="418">
      <c r="A418" s="101" t="n"/>
      <c r="B418" s="101" t="n"/>
      <c r="C418" s="101" t="n"/>
      <c r="D418" s="101" t="n"/>
      <c r="E418" s="101" t="n"/>
      <c r="F418" s="101" t="n"/>
      <c r="G418" s="101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</row>
    <row r="419">
      <c r="A419" s="101" t="n"/>
      <c r="B419" s="101" t="n"/>
      <c r="C419" s="101" t="n"/>
      <c r="D419" s="101" t="n"/>
      <c r="E419" s="101" t="n"/>
      <c r="F419" s="101" t="n"/>
      <c r="G419" s="101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</row>
    <row r="420">
      <c r="A420" s="101" t="n"/>
      <c r="B420" s="101" t="n"/>
      <c r="C420" s="101" t="n"/>
      <c r="D420" s="101" t="n"/>
      <c r="E420" s="101" t="n"/>
      <c r="F420" s="101" t="n"/>
      <c r="G420" s="101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</row>
    <row r="421">
      <c r="A421" s="101" t="n"/>
      <c r="B421" s="101" t="n"/>
      <c r="C421" s="101" t="n"/>
      <c r="D421" s="101" t="n"/>
      <c r="E421" s="101" t="n"/>
      <c r="F421" s="101" t="n"/>
      <c r="G421" s="101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</row>
    <row r="422">
      <c r="A422" s="101" t="n"/>
      <c r="B422" s="101" t="n"/>
      <c r="C422" s="101" t="n"/>
      <c r="D422" s="101" t="n"/>
      <c r="E422" s="101" t="n"/>
      <c r="F422" s="101" t="n"/>
      <c r="G422" s="101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</row>
    <row r="423">
      <c r="A423" s="101" t="n"/>
      <c r="B423" s="101" t="n"/>
      <c r="C423" s="101" t="n"/>
      <c r="D423" s="101" t="n"/>
      <c r="E423" s="101" t="n"/>
      <c r="F423" s="101" t="n"/>
      <c r="G423" s="101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</row>
    <row r="424">
      <c r="A424" s="101" t="n"/>
      <c r="B424" s="101" t="n"/>
      <c r="C424" s="101" t="n"/>
      <c r="D424" s="101" t="n"/>
      <c r="E424" s="101" t="n"/>
      <c r="F424" s="101" t="n"/>
      <c r="G424" s="101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</row>
    <row r="425">
      <c r="A425" s="101" t="n"/>
      <c r="B425" s="101" t="n"/>
      <c r="C425" s="101" t="n"/>
      <c r="D425" s="101" t="n"/>
      <c r="E425" s="101" t="n"/>
      <c r="F425" s="101" t="n"/>
      <c r="G425" s="101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</row>
    <row r="426">
      <c r="A426" s="101" t="n"/>
      <c r="B426" s="101" t="n"/>
      <c r="C426" s="101" t="n"/>
      <c r="D426" s="101" t="n"/>
      <c r="E426" s="101" t="n"/>
      <c r="F426" s="101" t="n"/>
      <c r="G426" s="101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</row>
    <row r="427">
      <c r="A427" s="101" t="n"/>
      <c r="B427" s="101" t="n"/>
      <c r="C427" s="101" t="n"/>
      <c r="D427" s="101" t="n"/>
      <c r="E427" s="101" t="n"/>
      <c r="F427" s="101" t="n"/>
      <c r="G427" s="101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</row>
    <row r="428">
      <c r="A428" s="101" t="n"/>
      <c r="B428" s="101" t="n"/>
      <c r="C428" s="101" t="n"/>
      <c r="D428" s="101" t="n"/>
      <c r="E428" s="101" t="n"/>
      <c r="F428" s="101" t="n"/>
      <c r="G428" s="101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</row>
    <row r="429">
      <c r="A429" s="101" t="n"/>
      <c r="B429" s="101" t="n"/>
      <c r="C429" s="101" t="n"/>
      <c r="D429" s="101" t="n"/>
      <c r="E429" s="101" t="n"/>
      <c r="F429" s="101" t="n"/>
      <c r="G429" s="101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</row>
    <row r="430">
      <c r="A430" s="101" t="n"/>
      <c r="B430" s="101" t="n"/>
      <c r="C430" s="101" t="n"/>
      <c r="D430" s="101" t="n"/>
      <c r="E430" s="101" t="n"/>
      <c r="F430" s="101" t="n"/>
      <c r="G430" s="101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</row>
    <row r="431">
      <c r="A431" s="101" t="n"/>
      <c r="B431" s="101" t="n"/>
      <c r="C431" s="101" t="n"/>
      <c r="D431" s="101" t="n"/>
      <c r="E431" s="101" t="n"/>
      <c r="F431" s="101" t="n"/>
      <c r="G431" s="101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</row>
    <row r="432">
      <c r="A432" s="101" t="n"/>
      <c r="B432" s="101" t="n"/>
      <c r="C432" s="101" t="n"/>
      <c r="D432" s="101" t="n"/>
      <c r="E432" s="101" t="n"/>
      <c r="F432" s="101" t="n"/>
      <c r="G432" s="101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</row>
    <row r="433">
      <c r="A433" s="101" t="n"/>
      <c r="B433" s="101" t="n"/>
      <c r="C433" s="101" t="n"/>
      <c r="D433" s="101" t="n"/>
      <c r="E433" s="101" t="n"/>
      <c r="F433" s="101" t="n"/>
      <c r="G433" s="101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</row>
    <row r="434">
      <c r="A434" s="101" t="n"/>
      <c r="B434" s="101" t="n"/>
      <c r="C434" s="101" t="n"/>
      <c r="D434" s="101" t="n"/>
      <c r="E434" s="101" t="n"/>
      <c r="F434" s="101" t="n"/>
      <c r="G434" s="101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</row>
    <row r="435">
      <c r="A435" s="101" t="n"/>
      <c r="B435" s="101" t="n"/>
      <c r="C435" s="101" t="n"/>
      <c r="D435" s="101" t="n"/>
      <c r="E435" s="101" t="n"/>
      <c r="F435" s="101" t="n"/>
      <c r="G435" s="101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</row>
    <row r="436">
      <c r="A436" s="101" t="n"/>
      <c r="B436" s="101" t="n"/>
      <c r="C436" s="101" t="n"/>
      <c r="D436" s="101" t="n"/>
      <c r="E436" s="101" t="n"/>
      <c r="F436" s="101" t="n"/>
      <c r="G436" s="101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</row>
    <row r="437">
      <c r="A437" s="101" t="n"/>
      <c r="B437" s="101" t="n"/>
      <c r="C437" s="101" t="n"/>
      <c r="D437" s="101" t="n"/>
      <c r="E437" s="101" t="n"/>
      <c r="F437" s="101" t="n"/>
      <c r="G437" s="101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</row>
    <row r="438">
      <c r="A438" s="101" t="n"/>
      <c r="B438" s="101" t="n"/>
      <c r="C438" s="101" t="n"/>
      <c r="D438" s="101" t="n"/>
      <c r="E438" s="101" t="n"/>
      <c r="F438" s="101" t="n"/>
      <c r="G438" s="101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</row>
    <row r="439">
      <c r="A439" s="101" t="n"/>
      <c r="B439" s="101" t="n"/>
      <c r="C439" s="101" t="n"/>
      <c r="D439" s="101" t="n"/>
      <c r="E439" s="101" t="n"/>
      <c r="F439" s="101" t="n"/>
      <c r="G439" s="101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</row>
    <row r="440">
      <c r="A440" s="101" t="n"/>
      <c r="B440" s="101" t="n"/>
      <c r="C440" s="101" t="n"/>
      <c r="D440" s="101" t="n"/>
      <c r="E440" s="101" t="n"/>
      <c r="F440" s="101" t="n"/>
      <c r="G440" s="101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</row>
    <row r="441">
      <c r="A441" s="101" t="n"/>
      <c r="B441" s="101" t="n"/>
      <c r="C441" s="101" t="n"/>
      <c r="D441" s="101" t="n"/>
      <c r="E441" s="101" t="n"/>
      <c r="F441" s="101" t="n"/>
      <c r="G441" s="101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</row>
    <row r="442">
      <c r="A442" s="101" t="n"/>
      <c r="B442" s="101" t="n"/>
      <c r="C442" s="101" t="n"/>
      <c r="D442" s="101" t="n"/>
      <c r="E442" s="101" t="n"/>
      <c r="F442" s="101" t="n"/>
      <c r="G442" s="101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</row>
    <row r="443">
      <c r="A443" s="101" t="n"/>
      <c r="B443" s="101" t="n"/>
      <c r="C443" s="101" t="n"/>
      <c r="D443" s="101" t="n"/>
      <c r="E443" s="101" t="n"/>
      <c r="F443" s="101" t="n"/>
      <c r="G443" s="101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</row>
    <row r="444">
      <c r="A444" s="101" t="n"/>
      <c r="B444" s="101" t="n"/>
      <c r="C444" s="101" t="n"/>
      <c r="D444" s="101" t="n"/>
      <c r="E444" s="101" t="n"/>
      <c r="F444" s="101" t="n"/>
      <c r="G444" s="101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</row>
    <row r="445">
      <c r="A445" s="101" t="n"/>
      <c r="B445" s="101" t="n"/>
      <c r="C445" s="101" t="n"/>
      <c r="D445" s="101" t="n"/>
      <c r="E445" s="101" t="n"/>
      <c r="F445" s="101" t="n"/>
      <c r="G445" s="101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</row>
    <row r="446">
      <c r="A446" s="101" t="n"/>
      <c r="B446" s="101" t="n"/>
      <c r="C446" s="101" t="n"/>
      <c r="D446" s="101" t="n"/>
      <c r="E446" s="101" t="n"/>
      <c r="F446" s="101" t="n"/>
      <c r="G446" s="101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</row>
    <row r="447">
      <c r="A447" s="101" t="n"/>
      <c r="B447" s="101" t="n"/>
      <c r="C447" s="101" t="n"/>
      <c r="D447" s="101" t="n"/>
      <c r="E447" s="101" t="n"/>
      <c r="F447" s="101" t="n"/>
      <c r="G447" s="101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</row>
    <row r="448">
      <c r="A448" s="101" t="n"/>
      <c r="B448" s="101" t="n"/>
      <c r="C448" s="101" t="n"/>
      <c r="D448" s="101" t="n"/>
      <c r="E448" s="101" t="n"/>
      <c r="F448" s="101" t="n"/>
      <c r="G448" s="101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</row>
    <row r="449">
      <c r="A449" s="101" t="n"/>
      <c r="B449" s="101" t="n"/>
      <c r="C449" s="101" t="n"/>
      <c r="D449" s="101" t="n"/>
      <c r="E449" s="101" t="n"/>
      <c r="F449" s="101" t="n"/>
      <c r="G449" s="101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</row>
    <row r="450">
      <c r="A450" s="101" t="n"/>
      <c r="B450" s="101" t="n"/>
      <c r="C450" s="101" t="n"/>
      <c r="D450" s="101" t="n"/>
      <c r="E450" s="101" t="n"/>
      <c r="F450" s="101" t="n"/>
      <c r="G450" s="101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</row>
    <row r="451">
      <c r="A451" s="101" t="n"/>
      <c r="B451" s="101" t="n"/>
      <c r="C451" s="101" t="n"/>
      <c r="D451" s="101" t="n"/>
      <c r="E451" s="101" t="n"/>
      <c r="F451" s="101" t="n"/>
      <c r="G451" s="101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</row>
    <row r="452">
      <c r="A452" s="101" t="n"/>
      <c r="B452" s="101" t="n"/>
      <c r="C452" s="101" t="n"/>
      <c r="D452" s="101" t="n"/>
      <c r="E452" s="101" t="n"/>
      <c r="F452" s="101" t="n"/>
      <c r="G452" s="101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</row>
    <row r="453">
      <c r="A453" s="101" t="n"/>
      <c r="B453" s="101" t="n"/>
      <c r="C453" s="101" t="n"/>
      <c r="D453" s="101" t="n"/>
      <c r="E453" s="101" t="n"/>
      <c r="F453" s="101" t="n"/>
      <c r="G453" s="101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</row>
    <row r="454">
      <c r="A454" s="101" t="n"/>
      <c r="B454" s="101" t="n"/>
      <c r="C454" s="101" t="n"/>
      <c r="D454" s="101" t="n"/>
      <c r="E454" s="101" t="n"/>
      <c r="F454" s="101" t="n"/>
      <c r="G454" s="101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</row>
    <row r="455">
      <c r="A455" s="101" t="n"/>
      <c r="B455" s="101" t="n"/>
      <c r="C455" s="101" t="n"/>
      <c r="D455" s="101" t="n"/>
      <c r="E455" s="101" t="n"/>
      <c r="F455" s="101" t="n"/>
      <c r="G455" s="101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</row>
    <row r="456">
      <c r="A456" s="101" t="n"/>
      <c r="B456" s="101" t="n"/>
      <c r="C456" s="101" t="n"/>
      <c r="D456" s="101" t="n"/>
      <c r="E456" s="101" t="n"/>
      <c r="F456" s="101" t="n"/>
      <c r="G456" s="101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</row>
    <row r="457">
      <c r="A457" s="101" t="n"/>
      <c r="B457" s="101" t="n"/>
      <c r="C457" s="101" t="n"/>
      <c r="D457" s="101" t="n"/>
      <c r="E457" s="101" t="n"/>
      <c r="F457" s="101" t="n"/>
      <c r="G457" s="101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</row>
    <row r="458">
      <c r="A458" s="101" t="n"/>
      <c r="B458" s="101" t="n"/>
      <c r="C458" s="101" t="n"/>
      <c r="D458" s="101" t="n"/>
      <c r="E458" s="101" t="n"/>
      <c r="F458" s="101" t="n"/>
      <c r="G458" s="101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</row>
    <row r="459">
      <c r="A459" s="101" t="n"/>
      <c r="B459" s="101" t="n"/>
      <c r="C459" s="101" t="n"/>
      <c r="D459" s="101" t="n"/>
      <c r="E459" s="101" t="n"/>
      <c r="F459" s="101" t="n"/>
      <c r="G459" s="101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</row>
    <row r="460">
      <c r="A460" s="101" t="n"/>
      <c r="B460" s="101" t="n"/>
      <c r="C460" s="101" t="n"/>
      <c r="D460" s="101" t="n"/>
      <c r="E460" s="101" t="n"/>
      <c r="F460" s="101" t="n"/>
      <c r="G460" s="101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</row>
    <row r="461">
      <c r="A461" s="101" t="n"/>
      <c r="B461" s="101" t="n"/>
      <c r="C461" s="101" t="n"/>
      <c r="D461" s="101" t="n"/>
      <c r="E461" s="101" t="n"/>
      <c r="F461" s="101" t="n"/>
      <c r="G461" s="101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</row>
    <row r="462">
      <c r="A462" s="101" t="n"/>
      <c r="B462" s="101" t="n"/>
      <c r="C462" s="101" t="n"/>
      <c r="D462" s="101" t="n"/>
      <c r="E462" s="101" t="n"/>
      <c r="F462" s="101" t="n"/>
      <c r="G462" s="101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</row>
    <row r="463">
      <c r="A463" s="101" t="n"/>
      <c r="B463" s="101" t="n"/>
      <c r="C463" s="101" t="n"/>
      <c r="D463" s="101" t="n"/>
      <c r="E463" s="101" t="n"/>
      <c r="F463" s="101" t="n"/>
      <c r="G463" s="101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</row>
    <row r="464">
      <c r="A464" s="101" t="n"/>
      <c r="B464" s="101" t="n"/>
      <c r="C464" s="101" t="n"/>
      <c r="D464" s="101" t="n"/>
      <c r="E464" s="101" t="n"/>
      <c r="F464" s="101" t="n"/>
      <c r="G464" s="101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</row>
    <row r="465">
      <c r="A465" s="101" t="n"/>
      <c r="B465" s="101" t="n"/>
      <c r="C465" s="101" t="n"/>
      <c r="D465" s="101" t="n"/>
      <c r="E465" s="101" t="n"/>
      <c r="F465" s="101" t="n"/>
      <c r="G465" s="101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</row>
    <row r="466">
      <c r="A466" s="101" t="n"/>
      <c r="B466" s="101" t="n"/>
      <c r="C466" s="101" t="n"/>
      <c r="D466" s="101" t="n"/>
      <c r="E466" s="101" t="n"/>
      <c r="F466" s="101" t="n"/>
      <c r="G466" s="101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</row>
    <row r="467">
      <c r="A467" s="101" t="n"/>
      <c r="B467" s="101" t="n"/>
      <c r="C467" s="101" t="n"/>
      <c r="D467" s="101" t="n"/>
      <c r="E467" s="101" t="n"/>
      <c r="F467" s="101" t="n"/>
      <c r="G467" s="101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</row>
    <row r="468">
      <c r="A468" s="101" t="n"/>
      <c r="B468" s="101" t="n"/>
      <c r="C468" s="101" t="n"/>
      <c r="D468" s="101" t="n"/>
      <c r="E468" s="101" t="n"/>
      <c r="F468" s="101" t="n"/>
      <c r="G468" s="101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</row>
    <row r="469">
      <c r="A469" s="101" t="n"/>
      <c r="B469" s="101" t="n"/>
      <c r="C469" s="101" t="n"/>
      <c r="D469" s="101" t="n"/>
      <c r="E469" s="101" t="n"/>
      <c r="F469" s="101" t="n"/>
      <c r="G469" s="101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</row>
    <row r="470">
      <c r="A470" s="101" t="n"/>
      <c r="B470" s="101" t="n"/>
      <c r="C470" s="101" t="n"/>
      <c r="D470" s="101" t="n"/>
      <c r="E470" s="101" t="n"/>
      <c r="F470" s="101" t="n"/>
      <c r="G470" s="101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</row>
    <row r="471">
      <c r="A471" s="101" t="n"/>
      <c r="B471" s="101" t="n"/>
      <c r="C471" s="101" t="n"/>
      <c r="D471" s="101" t="n"/>
      <c r="E471" s="101" t="n"/>
      <c r="F471" s="101" t="n"/>
      <c r="G471" s="101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</row>
    <row r="472">
      <c r="A472" s="101" t="n"/>
      <c r="B472" s="101" t="n"/>
      <c r="C472" s="101" t="n"/>
      <c r="D472" s="101" t="n"/>
      <c r="E472" s="101" t="n"/>
      <c r="F472" s="101" t="n"/>
      <c r="G472" s="101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</row>
    <row r="473">
      <c r="A473" s="101" t="n"/>
      <c r="B473" s="101" t="n"/>
      <c r="C473" s="101" t="n"/>
      <c r="D473" s="101" t="n"/>
      <c r="E473" s="101" t="n"/>
      <c r="F473" s="101" t="n"/>
      <c r="G473" s="101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</row>
    <row r="474">
      <c r="A474" s="101" t="n"/>
      <c r="B474" s="101" t="n"/>
      <c r="C474" s="101" t="n"/>
      <c r="D474" s="101" t="n"/>
      <c r="E474" s="101" t="n"/>
      <c r="F474" s="101" t="n"/>
      <c r="G474" s="101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</row>
    <row r="475">
      <c r="A475" s="101" t="n"/>
      <c r="B475" s="101" t="n"/>
      <c r="C475" s="101" t="n"/>
      <c r="D475" s="101" t="n"/>
      <c r="E475" s="101" t="n"/>
      <c r="F475" s="101" t="n"/>
      <c r="G475" s="101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</row>
    <row r="476">
      <c r="A476" s="101" t="n"/>
      <c r="B476" s="101" t="n"/>
      <c r="C476" s="101" t="n"/>
      <c r="D476" s="101" t="n"/>
      <c r="E476" s="101" t="n"/>
      <c r="F476" s="101" t="n"/>
      <c r="G476" s="101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</row>
    <row r="477">
      <c r="A477" s="101" t="n"/>
      <c r="B477" s="101" t="n"/>
      <c r="C477" s="101" t="n"/>
      <c r="D477" s="101" t="n"/>
      <c r="E477" s="101" t="n"/>
      <c r="F477" s="101" t="n"/>
      <c r="G477" s="101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</row>
    <row r="478">
      <c r="A478" s="101" t="n"/>
      <c r="B478" s="101" t="n"/>
      <c r="C478" s="101" t="n"/>
      <c r="D478" s="101" t="n"/>
      <c r="E478" s="101" t="n"/>
      <c r="F478" s="101" t="n"/>
      <c r="G478" s="101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</row>
    <row r="479">
      <c r="A479" s="101" t="n"/>
      <c r="B479" s="101" t="n"/>
      <c r="C479" s="101" t="n"/>
      <c r="D479" s="101" t="n"/>
      <c r="E479" s="101" t="n"/>
      <c r="F479" s="101" t="n"/>
      <c r="G479" s="101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</row>
    <row r="480">
      <c r="A480" s="101" t="n"/>
      <c r="B480" s="101" t="n"/>
      <c r="C480" s="101" t="n"/>
      <c r="D480" s="101" t="n"/>
      <c r="E480" s="101" t="n"/>
      <c r="F480" s="101" t="n"/>
      <c r="G480" s="101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</row>
    <row r="481">
      <c r="A481" s="101" t="n"/>
      <c r="B481" s="101" t="n"/>
      <c r="C481" s="101" t="n"/>
      <c r="D481" s="101" t="n"/>
      <c r="E481" s="101" t="n"/>
      <c r="F481" s="101" t="n"/>
      <c r="G481" s="101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</row>
    <row r="482">
      <c r="A482" s="101" t="n"/>
      <c r="B482" s="101" t="n"/>
      <c r="C482" s="101" t="n"/>
      <c r="D482" s="101" t="n"/>
      <c r="E482" s="101" t="n"/>
      <c r="F482" s="101" t="n"/>
      <c r="G482" s="101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</row>
    <row r="483">
      <c r="A483" s="101" t="n"/>
      <c r="B483" s="101" t="n"/>
      <c r="C483" s="101" t="n"/>
      <c r="D483" s="101" t="n"/>
      <c r="E483" s="101" t="n"/>
      <c r="F483" s="101" t="n"/>
      <c r="G483" s="101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</row>
    <row r="484">
      <c r="A484" s="101" t="n"/>
      <c r="B484" s="101" t="n"/>
      <c r="C484" s="101" t="n"/>
      <c r="D484" s="101" t="n"/>
      <c r="E484" s="101" t="n"/>
      <c r="F484" s="101" t="n"/>
      <c r="G484" s="101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</row>
    <row r="485">
      <c r="A485" s="101" t="n"/>
      <c r="B485" s="101" t="n"/>
      <c r="C485" s="101" t="n"/>
      <c r="D485" s="101" t="n"/>
      <c r="E485" s="101" t="n"/>
      <c r="F485" s="101" t="n"/>
      <c r="G485" s="101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</row>
    <row r="486">
      <c r="A486" s="101" t="n"/>
      <c r="B486" s="101" t="n"/>
      <c r="C486" s="101" t="n"/>
      <c r="D486" s="101" t="n"/>
      <c r="E486" s="101" t="n"/>
      <c r="F486" s="101" t="n"/>
      <c r="G486" s="101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</row>
    <row r="487">
      <c r="A487" s="101" t="n"/>
      <c r="B487" s="101" t="n"/>
      <c r="C487" s="101" t="n"/>
      <c r="D487" s="101" t="n"/>
      <c r="E487" s="101" t="n"/>
      <c r="F487" s="101" t="n"/>
      <c r="G487" s="101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</row>
    <row r="488">
      <c r="A488" s="101" t="n"/>
      <c r="B488" s="101" t="n"/>
      <c r="C488" s="101" t="n"/>
      <c r="D488" s="101" t="n"/>
      <c r="E488" s="101" t="n"/>
      <c r="F488" s="101" t="n"/>
      <c r="G488" s="101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</row>
    <row r="489">
      <c r="A489" s="101" t="n"/>
      <c r="B489" s="101" t="n"/>
      <c r="C489" s="101" t="n"/>
      <c r="D489" s="101" t="n"/>
      <c r="E489" s="101" t="n"/>
      <c r="F489" s="101" t="n"/>
      <c r="G489" s="101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</row>
    <row r="490">
      <c r="A490" s="101" t="n"/>
      <c r="B490" s="101" t="n"/>
      <c r="C490" s="101" t="n"/>
      <c r="D490" s="101" t="n"/>
      <c r="E490" s="101" t="n"/>
      <c r="F490" s="101" t="n"/>
      <c r="G490" s="101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</row>
    <row r="491">
      <c r="A491" s="101" t="n"/>
      <c r="B491" s="101" t="n"/>
      <c r="C491" s="101" t="n"/>
      <c r="D491" s="101" t="n"/>
      <c r="E491" s="101" t="n"/>
      <c r="F491" s="101" t="n"/>
      <c r="G491" s="101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</row>
    <row r="492">
      <c r="A492" s="101" t="n"/>
      <c r="B492" s="101" t="n"/>
      <c r="C492" s="101" t="n"/>
      <c r="D492" s="101" t="n"/>
      <c r="E492" s="101" t="n"/>
      <c r="F492" s="101" t="n"/>
      <c r="G492" s="101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</row>
    <row r="493">
      <c r="A493" s="101" t="n"/>
      <c r="B493" s="101" t="n"/>
      <c r="C493" s="101" t="n"/>
      <c r="D493" s="101" t="n"/>
      <c r="E493" s="101" t="n"/>
      <c r="F493" s="101" t="n"/>
      <c r="G493" s="101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</row>
    <row r="494">
      <c r="A494" s="101" t="n"/>
      <c r="B494" s="101" t="n"/>
      <c r="C494" s="101" t="n"/>
      <c r="D494" s="101" t="n"/>
      <c r="E494" s="101" t="n"/>
      <c r="F494" s="101" t="n"/>
      <c r="G494" s="101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</row>
    <row r="495">
      <c r="A495" s="101" t="n"/>
      <c r="B495" s="101" t="n"/>
      <c r="C495" s="101" t="n"/>
      <c r="D495" s="101" t="n"/>
      <c r="E495" s="101" t="n"/>
      <c r="F495" s="101" t="n"/>
      <c r="G495" s="101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</row>
    <row r="496">
      <c r="A496" s="101" t="n"/>
      <c r="B496" s="101" t="n"/>
      <c r="C496" s="101" t="n"/>
      <c r="D496" s="101" t="n"/>
      <c r="E496" s="101" t="n"/>
      <c r="F496" s="101" t="n"/>
      <c r="G496" s="101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</row>
    <row r="497">
      <c r="A497" s="101" t="n"/>
      <c r="B497" s="101" t="n"/>
      <c r="C497" s="101" t="n"/>
      <c r="D497" s="101" t="n"/>
      <c r="E497" s="101" t="n"/>
      <c r="F497" s="101" t="n"/>
      <c r="G497" s="101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</row>
    <row r="498">
      <c r="A498" s="101" t="n"/>
      <c r="B498" s="101" t="n"/>
      <c r="C498" s="101" t="n"/>
      <c r="D498" s="101" t="n"/>
      <c r="E498" s="101" t="n"/>
      <c r="F498" s="101" t="n"/>
      <c r="G498" s="101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</row>
    <row r="499">
      <c r="A499" s="101" t="n"/>
      <c r="B499" s="101" t="n"/>
      <c r="C499" s="101" t="n"/>
      <c r="D499" s="101" t="n"/>
      <c r="E499" s="101" t="n"/>
      <c r="F499" s="101" t="n"/>
      <c r="G499" s="101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</row>
    <row r="500" hidden="1" ht="15" customHeight="1" s="5">
      <c r="A500" s="101" t="n"/>
      <c r="B500" s="101" t="n"/>
      <c r="C500" s="101" t="n"/>
      <c r="D500" s="101" t="n"/>
      <c r="E500" s="101" t="n"/>
      <c r="F500" s="101" t="inlineStr">
        <is>
          <t>week Monday (drives SUMIFS)</t>
        </is>
      </c>
      <c r="G500" s="81" t="n"/>
      <c r="H500" s="81">
        <f>DATE(2026,9,28)</f>
        <v/>
      </c>
      <c r="I500" s="81">
        <f>H500+7</f>
        <v/>
      </c>
      <c r="J500" s="81">
        <f>I500+7</f>
        <v/>
      </c>
      <c r="K500" s="81">
        <f>J500+7</f>
        <v/>
      </c>
      <c r="L500" s="81">
        <f>K500+7</f>
        <v/>
      </c>
      <c r="M500" s="81">
        <f>L500+7</f>
        <v/>
      </c>
      <c r="N500" s="81">
        <f>M500+7</f>
        <v/>
      </c>
      <c r="O500" s="81">
        <f>N500+7</f>
        <v/>
      </c>
      <c r="P500" s="81">
        <f>O500+7</f>
        <v/>
      </c>
      <c r="Q500" s="81">
        <f>P500+7</f>
        <v/>
      </c>
      <c r="R500" s="81">
        <f>Q500+7</f>
        <v/>
      </c>
      <c r="S500" s="101">
        <f>R500+7</f>
        <v/>
      </c>
      <c r="T500" s="101" t="n"/>
      <c r="U500" s="101" t="n"/>
      <c r="V500" s="101" t="n"/>
    </row>
    <row r="501" ht="15" customHeight="1" s="5">
      <c r="A501" s="101" t="n"/>
      <c r="B501" s="101" t="n"/>
      <c r="C501" s="101" t="n"/>
      <c r="D501" s="101" t="n"/>
      <c r="E501" s="101" t="n"/>
      <c r="F501" s="10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101" t="n"/>
      <c r="T501" s="101" t="n"/>
      <c r="U501" s="101" t="n"/>
      <c r="V501" s="101" t="n"/>
    </row>
  </sheetData>
  <mergeCells count="40">
    <mergeCell ref="B29:B33"/>
    <mergeCell ref="C20:C21"/>
    <mergeCell ref="C48:C50"/>
    <mergeCell ref="B38:B42"/>
    <mergeCell ref="C29:C30"/>
    <mergeCell ref="A3:A33"/>
    <mergeCell ref="A59:A66"/>
    <mergeCell ref="B59:B62"/>
    <mergeCell ref="B3:B10"/>
    <mergeCell ref="B11:B14"/>
    <mergeCell ref="C54:C55"/>
    <mergeCell ref="C9:C10"/>
    <mergeCell ref="C65:C66"/>
    <mergeCell ref="B48:B53"/>
    <mergeCell ref="C41:C42"/>
    <mergeCell ref="C3:C7"/>
    <mergeCell ref="C46:C47"/>
    <mergeCell ref="B54:B58"/>
    <mergeCell ref="B63:B66"/>
    <mergeCell ref="C36:C37"/>
    <mergeCell ref="A34:A47"/>
    <mergeCell ref="C52:C53"/>
    <mergeCell ref="C43:C44"/>
    <mergeCell ref="C23:C24"/>
    <mergeCell ref="A1:G1"/>
    <mergeCell ref="C57:C58"/>
    <mergeCell ref="C61:C62"/>
    <mergeCell ref="B34:B37"/>
    <mergeCell ref="U1:AF1"/>
    <mergeCell ref="C27:C28"/>
    <mergeCell ref="C32:C33"/>
    <mergeCell ref="C13:C14"/>
    <mergeCell ref="B43:B47"/>
    <mergeCell ref="C38:C39"/>
    <mergeCell ref="H1:S1"/>
    <mergeCell ref="C15:C16"/>
    <mergeCell ref="B15:B24"/>
    <mergeCell ref="B25:B28"/>
    <mergeCell ref="C18:C19"/>
    <mergeCell ref="A48:A58"/>
  </mergeCells>
  <conditionalFormatting sqref="H3:S66">
    <cfRule type="expression" priority="2" dxfId="0">
      <formula>AND(ISNUMBER(H3),ISNUMBER($G3),$G3&gt;0,H3&gt;$G3)</formula>
    </cfRule>
  </conditionalFormatting>
  <conditionalFormatting sqref="U3:AF66">
    <cfRule type="expression" priority="2" dxfId="0">
      <formula>AND(ISNUMBER(U3),ISNUMBER($G3),$G3&gt;0,U3&gt;$G3)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5" min="1" max="1"/>
    <col width="9" customWidth="1" style="5" min="2" max="2"/>
    <col width="9" customWidth="1" style="5" min="3" max="3"/>
    <col width="14.89" customWidth="1" style="5" min="4" max="4"/>
    <col width="7" customWidth="1" style="5" min="5" max="5"/>
    <col width="7" customWidth="1" style="5" min="6" max="6"/>
    <col width="11.11" customWidth="1" style="5" min="7" max="7"/>
    <col width="6.44" customWidth="1" style="5" min="8" max="8"/>
  </cols>
  <sheetData>
    <row r="1" ht="15.6" customHeight="1" s="5">
      <c r="A1" s="99" t="inlineStr">
        <is>
          <t>Order Vs Week Distribution</t>
        </is>
      </c>
      <c r="B1" s="84" t="n"/>
      <c r="C1" s="84" t="n"/>
      <c r="D1" s="84" t="n"/>
      <c r="E1" s="84" t="n"/>
      <c r="F1" s="84" t="n"/>
      <c r="G1" s="85" t="n"/>
      <c r="H1" s="99" t="inlineStr">
        <is>
          <t>Based on Order Qty</t>
        </is>
      </c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5" t="n"/>
    </row>
    <row r="2" ht="57.6" customHeight="1" s="5">
      <c r="A2" s="67">
        <f>IF('ORDER VS WEEK DISTRIBUTION'!A2="","",'ORDER VS WEEK DISTRIBUTION'!A2)</f>
        <v/>
      </c>
      <c r="B2" s="67">
        <f>IF('ORDER VS WEEK DISTRIBUTION'!B2="","",'ORDER VS WEEK DISTRIBUTION'!B2)</f>
        <v/>
      </c>
      <c r="C2" s="67">
        <f>IF('ORDER VS WEEK DISTRIBUTION'!C2="","",'ORDER VS WEEK DISTRIBUTION'!C2)</f>
        <v/>
      </c>
      <c r="D2" s="67">
        <f>IF('ORDER VS WEEK DISTRIBUTION'!D2="","",'ORDER VS WEEK DISTRIBUTION'!D2)</f>
        <v/>
      </c>
      <c r="E2" s="67">
        <f>IF('ORDER VS WEEK DISTRIBUTION'!E2="","",'ORDER VS WEEK DISTRIBUTION'!E2)</f>
        <v/>
      </c>
      <c r="F2" s="67">
        <f>IF('ORDER VS WEEK DISTRIBUTION'!F2="","",'ORDER VS WEEK DISTRIBUTION'!F2)</f>
        <v/>
      </c>
      <c r="G2" s="67">
        <f>IF('ORDER VS WEEK DISTRIBUTION'!G2="","",'ORDER VS WEEK DISTRIBUTION'!G2)</f>
        <v/>
      </c>
      <c r="H2" s="67">
        <f>IF('ORDER VS WEEK DISTRIBUTION'!U2="","",'ORDER VS WEEK DISTRIBUTION'!U2)</f>
        <v/>
      </c>
      <c r="I2" s="67">
        <f>IF('ORDER VS WEEK DISTRIBUTION'!V2="","",'ORDER VS WEEK DISTRIBUTION'!V2)</f>
        <v/>
      </c>
      <c r="J2" s="67">
        <f>IF('ORDER VS WEEK DISTRIBUTION'!W2="","",'ORDER VS WEEK DISTRIBUTION'!W2)</f>
        <v/>
      </c>
      <c r="K2" s="67">
        <f>IF('ORDER VS WEEK DISTRIBUTION'!X2="","",'ORDER VS WEEK DISTRIBUTION'!X2)</f>
        <v/>
      </c>
      <c r="L2" s="67">
        <f>IF('ORDER VS WEEK DISTRIBUTION'!Y2="","",'ORDER VS WEEK DISTRIBUTION'!Y2)</f>
        <v/>
      </c>
      <c r="M2" s="67">
        <f>IF('ORDER VS WEEK DISTRIBUTION'!Z2="","",'ORDER VS WEEK DISTRIBUTION'!Z2)</f>
        <v/>
      </c>
      <c r="N2" s="67">
        <f>IF('ORDER VS WEEK DISTRIBUTION'!AA2="","",'ORDER VS WEEK DISTRIBUTION'!AA2)</f>
        <v/>
      </c>
      <c r="O2" s="67">
        <f>IF('ORDER VS WEEK DISTRIBUTION'!AB2="","",'ORDER VS WEEK DISTRIBUTION'!AB2)</f>
        <v/>
      </c>
      <c r="P2" s="67">
        <f>IF('ORDER VS WEEK DISTRIBUTION'!AC2="","",'ORDER VS WEEK DISTRIBUTION'!AC2)</f>
        <v/>
      </c>
      <c r="Q2" s="67">
        <f>IF('ORDER VS WEEK DISTRIBUTION'!AD2="","",'ORDER VS WEEK DISTRIBUTION'!AD2)</f>
        <v/>
      </c>
      <c r="R2" s="67">
        <f>IF('ORDER VS WEEK DISTRIBUTION'!AE2="","",'ORDER VS WEEK DISTRIBUTION'!AE2)</f>
        <v/>
      </c>
      <c r="S2" s="67">
        <f>IF('ORDER VS WEEK DISTRIBUTION'!AF2="","",'ORDER VS WEEK DISTRIBUTION'!AF2)</f>
        <v/>
      </c>
    </row>
    <row r="3">
      <c r="A3" s="123">
        <f>IF('ORDER VS WEEK DISTRIBUTION'!A3="","",'ORDER VS WEEK DISTRIBUTION'!A3)</f>
        <v/>
      </c>
      <c r="B3" s="103">
        <f>IF('ORDER VS WEEK DISTRIBUTION'!B3="","",'ORDER VS WEEK DISTRIBUTION'!B3)</f>
        <v/>
      </c>
      <c r="C3" s="65">
        <f>IF('ORDER VS WEEK DISTRIBUTION'!C3="","",'ORDER VS WEEK DISTRIBUTION'!C3)</f>
        <v/>
      </c>
      <c r="D3" s="52">
        <f>IF('ORDER VS WEEK DISTRIBUTION'!D3="","",'ORDER VS WEEK DISTRIBUTION'!D3)</f>
        <v/>
      </c>
      <c r="E3" s="53">
        <f>IF('ORDER VS WEEK DISTRIBUTION'!E3="","",'ORDER VS WEEK DISTRIBUTION'!E3)</f>
        <v/>
      </c>
      <c r="F3" s="53">
        <f>IF('ORDER VS WEEK DISTRIBUTION'!F3="","",'ORDER VS WEEK DISTRIBUTION'!F3)</f>
        <v/>
      </c>
      <c r="G3" s="75">
        <f>IF('ORDER VS WEEK DISTRIBUTION'!G3="","",'ORDER VS WEEK DISTRIBUTION'!G3)</f>
        <v/>
      </c>
      <c r="H3" s="75">
        <f>IF('ORDER VS WEEK DISTRIBUTION'!U3="","",'ORDER VS WEEK DISTRIBUTION'!U3)</f>
        <v/>
      </c>
      <c r="I3" s="75">
        <f>IF('ORDER VS WEEK DISTRIBUTION'!V3="","",'ORDER VS WEEK DISTRIBUTION'!V3)</f>
        <v/>
      </c>
      <c r="J3" s="75">
        <f>IF('ORDER VS WEEK DISTRIBUTION'!W3="","",'ORDER VS WEEK DISTRIBUTION'!W3)</f>
        <v/>
      </c>
      <c r="K3" s="75">
        <f>IF('ORDER VS WEEK DISTRIBUTION'!X3="","",'ORDER VS WEEK DISTRIBUTION'!X3)</f>
        <v/>
      </c>
      <c r="L3" s="75">
        <f>IF('ORDER VS WEEK DISTRIBUTION'!Y3="","",'ORDER VS WEEK DISTRIBUTION'!Y3)</f>
        <v/>
      </c>
      <c r="M3" s="75">
        <f>IF('ORDER VS WEEK DISTRIBUTION'!Z3="","",'ORDER VS WEEK DISTRIBUTION'!Z3)</f>
        <v/>
      </c>
      <c r="N3" s="75">
        <f>IF('ORDER VS WEEK DISTRIBUTION'!AA3="","",'ORDER VS WEEK DISTRIBUTION'!AA3)</f>
        <v/>
      </c>
      <c r="O3" s="75">
        <f>IF('ORDER VS WEEK DISTRIBUTION'!AB3="","",'ORDER VS WEEK DISTRIBUTION'!AB3)</f>
        <v/>
      </c>
      <c r="P3" s="75">
        <f>IF('ORDER VS WEEK DISTRIBUTION'!AC3="","",'ORDER VS WEEK DISTRIBUTION'!AC3)</f>
        <v/>
      </c>
      <c r="Q3" s="75">
        <f>IF('ORDER VS WEEK DISTRIBUTION'!AD3="","",'ORDER VS WEEK DISTRIBUTION'!AD3)</f>
        <v/>
      </c>
      <c r="R3" s="75">
        <f>IF('ORDER VS WEEK DISTRIBUTION'!AE3="","",'ORDER VS WEEK DISTRIBUTION'!AE3)</f>
        <v/>
      </c>
      <c r="S3" s="75">
        <f>IF('ORDER VS WEEK DISTRIBUTION'!AF3="","",'ORDER VS WEEK DISTRIBUTION'!AF3)</f>
        <v/>
      </c>
    </row>
    <row r="4">
      <c r="A4" s="104" t="n"/>
      <c r="B4" s="104" t="n"/>
      <c r="C4" s="119">
        <f>IF('ORDER VS WEEK DISTRIBUTION'!C4="","",'ORDER VS WEEK DISTRIBUTION'!C4)</f>
        <v/>
      </c>
      <c r="D4" s="52">
        <f>IF('ORDER VS WEEK DISTRIBUTION'!D4="","",'ORDER VS WEEK DISTRIBUTION'!D4)</f>
        <v/>
      </c>
      <c r="E4" s="53">
        <f>IF('ORDER VS WEEK DISTRIBUTION'!E4="","",'ORDER VS WEEK DISTRIBUTION'!E4)</f>
        <v/>
      </c>
      <c r="F4" s="53">
        <f>IF('ORDER VS WEEK DISTRIBUTION'!F4="","",'ORDER VS WEEK DISTRIBUTION'!F4)</f>
        <v/>
      </c>
      <c r="G4" s="75">
        <f>IF('ORDER VS WEEK DISTRIBUTION'!G4="","",'ORDER VS WEEK DISTRIBUTION'!G4)</f>
        <v/>
      </c>
      <c r="H4" s="75">
        <f>IF('ORDER VS WEEK DISTRIBUTION'!U4="","",'ORDER VS WEEK DISTRIBUTION'!U4)</f>
        <v/>
      </c>
      <c r="I4" s="75">
        <f>IF('ORDER VS WEEK DISTRIBUTION'!V4="","",'ORDER VS WEEK DISTRIBUTION'!V4)</f>
        <v/>
      </c>
      <c r="J4" s="75">
        <f>IF('ORDER VS WEEK DISTRIBUTION'!W4="","",'ORDER VS WEEK DISTRIBUTION'!W4)</f>
        <v/>
      </c>
      <c r="K4" s="75">
        <f>IF('ORDER VS WEEK DISTRIBUTION'!X4="","",'ORDER VS WEEK DISTRIBUTION'!X4)</f>
        <v/>
      </c>
      <c r="L4" s="75">
        <f>IF('ORDER VS WEEK DISTRIBUTION'!Y4="","",'ORDER VS WEEK DISTRIBUTION'!Y4)</f>
        <v/>
      </c>
      <c r="M4" s="75">
        <f>IF('ORDER VS WEEK DISTRIBUTION'!Z4="","",'ORDER VS WEEK DISTRIBUTION'!Z4)</f>
        <v/>
      </c>
      <c r="N4" s="75">
        <f>IF('ORDER VS WEEK DISTRIBUTION'!AA4="","",'ORDER VS WEEK DISTRIBUTION'!AA4)</f>
        <v/>
      </c>
      <c r="O4" s="75">
        <f>IF('ORDER VS WEEK DISTRIBUTION'!AB4="","",'ORDER VS WEEK DISTRIBUTION'!AB4)</f>
        <v/>
      </c>
      <c r="P4" s="75">
        <f>IF('ORDER VS WEEK DISTRIBUTION'!AC4="","",'ORDER VS WEEK DISTRIBUTION'!AC4)</f>
        <v/>
      </c>
      <c r="Q4" s="75">
        <f>IF('ORDER VS WEEK DISTRIBUTION'!AD4="","",'ORDER VS WEEK DISTRIBUTION'!AD4)</f>
        <v/>
      </c>
      <c r="R4" s="75">
        <f>IF('ORDER VS WEEK DISTRIBUTION'!AE4="","",'ORDER VS WEEK DISTRIBUTION'!AE4)</f>
        <v/>
      </c>
      <c r="S4" s="75">
        <f>IF('ORDER VS WEEK DISTRIBUTION'!AF4="","",'ORDER VS WEEK DISTRIBUTION'!AF4)</f>
        <v/>
      </c>
    </row>
    <row r="5">
      <c r="A5" s="104" t="n"/>
      <c r="B5" s="104" t="n"/>
      <c r="C5" s="119">
        <f>IF('ORDER VS WEEK DISTRIBUTION'!C5="","",'ORDER VS WEEK DISTRIBUTION'!C5)</f>
        <v/>
      </c>
      <c r="D5" s="52">
        <f>IF('ORDER VS WEEK DISTRIBUTION'!D5="","",'ORDER VS WEEK DISTRIBUTION'!D5)</f>
        <v/>
      </c>
      <c r="E5" s="53">
        <f>IF('ORDER VS WEEK DISTRIBUTION'!E5="","",'ORDER VS WEEK DISTRIBUTION'!E5)</f>
        <v/>
      </c>
      <c r="F5" s="53">
        <f>IF('ORDER VS WEEK DISTRIBUTION'!F5="","",'ORDER VS WEEK DISTRIBUTION'!F5)</f>
        <v/>
      </c>
      <c r="G5" s="75">
        <f>IF('ORDER VS WEEK DISTRIBUTION'!G5="","",'ORDER VS WEEK DISTRIBUTION'!G5)</f>
        <v/>
      </c>
      <c r="H5" s="75">
        <f>IF('ORDER VS WEEK DISTRIBUTION'!U5="","",'ORDER VS WEEK DISTRIBUTION'!U5)</f>
        <v/>
      </c>
      <c r="I5" s="75">
        <f>IF('ORDER VS WEEK DISTRIBUTION'!V5="","",'ORDER VS WEEK DISTRIBUTION'!V5)</f>
        <v/>
      </c>
      <c r="J5" s="75">
        <f>IF('ORDER VS WEEK DISTRIBUTION'!W5="","",'ORDER VS WEEK DISTRIBUTION'!W5)</f>
        <v/>
      </c>
      <c r="K5" s="75">
        <f>IF('ORDER VS WEEK DISTRIBUTION'!X5="","",'ORDER VS WEEK DISTRIBUTION'!X5)</f>
        <v/>
      </c>
      <c r="L5" s="75">
        <f>IF('ORDER VS WEEK DISTRIBUTION'!Y5="","",'ORDER VS WEEK DISTRIBUTION'!Y5)</f>
        <v/>
      </c>
      <c r="M5" s="75">
        <f>IF('ORDER VS WEEK DISTRIBUTION'!Z5="","",'ORDER VS WEEK DISTRIBUTION'!Z5)</f>
        <v/>
      </c>
      <c r="N5" s="75">
        <f>IF('ORDER VS WEEK DISTRIBUTION'!AA5="","",'ORDER VS WEEK DISTRIBUTION'!AA5)</f>
        <v/>
      </c>
      <c r="O5" s="75">
        <f>IF('ORDER VS WEEK DISTRIBUTION'!AB5="","",'ORDER VS WEEK DISTRIBUTION'!AB5)</f>
        <v/>
      </c>
      <c r="P5" s="75">
        <f>IF('ORDER VS WEEK DISTRIBUTION'!AC5="","",'ORDER VS WEEK DISTRIBUTION'!AC5)</f>
        <v/>
      </c>
      <c r="Q5" s="75">
        <f>IF('ORDER VS WEEK DISTRIBUTION'!AD5="","",'ORDER VS WEEK DISTRIBUTION'!AD5)</f>
        <v/>
      </c>
      <c r="R5" s="75">
        <f>IF('ORDER VS WEEK DISTRIBUTION'!AE5="","",'ORDER VS WEEK DISTRIBUTION'!AE5)</f>
        <v/>
      </c>
      <c r="S5" s="75">
        <f>IF('ORDER VS WEEK DISTRIBUTION'!AF5="","",'ORDER VS WEEK DISTRIBUTION'!AF5)</f>
        <v/>
      </c>
    </row>
    <row r="6">
      <c r="A6" s="104" t="n"/>
      <c r="B6" s="104" t="n"/>
      <c r="C6" s="119">
        <f>IF('ORDER VS WEEK DISTRIBUTION'!C6="","",'ORDER VS WEEK DISTRIBUTION'!C6)</f>
        <v/>
      </c>
      <c r="D6" s="52">
        <f>IF('ORDER VS WEEK DISTRIBUTION'!D6="","",'ORDER VS WEEK DISTRIBUTION'!D6)</f>
        <v/>
      </c>
      <c r="E6" s="53">
        <f>IF('ORDER VS WEEK DISTRIBUTION'!E6="","",'ORDER VS WEEK DISTRIBUTION'!E6)</f>
        <v/>
      </c>
      <c r="F6" s="53">
        <f>IF('ORDER VS WEEK DISTRIBUTION'!F6="","",'ORDER VS WEEK DISTRIBUTION'!F6)</f>
        <v/>
      </c>
      <c r="G6" s="75">
        <f>IF('ORDER VS WEEK DISTRIBUTION'!G6="","",'ORDER VS WEEK DISTRIBUTION'!G6)</f>
        <v/>
      </c>
      <c r="H6" s="75">
        <f>IF('ORDER VS WEEK DISTRIBUTION'!U6="","",'ORDER VS WEEK DISTRIBUTION'!U6)</f>
        <v/>
      </c>
      <c r="I6" s="75">
        <f>IF('ORDER VS WEEK DISTRIBUTION'!V6="","",'ORDER VS WEEK DISTRIBUTION'!V6)</f>
        <v/>
      </c>
      <c r="J6" s="75">
        <f>IF('ORDER VS WEEK DISTRIBUTION'!W6="","",'ORDER VS WEEK DISTRIBUTION'!W6)</f>
        <v/>
      </c>
      <c r="K6" s="75">
        <f>IF('ORDER VS WEEK DISTRIBUTION'!X6="","",'ORDER VS WEEK DISTRIBUTION'!X6)</f>
        <v/>
      </c>
      <c r="L6" s="75">
        <f>IF('ORDER VS WEEK DISTRIBUTION'!Y6="","",'ORDER VS WEEK DISTRIBUTION'!Y6)</f>
        <v/>
      </c>
      <c r="M6" s="75">
        <f>IF('ORDER VS WEEK DISTRIBUTION'!Z6="","",'ORDER VS WEEK DISTRIBUTION'!Z6)</f>
        <v/>
      </c>
      <c r="N6" s="75">
        <f>IF('ORDER VS WEEK DISTRIBUTION'!AA6="","",'ORDER VS WEEK DISTRIBUTION'!AA6)</f>
        <v/>
      </c>
      <c r="O6" s="75">
        <f>IF('ORDER VS WEEK DISTRIBUTION'!AB6="","",'ORDER VS WEEK DISTRIBUTION'!AB6)</f>
        <v/>
      </c>
      <c r="P6" s="75">
        <f>IF('ORDER VS WEEK DISTRIBUTION'!AC6="","",'ORDER VS WEEK DISTRIBUTION'!AC6)</f>
        <v/>
      </c>
      <c r="Q6" s="75">
        <f>IF('ORDER VS WEEK DISTRIBUTION'!AD6="","",'ORDER VS WEEK DISTRIBUTION'!AD6)</f>
        <v/>
      </c>
      <c r="R6" s="75">
        <f>IF('ORDER VS WEEK DISTRIBUTION'!AE6="","",'ORDER VS WEEK DISTRIBUTION'!AE6)</f>
        <v/>
      </c>
      <c r="S6" s="75">
        <f>IF('ORDER VS WEEK DISTRIBUTION'!AF6="","",'ORDER VS WEEK DISTRIBUTION'!AF6)</f>
        <v/>
      </c>
    </row>
    <row r="7">
      <c r="A7" s="104" t="n"/>
      <c r="B7" s="104" t="n"/>
      <c r="C7" s="124">
        <f>IF('ORDER VS WEEK DISTRIBUTION'!C7="","",'ORDER VS WEEK DISTRIBUTION'!C7)</f>
        <v/>
      </c>
      <c r="D7" s="52">
        <f>IF('ORDER VS WEEK DISTRIBUTION'!D7="","",'ORDER VS WEEK DISTRIBUTION'!D7)</f>
        <v/>
      </c>
      <c r="E7" s="53">
        <f>IF('ORDER VS WEEK DISTRIBUTION'!E7="","",'ORDER VS WEEK DISTRIBUTION'!E7)</f>
        <v/>
      </c>
      <c r="F7" s="53">
        <f>IF('ORDER VS WEEK DISTRIBUTION'!F7="","",'ORDER VS WEEK DISTRIBUTION'!F7)</f>
        <v/>
      </c>
      <c r="G7" s="75">
        <f>IF('ORDER VS WEEK DISTRIBUTION'!G7="","",'ORDER VS WEEK DISTRIBUTION'!G7)</f>
        <v/>
      </c>
      <c r="H7" s="75">
        <f>IF('ORDER VS WEEK DISTRIBUTION'!U7="","",'ORDER VS WEEK DISTRIBUTION'!U7)</f>
        <v/>
      </c>
      <c r="I7" s="75">
        <f>IF('ORDER VS WEEK DISTRIBUTION'!V7="","",'ORDER VS WEEK DISTRIBUTION'!V7)</f>
        <v/>
      </c>
      <c r="J7" s="75">
        <f>IF('ORDER VS WEEK DISTRIBUTION'!W7="","",'ORDER VS WEEK DISTRIBUTION'!W7)</f>
        <v/>
      </c>
      <c r="K7" s="75">
        <f>IF('ORDER VS WEEK DISTRIBUTION'!X7="","",'ORDER VS WEEK DISTRIBUTION'!X7)</f>
        <v/>
      </c>
      <c r="L7" s="75">
        <f>IF('ORDER VS WEEK DISTRIBUTION'!Y7="","",'ORDER VS WEEK DISTRIBUTION'!Y7)</f>
        <v/>
      </c>
      <c r="M7" s="75">
        <f>IF('ORDER VS WEEK DISTRIBUTION'!Z7="","",'ORDER VS WEEK DISTRIBUTION'!Z7)</f>
        <v/>
      </c>
      <c r="N7" s="75">
        <f>IF('ORDER VS WEEK DISTRIBUTION'!AA7="","",'ORDER VS WEEK DISTRIBUTION'!AA7)</f>
        <v/>
      </c>
      <c r="O7" s="75">
        <f>IF('ORDER VS WEEK DISTRIBUTION'!AB7="","",'ORDER VS WEEK DISTRIBUTION'!AB7)</f>
        <v/>
      </c>
      <c r="P7" s="75">
        <f>IF('ORDER VS WEEK DISTRIBUTION'!AC7="","",'ORDER VS WEEK DISTRIBUTION'!AC7)</f>
        <v/>
      </c>
      <c r="Q7" s="75">
        <f>IF('ORDER VS WEEK DISTRIBUTION'!AD7="","",'ORDER VS WEEK DISTRIBUTION'!AD7)</f>
        <v/>
      </c>
      <c r="R7" s="75">
        <f>IF('ORDER VS WEEK DISTRIBUTION'!AE7="","",'ORDER VS WEEK DISTRIBUTION'!AE7)</f>
        <v/>
      </c>
      <c r="S7" s="75">
        <f>IF('ORDER VS WEEK DISTRIBUTION'!AF7="","",'ORDER VS WEEK DISTRIBUTION'!AF7)</f>
        <v/>
      </c>
    </row>
    <row r="8">
      <c r="A8" s="104" t="n"/>
      <c r="B8" s="104" t="n"/>
      <c r="C8" s="105">
        <f>IF('ORDER VS WEEK DISTRIBUTION'!C8="","",'ORDER VS WEEK DISTRIBUTION'!C8)</f>
        <v/>
      </c>
      <c r="D8" s="125">
        <f>IF('ORDER VS WEEK DISTRIBUTION'!D8="","",'ORDER VS WEEK DISTRIBUTION'!D8)</f>
        <v/>
      </c>
      <c r="E8" s="126">
        <f>IF('ORDER VS WEEK DISTRIBUTION'!E8="","",'ORDER VS WEEK DISTRIBUTION'!E8)</f>
        <v/>
      </c>
      <c r="F8" s="126">
        <f>IF('ORDER VS WEEK DISTRIBUTION'!F8="","",'ORDER VS WEEK DISTRIBUTION'!F8)</f>
        <v/>
      </c>
      <c r="G8" s="127">
        <f>IF('ORDER VS WEEK DISTRIBUTION'!G8="","",'ORDER VS WEEK DISTRIBUTION'!G8)</f>
        <v/>
      </c>
      <c r="H8" s="127">
        <f>IF('ORDER VS WEEK DISTRIBUTION'!U8="","",'ORDER VS WEEK DISTRIBUTION'!U8)</f>
        <v/>
      </c>
      <c r="I8" s="127">
        <f>IF('ORDER VS WEEK DISTRIBUTION'!V8="","",'ORDER VS WEEK DISTRIBUTION'!V8)</f>
        <v/>
      </c>
      <c r="J8" s="127">
        <f>IF('ORDER VS WEEK DISTRIBUTION'!W8="","",'ORDER VS WEEK DISTRIBUTION'!W8)</f>
        <v/>
      </c>
      <c r="K8" s="127">
        <f>IF('ORDER VS WEEK DISTRIBUTION'!X8="","",'ORDER VS WEEK DISTRIBUTION'!X8)</f>
        <v/>
      </c>
      <c r="L8" s="127">
        <f>IF('ORDER VS WEEK DISTRIBUTION'!Y8="","",'ORDER VS WEEK DISTRIBUTION'!Y8)</f>
        <v/>
      </c>
      <c r="M8" s="127">
        <f>IF('ORDER VS WEEK DISTRIBUTION'!Z8="","",'ORDER VS WEEK DISTRIBUTION'!Z8)</f>
        <v/>
      </c>
      <c r="N8" s="127">
        <f>IF('ORDER VS WEEK DISTRIBUTION'!AA8="","",'ORDER VS WEEK DISTRIBUTION'!AA8)</f>
        <v/>
      </c>
      <c r="O8" s="127">
        <f>IF('ORDER VS WEEK DISTRIBUTION'!AB8="","",'ORDER VS WEEK DISTRIBUTION'!AB8)</f>
        <v/>
      </c>
      <c r="P8" s="127">
        <f>IF('ORDER VS WEEK DISTRIBUTION'!AC8="","",'ORDER VS WEEK DISTRIBUTION'!AC8)</f>
        <v/>
      </c>
      <c r="Q8" s="127">
        <f>IF('ORDER VS WEEK DISTRIBUTION'!AD8="","",'ORDER VS WEEK DISTRIBUTION'!AD8)</f>
        <v/>
      </c>
      <c r="R8" s="127">
        <f>IF('ORDER VS WEEK DISTRIBUTION'!AE8="","",'ORDER VS WEEK DISTRIBUTION'!AE8)</f>
        <v/>
      </c>
      <c r="S8" s="127">
        <f>IF('ORDER VS WEEK DISTRIBUTION'!AF8="","",'ORDER VS WEEK DISTRIBUTION'!AF8)</f>
        <v/>
      </c>
    </row>
    <row r="9">
      <c r="A9" s="104" t="n"/>
      <c r="B9" s="104" t="n"/>
      <c r="C9" s="116">
        <f>IF('ORDER VS WEEK DISTRIBUTION'!C9="","",'ORDER VS WEEK DISTRIBUTION'!C9)</f>
        <v/>
      </c>
      <c r="D9" s="108">
        <f>IF('ORDER VS WEEK DISTRIBUTION'!D9="","",'ORDER VS WEEK DISTRIBUTION'!D9)</f>
        <v/>
      </c>
      <c r="E9" s="112">
        <f>IF('ORDER VS WEEK DISTRIBUTION'!E9="","",'ORDER VS WEEK DISTRIBUTION'!E9)</f>
        <v/>
      </c>
      <c r="F9" s="111">
        <f>IF('ORDER VS WEEK DISTRIBUTION'!F9="","",'ORDER VS WEEK DISTRIBUTION'!F9)</f>
        <v/>
      </c>
      <c r="G9" s="111">
        <f>IF('ORDER VS WEEK DISTRIBUTION'!G9="","",'ORDER VS WEEK DISTRIBUTION'!G9)</f>
        <v/>
      </c>
      <c r="H9" s="111">
        <f>IF('ORDER VS WEEK DISTRIBUTION'!U9="","",'ORDER VS WEEK DISTRIBUTION'!U9)</f>
        <v/>
      </c>
      <c r="I9" s="111">
        <f>IF('ORDER VS WEEK DISTRIBUTION'!V9="","",'ORDER VS WEEK DISTRIBUTION'!V9)</f>
        <v/>
      </c>
      <c r="J9" s="111">
        <f>IF('ORDER VS WEEK DISTRIBUTION'!W9="","",'ORDER VS WEEK DISTRIBUTION'!W9)</f>
        <v/>
      </c>
      <c r="K9" s="111">
        <f>IF('ORDER VS WEEK DISTRIBUTION'!X9="","",'ORDER VS WEEK DISTRIBUTION'!X9)</f>
        <v/>
      </c>
      <c r="L9" s="111">
        <f>IF('ORDER VS WEEK DISTRIBUTION'!Y9="","",'ORDER VS WEEK DISTRIBUTION'!Y9)</f>
        <v/>
      </c>
      <c r="M9" s="111">
        <f>IF('ORDER VS WEEK DISTRIBUTION'!Z9="","",'ORDER VS WEEK DISTRIBUTION'!Z9)</f>
        <v/>
      </c>
      <c r="N9" s="111">
        <f>IF('ORDER VS WEEK DISTRIBUTION'!AA9="","",'ORDER VS WEEK DISTRIBUTION'!AA9)</f>
        <v/>
      </c>
      <c r="O9" s="111">
        <f>IF('ORDER VS WEEK DISTRIBUTION'!AB9="","",'ORDER VS WEEK DISTRIBUTION'!AB9)</f>
        <v/>
      </c>
      <c r="P9" s="111">
        <f>IF('ORDER VS WEEK DISTRIBUTION'!AC9="","",'ORDER VS WEEK DISTRIBUTION'!AC9)</f>
        <v/>
      </c>
      <c r="Q9" s="111">
        <f>IF('ORDER VS WEEK DISTRIBUTION'!AD9="","",'ORDER VS WEEK DISTRIBUTION'!AD9)</f>
        <v/>
      </c>
      <c r="R9" s="111">
        <f>IF('ORDER VS WEEK DISTRIBUTION'!AE9="","",'ORDER VS WEEK DISTRIBUTION'!AE9)</f>
        <v/>
      </c>
      <c r="S9" s="111">
        <f>IF('ORDER VS WEEK DISTRIBUTION'!AF9="","",'ORDER VS WEEK DISTRIBUTION'!AF9)</f>
        <v/>
      </c>
    </row>
    <row r="10">
      <c r="A10" s="86" t="n"/>
      <c r="B10" s="104" t="n"/>
      <c r="C10" s="86" t="n"/>
      <c r="D10" s="108">
        <f>IF('ORDER VS WEEK DISTRIBUTION'!D10="","",'ORDER VS WEEK DISTRIBUTION'!D10)</f>
        <v/>
      </c>
      <c r="E10" s="114">
        <f>IF('ORDER VS WEEK DISTRIBUTION'!E10="","",'ORDER VS WEEK DISTRIBUTION'!E10)</f>
        <v/>
      </c>
      <c r="F10" s="114">
        <f>IF('ORDER VS WEEK DISTRIBUTION'!F10="","",'ORDER VS WEEK DISTRIBUTION'!F10)</f>
        <v/>
      </c>
      <c r="G10" s="115">
        <f>IF('ORDER VS WEEK DISTRIBUTION'!G10="","",'ORDER VS WEEK DISTRIBUTION'!G10)</f>
        <v/>
      </c>
      <c r="H10" s="111">
        <f>IF('ORDER VS WEEK DISTRIBUTION'!U10="","",'ORDER VS WEEK DISTRIBUTION'!U10)</f>
        <v/>
      </c>
      <c r="I10" s="111">
        <f>IF('ORDER VS WEEK DISTRIBUTION'!V10="","",'ORDER VS WEEK DISTRIBUTION'!V10)</f>
        <v/>
      </c>
      <c r="J10" s="111">
        <f>IF('ORDER VS WEEK DISTRIBUTION'!W10="","",'ORDER VS WEEK DISTRIBUTION'!W10)</f>
        <v/>
      </c>
      <c r="K10" s="111">
        <f>IF('ORDER VS WEEK DISTRIBUTION'!X10="","",'ORDER VS WEEK DISTRIBUTION'!X10)</f>
        <v/>
      </c>
      <c r="L10" s="111">
        <f>IF('ORDER VS WEEK DISTRIBUTION'!Y10="","",'ORDER VS WEEK DISTRIBUTION'!Y10)</f>
        <v/>
      </c>
      <c r="M10" s="111">
        <f>IF('ORDER VS WEEK DISTRIBUTION'!Z10="","",'ORDER VS WEEK DISTRIBUTION'!Z10)</f>
        <v/>
      </c>
      <c r="N10" s="111">
        <f>IF('ORDER VS WEEK DISTRIBUTION'!AA10="","",'ORDER VS WEEK DISTRIBUTION'!AA10)</f>
        <v/>
      </c>
      <c r="O10" s="111">
        <f>IF('ORDER VS WEEK DISTRIBUTION'!AB10="","",'ORDER VS WEEK DISTRIBUTION'!AB10)</f>
        <v/>
      </c>
      <c r="P10" s="111">
        <f>IF('ORDER VS WEEK DISTRIBUTION'!AC10="","",'ORDER VS WEEK DISTRIBUTION'!AC10)</f>
        <v/>
      </c>
      <c r="Q10" s="111">
        <f>IF('ORDER VS WEEK DISTRIBUTION'!AD10="","",'ORDER VS WEEK DISTRIBUTION'!AD10)</f>
        <v/>
      </c>
      <c r="R10" s="111">
        <f>IF('ORDER VS WEEK DISTRIBUTION'!AE10="","",'ORDER VS WEEK DISTRIBUTION'!AE10)</f>
        <v/>
      </c>
      <c r="S10" s="111">
        <f>IF('ORDER VS WEEK DISTRIBUTION'!AF10="","",'ORDER VS WEEK DISTRIBUTION'!AF10)</f>
        <v/>
      </c>
    </row>
    <row r="11">
      <c r="A11" s="128">
        <f>IF('ORDER VS WEEK DISTRIBUTION'!A34="","",'ORDER VS WEEK DISTRIBUTION'!A34)</f>
        <v/>
      </c>
      <c r="B11" s="104" t="n"/>
      <c r="C11" s="65">
        <f>IF('ORDER VS WEEK DISTRIBUTION'!C34="","",'ORDER VS WEEK DISTRIBUTION'!C34)</f>
        <v/>
      </c>
      <c r="D11" s="52">
        <f>IF('ORDER VS WEEK DISTRIBUTION'!D34="","",'ORDER VS WEEK DISTRIBUTION'!D34)</f>
        <v/>
      </c>
      <c r="E11" s="53">
        <f>IF('ORDER VS WEEK DISTRIBUTION'!E34="","",'ORDER VS WEEK DISTRIBUTION'!E34)</f>
        <v/>
      </c>
      <c r="F11" s="53">
        <f>IF('ORDER VS WEEK DISTRIBUTION'!F34="","",'ORDER VS WEEK DISTRIBUTION'!F34)</f>
        <v/>
      </c>
      <c r="G11" s="75">
        <f>IF('ORDER VS WEEK DISTRIBUTION'!G34="","",'ORDER VS WEEK DISTRIBUTION'!G34)</f>
        <v/>
      </c>
      <c r="H11" s="75">
        <f>IF('ORDER VS WEEK DISTRIBUTION'!U34="","",'ORDER VS WEEK DISTRIBUTION'!U34)</f>
        <v/>
      </c>
      <c r="I11" s="75">
        <f>IF('ORDER VS WEEK DISTRIBUTION'!V34="","",'ORDER VS WEEK DISTRIBUTION'!V34)</f>
        <v/>
      </c>
      <c r="J11" s="75">
        <f>IF('ORDER VS WEEK DISTRIBUTION'!W34="","",'ORDER VS WEEK DISTRIBUTION'!W34)</f>
        <v/>
      </c>
      <c r="K11" s="75">
        <f>IF('ORDER VS WEEK DISTRIBUTION'!X34="","",'ORDER VS WEEK DISTRIBUTION'!X34)</f>
        <v/>
      </c>
      <c r="L11" s="75">
        <f>IF('ORDER VS WEEK DISTRIBUTION'!Y34="","",'ORDER VS WEEK DISTRIBUTION'!Y34)</f>
        <v/>
      </c>
      <c r="M11" s="75">
        <f>IF('ORDER VS WEEK DISTRIBUTION'!Z34="","",'ORDER VS WEEK DISTRIBUTION'!Z34)</f>
        <v/>
      </c>
      <c r="N11" s="75">
        <f>IF('ORDER VS WEEK DISTRIBUTION'!AA34="","",'ORDER VS WEEK DISTRIBUTION'!AA34)</f>
        <v/>
      </c>
      <c r="O11" s="75">
        <f>IF('ORDER VS WEEK DISTRIBUTION'!AB34="","",'ORDER VS WEEK DISTRIBUTION'!AB34)</f>
        <v/>
      </c>
      <c r="P11" s="75">
        <f>IF('ORDER VS WEEK DISTRIBUTION'!AC34="","",'ORDER VS WEEK DISTRIBUTION'!AC34)</f>
        <v/>
      </c>
      <c r="Q11" s="75">
        <f>IF('ORDER VS WEEK DISTRIBUTION'!AD34="","",'ORDER VS WEEK DISTRIBUTION'!AD34)</f>
        <v/>
      </c>
      <c r="R11" s="75">
        <f>IF('ORDER VS WEEK DISTRIBUTION'!AE34="","",'ORDER VS WEEK DISTRIBUTION'!AE34)</f>
        <v/>
      </c>
      <c r="S11" s="75">
        <f>IF('ORDER VS WEEK DISTRIBUTION'!AF34="","",'ORDER VS WEEK DISTRIBUTION'!AF34)</f>
        <v/>
      </c>
    </row>
    <row r="12">
      <c r="A12" s="104" t="n"/>
      <c r="B12" s="104" t="n"/>
      <c r="C12" s="105">
        <f>IF('ORDER VS WEEK DISTRIBUTION'!C35="","",'ORDER VS WEEK DISTRIBUTION'!C35)</f>
        <v/>
      </c>
      <c r="D12" s="71">
        <f>IF('ORDER VS WEEK DISTRIBUTION'!D35="","",'ORDER VS WEEK DISTRIBUTION'!D35)</f>
        <v/>
      </c>
      <c r="E12" s="105">
        <f>IF('ORDER VS WEEK DISTRIBUTION'!E35="","",'ORDER VS WEEK DISTRIBUTION'!E35)</f>
        <v/>
      </c>
      <c r="F12" s="105">
        <f>IF('ORDER VS WEEK DISTRIBUTION'!F35="","",'ORDER VS WEEK DISTRIBUTION'!F35)</f>
        <v/>
      </c>
      <c r="G12" s="78">
        <f>IF('ORDER VS WEEK DISTRIBUTION'!G35="","",'ORDER VS WEEK DISTRIBUTION'!G35)</f>
        <v/>
      </c>
      <c r="H12" s="78">
        <f>IF('ORDER VS WEEK DISTRIBUTION'!U35="","",'ORDER VS WEEK DISTRIBUTION'!U35)</f>
        <v/>
      </c>
      <c r="I12" s="78">
        <f>IF('ORDER VS WEEK DISTRIBUTION'!V35="","",'ORDER VS WEEK DISTRIBUTION'!V35)</f>
        <v/>
      </c>
      <c r="J12" s="78">
        <f>IF('ORDER VS WEEK DISTRIBUTION'!W35="","",'ORDER VS WEEK DISTRIBUTION'!W35)</f>
        <v/>
      </c>
      <c r="K12" s="78">
        <f>IF('ORDER VS WEEK DISTRIBUTION'!X35="","",'ORDER VS WEEK DISTRIBUTION'!X35)</f>
        <v/>
      </c>
      <c r="L12" s="78">
        <f>IF('ORDER VS WEEK DISTRIBUTION'!Y35="","",'ORDER VS WEEK DISTRIBUTION'!Y35)</f>
        <v/>
      </c>
      <c r="M12" s="78">
        <f>IF('ORDER VS WEEK DISTRIBUTION'!Z35="","",'ORDER VS WEEK DISTRIBUTION'!Z35)</f>
        <v/>
      </c>
      <c r="N12" s="78">
        <f>IF('ORDER VS WEEK DISTRIBUTION'!AA35="","",'ORDER VS WEEK DISTRIBUTION'!AA35)</f>
        <v/>
      </c>
      <c r="O12" s="78">
        <f>IF('ORDER VS WEEK DISTRIBUTION'!AB35="","",'ORDER VS WEEK DISTRIBUTION'!AB35)</f>
        <v/>
      </c>
      <c r="P12" s="78">
        <f>IF('ORDER VS WEEK DISTRIBUTION'!AC35="","",'ORDER VS WEEK DISTRIBUTION'!AC35)</f>
        <v/>
      </c>
      <c r="Q12" s="78">
        <f>IF('ORDER VS WEEK DISTRIBUTION'!AD35="","",'ORDER VS WEEK DISTRIBUTION'!AD35)</f>
        <v/>
      </c>
      <c r="R12" s="78">
        <f>IF('ORDER VS WEEK DISTRIBUTION'!AE35="","",'ORDER VS WEEK DISTRIBUTION'!AE35)</f>
        <v/>
      </c>
      <c r="S12" s="78">
        <f>IF('ORDER VS WEEK DISTRIBUTION'!AF35="","",'ORDER VS WEEK DISTRIBUTION'!AF35)</f>
        <v/>
      </c>
    </row>
    <row r="13">
      <c r="A13" s="104" t="n"/>
      <c r="B13" s="104" t="n"/>
      <c r="C13" s="116">
        <f>IF('ORDER VS WEEK DISTRIBUTION'!C36="","",'ORDER VS WEEK DISTRIBUTION'!C36)</f>
        <v/>
      </c>
      <c r="D13" s="108">
        <f>IF('ORDER VS WEEK DISTRIBUTION'!D36="","",'ORDER VS WEEK DISTRIBUTION'!D36)</f>
        <v/>
      </c>
      <c r="E13" s="114">
        <f>IF('ORDER VS WEEK DISTRIBUTION'!E36="","",'ORDER VS WEEK DISTRIBUTION'!E36)</f>
        <v/>
      </c>
      <c r="F13" s="114">
        <f>IF('ORDER VS WEEK DISTRIBUTION'!F36="","",'ORDER VS WEEK DISTRIBUTION'!F36)</f>
        <v/>
      </c>
      <c r="G13" s="115">
        <f>IF('ORDER VS WEEK DISTRIBUTION'!G36="","",'ORDER VS WEEK DISTRIBUTION'!G36)</f>
        <v/>
      </c>
      <c r="H13" s="111">
        <f>IF('ORDER VS WEEK DISTRIBUTION'!U36="","",'ORDER VS WEEK DISTRIBUTION'!U36)</f>
        <v/>
      </c>
      <c r="I13" s="111">
        <f>IF('ORDER VS WEEK DISTRIBUTION'!V36="","",'ORDER VS WEEK DISTRIBUTION'!V36)</f>
        <v/>
      </c>
      <c r="J13" s="111">
        <f>IF('ORDER VS WEEK DISTRIBUTION'!W36="","",'ORDER VS WEEK DISTRIBUTION'!W36)</f>
        <v/>
      </c>
      <c r="K13" s="111">
        <f>IF('ORDER VS WEEK DISTRIBUTION'!X36="","",'ORDER VS WEEK DISTRIBUTION'!X36)</f>
        <v/>
      </c>
      <c r="L13" s="111">
        <f>IF('ORDER VS WEEK DISTRIBUTION'!Y36="","",'ORDER VS WEEK DISTRIBUTION'!Y36)</f>
        <v/>
      </c>
      <c r="M13" s="111">
        <f>IF('ORDER VS WEEK DISTRIBUTION'!Z36="","",'ORDER VS WEEK DISTRIBUTION'!Z36)</f>
        <v/>
      </c>
      <c r="N13" s="111">
        <f>IF('ORDER VS WEEK DISTRIBUTION'!AA36="","",'ORDER VS WEEK DISTRIBUTION'!AA36)</f>
        <v/>
      </c>
      <c r="O13" s="111">
        <f>IF('ORDER VS WEEK DISTRIBUTION'!AB36="","",'ORDER VS WEEK DISTRIBUTION'!AB36)</f>
        <v/>
      </c>
      <c r="P13" s="111">
        <f>IF('ORDER VS WEEK DISTRIBUTION'!AC36="","",'ORDER VS WEEK DISTRIBUTION'!AC36)</f>
        <v/>
      </c>
      <c r="Q13" s="111">
        <f>IF('ORDER VS WEEK DISTRIBUTION'!AD36="","",'ORDER VS WEEK DISTRIBUTION'!AD36)</f>
        <v/>
      </c>
      <c r="R13" s="111">
        <f>IF('ORDER VS WEEK DISTRIBUTION'!AE36="","",'ORDER VS WEEK DISTRIBUTION'!AE36)</f>
        <v/>
      </c>
      <c r="S13" s="111">
        <f>IF('ORDER VS WEEK DISTRIBUTION'!AF36="","",'ORDER VS WEEK DISTRIBUTION'!AF36)</f>
        <v/>
      </c>
    </row>
    <row r="14">
      <c r="A14" s="86" t="n"/>
      <c r="B14" s="104" t="n"/>
      <c r="C14" s="86" t="n"/>
      <c r="D14" s="108">
        <f>IF('ORDER VS WEEK DISTRIBUTION'!D37="","",'ORDER VS WEEK DISTRIBUTION'!D37)</f>
        <v/>
      </c>
      <c r="E14" s="114">
        <f>IF('ORDER VS WEEK DISTRIBUTION'!E37="","",'ORDER VS WEEK DISTRIBUTION'!E37)</f>
        <v/>
      </c>
      <c r="F14" s="114">
        <f>IF('ORDER VS WEEK DISTRIBUTION'!F37="","",'ORDER VS WEEK DISTRIBUTION'!F37)</f>
        <v/>
      </c>
      <c r="G14" s="115">
        <f>IF('ORDER VS WEEK DISTRIBUTION'!G37="","",'ORDER VS WEEK DISTRIBUTION'!G37)</f>
        <v/>
      </c>
      <c r="H14" s="111">
        <f>IF('ORDER VS WEEK DISTRIBUTION'!U37="","",'ORDER VS WEEK DISTRIBUTION'!U37)</f>
        <v/>
      </c>
      <c r="I14" s="111">
        <f>IF('ORDER VS WEEK DISTRIBUTION'!V37="","",'ORDER VS WEEK DISTRIBUTION'!V37)</f>
        <v/>
      </c>
      <c r="J14" s="111">
        <f>IF('ORDER VS WEEK DISTRIBUTION'!W37="","",'ORDER VS WEEK DISTRIBUTION'!W37)</f>
        <v/>
      </c>
      <c r="K14" s="111">
        <f>IF('ORDER VS WEEK DISTRIBUTION'!X37="","",'ORDER VS WEEK DISTRIBUTION'!X37)</f>
        <v/>
      </c>
      <c r="L14" s="111">
        <f>IF('ORDER VS WEEK DISTRIBUTION'!Y37="","",'ORDER VS WEEK DISTRIBUTION'!Y37)</f>
        <v/>
      </c>
      <c r="M14" s="111">
        <f>IF('ORDER VS WEEK DISTRIBUTION'!Z37="","",'ORDER VS WEEK DISTRIBUTION'!Z37)</f>
        <v/>
      </c>
      <c r="N14" s="111">
        <f>IF('ORDER VS WEEK DISTRIBUTION'!AA37="","",'ORDER VS WEEK DISTRIBUTION'!AA37)</f>
        <v/>
      </c>
      <c r="O14" s="111">
        <f>IF('ORDER VS WEEK DISTRIBUTION'!AB37="","",'ORDER VS WEEK DISTRIBUTION'!AB37)</f>
        <v/>
      </c>
      <c r="P14" s="111">
        <f>IF('ORDER VS WEEK DISTRIBUTION'!AC37="","",'ORDER VS WEEK DISTRIBUTION'!AC37)</f>
        <v/>
      </c>
      <c r="Q14" s="111">
        <f>IF('ORDER VS WEEK DISTRIBUTION'!AD37="","",'ORDER VS WEEK DISTRIBUTION'!AD37)</f>
        <v/>
      </c>
      <c r="R14" s="111">
        <f>IF('ORDER VS WEEK DISTRIBUTION'!AE37="","",'ORDER VS WEEK DISTRIBUTION'!AE37)</f>
        <v/>
      </c>
      <c r="S14" s="111">
        <f>IF('ORDER VS WEEK DISTRIBUTION'!AF37="","",'ORDER VS WEEK DISTRIBUTION'!AF37)</f>
        <v/>
      </c>
    </row>
    <row r="15">
      <c r="A15" s="123">
        <f>IF('ORDER VS WEEK DISTRIBUTION'!A48="","",'ORDER VS WEEK DISTRIBUTION'!A48)</f>
        <v/>
      </c>
      <c r="B15" s="104" t="n"/>
      <c r="C15" s="65">
        <f>IF('ORDER VS WEEK DISTRIBUTION'!C48="","",'ORDER VS WEEK DISTRIBUTION'!C48)</f>
        <v/>
      </c>
      <c r="D15" s="52">
        <f>IF('ORDER VS WEEK DISTRIBUTION'!D48="","",'ORDER VS WEEK DISTRIBUTION'!D48)</f>
        <v/>
      </c>
      <c r="E15" s="53">
        <f>IF('ORDER VS WEEK DISTRIBUTION'!E48="","",'ORDER VS WEEK DISTRIBUTION'!E48)</f>
        <v/>
      </c>
      <c r="F15" s="53">
        <f>IF('ORDER VS WEEK DISTRIBUTION'!F48="","",'ORDER VS WEEK DISTRIBUTION'!F48)</f>
        <v/>
      </c>
      <c r="G15" s="75">
        <f>IF('ORDER VS WEEK DISTRIBUTION'!G48="","",'ORDER VS WEEK DISTRIBUTION'!G48)</f>
        <v/>
      </c>
      <c r="H15" s="75">
        <f>IF('ORDER VS WEEK DISTRIBUTION'!U48="","",'ORDER VS WEEK DISTRIBUTION'!U48)</f>
        <v/>
      </c>
      <c r="I15" s="75">
        <f>IF('ORDER VS WEEK DISTRIBUTION'!V48="","",'ORDER VS WEEK DISTRIBUTION'!V48)</f>
        <v/>
      </c>
      <c r="J15" s="75">
        <f>IF('ORDER VS WEEK DISTRIBUTION'!W48="","",'ORDER VS WEEK DISTRIBUTION'!W48)</f>
        <v/>
      </c>
      <c r="K15" s="75">
        <f>IF('ORDER VS WEEK DISTRIBUTION'!X48="","",'ORDER VS WEEK DISTRIBUTION'!X48)</f>
        <v/>
      </c>
      <c r="L15" s="75">
        <f>IF('ORDER VS WEEK DISTRIBUTION'!Y48="","",'ORDER VS WEEK DISTRIBUTION'!Y48)</f>
        <v/>
      </c>
      <c r="M15" s="75">
        <f>IF('ORDER VS WEEK DISTRIBUTION'!Z48="","",'ORDER VS WEEK DISTRIBUTION'!Z48)</f>
        <v/>
      </c>
      <c r="N15" s="75">
        <f>IF('ORDER VS WEEK DISTRIBUTION'!AA48="","",'ORDER VS WEEK DISTRIBUTION'!AA48)</f>
        <v/>
      </c>
      <c r="O15" s="75">
        <f>IF('ORDER VS WEEK DISTRIBUTION'!AB48="","",'ORDER VS WEEK DISTRIBUTION'!AB48)</f>
        <v/>
      </c>
      <c r="P15" s="75">
        <f>IF('ORDER VS WEEK DISTRIBUTION'!AC48="","",'ORDER VS WEEK DISTRIBUTION'!AC48)</f>
        <v/>
      </c>
      <c r="Q15" s="75">
        <f>IF('ORDER VS WEEK DISTRIBUTION'!AD48="","",'ORDER VS WEEK DISTRIBUTION'!AD48)</f>
        <v/>
      </c>
      <c r="R15" s="75">
        <f>IF('ORDER VS WEEK DISTRIBUTION'!AE48="","",'ORDER VS WEEK DISTRIBUTION'!AE48)</f>
        <v/>
      </c>
      <c r="S15" s="75">
        <f>IF('ORDER VS WEEK DISTRIBUTION'!AF48="","",'ORDER VS WEEK DISTRIBUTION'!AF48)</f>
        <v/>
      </c>
    </row>
    <row r="16">
      <c r="A16" s="104" t="n"/>
      <c r="B16" s="104" t="n"/>
      <c r="C16" s="119">
        <f>IF('ORDER VS WEEK DISTRIBUTION'!C49="","",'ORDER VS WEEK DISTRIBUTION'!C49)</f>
        <v/>
      </c>
      <c r="D16" s="52">
        <f>IF('ORDER VS WEEK DISTRIBUTION'!D49="","",'ORDER VS WEEK DISTRIBUTION'!D49)</f>
        <v/>
      </c>
      <c r="E16" s="53">
        <f>IF('ORDER VS WEEK DISTRIBUTION'!E49="","",'ORDER VS WEEK DISTRIBUTION'!E49)</f>
        <v/>
      </c>
      <c r="F16" s="53">
        <f>IF('ORDER VS WEEK DISTRIBUTION'!F49="","",'ORDER VS WEEK DISTRIBUTION'!F49)</f>
        <v/>
      </c>
      <c r="G16" s="75">
        <f>IF('ORDER VS WEEK DISTRIBUTION'!G49="","",'ORDER VS WEEK DISTRIBUTION'!G49)</f>
        <v/>
      </c>
      <c r="H16" s="75">
        <f>IF('ORDER VS WEEK DISTRIBUTION'!U49="","",'ORDER VS WEEK DISTRIBUTION'!U49)</f>
        <v/>
      </c>
      <c r="I16" s="75">
        <f>IF('ORDER VS WEEK DISTRIBUTION'!V49="","",'ORDER VS WEEK DISTRIBUTION'!V49)</f>
        <v/>
      </c>
      <c r="J16" s="75">
        <f>IF('ORDER VS WEEK DISTRIBUTION'!W49="","",'ORDER VS WEEK DISTRIBUTION'!W49)</f>
        <v/>
      </c>
      <c r="K16" s="75">
        <f>IF('ORDER VS WEEK DISTRIBUTION'!X49="","",'ORDER VS WEEK DISTRIBUTION'!X49)</f>
        <v/>
      </c>
      <c r="L16" s="75">
        <f>IF('ORDER VS WEEK DISTRIBUTION'!Y49="","",'ORDER VS WEEK DISTRIBUTION'!Y49)</f>
        <v/>
      </c>
      <c r="M16" s="75">
        <f>IF('ORDER VS WEEK DISTRIBUTION'!Z49="","",'ORDER VS WEEK DISTRIBUTION'!Z49)</f>
        <v/>
      </c>
      <c r="N16" s="75">
        <f>IF('ORDER VS WEEK DISTRIBUTION'!AA49="","",'ORDER VS WEEK DISTRIBUTION'!AA49)</f>
        <v/>
      </c>
      <c r="O16" s="75">
        <f>IF('ORDER VS WEEK DISTRIBUTION'!AB49="","",'ORDER VS WEEK DISTRIBUTION'!AB49)</f>
        <v/>
      </c>
      <c r="P16" s="75">
        <f>IF('ORDER VS WEEK DISTRIBUTION'!AC49="","",'ORDER VS WEEK DISTRIBUTION'!AC49)</f>
        <v/>
      </c>
      <c r="Q16" s="75">
        <f>IF('ORDER VS WEEK DISTRIBUTION'!AD49="","",'ORDER VS WEEK DISTRIBUTION'!AD49)</f>
        <v/>
      </c>
      <c r="R16" s="75">
        <f>IF('ORDER VS WEEK DISTRIBUTION'!AE49="","",'ORDER VS WEEK DISTRIBUTION'!AE49)</f>
        <v/>
      </c>
      <c r="S16" s="75">
        <f>IF('ORDER VS WEEK DISTRIBUTION'!AF49="","",'ORDER VS WEEK DISTRIBUTION'!AF49)</f>
        <v/>
      </c>
    </row>
    <row r="17">
      <c r="A17" s="104" t="n"/>
      <c r="B17" s="104" t="n"/>
      <c r="C17" s="124">
        <f>IF('ORDER VS WEEK DISTRIBUTION'!C50="","",'ORDER VS WEEK DISTRIBUTION'!C50)</f>
        <v/>
      </c>
      <c r="D17" s="52">
        <f>IF('ORDER VS WEEK DISTRIBUTION'!D50="","",'ORDER VS WEEK DISTRIBUTION'!D50)</f>
        <v/>
      </c>
      <c r="E17" s="53">
        <f>IF('ORDER VS WEEK DISTRIBUTION'!E50="","",'ORDER VS WEEK DISTRIBUTION'!E50)</f>
        <v/>
      </c>
      <c r="F17" s="53">
        <f>IF('ORDER VS WEEK DISTRIBUTION'!F50="","",'ORDER VS WEEK DISTRIBUTION'!F50)</f>
        <v/>
      </c>
      <c r="G17" s="75">
        <f>IF('ORDER VS WEEK DISTRIBUTION'!G50="","",'ORDER VS WEEK DISTRIBUTION'!G50)</f>
        <v/>
      </c>
      <c r="H17" s="75">
        <f>IF('ORDER VS WEEK DISTRIBUTION'!U50="","",'ORDER VS WEEK DISTRIBUTION'!U50)</f>
        <v/>
      </c>
      <c r="I17" s="75">
        <f>IF('ORDER VS WEEK DISTRIBUTION'!V50="","",'ORDER VS WEEK DISTRIBUTION'!V50)</f>
        <v/>
      </c>
      <c r="J17" s="75">
        <f>IF('ORDER VS WEEK DISTRIBUTION'!W50="","",'ORDER VS WEEK DISTRIBUTION'!W50)</f>
        <v/>
      </c>
      <c r="K17" s="75">
        <f>IF('ORDER VS WEEK DISTRIBUTION'!X50="","",'ORDER VS WEEK DISTRIBUTION'!X50)</f>
        <v/>
      </c>
      <c r="L17" s="75">
        <f>IF('ORDER VS WEEK DISTRIBUTION'!Y50="","",'ORDER VS WEEK DISTRIBUTION'!Y50)</f>
        <v/>
      </c>
      <c r="M17" s="75">
        <f>IF('ORDER VS WEEK DISTRIBUTION'!Z50="","",'ORDER VS WEEK DISTRIBUTION'!Z50)</f>
        <v/>
      </c>
      <c r="N17" s="75">
        <f>IF('ORDER VS WEEK DISTRIBUTION'!AA50="","",'ORDER VS WEEK DISTRIBUTION'!AA50)</f>
        <v/>
      </c>
      <c r="O17" s="75">
        <f>IF('ORDER VS WEEK DISTRIBUTION'!AB50="","",'ORDER VS WEEK DISTRIBUTION'!AB50)</f>
        <v/>
      </c>
      <c r="P17" s="75">
        <f>IF('ORDER VS WEEK DISTRIBUTION'!AC50="","",'ORDER VS WEEK DISTRIBUTION'!AC50)</f>
        <v/>
      </c>
      <c r="Q17" s="75">
        <f>IF('ORDER VS WEEK DISTRIBUTION'!AD50="","",'ORDER VS WEEK DISTRIBUTION'!AD50)</f>
        <v/>
      </c>
      <c r="R17" s="75">
        <f>IF('ORDER VS WEEK DISTRIBUTION'!AE50="","",'ORDER VS WEEK DISTRIBUTION'!AE50)</f>
        <v/>
      </c>
      <c r="S17" s="75">
        <f>IF('ORDER VS WEEK DISTRIBUTION'!AF50="","",'ORDER VS WEEK DISTRIBUTION'!AF50)</f>
        <v/>
      </c>
    </row>
    <row r="18">
      <c r="A18" s="104" t="n"/>
      <c r="B18" s="104" t="n"/>
      <c r="C18" s="105">
        <f>IF('ORDER VS WEEK DISTRIBUTION'!C51="","",'ORDER VS WEEK DISTRIBUTION'!C51)</f>
        <v/>
      </c>
      <c r="D18" s="125">
        <f>IF('ORDER VS WEEK DISTRIBUTION'!D51="","",'ORDER VS WEEK DISTRIBUTION'!D51)</f>
        <v/>
      </c>
      <c r="E18" s="126">
        <f>IF('ORDER VS WEEK DISTRIBUTION'!E51="","",'ORDER VS WEEK DISTRIBUTION'!E51)</f>
        <v/>
      </c>
      <c r="F18" s="126">
        <f>IF('ORDER VS WEEK DISTRIBUTION'!F51="","",'ORDER VS WEEK DISTRIBUTION'!F51)</f>
        <v/>
      </c>
      <c r="G18" s="127">
        <f>IF('ORDER VS WEEK DISTRIBUTION'!G51="","",'ORDER VS WEEK DISTRIBUTION'!G51)</f>
        <v/>
      </c>
      <c r="H18" s="127">
        <f>IF('ORDER VS WEEK DISTRIBUTION'!U51="","",'ORDER VS WEEK DISTRIBUTION'!U51)</f>
        <v/>
      </c>
      <c r="I18" s="127">
        <f>IF('ORDER VS WEEK DISTRIBUTION'!V51="","",'ORDER VS WEEK DISTRIBUTION'!V51)</f>
        <v/>
      </c>
      <c r="J18" s="127">
        <f>IF('ORDER VS WEEK DISTRIBUTION'!W51="","",'ORDER VS WEEK DISTRIBUTION'!W51)</f>
        <v/>
      </c>
      <c r="K18" s="127">
        <f>IF('ORDER VS WEEK DISTRIBUTION'!X51="","",'ORDER VS WEEK DISTRIBUTION'!X51)</f>
        <v/>
      </c>
      <c r="L18" s="127">
        <f>IF('ORDER VS WEEK DISTRIBUTION'!Y51="","",'ORDER VS WEEK DISTRIBUTION'!Y51)</f>
        <v/>
      </c>
      <c r="M18" s="127">
        <f>IF('ORDER VS WEEK DISTRIBUTION'!Z51="","",'ORDER VS WEEK DISTRIBUTION'!Z51)</f>
        <v/>
      </c>
      <c r="N18" s="127">
        <f>IF('ORDER VS WEEK DISTRIBUTION'!AA51="","",'ORDER VS WEEK DISTRIBUTION'!AA51)</f>
        <v/>
      </c>
      <c r="O18" s="127">
        <f>IF('ORDER VS WEEK DISTRIBUTION'!AB51="","",'ORDER VS WEEK DISTRIBUTION'!AB51)</f>
        <v/>
      </c>
      <c r="P18" s="127">
        <f>IF('ORDER VS WEEK DISTRIBUTION'!AC51="","",'ORDER VS WEEK DISTRIBUTION'!AC51)</f>
        <v/>
      </c>
      <c r="Q18" s="127">
        <f>IF('ORDER VS WEEK DISTRIBUTION'!AD51="","",'ORDER VS WEEK DISTRIBUTION'!AD51)</f>
        <v/>
      </c>
      <c r="R18" s="127">
        <f>IF('ORDER VS WEEK DISTRIBUTION'!AE51="","",'ORDER VS WEEK DISTRIBUTION'!AE51)</f>
        <v/>
      </c>
      <c r="S18" s="127">
        <f>IF('ORDER VS WEEK DISTRIBUTION'!AF51="","",'ORDER VS WEEK DISTRIBUTION'!AF51)</f>
        <v/>
      </c>
    </row>
    <row r="19">
      <c r="A19" s="104" t="n"/>
      <c r="B19" s="104" t="n"/>
      <c r="C19" s="116">
        <f>IF('ORDER VS WEEK DISTRIBUTION'!C52="","",'ORDER VS WEEK DISTRIBUTION'!C52)</f>
        <v/>
      </c>
      <c r="D19" s="108">
        <f>IF('ORDER VS WEEK DISTRIBUTION'!D52="","",'ORDER VS WEEK DISTRIBUTION'!D52)</f>
        <v/>
      </c>
      <c r="E19" s="117">
        <f>IF('ORDER VS WEEK DISTRIBUTION'!E52="","",'ORDER VS WEEK DISTRIBUTION'!E52)</f>
        <v/>
      </c>
      <c r="F19" s="117">
        <f>IF('ORDER VS WEEK DISTRIBUTION'!F52="","",'ORDER VS WEEK DISTRIBUTION'!F52)</f>
        <v/>
      </c>
      <c r="G19" s="110">
        <f>IF('ORDER VS WEEK DISTRIBUTION'!G52="","",'ORDER VS WEEK DISTRIBUTION'!G52)</f>
        <v/>
      </c>
      <c r="H19" s="111">
        <f>IF('ORDER VS WEEK DISTRIBUTION'!U52="","",'ORDER VS WEEK DISTRIBUTION'!U52)</f>
        <v/>
      </c>
      <c r="I19" s="111">
        <f>IF('ORDER VS WEEK DISTRIBUTION'!V52="","",'ORDER VS WEEK DISTRIBUTION'!V52)</f>
        <v/>
      </c>
      <c r="J19" s="111">
        <f>IF('ORDER VS WEEK DISTRIBUTION'!W52="","",'ORDER VS WEEK DISTRIBUTION'!W52)</f>
        <v/>
      </c>
      <c r="K19" s="111">
        <f>IF('ORDER VS WEEK DISTRIBUTION'!X52="","",'ORDER VS WEEK DISTRIBUTION'!X52)</f>
        <v/>
      </c>
      <c r="L19" s="111">
        <f>IF('ORDER VS WEEK DISTRIBUTION'!Y52="","",'ORDER VS WEEK DISTRIBUTION'!Y52)</f>
        <v/>
      </c>
      <c r="M19" s="111">
        <f>IF('ORDER VS WEEK DISTRIBUTION'!Z52="","",'ORDER VS WEEK DISTRIBUTION'!Z52)</f>
        <v/>
      </c>
      <c r="N19" s="111">
        <f>IF('ORDER VS WEEK DISTRIBUTION'!AA52="","",'ORDER VS WEEK DISTRIBUTION'!AA52)</f>
        <v/>
      </c>
      <c r="O19" s="111">
        <f>IF('ORDER VS WEEK DISTRIBUTION'!AB52="","",'ORDER VS WEEK DISTRIBUTION'!AB52)</f>
        <v/>
      </c>
      <c r="P19" s="111">
        <f>IF('ORDER VS WEEK DISTRIBUTION'!AC52="","",'ORDER VS WEEK DISTRIBUTION'!AC52)</f>
        <v/>
      </c>
      <c r="Q19" s="111">
        <f>IF('ORDER VS WEEK DISTRIBUTION'!AD52="","",'ORDER VS WEEK DISTRIBUTION'!AD52)</f>
        <v/>
      </c>
      <c r="R19" s="111">
        <f>IF('ORDER VS WEEK DISTRIBUTION'!AE52="","",'ORDER VS WEEK DISTRIBUTION'!AE52)</f>
        <v/>
      </c>
      <c r="S19" s="111">
        <f>IF('ORDER VS WEEK DISTRIBUTION'!AF52="","",'ORDER VS WEEK DISTRIBUTION'!AF52)</f>
        <v/>
      </c>
    </row>
    <row r="20">
      <c r="A20" s="86" t="n"/>
      <c r="B20" s="86" t="n"/>
      <c r="C20" s="86" t="n"/>
      <c r="D20" s="108">
        <f>IF('ORDER VS WEEK DISTRIBUTION'!D53="","",'ORDER VS WEEK DISTRIBUTION'!D53)</f>
        <v/>
      </c>
      <c r="E20" s="114">
        <f>IF('ORDER VS WEEK DISTRIBUTION'!E53="","",'ORDER VS WEEK DISTRIBUTION'!E53)</f>
        <v/>
      </c>
      <c r="F20" s="115">
        <f>IF('ORDER VS WEEK DISTRIBUTION'!F53="","",'ORDER VS WEEK DISTRIBUTION'!F53)</f>
        <v/>
      </c>
      <c r="G20" s="115">
        <f>IF('ORDER VS WEEK DISTRIBUTION'!G53="","",'ORDER VS WEEK DISTRIBUTION'!G53)</f>
        <v/>
      </c>
      <c r="H20" s="111">
        <f>IF('ORDER VS WEEK DISTRIBUTION'!U53="","",'ORDER VS WEEK DISTRIBUTION'!U53)</f>
        <v/>
      </c>
      <c r="I20" s="111">
        <f>IF('ORDER VS WEEK DISTRIBUTION'!V53="","",'ORDER VS WEEK DISTRIBUTION'!V53)</f>
        <v/>
      </c>
      <c r="J20" s="111">
        <f>IF('ORDER VS WEEK DISTRIBUTION'!W53="","",'ORDER VS WEEK DISTRIBUTION'!W53)</f>
        <v/>
      </c>
      <c r="K20" s="111">
        <f>IF('ORDER VS WEEK DISTRIBUTION'!X53="","",'ORDER VS WEEK DISTRIBUTION'!X53)</f>
        <v/>
      </c>
      <c r="L20" s="111">
        <f>IF('ORDER VS WEEK DISTRIBUTION'!Y53="","",'ORDER VS WEEK DISTRIBUTION'!Y53)</f>
        <v/>
      </c>
      <c r="M20" s="111">
        <f>IF('ORDER VS WEEK DISTRIBUTION'!Z53="","",'ORDER VS WEEK DISTRIBUTION'!Z53)</f>
        <v/>
      </c>
      <c r="N20" s="111">
        <f>IF('ORDER VS WEEK DISTRIBUTION'!AA53="","",'ORDER VS WEEK DISTRIBUTION'!AA53)</f>
        <v/>
      </c>
      <c r="O20" s="111">
        <f>IF('ORDER VS WEEK DISTRIBUTION'!AB53="","",'ORDER VS WEEK DISTRIBUTION'!AB53)</f>
        <v/>
      </c>
      <c r="P20" s="111">
        <f>IF('ORDER VS WEEK DISTRIBUTION'!AC53="","",'ORDER VS WEEK DISTRIBUTION'!AC53)</f>
        <v/>
      </c>
      <c r="Q20" s="111">
        <f>IF('ORDER VS WEEK DISTRIBUTION'!AD53="","",'ORDER VS WEEK DISTRIBUTION'!AD53)</f>
        <v/>
      </c>
      <c r="R20" s="111">
        <f>IF('ORDER VS WEEK DISTRIBUTION'!AE53="","",'ORDER VS WEEK DISTRIBUTION'!AE53)</f>
        <v/>
      </c>
      <c r="S20" s="111">
        <f>IF('ORDER VS WEEK DISTRIBUTION'!AF53="","",'ORDER VS WEEK DISTRIBUTION'!AF53)</f>
        <v/>
      </c>
    </row>
  </sheetData>
  <mergeCells count="9">
    <mergeCell ref="C9:C10"/>
    <mergeCell ref="A1:G1"/>
    <mergeCell ref="B3:B20"/>
    <mergeCell ref="A15:A20"/>
    <mergeCell ref="A3:A10"/>
    <mergeCell ref="H1:S1"/>
    <mergeCell ref="C19:C20"/>
    <mergeCell ref="A11:A14"/>
    <mergeCell ref="C13:C14"/>
  </mergeCells>
  <conditionalFormatting sqref="H3:S20">
    <cfRule type="expression" priority="3" dxfId="0">
      <formula>AND(H3&lt;&gt;"",$G3&lt;&gt;"",$G3&gt;0,H3&gt;$G3)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5" min="1" max="1"/>
    <col width="10.55" customWidth="1" style="5" min="2" max="2"/>
    <col width="11.44" customWidth="1" style="5" min="3" max="3"/>
    <col width="17.66" customWidth="1" style="5" min="4" max="4"/>
    <col width="7" customWidth="1" style="5" min="5" max="5"/>
    <col width="7" customWidth="1" style="5" min="6" max="6"/>
    <col width="10.66" customWidth="1" style="5" min="7" max="7"/>
    <col width="6.44" customWidth="1" style="5" min="8" max="8"/>
  </cols>
  <sheetData>
    <row r="1" ht="15.6" customHeight="1" s="5">
      <c r="A1" s="99" t="inlineStr">
        <is>
          <t>Order Vs Week Distribution</t>
        </is>
      </c>
      <c r="B1" s="84" t="n"/>
      <c r="C1" s="84" t="n"/>
      <c r="D1" s="84" t="n"/>
      <c r="E1" s="84" t="n"/>
      <c r="F1" s="84" t="n"/>
      <c r="G1" s="85" t="n"/>
      <c r="H1" s="99" t="inlineStr">
        <is>
          <t>Based on Order Qty</t>
        </is>
      </c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5" t="n"/>
    </row>
    <row r="2" ht="57.6" customHeight="1" s="5">
      <c r="A2" s="67">
        <f>IF('ORDER VS WEEK DISTRIBUTION'!A2="","",'ORDER VS WEEK DISTRIBUTION'!A2)</f>
        <v/>
      </c>
      <c r="B2" s="67">
        <f>IF('ORDER VS WEEK DISTRIBUTION'!B2="","",'ORDER VS WEEK DISTRIBUTION'!B2)</f>
        <v/>
      </c>
      <c r="C2" s="67">
        <f>IF('ORDER VS WEEK DISTRIBUTION'!C2="","",'ORDER VS WEEK DISTRIBUTION'!C2)</f>
        <v/>
      </c>
      <c r="D2" s="67">
        <f>IF('ORDER VS WEEK DISTRIBUTION'!D2="","",'ORDER VS WEEK DISTRIBUTION'!D2)</f>
        <v/>
      </c>
      <c r="E2" s="67">
        <f>IF('ORDER VS WEEK DISTRIBUTION'!E2="","",'ORDER VS WEEK DISTRIBUTION'!E2)</f>
        <v/>
      </c>
      <c r="F2" s="67">
        <f>IF('ORDER VS WEEK DISTRIBUTION'!F2="","",'ORDER VS WEEK DISTRIBUTION'!F2)</f>
        <v/>
      </c>
      <c r="G2" s="67">
        <f>IF('ORDER VS WEEK DISTRIBUTION'!G2="","",'ORDER VS WEEK DISTRIBUTION'!G2)</f>
        <v/>
      </c>
      <c r="H2" s="67">
        <f>IF('ORDER VS WEEK DISTRIBUTION'!U2="","",'ORDER VS WEEK DISTRIBUTION'!U2)</f>
        <v/>
      </c>
      <c r="I2" s="67">
        <f>IF('ORDER VS WEEK DISTRIBUTION'!V2="","",'ORDER VS WEEK DISTRIBUTION'!V2)</f>
        <v/>
      </c>
      <c r="J2" s="67">
        <f>IF('ORDER VS WEEK DISTRIBUTION'!W2="","",'ORDER VS WEEK DISTRIBUTION'!W2)</f>
        <v/>
      </c>
      <c r="K2" s="67">
        <f>IF('ORDER VS WEEK DISTRIBUTION'!X2="","",'ORDER VS WEEK DISTRIBUTION'!X2)</f>
        <v/>
      </c>
      <c r="L2" s="67">
        <f>IF('ORDER VS WEEK DISTRIBUTION'!Y2="","",'ORDER VS WEEK DISTRIBUTION'!Y2)</f>
        <v/>
      </c>
      <c r="M2" s="67">
        <f>IF('ORDER VS WEEK DISTRIBUTION'!Z2="","",'ORDER VS WEEK DISTRIBUTION'!Z2)</f>
        <v/>
      </c>
      <c r="N2" s="67">
        <f>IF('ORDER VS WEEK DISTRIBUTION'!AA2="","",'ORDER VS WEEK DISTRIBUTION'!AA2)</f>
        <v/>
      </c>
      <c r="O2" s="67">
        <f>IF('ORDER VS WEEK DISTRIBUTION'!AB2="","",'ORDER VS WEEK DISTRIBUTION'!AB2)</f>
        <v/>
      </c>
      <c r="P2" s="67">
        <f>IF('ORDER VS WEEK DISTRIBUTION'!AC2="","",'ORDER VS WEEK DISTRIBUTION'!AC2)</f>
        <v/>
      </c>
      <c r="Q2" s="67">
        <f>IF('ORDER VS WEEK DISTRIBUTION'!AD2="","",'ORDER VS WEEK DISTRIBUTION'!AD2)</f>
        <v/>
      </c>
      <c r="R2" s="67">
        <f>IF('ORDER VS WEEK DISTRIBUTION'!AE2="","",'ORDER VS WEEK DISTRIBUTION'!AE2)</f>
        <v/>
      </c>
      <c r="S2" s="67">
        <f>IF('ORDER VS WEEK DISTRIBUTION'!AF2="","",'ORDER VS WEEK DISTRIBUTION'!AF2)</f>
        <v/>
      </c>
    </row>
    <row r="3">
      <c r="A3" s="123">
        <f>IF('ORDER VS WEEK DISTRIBUTION'!A3="","",'ORDER VS WEEK DISTRIBUTION'!A3)</f>
        <v/>
      </c>
      <c r="B3" s="103">
        <f>IF('ORDER VS WEEK DISTRIBUTION'!B11="","",'ORDER VS WEEK DISTRIBUTION'!B11)</f>
        <v/>
      </c>
      <c r="C3" s="65">
        <f>IF('ORDER VS WEEK DISTRIBUTION'!C11="","",'ORDER VS WEEK DISTRIBUTION'!C11)</f>
        <v/>
      </c>
      <c r="D3" s="52">
        <f>IF('ORDER VS WEEK DISTRIBUTION'!D11="","",'ORDER VS WEEK DISTRIBUTION'!D11)</f>
        <v/>
      </c>
      <c r="E3" s="53">
        <f>IF('ORDER VS WEEK DISTRIBUTION'!E11="","",'ORDER VS WEEK DISTRIBUTION'!E11)</f>
        <v/>
      </c>
      <c r="F3" s="53">
        <f>IF('ORDER VS WEEK DISTRIBUTION'!F11="","",'ORDER VS WEEK DISTRIBUTION'!F11)</f>
        <v/>
      </c>
      <c r="G3" s="75">
        <f>IF('ORDER VS WEEK DISTRIBUTION'!G11="","",'ORDER VS WEEK DISTRIBUTION'!G11)</f>
        <v/>
      </c>
      <c r="H3" s="75">
        <f>IF('ORDER VS WEEK DISTRIBUTION'!U11="","",'ORDER VS WEEK DISTRIBUTION'!U11)</f>
        <v/>
      </c>
      <c r="I3" s="75">
        <f>IF('ORDER VS WEEK DISTRIBUTION'!V11="","",'ORDER VS WEEK DISTRIBUTION'!V11)</f>
        <v/>
      </c>
      <c r="J3" s="75">
        <f>IF('ORDER VS WEEK DISTRIBUTION'!W11="","",'ORDER VS WEEK DISTRIBUTION'!W11)</f>
        <v/>
      </c>
      <c r="K3" s="75">
        <f>IF('ORDER VS WEEK DISTRIBUTION'!X11="","",'ORDER VS WEEK DISTRIBUTION'!X11)</f>
        <v/>
      </c>
      <c r="L3" s="75">
        <f>IF('ORDER VS WEEK DISTRIBUTION'!Y11="","",'ORDER VS WEEK DISTRIBUTION'!Y11)</f>
        <v/>
      </c>
      <c r="M3" s="75">
        <f>IF('ORDER VS WEEK DISTRIBUTION'!Z11="","",'ORDER VS WEEK DISTRIBUTION'!Z11)</f>
        <v/>
      </c>
      <c r="N3" s="75">
        <f>IF('ORDER VS WEEK DISTRIBUTION'!AA11="","",'ORDER VS WEEK DISTRIBUTION'!AA11)</f>
        <v/>
      </c>
      <c r="O3" s="75">
        <f>IF('ORDER VS WEEK DISTRIBUTION'!AB11="","",'ORDER VS WEEK DISTRIBUTION'!AB11)</f>
        <v/>
      </c>
      <c r="P3" s="75">
        <f>IF('ORDER VS WEEK DISTRIBUTION'!AC11="","",'ORDER VS WEEK DISTRIBUTION'!AC11)</f>
        <v/>
      </c>
      <c r="Q3" s="75">
        <f>IF('ORDER VS WEEK DISTRIBUTION'!AD11="","",'ORDER VS WEEK DISTRIBUTION'!AD11)</f>
        <v/>
      </c>
      <c r="R3" s="75">
        <f>IF('ORDER VS WEEK DISTRIBUTION'!AE11="","",'ORDER VS WEEK DISTRIBUTION'!AE11)</f>
        <v/>
      </c>
      <c r="S3" s="75">
        <f>IF('ORDER VS WEEK DISTRIBUTION'!AF11="","",'ORDER VS WEEK DISTRIBUTION'!AF11)</f>
        <v/>
      </c>
    </row>
    <row r="4">
      <c r="A4" s="104" t="n"/>
      <c r="B4" s="104" t="n"/>
      <c r="C4" s="105">
        <f>IF('ORDER VS WEEK DISTRIBUTION'!C12="","",'ORDER VS WEEK DISTRIBUTION'!C12)</f>
        <v/>
      </c>
      <c r="D4" s="125">
        <f>IF('ORDER VS WEEK DISTRIBUTION'!D12="","",'ORDER VS WEEK DISTRIBUTION'!D12)</f>
        <v/>
      </c>
      <c r="E4" s="126">
        <f>IF('ORDER VS WEEK DISTRIBUTION'!E12="","",'ORDER VS WEEK DISTRIBUTION'!E12)</f>
        <v/>
      </c>
      <c r="F4" s="126">
        <f>IF('ORDER VS WEEK DISTRIBUTION'!F12="","",'ORDER VS WEEK DISTRIBUTION'!F12)</f>
        <v/>
      </c>
      <c r="G4" s="127">
        <f>IF('ORDER VS WEEK DISTRIBUTION'!G12="","",'ORDER VS WEEK DISTRIBUTION'!G12)</f>
        <v/>
      </c>
      <c r="H4" s="127">
        <f>IF('ORDER VS WEEK DISTRIBUTION'!U12="","",'ORDER VS WEEK DISTRIBUTION'!U12)</f>
        <v/>
      </c>
      <c r="I4" s="127">
        <f>IF('ORDER VS WEEK DISTRIBUTION'!V12="","",'ORDER VS WEEK DISTRIBUTION'!V12)</f>
        <v/>
      </c>
      <c r="J4" s="127">
        <f>IF('ORDER VS WEEK DISTRIBUTION'!W12="","",'ORDER VS WEEK DISTRIBUTION'!W12)</f>
        <v/>
      </c>
      <c r="K4" s="127">
        <f>IF('ORDER VS WEEK DISTRIBUTION'!X12="","",'ORDER VS WEEK DISTRIBUTION'!X12)</f>
        <v/>
      </c>
      <c r="L4" s="127">
        <f>IF('ORDER VS WEEK DISTRIBUTION'!Y12="","",'ORDER VS WEEK DISTRIBUTION'!Y12)</f>
        <v/>
      </c>
      <c r="M4" s="127">
        <f>IF('ORDER VS WEEK DISTRIBUTION'!Z12="","",'ORDER VS WEEK DISTRIBUTION'!Z12)</f>
        <v/>
      </c>
      <c r="N4" s="127">
        <f>IF('ORDER VS WEEK DISTRIBUTION'!AA12="","",'ORDER VS WEEK DISTRIBUTION'!AA12)</f>
        <v/>
      </c>
      <c r="O4" s="127">
        <f>IF('ORDER VS WEEK DISTRIBUTION'!AB12="","",'ORDER VS WEEK DISTRIBUTION'!AB12)</f>
        <v/>
      </c>
      <c r="P4" s="127">
        <f>IF('ORDER VS WEEK DISTRIBUTION'!AC12="","",'ORDER VS WEEK DISTRIBUTION'!AC12)</f>
        <v/>
      </c>
      <c r="Q4" s="127">
        <f>IF('ORDER VS WEEK DISTRIBUTION'!AD12="","",'ORDER VS WEEK DISTRIBUTION'!AD12)</f>
        <v/>
      </c>
      <c r="R4" s="127">
        <f>IF('ORDER VS WEEK DISTRIBUTION'!AE12="","",'ORDER VS WEEK DISTRIBUTION'!AE12)</f>
        <v/>
      </c>
      <c r="S4" s="127">
        <f>IF('ORDER VS WEEK DISTRIBUTION'!AF12="","",'ORDER VS WEEK DISTRIBUTION'!AF12)</f>
        <v/>
      </c>
    </row>
    <row r="5">
      <c r="A5" s="104" t="n"/>
      <c r="B5" s="104" t="n"/>
      <c r="C5" s="116">
        <f>IF('ORDER VS WEEK DISTRIBUTION'!C13="","",'ORDER VS WEEK DISTRIBUTION'!C13)</f>
        <v/>
      </c>
      <c r="D5" s="108">
        <f>IF('ORDER VS WEEK DISTRIBUTION'!D13="","",'ORDER VS WEEK DISTRIBUTION'!D13)</f>
        <v/>
      </c>
      <c r="E5" s="112">
        <f>IF('ORDER VS WEEK DISTRIBUTION'!E13="","",'ORDER VS WEEK DISTRIBUTION'!E13)</f>
        <v/>
      </c>
      <c r="F5" s="111">
        <f>IF('ORDER VS WEEK DISTRIBUTION'!F13="","",'ORDER VS WEEK DISTRIBUTION'!F13)</f>
        <v/>
      </c>
      <c r="G5" s="111">
        <f>IF('ORDER VS WEEK DISTRIBUTION'!G13="","",'ORDER VS WEEK DISTRIBUTION'!G13)</f>
        <v/>
      </c>
      <c r="H5" s="111">
        <f>IF('ORDER VS WEEK DISTRIBUTION'!U13="","",'ORDER VS WEEK DISTRIBUTION'!U13)</f>
        <v/>
      </c>
      <c r="I5" s="111">
        <f>IF('ORDER VS WEEK DISTRIBUTION'!V13="","",'ORDER VS WEEK DISTRIBUTION'!V13)</f>
        <v/>
      </c>
      <c r="J5" s="111">
        <f>IF('ORDER VS WEEK DISTRIBUTION'!W13="","",'ORDER VS WEEK DISTRIBUTION'!W13)</f>
        <v/>
      </c>
      <c r="K5" s="111">
        <f>IF('ORDER VS WEEK DISTRIBUTION'!X13="","",'ORDER VS WEEK DISTRIBUTION'!X13)</f>
        <v/>
      </c>
      <c r="L5" s="111">
        <f>IF('ORDER VS WEEK DISTRIBUTION'!Y13="","",'ORDER VS WEEK DISTRIBUTION'!Y13)</f>
        <v/>
      </c>
      <c r="M5" s="111">
        <f>IF('ORDER VS WEEK DISTRIBUTION'!Z13="","",'ORDER VS WEEK DISTRIBUTION'!Z13)</f>
        <v/>
      </c>
      <c r="N5" s="111">
        <f>IF('ORDER VS WEEK DISTRIBUTION'!AA13="","",'ORDER VS WEEK DISTRIBUTION'!AA13)</f>
        <v/>
      </c>
      <c r="O5" s="111">
        <f>IF('ORDER VS WEEK DISTRIBUTION'!AB13="","",'ORDER VS WEEK DISTRIBUTION'!AB13)</f>
        <v/>
      </c>
      <c r="P5" s="111">
        <f>IF('ORDER VS WEEK DISTRIBUTION'!AC13="","",'ORDER VS WEEK DISTRIBUTION'!AC13)</f>
        <v/>
      </c>
      <c r="Q5" s="111">
        <f>IF('ORDER VS WEEK DISTRIBUTION'!AD13="","",'ORDER VS WEEK DISTRIBUTION'!AD13)</f>
        <v/>
      </c>
      <c r="R5" s="111">
        <f>IF('ORDER VS WEEK DISTRIBUTION'!AE13="","",'ORDER VS WEEK DISTRIBUTION'!AE13)</f>
        <v/>
      </c>
      <c r="S5" s="111">
        <f>IF('ORDER VS WEEK DISTRIBUTION'!AF13="","",'ORDER VS WEEK DISTRIBUTION'!AF13)</f>
        <v/>
      </c>
    </row>
    <row r="6">
      <c r="A6" s="104" t="n"/>
      <c r="B6" s="86" t="n"/>
      <c r="C6" s="86" t="n"/>
      <c r="D6" s="108">
        <f>IF('ORDER VS WEEK DISTRIBUTION'!D14="","",'ORDER VS WEEK DISTRIBUTION'!D14)</f>
        <v/>
      </c>
      <c r="E6" s="114">
        <f>IF('ORDER VS WEEK DISTRIBUTION'!E14="","",'ORDER VS WEEK DISTRIBUTION'!E14)</f>
        <v/>
      </c>
      <c r="F6" s="114">
        <f>IF('ORDER VS WEEK DISTRIBUTION'!F14="","",'ORDER VS WEEK DISTRIBUTION'!F14)</f>
        <v/>
      </c>
      <c r="G6" s="115">
        <f>IF('ORDER VS WEEK DISTRIBUTION'!G14="","",'ORDER VS WEEK DISTRIBUTION'!G14)</f>
        <v/>
      </c>
      <c r="H6" s="111">
        <f>IF('ORDER VS WEEK DISTRIBUTION'!U14="","",'ORDER VS WEEK DISTRIBUTION'!U14)</f>
        <v/>
      </c>
      <c r="I6" s="111">
        <f>IF('ORDER VS WEEK DISTRIBUTION'!V14="","",'ORDER VS WEEK DISTRIBUTION'!V14)</f>
        <v/>
      </c>
      <c r="J6" s="111">
        <f>IF('ORDER VS WEEK DISTRIBUTION'!W14="","",'ORDER VS WEEK DISTRIBUTION'!W14)</f>
        <v/>
      </c>
      <c r="K6" s="111">
        <f>IF('ORDER VS WEEK DISTRIBUTION'!X14="","",'ORDER VS WEEK DISTRIBUTION'!X14)</f>
        <v/>
      </c>
      <c r="L6" s="111">
        <f>IF('ORDER VS WEEK DISTRIBUTION'!Y14="","",'ORDER VS WEEK DISTRIBUTION'!Y14)</f>
        <v/>
      </c>
      <c r="M6" s="111">
        <f>IF('ORDER VS WEEK DISTRIBUTION'!Z14="","",'ORDER VS WEEK DISTRIBUTION'!Z14)</f>
        <v/>
      </c>
      <c r="N6" s="111">
        <f>IF('ORDER VS WEEK DISTRIBUTION'!AA14="","",'ORDER VS WEEK DISTRIBUTION'!AA14)</f>
        <v/>
      </c>
      <c r="O6" s="111">
        <f>IF('ORDER VS WEEK DISTRIBUTION'!AB14="","",'ORDER VS WEEK DISTRIBUTION'!AB14)</f>
        <v/>
      </c>
      <c r="P6" s="111">
        <f>IF('ORDER VS WEEK DISTRIBUTION'!AC14="","",'ORDER VS WEEK DISTRIBUTION'!AC14)</f>
        <v/>
      </c>
      <c r="Q6" s="111">
        <f>IF('ORDER VS WEEK DISTRIBUTION'!AD14="","",'ORDER VS WEEK DISTRIBUTION'!AD14)</f>
        <v/>
      </c>
      <c r="R6" s="111">
        <f>IF('ORDER VS WEEK DISTRIBUTION'!AE14="","",'ORDER VS WEEK DISTRIBUTION'!AE14)</f>
        <v/>
      </c>
      <c r="S6" s="111">
        <f>IF('ORDER VS WEEK DISTRIBUTION'!AF14="","",'ORDER VS WEEK DISTRIBUTION'!AF14)</f>
        <v/>
      </c>
    </row>
    <row r="7">
      <c r="A7" s="104" t="n"/>
      <c r="B7" s="103">
        <f>IF('ORDER VS WEEK DISTRIBUTION'!B15="","",'ORDER VS WEEK DISTRIBUTION'!B15)</f>
        <v/>
      </c>
      <c r="C7" s="65">
        <f>IF('ORDER VS WEEK DISTRIBUTION'!C15="","",'ORDER VS WEEK DISTRIBUTION'!C15)</f>
        <v/>
      </c>
      <c r="D7" s="52">
        <f>IF('ORDER VS WEEK DISTRIBUTION'!D15="","",'ORDER VS WEEK DISTRIBUTION'!D15)</f>
        <v/>
      </c>
      <c r="E7" s="53">
        <f>IF('ORDER VS WEEK DISTRIBUTION'!E15="","",'ORDER VS WEEK DISTRIBUTION'!E15)</f>
        <v/>
      </c>
      <c r="F7" s="53">
        <f>IF('ORDER VS WEEK DISTRIBUTION'!F15="","",'ORDER VS WEEK DISTRIBUTION'!F15)</f>
        <v/>
      </c>
      <c r="G7" s="75">
        <f>IF('ORDER VS WEEK DISTRIBUTION'!G15="","",'ORDER VS WEEK DISTRIBUTION'!G15)</f>
        <v/>
      </c>
      <c r="H7" s="75">
        <f>IF('ORDER VS WEEK DISTRIBUTION'!U15="","",'ORDER VS WEEK DISTRIBUTION'!U15)</f>
        <v/>
      </c>
      <c r="I7" s="75">
        <f>IF('ORDER VS WEEK DISTRIBUTION'!V15="","",'ORDER VS WEEK DISTRIBUTION'!V15)</f>
        <v/>
      </c>
      <c r="J7" s="75">
        <f>IF('ORDER VS WEEK DISTRIBUTION'!W15="","",'ORDER VS WEEK DISTRIBUTION'!W15)</f>
        <v/>
      </c>
      <c r="K7" s="75">
        <f>IF('ORDER VS WEEK DISTRIBUTION'!X15="","",'ORDER VS WEEK DISTRIBUTION'!X15)</f>
        <v/>
      </c>
      <c r="L7" s="75">
        <f>IF('ORDER VS WEEK DISTRIBUTION'!Y15="","",'ORDER VS WEEK DISTRIBUTION'!Y15)</f>
        <v/>
      </c>
      <c r="M7" s="75">
        <f>IF('ORDER VS WEEK DISTRIBUTION'!Z15="","",'ORDER VS WEEK DISTRIBUTION'!Z15)</f>
        <v/>
      </c>
      <c r="N7" s="75">
        <f>IF('ORDER VS WEEK DISTRIBUTION'!AA15="","",'ORDER VS WEEK DISTRIBUTION'!AA15)</f>
        <v/>
      </c>
      <c r="O7" s="75">
        <f>IF('ORDER VS WEEK DISTRIBUTION'!AB15="","",'ORDER VS WEEK DISTRIBUTION'!AB15)</f>
        <v/>
      </c>
      <c r="P7" s="75">
        <f>IF('ORDER VS WEEK DISTRIBUTION'!AC15="","",'ORDER VS WEEK DISTRIBUTION'!AC15)</f>
        <v/>
      </c>
      <c r="Q7" s="75">
        <f>IF('ORDER VS WEEK DISTRIBUTION'!AD15="","",'ORDER VS WEEK DISTRIBUTION'!AD15)</f>
        <v/>
      </c>
      <c r="R7" s="75">
        <f>IF('ORDER VS WEEK DISTRIBUTION'!AE15="","",'ORDER VS WEEK DISTRIBUTION'!AE15)</f>
        <v/>
      </c>
      <c r="S7" s="75">
        <f>IF('ORDER VS WEEK DISTRIBUTION'!AF15="","",'ORDER VS WEEK DISTRIBUTION'!AF15)</f>
        <v/>
      </c>
    </row>
    <row r="8">
      <c r="A8" s="104" t="n"/>
      <c r="B8" s="104" t="n"/>
      <c r="C8" s="124">
        <f>IF('ORDER VS WEEK DISTRIBUTION'!C16="","",'ORDER VS WEEK DISTRIBUTION'!C16)</f>
        <v/>
      </c>
      <c r="D8" s="52">
        <f>IF('ORDER VS WEEK DISTRIBUTION'!D16="","",'ORDER VS WEEK DISTRIBUTION'!D16)</f>
        <v/>
      </c>
      <c r="E8" s="53">
        <f>IF('ORDER VS WEEK DISTRIBUTION'!E16="","",'ORDER VS WEEK DISTRIBUTION'!E16)</f>
        <v/>
      </c>
      <c r="F8" s="53">
        <f>IF('ORDER VS WEEK DISTRIBUTION'!F16="","",'ORDER VS WEEK DISTRIBUTION'!F16)</f>
        <v/>
      </c>
      <c r="G8" s="75">
        <f>IF('ORDER VS WEEK DISTRIBUTION'!G16="","",'ORDER VS WEEK DISTRIBUTION'!G16)</f>
        <v/>
      </c>
      <c r="H8" s="75">
        <f>IF('ORDER VS WEEK DISTRIBUTION'!U16="","",'ORDER VS WEEK DISTRIBUTION'!U16)</f>
        <v/>
      </c>
      <c r="I8" s="75">
        <f>IF('ORDER VS WEEK DISTRIBUTION'!V16="","",'ORDER VS WEEK DISTRIBUTION'!V16)</f>
        <v/>
      </c>
      <c r="J8" s="75">
        <f>IF('ORDER VS WEEK DISTRIBUTION'!W16="","",'ORDER VS WEEK DISTRIBUTION'!W16)</f>
        <v/>
      </c>
      <c r="K8" s="75">
        <f>IF('ORDER VS WEEK DISTRIBUTION'!X16="","",'ORDER VS WEEK DISTRIBUTION'!X16)</f>
        <v/>
      </c>
      <c r="L8" s="75">
        <f>IF('ORDER VS WEEK DISTRIBUTION'!Y16="","",'ORDER VS WEEK DISTRIBUTION'!Y16)</f>
        <v/>
      </c>
      <c r="M8" s="75">
        <f>IF('ORDER VS WEEK DISTRIBUTION'!Z16="","",'ORDER VS WEEK DISTRIBUTION'!Z16)</f>
        <v/>
      </c>
      <c r="N8" s="75">
        <f>IF('ORDER VS WEEK DISTRIBUTION'!AA16="","",'ORDER VS WEEK DISTRIBUTION'!AA16)</f>
        <v/>
      </c>
      <c r="O8" s="75">
        <f>IF('ORDER VS WEEK DISTRIBUTION'!AB16="","",'ORDER VS WEEK DISTRIBUTION'!AB16)</f>
        <v/>
      </c>
      <c r="P8" s="75">
        <f>IF('ORDER VS WEEK DISTRIBUTION'!AC16="","",'ORDER VS WEEK DISTRIBUTION'!AC16)</f>
        <v/>
      </c>
      <c r="Q8" s="75">
        <f>IF('ORDER VS WEEK DISTRIBUTION'!AD16="","",'ORDER VS WEEK DISTRIBUTION'!AD16)</f>
        <v/>
      </c>
      <c r="R8" s="75">
        <f>IF('ORDER VS WEEK DISTRIBUTION'!AE16="","",'ORDER VS WEEK DISTRIBUTION'!AE16)</f>
        <v/>
      </c>
      <c r="S8" s="75">
        <f>IF('ORDER VS WEEK DISTRIBUTION'!AF16="","",'ORDER VS WEEK DISTRIBUTION'!AF16)</f>
        <v/>
      </c>
    </row>
    <row r="9">
      <c r="A9" s="104" t="n"/>
      <c r="B9" s="104" t="n"/>
      <c r="C9" s="105">
        <f>IF('ORDER VS WEEK DISTRIBUTION'!C17="","",'ORDER VS WEEK DISTRIBUTION'!C17)</f>
        <v/>
      </c>
      <c r="D9" s="125">
        <f>IF('ORDER VS WEEK DISTRIBUTION'!D17="","",'ORDER VS WEEK DISTRIBUTION'!D17)</f>
        <v/>
      </c>
      <c r="E9" s="126">
        <f>IF('ORDER VS WEEK DISTRIBUTION'!E17="","",'ORDER VS WEEK DISTRIBUTION'!E17)</f>
        <v/>
      </c>
      <c r="F9" s="126">
        <f>IF('ORDER VS WEEK DISTRIBUTION'!F17="","",'ORDER VS WEEK DISTRIBUTION'!F17)</f>
        <v/>
      </c>
      <c r="G9" s="127">
        <f>IF('ORDER VS WEEK DISTRIBUTION'!G17="","",'ORDER VS WEEK DISTRIBUTION'!G17)</f>
        <v/>
      </c>
      <c r="H9" s="127">
        <f>IF('ORDER VS WEEK DISTRIBUTION'!U17="","",'ORDER VS WEEK DISTRIBUTION'!U17)</f>
        <v/>
      </c>
      <c r="I9" s="127">
        <f>IF('ORDER VS WEEK DISTRIBUTION'!V17="","",'ORDER VS WEEK DISTRIBUTION'!V17)</f>
        <v/>
      </c>
      <c r="J9" s="127">
        <f>IF('ORDER VS WEEK DISTRIBUTION'!W17="","",'ORDER VS WEEK DISTRIBUTION'!W17)</f>
        <v/>
      </c>
      <c r="K9" s="127">
        <f>IF('ORDER VS WEEK DISTRIBUTION'!X17="","",'ORDER VS WEEK DISTRIBUTION'!X17)</f>
        <v/>
      </c>
      <c r="L9" s="127">
        <f>IF('ORDER VS WEEK DISTRIBUTION'!Y17="","",'ORDER VS WEEK DISTRIBUTION'!Y17)</f>
        <v/>
      </c>
      <c r="M9" s="127">
        <f>IF('ORDER VS WEEK DISTRIBUTION'!Z17="","",'ORDER VS WEEK DISTRIBUTION'!Z17)</f>
        <v/>
      </c>
      <c r="N9" s="127">
        <f>IF('ORDER VS WEEK DISTRIBUTION'!AA17="","",'ORDER VS WEEK DISTRIBUTION'!AA17)</f>
        <v/>
      </c>
      <c r="O9" s="127">
        <f>IF('ORDER VS WEEK DISTRIBUTION'!AB17="","",'ORDER VS WEEK DISTRIBUTION'!AB17)</f>
        <v/>
      </c>
      <c r="P9" s="127">
        <f>IF('ORDER VS WEEK DISTRIBUTION'!AC17="","",'ORDER VS WEEK DISTRIBUTION'!AC17)</f>
        <v/>
      </c>
      <c r="Q9" s="127">
        <f>IF('ORDER VS WEEK DISTRIBUTION'!AD17="","",'ORDER VS WEEK DISTRIBUTION'!AD17)</f>
        <v/>
      </c>
      <c r="R9" s="127">
        <f>IF('ORDER VS WEEK DISTRIBUTION'!AE17="","",'ORDER VS WEEK DISTRIBUTION'!AE17)</f>
        <v/>
      </c>
      <c r="S9" s="127">
        <f>IF('ORDER VS WEEK DISTRIBUTION'!AF17="","",'ORDER VS WEEK DISTRIBUTION'!AF17)</f>
        <v/>
      </c>
    </row>
    <row r="10">
      <c r="A10" s="104" t="n"/>
      <c r="B10" s="104" t="n"/>
      <c r="C10" s="107">
        <f>IF('ORDER VS WEEK DISTRIBUTION'!C18="","",'ORDER VS WEEK DISTRIBUTION'!C18)</f>
        <v/>
      </c>
      <c r="D10" s="108">
        <f>IF('ORDER VS WEEK DISTRIBUTION'!D18="","",'ORDER VS WEEK DISTRIBUTION'!D18)</f>
        <v/>
      </c>
      <c r="E10" s="109">
        <f>IF('ORDER VS WEEK DISTRIBUTION'!E18="","",'ORDER VS WEEK DISTRIBUTION'!E18)</f>
        <v/>
      </c>
      <c r="F10" s="110">
        <f>IF('ORDER VS WEEK DISTRIBUTION'!F18="","",'ORDER VS WEEK DISTRIBUTION'!F18)</f>
        <v/>
      </c>
      <c r="G10" s="110">
        <f>IF('ORDER VS WEEK DISTRIBUTION'!G18="","",'ORDER VS WEEK DISTRIBUTION'!G18)</f>
        <v/>
      </c>
      <c r="H10" s="111">
        <f>IF('ORDER VS WEEK DISTRIBUTION'!U18="","",'ORDER VS WEEK DISTRIBUTION'!U18)</f>
        <v/>
      </c>
      <c r="I10" s="111">
        <f>IF('ORDER VS WEEK DISTRIBUTION'!V18="","",'ORDER VS WEEK DISTRIBUTION'!V18)</f>
        <v/>
      </c>
      <c r="J10" s="111">
        <f>IF('ORDER VS WEEK DISTRIBUTION'!W18="","",'ORDER VS WEEK DISTRIBUTION'!W18)</f>
        <v/>
      </c>
      <c r="K10" s="111">
        <f>IF('ORDER VS WEEK DISTRIBUTION'!X18="","",'ORDER VS WEEK DISTRIBUTION'!X18)</f>
        <v/>
      </c>
      <c r="L10" s="111">
        <f>IF('ORDER VS WEEK DISTRIBUTION'!Y18="","",'ORDER VS WEEK DISTRIBUTION'!Y18)</f>
        <v/>
      </c>
      <c r="M10" s="111">
        <f>IF('ORDER VS WEEK DISTRIBUTION'!Z18="","",'ORDER VS WEEK DISTRIBUTION'!Z18)</f>
        <v/>
      </c>
      <c r="N10" s="111">
        <f>IF('ORDER VS WEEK DISTRIBUTION'!AA18="","",'ORDER VS WEEK DISTRIBUTION'!AA18)</f>
        <v/>
      </c>
      <c r="O10" s="111">
        <f>IF('ORDER VS WEEK DISTRIBUTION'!AB18="","",'ORDER VS WEEK DISTRIBUTION'!AB18)</f>
        <v/>
      </c>
      <c r="P10" s="111">
        <f>IF('ORDER VS WEEK DISTRIBUTION'!AC18="","",'ORDER VS WEEK DISTRIBUTION'!AC18)</f>
        <v/>
      </c>
      <c r="Q10" s="111">
        <f>IF('ORDER VS WEEK DISTRIBUTION'!AD18="","",'ORDER VS WEEK DISTRIBUTION'!AD18)</f>
        <v/>
      </c>
      <c r="R10" s="111">
        <f>IF('ORDER VS WEEK DISTRIBUTION'!AE18="","",'ORDER VS WEEK DISTRIBUTION'!AE18)</f>
        <v/>
      </c>
      <c r="S10" s="111">
        <f>IF('ORDER VS WEEK DISTRIBUTION'!AF18="","",'ORDER VS WEEK DISTRIBUTION'!AF18)</f>
        <v/>
      </c>
    </row>
    <row r="11">
      <c r="A11" s="104" t="n"/>
      <c r="B11" s="104" t="n"/>
      <c r="C11" s="86" t="n"/>
      <c r="D11" s="108">
        <f>IF('ORDER VS WEEK DISTRIBUTION'!D19="","",'ORDER VS WEEK DISTRIBUTION'!D19)</f>
        <v/>
      </c>
      <c r="E11" s="112">
        <f>IF('ORDER VS WEEK DISTRIBUTION'!E19="","",'ORDER VS WEEK DISTRIBUTION'!E19)</f>
        <v/>
      </c>
      <c r="F11" s="111">
        <f>IF('ORDER VS WEEK DISTRIBUTION'!F19="","",'ORDER VS WEEK DISTRIBUTION'!F19)</f>
        <v/>
      </c>
      <c r="G11" s="111">
        <f>IF('ORDER VS WEEK DISTRIBUTION'!G19="","",'ORDER VS WEEK DISTRIBUTION'!G19)</f>
        <v/>
      </c>
      <c r="H11" s="111">
        <f>IF('ORDER VS WEEK DISTRIBUTION'!U19="","",'ORDER VS WEEK DISTRIBUTION'!U19)</f>
        <v/>
      </c>
      <c r="I11" s="111">
        <f>IF('ORDER VS WEEK DISTRIBUTION'!V19="","",'ORDER VS WEEK DISTRIBUTION'!V19)</f>
        <v/>
      </c>
      <c r="J11" s="111">
        <f>IF('ORDER VS WEEK DISTRIBUTION'!W19="","",'ORDER VS WEEK DISTRIBUTION'!W19)</f>
        <v/>
      </c>
      <c r="K11" s="111">
        <f>IF('ORDER VS WEEK DISTRIBUTION'!X19="","",'ORDER VS WEEK DISTRIBUTION'!X19)</f>
        <v/>
      </c>
      <c r="L11" s="111">
        <f>IF('ORDER VS WEEK DISTRIBUTION'!Y19="","",'ORDER VS WEEK DISTRIBUTION'!Y19)</f>
        <v/>
      </c>
      <c r="M11" s="111">
        <f>IF('ORDER VS WEEK DISTRIBUTION'!Z19="","",'ORDER VS WEEK DISTRIBUTION'!Z19)</f>
        <v/>
      </c>
      <c r="N11" s="111">
        <f>IF('ORDER VS WEEK DISTRIBUTION'!AA19="","",'ORDER VS WEEK DISTRIBUTION'!AA19)</f>
        <v/>
      </c>
      <c r="O11" s="111">
        <f>IF('ORDER VS WEEK DISTRIBUTION'!AB19="","",'ORDER VS WEEK DISTRIBUTION'!AB19)</f>
        <v/>
      </c>
      <c r="P11" s="111">
        <f>IF('ORDER VS WEEK DISTRIBUTION'!AC19="","",'ORDER VS WEEK DISTRIBUTION'!AC19)</f>
        <v/>
      </c>
      <c r="Q11" s="111">
        <f>IF('ORDER VS WEEK DISTRIBUTION'!AD19="","",'ORDER VS WEEK DISTRIBUTION'!AD19)</f>
        <v/>
      </c>
      <c r="R11" s="111">
        <f>IF('ORDER VS WEEK DISTRIBUTION'!AE19="","",'ORDER VS WEEK DISTRIBUTION'!AE19)</f>
        <v/>
      </c>
      <c r="S11" s="111">
        <f>IF('ORDER VS WEEK DISTRIBUTION'!AF19="","",'ORDER VS WEEK DISTRIBUTION'!AF19)</f>
        <v/>
      </c>
    </row>
    <row r="12">
      <c r="A12" s="104" t="n"/>
      <c r="B12" s="104" t="n"/>
      <c r="C12" s="65">
        <f>IF('ORDER VS WEEK DISTRIBUTION'!C20="","",'ORDER VS WEEK DISTRIBUTION'!C20)</f>
        <v/>
      </c>
      <c r="D12" s="52">
        <f>IF('ORDER VS WEEK DISTRIBUTION'!D20="","",'ORDER VS WEEK DISTRIBUTION'!D20)</f>
        <v/>
      </c>
      <c r="E12" s="53">
        <f>IF('ORDER VS WEEK DISTRIBUTION'!E20="","",'ORDER VS WEEK DISTRIBUTION'!E20)</f>
        <v/>
      </c>
      <c r="F12" s="53">
        <f>IF('ORDER VS WEEK DISTRIBUTION'!F20="","",'ORDER VS WEEK DISTRIBUTION'!F20)</f>
        <v/>
      </c>
      <c r="G12" s="75">
        <f>IF('ORDER VS WEEK DISTRIBUTION'!G20="","",'ORDER VS WEEK DISTRIBUTION'!G20)</f>
        <v/>
      </c>
      <c r="H12" s="75">
        <f>IF('ORDER VS WEEK DISTRIBUTION'!U20="","",'ORDER VS WEEK DISTRIBUTION'!U20)</f>
        <v/>
      </c>
      <c r="I12" s="75">
        <f>IF('ORDER VS WEEK DISTRIBUTION'!V20="","",'ORDER VS WEEK DISTRIBUTION'!V20)</f>
        <v/>
      </c>
      <c r="J12" s="75">
        <f>IF('ORDER VS WEEK DISTRIBUTION'!W20="","",'ORDER VS WEEK DISTRIBUTION'!W20)</f>
        <v/>
      </c>
      <c r="K12" s="75">
        <f>IF('ORDER VS WEEK DISTRIBUTION'!X20="","",'ORDER VS WEEK DISTRIBUTION'!X20)</f>
        <v/>
      </c>
      <c r="L12" s="75">
        <f>IF('ORDER VS WEEK DISTRIBUTION'!Y20="","",'ORDER VS WEEK DISTRIBUTION'!Y20)</f>
        <v/>
      </c>
      <c r="M12" s="75">
        <f>IF('ORDER VS WEEK DISTRIBUTION'!Z20="","",'ORDER VS WEEK DISTRIBUTION'!Z20)</f>
        <v/>
      </c>
      <c r="N12" s="75">
        <f>IF('ORDER VS WEEK DISTRIBUTION'!AA20="","",'ORDER VS WEEK DISTRIBUTION'!AA20)</f>
        <v/>
      </c>
      <c r="O12" s="75">
        <f>IF('ORDER VS WEEK DISTRIBUTION'!AB20="","",'ORDER VS WEEK DISTRIBUTION'!AB20)</f>
        <v/>
      </c>
      <c r="P12" s="75">
        <f>IF('ORDER VS WEEK DISTRIBUTION'!AC20="","",'ORDER VS WEEK DISTRIBUTION'!AC20)</f>
        <v/>
      </c>
      <c r="Q12" s="75">
        <f>IF('ORDER VS WEEK DISTRIBUTION'!AD20="","",'ORDER VS WEEK DISTRIBUTION'!AD20)</f>
        <v/>
      </c>
      <c r="R12" s="75">
        <f>IF('ORDER VS WEEK DISTRIBUTION'!AE20="","",'ORDER VS WEEK DISTRIBUTION'!AE20)</f>
        <v/>
      </c>
      <c r="S12" s="75">
        <f>IF('ORDER VS WEEK DISTRIBUTION'!AF20="","",'ORDER VS WEEK DISTRIBUTION'!AF20)</f>
        <v/>
      </c>
    </row>
    <row r="13">
      <c r="A13" s="104" t="n"/>
      <c r="B13" s="104" t="n"/>
      <c r="C13" s="124">
        <f>IF('ORDER VS WEEK DISTRIBUTION'!C21="","",'ORDER VS WEEK DISTRIBUTION'!C21)</f>
        <v/>
      </c>
      <c r="D13" s="52">
        <f>IF('ORDER VS WEEK DISTRIBUTION'!D21="","",'ORDER VS WEEK DISTRIBUTION'!D21)</f>
        <v/>
      </c>
      <c r="E13" s="53">
        <f>IF('ORDER VS WEEK DISTRIBUTION'!E21="","",'ORDER VS WEEK DISTRIBUTION'!E21)</f>
        <v/>
      </c>
      <c r="F13" s="53">
        <f>IF('ORDER VS WEEK DISTRIBUTION'!F21="","",'ORDER VS WEEK DISTRIBUTION'!F21)</f>
        <v/>
      </c>
      <c r="G13" s="75">
        <f>IF('ORDER VS WEEK DISTRIBUTION'!G21="","",'ORDER VS WEEK DISTRIBUTION'!G21)</f>
        <v/>
      </c>
      <c r="H13" s="75">
        <f>IF('ORDER VS WEEK DISTRIBUTION'!U21="","",'ORDER VS WEEK DISTRIBUTION'!U21)</f>
        <v/>
      </c>
      <c r="I13" s="75">
        <f>IF('ORDER VS WEEK DISTRIBUTION'!V21="","",'ORDER VS WEEK DISTRIBUTION'!V21)</f>
        <v/>
      </c>
      <c r="J13" s="75">
        <f>IF('ORDER VS WEEK DISTRIBUTION'!W21="","",'ORDER VS WEEK DISTRIBUTION'!W21)</f>
        <v/>
      </c>
      <c r="K13" s="75">
        <f>IF('ORDER VS WEEK DISTRIBUTION'!X21="","",'ORDER VS WEEK DISTRIBUTION'!X21)</f>
        <v/>
      </c>
      <c r="L13" s="75">
        <f>IF('ORDER VS WEEK DISTRIBUTION'!Y21="","",'ORDER VS WEEK DISTRIBUTION'!Y21)</f>
        <v/>
      </c>
      <c r="M13" s="75">
        <f>IF('ORDER VS WEEK DISTRIBUTION'!Z21="","",'ORDER VS WEEK DISTRIBUTION'!Z21)</f>
        <v/>
      </c>
      <c r="N13" s="75">
        <f>IF('ORDER VS WEEK DISTRIBUTION'!AA21="","",'ORDER VS WEEK DISTRIBUTION'!AA21)</f>
        <v/>
      </c>
      <c r="O13" s="75">
        <f>IF('ORDER VS WEEK DISTRIBUTION'!AB21="","",'ORDER VS WEEK DISTRIBUTION'!AB21)</f>
        <v/>
      </c>
      <c r="P13" s="75">
        <f>IF('ORDER VS WEEK DISTRIBUTION'!AC21="","",'ORDER VS WEEK DISTRIBUTION'!AC21)</f>
        <v/>
      </c>
      <c r="Q13" s="75">
        <f>IF('ORDER VS WEEK DISTRIBUTION'!AD21="","",'ORDER VS WEEK DISTRIBUTION'!AD21)</f>
        <v/>
      </c>
      <c r="R13" s="75">
        <f>IF('ORDER VS WEEK DISTRIBUTION'!AE21="","",'ORDER VS WEEK DISTRIBUTION'!AE21)</f>
        <v/>
      </c>
      <c r="S13" s="75">
        <f>IF('ORDER VS WEEK DISTRIBUTION'!AF21="","",'ORDER VS WEEK DISTRIBUTION'!AF21)</f>
        <v/>
      </c>
    </row>
    <row r="14">
      <c r="A14" s="104" t="n"/>
      <c r="B14" s="104" t="n"/>
      <c r="C14" s="105">
        <f>IF('ORDER VS WEEK DISTRIBUTION'!C22="","",'ORDER VS WEEK DISTRIBUTION'!C22)</f>
        <v/>
      </c>
      <c r="D14" s="125">
        <f>IF('ORDER VS WEEK DISTRIBUTION'!D22="","",'ORDER VS WEEK DISTRIBUTION'!D22)</f>
        <v/>
      </c>
      <c r="E14" s="126">
        <f>IF('ORDER VS WEEK DISTRIBUTION'!E22="","",'ORDER VS WEEK DISTRIBUTION'!E22)</f>
        <v/>
      </c>
      <c r="F14" s="126">
        <f>IF('ORDER VS WEEK DISTRIBUTION'!F22="","",'ORDER VS WEEK DISTRIBUTION'!F22)</f>
        <v/>
      </c>
      <c r="G14" s="127">
        <f>IF('ORDER VS WEEK DISTRIBUTION'!G22="","",'ORDER VS WEEK DISTRIBUTION'!G22)</f>
        <v/>
      </c>
      <c r="H14" s="127">
        <f>IF('ORDER VS WEEK DISTRIBUTION'!U22="","",'ORDER VS WEEK DISTRIBUTION'!U22)</f>
        <v/>
      </c>
      <c r="I14" s="127">
        <f>IF('ORDER VS WEEK DISTRIBUTION'!V22="","",'ORDER VS WEEK DISTRIBUTION'!V22)</f>
        <v/>
      </c>
      <c r="J14" s="127">
        <f>IF('ORDER VS WEEK DISTRIBUTION'!W22="","",'ORDER VS WEEK DISTRIBUTION'!W22)</f>
        <v/>
      </c>
      <c r="K14" s="127">
        <f>IF('ORDER VS WEEK DISTRIBUTION'!X22="","",'ORDER VS WEEK DISTRIBUTION'!X22)</f>
        <v/>
      </c>
      <c r="L14" s="127">
        <f>IF('ORDER VS WEEK DISTRIBUTION'!Y22="","",'ORDER VS WEEK DISTRIBUTION'!Y22)</f>
        <v/>
      </c>
      <c r="M14" s="127">
        <f>IF('ORDER VS WEEK DISTRIBUTION'!Z22="","",'ORDER VS WEEK DISTRIBUTION'!Z22)</f>
        <v/>
      </c>
      <c r="N14" s="127">
        <f>IF('ORDER VS WEEK DISTRIBUTION'!AA22="","",'ORDER VS WEEK DISTRIBUTION'!AA22)</f>
        <v/>
      </c>
      <c r="O14" s="127">
        <f>IF('ORDER VS WEEK DISTRIBUTION'!AB22="","",'ORDER VS WEEK DISTRIBUTION'!AB22)</f>
        <v/>
      </c>
      <c r="P14" s="127">
        <f>IF('ORDER VS WEEK DISTRIBUTION'!AC22="","",'ORDER VS WEEK DISTRIBUTION'!AC22)</f>
        <v/>
      </c>
      <c r="Q14" s="127">
        <f>IF('ORDER VS WEEK DISTRIBUTION'!AD22="","",'ORDER VS WEEK DISTRIBUTION'!AD22)</f>
        <v/>
      </c>
      <c r="R14" s="127">
        <f>IF('ORDER VS WEEK DISTRIBUTION'!AE22="","",'ORDER VS WEEK DISTRIBUTION'!AE22)</f>
        <v/>
      </c>
      <c r="S14" s="127">
        <f>IF('ORDER VS WEEK DISTRIBUTION'!AF22="","",'ORDER VS WEEK DISTRIBUTION'!AF22)</f>
        <v/>
      </c>
    </row>
    <row r="15">
      <c r="A15" s="104" t="n"/>
      <c r="B15" s="104" t="n"/>
      <c r="C15" s="106">
        <f>IF('ORDER VS WEEK DISTRIBUTION'!C23="","",'ORDER VS WEEK DISTRIBUTION'!C23)</f>
        <v/>
      </c>
      <c r="D15" s="72">
        <f>IF('ORDER VS WEEK DISTRIBUTION'!D23="","",'ORDER VS WEEK DISTRIBUTION'!D23)</f>
        <v/>
      </c>
      <c r="E15" s="57">
        <f>IF('ORDER VS WEEK DISTRIBUTION'!E23="","",'ORDER VS WEEK DISTRIBUTION'!E23)</f>
        <v/>
      </c>
      <c r="F15" s="79">
        <f>IF('ORDER VS WEEK DISTRIBUTION'!F23="","",'ORDER VS WEEK DISTRIBUTION'!F23)</f>
        <v/>
      </c>
      <c r="G15" s="79">
        <f>IF('ORDER VS WEEK DISTRIBUTION'!G23="","",'ORDER VS WEEK DISTRIBUTION'!G23)</f>
        <v/>
      </c>
      <c r="H15" s="79">
        <f>IF('ORDER VS WEEK DISTRIBUTION'!U23="","",'ORDER VS WEEK DISTRIBUTION'!U23)</f>
        <v/>
      </c>
      <c r="I15" s="79">
        <f>IF('ORDER VS WEEK DISTRIBUTION'!V23="","",'ORDER VS WEEK DISTRIBUTION'!V23)</f>
        <v/>
      </c>
      <c r="J15" s="79">
        <f>IF('ORDER VS WEEK DISTRIBUTION'!W23="","",'ORDER VS WEEK DISTRIBUTION'!W23)</f>
        <v/>
      </c>
      <c r="K15" s="79">
        <f>IF('ORDER VS WEEK DISTRIBUTION'!X23="","",'ORDER VS WEEK DISTRIBUTION'!X23)</f>
        <v/>
      </c>
      <c r="L15" s="79">
        <f>IF('ORDER VS WEEK DISTRIBUTION'!Y23="","",'ORDER VS WEEK DISTRIBUTION'!Y23)</f>
        <v/>
      </c>
      <c r="M15" s="79">
        <f>IF('ORDER VS WEEK DISTRIBUTION'!Z23="","",'ORDER VS WEEK DISTRIBUTION'!Z23)</f>
        <v/>
      </c>
      <c r="N15" s="79">
        <f>IF('ORDER VS WEEK DISTRIBUTION'!AA23="","",'ORDER VS WEEK DISTRIBUTION'!AA23)</f>
        <v/>
      </c>
      <c r="O15" s="79">
        <f>IF('ORDER VS WEEK DISTRIBUTION'!AB23="","",'ORDER VS WEEK DISTRIBUTION'!AB23)</f>
        <v/>
      </c>
      <c r="P15" s="79">
        <f>IF('ORDER VS WEEK DISTRIBUTION'!AC23="","",'ORDER VS WEEK DISTRIBUTION'!AC23)</f>
        <v/>
      </c>
      <c r="Q15" s="79">
        <f>IF('ORDER VS WEEK DISTRIBUTION'!AD23="","",'ORDER VS WEEK DISTRIBUTION'!AD23)</f>
        <v/>
      </c>
      <c r="R15" s="79">
        <f>IF('ORDER VS WEEK DISTRIBUTION'!AE23="","",'ORDER VS WEEK DISTRIBUTION'!AE23)</f>
        <v/>
      </c>
      <c r="S15" s="79">
        <f>IF('ORDER VS WEEK DISTRIBUTION'!AF23="","",'ORDER VS WEEK DISTRIBUTION'!AF23)</f>
        <v/>
      </c>
    </row>
    <row r="16">
      <c r="A16" s="86" t="n"/>
      <c r="B16" s="104" t="n"/>
      <c r="C16" s="86" t="n"/>
      <c r="D16" s="72">
        <f>IF('ORDER VS WEEK DISTRIBUTION'!D24="","",'ORDER VS WEEK DISTRIBUTION'!D24)</f>
        <v/>
      </c>
      <c r="E16" s="57">
        <f>IF('ORDER VS WEEK DISTRIBUTION'!E24="","",'ORDER VS WEEK DISTRIBUTION'!E24)</f>
        <v/>
      </c>
      <c r="F16" s="79">
        <f>IF('ORDER VS WEEK DISTRIBUTION'!F24="","",'ORDER VS WEEK DISTRIBUTION'!F24)</f>
        <v/>
      </c>
      <c r="G16" s="79">
        <f>IF('ORDER VS WEEK DISTRIBUTION'!G24="","",'ORDER VS WEEK DISTRIBUTION'!G24)</f>
        <v/>
      </c>
      <c r="H16" s="79">
        <f>IF('ORDER VS WEEK DISTRIBUTION'!U24="","",'ORDER VS WEEK DISTRIBUTION'!U24)</f>
        <v/>
      </c>
      <c r="I16" s="79">
        <f>IF('ORDER VS WEEK DISTRIBUTION'!V24="","",'ORDER VS WEEK DISTRIBUTION'!V24)</f>
        <v/>
      </c>
      <c r="J16" s="79">
        <f>IF('ORDER VS WEEK DISTRIBUTION'!W24="","",'ORDER VS WEEK DISTRIBUTION'!W24)</f>
        <v/>
      </c>
      <c r="K16" s="79">
        <f>IF('ORDER VS WEEK DISTRIBUTION'!X24="","",'ORDER VS WEEK DISTRIBUTION'!X24)</f>
        <v/>
      </c>
      <c r="L16" s="79">
        <f>IF('ORDER VS WEEK DISTRIBUTION'!Y24="","",'ORDER VS WEEK DISTRIBUTION'!Y24)</f>
        <v/>
      </c>
      <c r="M16" s="79">
        <f>IF('ORDER VS WEEK DISTRIBUTION'!Z24="","",'ORDER VS WEEK DISTRIBUTION'!Z24)</f>
        <v/>
      </c>
      <c r="N16" s="79">
        <f>IF('ORDER VS WEEK DISTRIBUTION'!AA24="","",'ORDER VS WEEK DISTRIBUTION'!AA24)</f>
        <v/>
      </c>
      <c r="O16" s="79">
        <f>IF('ORDER VS WEEK DISTRIBUTION'!AB24="","",'ORDER VS WEEK DISTRIBUTION'!AB24)</f>
        <v/>
      </c>
      <c r="P16" s="79">
        <f>IF('ORDER VS WEEK DISTRIBUTION'!AC24="","",'ORDER VS WEEK DISTRIBUTION'!AC24)</f>
        <v/>
      </c>
      <c r="Q16" s="79">
        <f>IF('ORDER VS WEEK DISTRIBUTION'!AD24="","",'ORDER VS WEEK DISTRIBUTION'!AD24)</f>
        <v/>
      </c>
      <c r="R16" s="79">
        <f>IF('ORDER VS WEEK DISTRIBUTION'!AE24="","",'ORDER VS WEEK DISTRIBUTION'!AE24)</f>
        <v/>
      </c>
      <c r="S16" s="79">
        <f>IF('ORDER VS WEEK DISTRIBUTION'!AF24="","",'ORDER VS WEEK DISTRIBUTION'!AF24)</f>
        <v/>
      </c>
    </row>
    <row r="17">
      <c r="A17" s="128">
        <f>IF('ORDER VS WEEK DISTRIBUTION'!A34="","",'ORDER VS WEEK DISTRIBUTION'!A34)</f>
        <v/>
      </c>
      <c r="B17" s="104" t="n"/>
      <c r="C17" s="65">
        <f>IF('ORDER VS WEEK DISTRIBUTION'!C38="","",'ORDER VS WEEK DISTRIBUTION'!C38)</f>
        <v/>
      </c>
      <c r="D17" s="52">
        <f>IF('ORDER VS WEEK DISTRIBUTION'!D38="","",'ORDER VS WEEK DISTRIBUTION'!D38)</f>
        <v/>
      </c>
      <c r="E17" s="53">
        <f>IF('ORDER VS WEEK DISTRIBUTION'!E38="","",'ORDER VS WEEK DISTRIBUTION'!E38)</f>
        <v/>
      </c>
      <c r="F17" s="53">
        <f>IF('ORDER VS WEEK DISTRIBUTION'!F38="","",'ORDER VS WEEK DISTRIBUTION'!F38)</f>
        <v/>
      </c>
      <c r="G17" s="75">
        <f>IF('ORDER VS WEEK DISTRIBUTION'!G38="","",'ORDER VS WEEK DISTRIBUTION'!G38)</f>
        <v/>
      </c>
      <c r="H17" s="75">
        <f>IF('ORDER VS WEEK DISTRIBUTION'!U38="","",'ORDER VS WEEK DISTRIBUTION'!U38)</f>
        <v/>
      </c>
      <c r="I17" s="75">
        <f>IF('ORDER VS WEEK DISTRIBUTION'!V38="","",'ORDER VS WEEK DISTRIBUTION'!V38)</f>
        <v/>
      </c>
      <c r="J17" s="75">
        <f>IF('ORDER VS WEEK DISTRIBUTION'!W38="","",'ORDER VS WEEK DISTRIBUTION'!W38)</f>
        <v/>
      </c>
      <c r="K17" s="75">
        <f>IF('ORDER VS WEEK DISTRIBUTION'!X38="","",'ORDER VS WEEK DISTRIBUTION'!X38)</f>
        <v/>
      </c>
      <c r="L17" s="75">
        <f>IF('ORDER VS WEEK DISTRIBUTION'!Y38="","",'ORDER VS WEEK DISTRIBUTION'!Y38)</f>
        <v/>
      </c>
      <c r="M17" s="75">
        <f>IF('ORDER VS WEEK DISTRIBUTION'!Z38="","",'ORDER VS WEEK DISTRIBUTION'!Z38)</f>
        <v/>
      </c>
      <c r="N17" s="75">
        <f>IF('ORDER VS WEEK DISTRIBUTION'!AA38="","",'ORDER VS WEEK DISTRIBUTION'!AA38)</f>
        <v/>
      </c>
      <c r="O17" s="75">
        <f>IF('ORDER VS WEEK DISTRIBUTION'!AB38="","",'ORDER VS WEEK DISTRIBUTION'!AB38)</f>
        <v/>
      </c>
      <c r="P17" s="75">
        <f>IF('ORDER VS WEEK DISTRIBUTION'!AC38="","",'ORDER VS WEEK DISTRIBUTION'!AC38)</f>
        <v/>
      </c>
      <c r="Q17" s="75">
        <f>IF('ORDER VS WEEK DISTRIBUTION'!AD38="","",'ORDER VS WEEK DISTRIBUTION'!AD38)</f>
        <v/>
      </c>
      <c r="R17" s="75">
        <f>IF('ORDER VS WEEK DISTRIBUTION'!AE38="","",'ORDER VS WEEK DISTRIBUTION'!AE38)</f>
        <v/>
      </c>
      <c r="S17" s="75">
        <f>IF('ORDER VS WEEK DISTRIBUTION'!AF38="","",'ORDER VS WEEK DISTRIBUTION'!AF38)</f>
        <v/>
      </c>
    </row>
    <row r="18">
      <c r="A18" s="104" t="n"/>
      <c r="B18" s="104" t="n"/>
      <c r="C18" s="124">
        <f>IF('ORDER VS WEEK DISTRIBUTION'!C39="","",'ORDER VS WEEK DISTRIBUTION'!C39)</f>
        <v/>
      </c>
      <c r="D18" s="52">
        <f>IF('ORDER VS WEEK DISTRIBUTION'!D39="","",'ORDER VS WEEK DISTRIBUTION'!D39)</f>
        <v/>
      </c>
      <c r="E18" s="53">
        <f>IF('ORDER VS WEEK DISTRIBUTION'!E39="","",'ORDER VS WEEK DISTRIBUTION'!E39)</f>
        <v/>
      </c>
      <c r="F18" s="53">
        <f>IF('ORDER VS WEEK DISTRIBUTION'!F39="","",'ORDER VS WEEK DISTRIBUTION'!F39)</f>
        <v/>
      </c>
      <c r="G18" s="75">
        <f>IF('ORDER VS WEEK DISTRIBUTION'!G39="","",'ORDER VS WEEK DISTRIBUTION'!G39)</f>
        <v/>
      </c>
      <c r="H18" s="75">
        <f>IF('ORDER VS WEEK DISTRIBUTION'!U39="","",'ORDER VS WEEK DISTRIBUTION'!U39)</f>
        <v/>
      </c>
      <c r="I18" s="75">
        <f>IF('ORDER VS WEEK DISTRIBUTION'!V39="","",'ORDER VS WEEK DISTRIBUTION'!V39)</f>
        <v/>
      </c>
      <c r="J18" s="75">
        <f>IF('ORDER VS WEEK DISTRIBUTION'!W39="","",'ORDER VS WEEK DISTRIBUTION'!W39)</f>
        <v/>
      </c>
      <c r="K18" s="75">
        <f>IF('ORDER VS WEEK DISTRIBUTION'!X39="","",'ORDER VS WEEK DISTRIBUTION'!X39)</f>
        <v/>
      </c>
      <c r="L18" s="75">
        <f>IF('ORDER VS WEEK DISTRIBUTION'!Y39="","",'ORDER VS WEEK DISTRIBUTION'!Y39)</f>
        <v/>
      </c>
      <c r="M18" s="75">
        <f>IF('ORDER VS WEEK DISTRIBUTION'!Z39="","",'ORDER VS WEEK DISTRIBUTION'!Z39)</f>
        <v/>
      </c>
      <c r="N18" s="75">
        <f>IF('ORDER VS WEEK DISTRIBUTION'!AA39="","",'ORDER VS WEEK DISTRIBUTION'!AA39)</f>
        <v/>
      </c>
      <c r="O18" s="75">
        <f>IF('ORDER VS WEEK DISTRIBUTION'!AB39="","",'ORDER VS WEEK DISTRIBUTION'!AB39)</f>
        <v/>
      </c>
      <c r="P18" s="75">
        <f>IF('ORDER VS WEEK DISTRIBUTION'!AC39="","",'ORDER VS WEEK DISTRIBUTION'!AC39)</f>
        <v/>
      </c>
      <c r="Q18" s="75">
        <f>IF('ORDER VS WEEK DISTRIBUTION'!AD39="","",'ORDER VS WEEK DISTRIBUTION'!AD39)</f>
        <v/>
      </c>
      <c r="R18" s="75">
        <f>IF('ORDER VS WEEK DISTRIBUTION'!AE39="","",'ORDER VS WEEK DISTRIBUTION'!AE39)</f>
        <v/>
      </c>
      <c r="S18" s="75">
        <f>IF('ORDER VS WEEK DISTRIBUTION'!AF39="","",'ORDER VS WEEK DISTRIBUTION'!AF39)</f>
        <v/>
      </c>
    </row>
    <row r="19">
      <c r="A19" s="104" t="n"/>
      <c r="B19" s="104" t="n"/>
      <c r="C19" s="105">
        <f>IF('ORDER VS WEEK DISTRIBUTION'!C40="","",'ORDER VS WEEK DISTRIBUTION'!C40)</f>
        <v/>
      </c>
      <c r="D19" s="125">
        <f>IF('ORDER VS WEEK DISTRIBUTION'!D40="","",'ORDER VS WEEK DISTRIBUTION'!D40)</f>
        <v/>
      </c>
      <c r="E19" s="126">
        <f>IF('ORDER VS WEEK DISTRIBUTION'!E40="","",'ORDER VS WEEK DISTRIBUTION'!E40)</f>
        <v/>
      </c>
      <c r="F19" s="126">
        <f>IF('ORDER VS WEEK DISTRIBUTION'!F40="","",'ORDER VS WEEK DISTRIBUTION'!F40)</f>
        <v/>
      </c>
      <c r="G19" s="127">
        <f>IF('ORDER VS WEEK DISTRIBUTION'!G40="","",'ORDER VS WEEK DISTRIBUTION'!G40)</f>
        <v/>
      </c>
      <c r="H19" s="127">
        <f>IF('ORDER VS WEEK DISTRIBUTION'!U40="","",'ORDER VS WEEK DISTRIBUTION'!U40)</f>
        <v/>
      </c>
      <c r="I19" s="127">
        <f>IF('ORDER VS WEEK DISTRIBUTION'!V40="","",'ORDER VS WEEK DISTRIBUTION'!V40)</f>
        <v/>
      </c>
      <c r="J19" s="127">
        <f>IF('ORDER VS WEEK DISTRIBUTION'!W40="","",'ORDER VS WEEK DISTRIBUTION'!W40)</f>
        <v/>
      </c>
      <c r="K19" s="127">
        <f>IF('ORDER VS WEEK DISTRIBUTION'!X40="","",'ORDER VS WEEK DISTRIBUTION'!X40)</f>
        <v/>
      </c>
      <c r="L19" s="127">
        <f>IF('ORDER VS WEEK DISTRIBUTION'!Y40="","",'ORDER VS WEEK DISTRIBUTION'!Y40)</f>
        <v/>
      </c>
      <c r="M19" s="127">
        <f>IF('ORDER VS WEEK DISTRIBUTION'!Z40="","",'ORDER VS WEEK DISTRIBUTION'!Z40)</f>
        <v/>
      </c>
      <c r="N19" s="127">
        <f>IF('ORDER VS WEEK DISTRIBUTION'!AA40="","",'ORDER VS WEEK DISTRIBUTION'!AA40)</f>
        <v/>
      </c>
      <c r="O19" s="127">
        <f>IF('ORDER VS WEEK DISTRIBUTION'!AB40="","",'ORDER VS WEEK DISTRIBUTION'!AB40)</f>
        <v/>
      </c>
      <c r="P19" s="127">
        <f>IF('ORDER VS WEEK DISTRIBUTION'!AC40="","",'ORDER VS WEEK DISTRIBUTION'!AC40)</f>
        <v/>
      </c>
      <c r="Q19" s="127">
        <f>IF('ORDER VS WEEK DISTRIBUTION'!AD40="","",'ORDER VS WEEK DISTRIBUTION'!AD40)</f>
        <v/>
      </c>
      <c r="R19" s="127">
        <f>IF('ORDER VS WEEK DISTRIBUTION'!AE40="","",'ORDER VS WEEK DISTRIBUTION'!AE40)</f>
        <v/>
      </c>
      <c r="S19" s="127">
        <f>IF('ORDER VS WEEK DISTRIBUTION'!AF40="","",'ORDER VS WEEK DISTRIBUTION'!AF40)</f>
        <v/>
      </c>
    </row>
    <row r="20">
      <c r="A20" s="104" t="n"/>
      <c r="B20" s="104" t="n"/>
      <c r="C20" s="65">
        <f>IF('ORDER VS WEEK DISTRIBUTION'!C41="","",'ORDER VS WEEK DISTRIBUTION'!C41)</f>
        <v/>
      </c>
      <c r="D20" s="108">
        <f>IF('ORDER VS WEEK DISTRIBUTION'!D41="","",'ORDER VS WEEK DISTRIBUTION'!D41)</f>
        <v/>
      </c>
      <c r="E20" s="114">
        <f>IF('ORDER VS WEEK DISTRIBUTION'!E41="","",'ORDER VS WEEK DISTRIBUTION'!E41)</f>
        <v/>
      </c>
      <c r="F20" s="114">
        <f>IF('ORDER VS WEEK DISTRIBUTION'!F41="","",'ORDER VS WEEK DISTRIBUTION'!F41)</f>
        <v/>
      </c>
      <c r="G20" s="115">
        <f>IF('ORDER VS WEEK DISTRIBUTION'!G41="","",'ORDER VS WEEK DISTRIBUTION'!G41)</f>
        <v/>
      </c>
      <c r="H20" s="111">
        <f>IF('ORDER VS WEEK DISTRIBUTION'!U41="","",'ORDER VS WEEK DISTRIBUTION'!U41)</f>
        <v/>
      </c>
      <c r="I20" s="111">
        <f>IF('ORDER VS WEEK DISTRIBUTION'!V41="","",'ORDER VS WEEK DISTRIBUTION'!V41)</f>
        <v/>
      </c>
      <c r="J20" s="111">
        <f>IF('ORDER VS WEEK DISTRIBUTION'!W41="","",'ORDER VS WEEK DISTRIBUTION'!W41)</f>
        <v/>
      </c>
      <c r="K20" s="111">
        <f>IF('ORDER VS WEEK DISTRIBUTION'!X41="","",'ORDER VS WEEK DISTRIBUTION'!X41)</f>
        <v/>
      </c>
      <c r="L20" s="111">
        <f>IF('ORDER VS WEEK DISTRIBUTION'!Y41="","",'ORDER VS WEEK DISTRIBUTION'!Y41)</f>
        <v/>
      </c>
      <c r="M20" s="111">
        <f>IF('ORDER VS WEEK DISTRIBUTION'!Z41="","",'ORDER VS WEEK DISTRIBUTION'!Z41)</f>
        <v/>
      </c>
      <c r="N20" s="111">
        <f>IF('ORDER VS WEEK DISTRIBUTION'!AA41="","",'ORDER VS WEEK DISTRIBUTION'!AA41)</f>
        <v/>
      </c>
      <c r="O20" s="111">
        <f>IF('ORDER VS WEEK DISTRIBUTION'!AB41="","",'ORDER VS WEEK DISTRIBUTION'!AB41)</f>
        <v/>
      </c>
      <c r="P20" s="111">
        <f>IF('ORDER VS WEEK DISTRIBUTION'!AC41="","",'ORDER VS WEEK DISTRIBUTION'!AC41)</f>
        <v/>
      </c>
      <c r="Q20" s="111">
        <f>IF('ORDER VS WEEK DISTRIBUTION'!AD41="","",'ORDER VS WEEK DISTRIBUTION'!AD41)</f>
        <v/>
      </c>
      <c r="R20" s="111">
        <f>IF('ORDER VS WEEK DISTRIBUTION'!AE41="","",'ORDER VS WEEK DISTRIBUTION'!AE41)</f>
        <v/>
      </c>
      <c r="S20" s="111">
        <f>IF('ORDER VS WEEK DISTRIBUTION'!AF41="","",'ORDER VS WEEK DISTRIBUTION'!AF41)</f>
        <v/>
      </c>
    </row>
    <row r="21">
      <c r="A21" s="86" t="n"/>
      <c r="B21" s="86" t="n"/>
      <c r="C21" s="86" t="n"/>
      <c r="D21" s="108">
        <f>IF('ORDER VS WEEK DISTRIBUTION'!D42="","",'ORDER VS WEEK DISTRIBUTION'!D42)</f>
        <v/>
      </c>
      <c r="E21" s="117">
        <f>IF('ORDER VS WEEK DISTRIBUTION'!E42="","",'ORDER VS WEEK DISTRIBUTION'!E42)</f>
        <v/>
      </c>
      <c r="F21" s="117">
        <f>IF('ORDER VS WEEK DISTRIBUTION'!F42="","",'ORDER VS WEEK DISTRIBUTION'!F42)</f>
        <v/>
      </c>
      <c r="G21" s="110">
        <f>IF('ORDER VS WEEK DISTRIBUTION'!G42="","",'ORDER VS WEEK DISTRIBUTION'!G42)</f>
        <v/>
      </c>
      <c r="H21" s="111">
        <f>IF('ORDER VS WEEK DISTRIBUTION'!U42="","",'ORDER VS WEEK DISTRIBUTION'!U42)</f>
        <v/>
      </c>
      <c r="I21" s="111">
        <f>IF('ORDER VS WEEK DISTRIBUTION'!V42="","",'ORDER VS WEEK DISTRIBUTION'!V42)</f>
        <v/>
      </c>
      <c r="J21" s="111">
        <f>IF('ORDER VS WEEK DISTRIBUTION'!W42="","",'ORDER VS WEEK DISTRIBUTION'!W42)</f>
        <v/>
      </c>
      <c r="K21" s="111">
        <f>IF('ORDER VS WEEK DISTRIBUTION'!X42="","",'ORDER VS WEEK DISTRIBUTION'!X42)</f>
        <v/>
      </c>
      <c r="L21" s="111">
        <f>IF('ORDER VS WEEK DISTRIBUTION'!Y42="","",'ORDER VS WEEK DISTRIBUTION'!Y42)</f>
        <v/>
      </c>
      <c r="M21" s="111">
        <f>IF('ORDER VS WEEK DISTRIBUTION'!Z42="","",'ORDER VS WEEK DISTRIBUTION'!Z42)</f>
        <v/>
      </c>
      <c r="N21" s="111">
        <f>IF('ORDER VS WEEK DISTRIBUTION'!AA42="","",'ORDER VS WEEK DISTRIBUTION'!AA42)</f>
        <v/>
      </c>
      <c r="O21" s="111">
        <f>IF('ORDER VS WEEK DISTRIBUTION'!AB42="","",'ORDER VS WEEK DISTRIBUTION'!AB42)</f>
        <v/>
      </c>
      <c r="P21" s="111">
        <f>IF('ORDER VS WEEK DISTRIBUTION'!AC42="","",'ORDER VS WEEK DISTRIBUTION'!AC42)</f>
        <v/>
      </c>
      <c r="Q21" s="111">
        <f>IF('ORDER VS WEEK DISTRIBUTION'!AD42="","",'ORDER VS WEEK DISTRIBUTION'!AD42)</f>
        <v/>
      </c>
      <c r="R21" s="111">
        <f>IF('ORDER VS WEEK DISTRIBUTION'!AE42="","",'ORDER VS WEEK DISTRIBUTION'!AE42)</f>
        <v/>
      </c>
      <c r="S21" s="111">
        <f>IF('ORDER VS WEEK DISTRIBUTION'!AF42="","",'ORDER VS WEEK DISTRIBUTION'!AF42)</f>
        <v/>
      </c>
    </row>
  </sheetData>
  <mergeCells count="10">
    <mergeCell ref="A17:A21"/>
    <mergeCell ref="A1:G1"/>
    <mergeCell ref="C20:C21"/>
    <mergeCell ref="H1:S1"/>
    <mergeCell ref="A3:A16"/>
    <mergeCell ref="B3:B6"/>
    <mergeCell ref="C15:C16"/>
    <mergeCell ref="B7:B21"/>
    <mergeCell ref="C10:C11"/>
    <mergeCell ref="C5:C6"/>
  </mergeCells>
  <conditionalFormatting sqref="H3:S21">
    <cfRule type="expression" priority="3" dxfId="0">
      <formula>AND(H3&lt;&gt;"",$G3&lt;&gt;"",$G3&gt;0,H3&gt;$G3)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5" min="1" max="1"/>
    <col width="9" customWidth="1" style="5" min="2" max="2"/>
    <col width="11.33" customWidth="1" style="5" min="3" max="3"/>
    <col width="21.22" customWidth="1" style="5" min="4" max="4"/>
    <col width="7" customWidth="1" style="5" min="5" max="5"/>
    <col width="7" customWidth="1" style="5" min="6" max="6"/>
    <col width="10.78" customWidth="1" style="5" min="7" max="7"/>
    <col width="6.44" customWidth="1" style="5" min="8" max="8"/>
  </cols>
  <sheetData>
    <row r="1" ht="15" customHeight="1" s="5">
      <c r="A1" s="99" t="inlineStr">
        <is>
          <t>Order Vs Week Distribution</t>
        </is>
      </c>
      <c r="B1" s="84" t="n"/>
      <c r="C1" s="84" t="n"/>
      <c r="D1" s="84" t="n"/>
      <c r="E1" s="84" t="n"/>
      <c r="F1" s="84" t="n"/>
      <c r="G1" s="85" t="n"/>
      <c r="H1" s="99" t="inlineStr">
        <is>
          <t>Based on Order Qty</t>
        </is>
      </c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5" t="n"/>
    </row>
    <row r="2" ht="57.6" customHeight="1" s="5">
      <c r="A2" s="67">
        <f>IF('ORDER VS WEEK DISTRIBUTION'!A2="","",'ORDER VS WEEK DISTRIBUTION'!A2)</f>
        <v/>
      </c>
      <c r="B2" s="67">
        <f>IF('ORDER VS WEEK DISTRIBUTION'!B2="","",'ORDER VS WEEK DISTRIBUTION'!B2)</f>
        <v/>
      </c>
      <c r="C2" s="67">
        <f>IF('ORDER VS WEEK DISTRIBUTION'!C2="","",'ORDER VS WEEK DISTRIBUTION'!C2)</f>
        <v/>
      </c>
      <c r="D2" s="67">
        <f>IF('ORDER VS WEEK DISTRIBUTION'!D2="","",'ORDER VS WEEK DISTRIBUTION'!D2)</f>
        <v/>
      </c>
      <c r="E2" s="67">
        <f>IF('ORDER VS WEEK DISTRIBUTION'!E2="","",'ORDER VS WEEK DISTRIBUTION'!E2)</f>
        <v/>
      </c>
      <c r="F2" s="67">
        <f>IF('ORDER VS WEEK DISTRIBUTION'!F2="","",'ORDER VS WEEK DISTRIBUTION'!F2)</f>
        <v/>
      </c>
      <c r="G2" s="67">
        <f>IF('ORDER VS WEEK DISTRIBUTION'!G2="","",'ORDER VS WEEK DISTRIBUTION'!G2)</f>
        <v/>
      </c>
      <c r="H2" s="67">
        <f>IF('ORDER VS WEEK DISTRIBUTION'!U2="","",'ORDER VS WEEK DISTRIBUTION'!U2)</f>
        <v/>
      </c>
      <c r="I2" s="67">
        <f>IF('ORDER VS WEEK DISTRIBUTION'!V2="","",'ORDER VS WEEK DISTRIBUTION'!V2)</f>
        <v/>
      </c>
      <c r="J2" s="67">
        <f>IF('ORDER VS WEEK DISTRIBUTION'!W2="","",'ORDER VS WEEK DISTRIBUTION'!W2)</f>
        <v/>
      </c>
      <c r="K2" s="67">
        <f>IF('ORDER VS WEEK DISTRIBUTION'!X2="","",'ORDER VS WEEK DISTRIBUTION'!X2)</f>
        <v/>
      </c>
      <c r="L2" s="67">
        <f>IF('ORDER VS WEEK DISTRIBUTION'!Y2="","",'ORDER VS WEEK DISTRIBUTION'!Y2)</f>
        <v/>
      </c>
      <c r="M2" s="67">
        <f>IF('ORDER VS WEEK DISTRIBUTION'!Z2="","",'ORDER VS WEEK DISTRIBUTION'!Z2)</f>
        <v/>
      </c>
      <c r="N2" s="67">
        <f>IF('ORDER VS WEEK DISTRIBUTION'!AA2="","",'ORDER VS WEEK DISTRIBUTION'!AA2)</f>
        <v/>
      </c>
      <c r="O2" s="67">
        <f>IF('ORDER VS WEEK DISTRIBUTION'!AB2="","",'ORDER VS WEEK DISTRIBUTION'!AB2)</f>
        <v/>
      </c>
      <c r="P2" s="67">
        <f>IF('ORDER VS WEEK DISTRIBUTION'!AC2="","",'ORDER VS WEEK DISTRIBUTION'!AC2)</f>
        <v/>
      </c>
      <c r="Q2" s="67">
        <f>IF('ORDER VS WEEK DISTRIBUTION'!AD2="","",'ORDER VS WEEK DISTRIBUTION'!AD2)</f>
        <v/>
      </c>
      <c r="R2" s="67">
        <f>IF('ORDER VS WEEK DISTRIBUTION'!AE2="","",'ORDER VS WEEK DISTRIBUTION'!AE2)</f>
        <v/>
      </c>
      <c r="S2" s="67">
        <f>IF('ORDER VS WEEK DISTRIBUTION'!AF2="","",'ORDER VS WEEK DISTRIBUTION'!AF2)</f>
        <v/>
      </c>
    </row>
    <row r="3">
      <c r="A3" s="123">
        <f>IF('ORDER VS WEEK DISTRIBUTION'!A3="","",'ORDER VS WEEK DISTRIBUTION'!A3)</f>
        <v/>
      </c>
      <c r="B3" s="103">
        <f>IF('ORDER VS WEEK DISTRIBUTION'!B29="","",'ORDER VS WEEK DISTRIBUTION'!B29)</f>
        <v/>
      </c>
      <c r="C3" s="65">
        <f>IF('ORDER VS WEEK DISTRIBUTION'!C29="","",'ORDER VS WEEK DISTRIBUTION'!C29)</f>
        <v/>
      </c>
      <c r="D3" s="52">
        <f>IF('ORDER VS WEEK DISTRIBUTION'!D29="","",'ORDER VS WEEK DISTRIBUTION'!D29)</f>
        <v/>
      </c>
      <c r="E3" s="53">
        <f>IF('ORDER VS WEEK DISTRIBUTION'!E29="","",'ORDER VS WEEK DISTRIBUTION'!E29)</f>
        <v/>
      </c>
      <c r="F3" s="53">
        <f>IF('ORDER VS WEEK DISTRIBUTION'!F29="","",'ORDER VS WEEK DISTRIBUTION'!F29)</f>
        <v/>
      </c>
      <c r="G3" s="75">
        <f>IF('ORDER VS WEEK DISTRIBUTION'!G29="","",'ORDER VS WEEK DISTRIBUTION'!G29)</f>
        <v/>
      </c>
      <c r="H3" s="75">
        <f>IF('ORDER VS WEEK DISTRIBUTION'!U29="","",'ORDER VS WEEK DISTRIBUTION'!U29)</f>
        <v/>
      </c>
      <c r="I3" s="75">
        <f>IF('ORDER VS WEEK DISTRIBUTION'!V29="","",'ORDER VS WEEK DISTRIBUTION'!V29)</f>
        <v/>
      </c>
      <c r="J3" s="75">
        <f>IF('ORDER VS WEEK DISTRIBUTION'!W29="","",'ORDER VS WEEK DISTRIBUTION'!W29)</f>
        <v/>
      </c>
      <c r="K3" s="75">
        <f>IF('ORDER VS WEEK DISTRIBUTION'!X29="","",'ORDER VS WEEK DISTRIBUTION'!X29)</f>
        <v/>
      </c>
      <c r="L3" s="75">
        <f>IF('ORDER VS WEEK DISTRIBUTION'!Y29="","",'ORDER VS WEEK DISTRIBUTION'!Y29)</f>
        <v/>
      </c>
      <c r="M3" s="75">
        <f>IF('ORDER VS WEEK DISTRIBUTION'!Z29="","",'ORDER VS WEEK DISTRIBUTION'!Z29)</f>
        <v/>
      </c>
      <c r="N3" s="75">
        <f>IF('ORDER VS WEEK DISTRIBUTION'!AA29="","",'ORDER VS WEEK DISTRIBUTION'!AA29)</f>
        <v/>
      </c>
      <c r="O3" s="75">
        <f>IF('ORDER VS WEEK DISTRIBUTION'!AB29="","",'ORDER VS WEEK DISTRIBUTION'!AB29)</f>
        <v/>
      </c>
      <c r="P3" s="75">
        <f>IF('ORDER VS WEEK DISTRIBUTION'!AC29="","",'ORDER VS WEEK DISTRIBUTION'!AC29)</f>
        <v/>
      </c>
      <c r="Q3" s="75">
        <f>IF('ORDER VS WEEK DISTRIBUTION'!AD29="","",'ORDER VS WEEK DISTRIBUTION'!AD29)</f>
        <v/>
      </c>
      <c r="R3" s="75">
        <f>IF('ORDER VS WEEK DISTRIBUTION'!AE29="","",'ORDER VS WEEK DISTRIBUTION'!AE29)</f>
        <v/>
      </c>
      <c r="S3" s="75">
        <f>IF('ORDER VS WEEK DISTRIBUTION'!AF29="","",'ORDER VS WEEK DISTRIBUTION'!AF29)</f>
        <v/>
      </c>
    </row>
    <row r="4">
      <c r="A4" s="104" t="n"/>
      <c r="B4" s="104" t="n"/>
      <c r="C4" s="124">
        <f>IF('ORDER VS WEEK DISTRIBUTION'!C30="","",'ORDER VS WEEK DISTRIBUTION'!C30)</f>
        <v/>
      </c>
      <c r="D4" s="52">
        <f>IF('ORDER VS WEEK DISTRIBUTION'!D30="","",'ORDER VS WEEK DISTRIBUTION'!D30)</f>
        <v/>
      </c>
      <c r="E4" s="53">
        <f>IF('ORDER VS WEEK DISTRIBUTION'!E30="","",'ORDER VS WEEK DISTRIBUTION'!E30)</f>
        <v/>
      </c>
      <c r="F4" s="53">
        <f>IF('ORDER VS WEEK DISTRIBUTION'!F30="","",'ORDER VS WEEK DISTRIBUTION'!F30)</f>
        <v/>
      </c>
      <c r="G4" s="75">
        <f>IF('ORDER VS WEEK DISTRIBUTION'!G30="","",'ORDER VS WEEK DISTRIBUTION'!G30)</f>
        <v/>
      </c>
      <c r="H4" s="75">
        <f>IF('ORDER VS WEEK DISTRIBUTION'!U30="","",'ORDER VS WEEK DISTRIBUTION'!U30)</f>
        <v/>
      </c>
      <c r="I4" s="75">
        <f>IF('ORDER VS WEEK DISTRIBUTION'!V30="","",'ORDER VS WEEK DISTRIBUTION'!V30)</f>
        <v/>
      </c>
      <c r="J4" s="75">
        <f>IF('ORDER VS WEEK DISTRIBUTION'!W30="","",'ORDER VS WEEK DISTRIBUTION'!W30)</f>
        <v/>
      </c>
      <c r="K4" s="75">
        <f>IF('ORDER VS WEEK DISTRIBUTION'!X30="","",'ORDER VS WEEK DISTRIBUTION'!X30)</f>
        <v/>
      </c>
      <c r="L4" s="75">
        <f>IF('ORDER VS WEEK DISTRIBUTION'!Y30="","",'ORDER VS WEEK DISTRIBUTION'!Y30)</f>
        <v/>
      </c>
      <c r="M4" s="75">
        <f>IF('ORDER VS WEEK DISTRIBUTION'!Z30="","",'ORDER VS WEEK DISTRIBUTION'!Z30)</f>
        <v/>
      </c>
      <c r="N4" s="75">
        <f>IF('ORDER VS WEEK DISTRIBUTION'!AA30="","",'ORDER VS WEEK DISTRIBUTION'!AA30)</f>
        <v/>
      </c>
      <c r="O4" s="75">
        <f>IF('ORDER VS WEEK DISTRIBUTION'!AB30="","",'ORDER VS WEEK DISTRIBUTION'!AB30)</f>
        <v/>
      </c>
      <c r="P4" s="75">
        <f>IF('ORDER VS WEEK DISTRIBUTION'!AC30="","",'ORDER VS WEEK DISTRIBUTION'!AC30)</f>
        <v/>
      </c>
      <c r="Q4" s="75">
        <f>IF('ORDER VS WEEK DISTRIBUTION'!AD30="","",'ORDER VS WEEK DISTRIBUTION'!AD30)</f>
        <v/>
      </c>
      <c r="R4" s="75">
        <f>IF('ORDER VS WEEK DISTRIBUTION'!AE30="","",'ORDER VS WEEK DISTRIBUTION'!AE30)</f>
        <v/>
      </c>
      <c r="S4" s="75">
        <f>IF('ORDER VS WEEK DISTRIBUTION'!AF30="","",'ORDER VS WEEK DISTRIBUTION'!AF30)</f>
        <v/>
      </c>
    </row>
    <row r="5">
      <c r="A5" s="104" t="n"/>
      <c r="B5" s="104" t="n"/>
      <c r="C5" s="105">
        <f>IF('ORDER VS WEEK DISTRIBUTION'!C31="","",'ORDER VS WEEK DISTRIBUTION'!C31)</f>
        <v/>
      </c>
      <c r="D5" s="125">
        <f>IF('ORDER VS WEEK DISTRIBUTION'!D31="","",'ORDER VS WEEK DISTRIBUTION'!D31)</f>
        <v/>
      </c>
      <c r="E5" s="126">
        <f>IF('ORDER VS WEEK DISTRIBUTION'!E31="","",'ORDER VS WEEK DISTRIBUTION'!E31)</f>
        <v/>
      </c>
      <c r="F5" s="126">
        <f>IF('ORDER VS WEEK DISTRIBUTION'!F31="","",'ORDER VS WEEK DISTRIBUTION'!F31)</f>
        <v/>
      </c>
      <c r="G5" s="127">
        <f>IF('ORDER VS WEEK DISTRIBUTION'!G31="","",'ORDER VS WEEK DISTRIBUTION'!G31)</f>
        <v/>
      </c>
      <c r="H5" s="127">
        <f>IF('ORDER VS WEEK DISTRIBUTION'!U31="","",'ORDER VS WEEK DISTRIBUTION'!U31)</f>
        <v/>
      </c>
      <c r="I5" s="127">
        <f>IF('ORDER VS WEEK DISTRIBUTION'!V31="","",'ORDER VS WEEK DISTRIBUTION'!V31)</f>
        <v/>
      </c>
      <c r="J5" s="127">
        <f>IF('ORDER VS WEEK DISTRIBUTION'!W31="","",'ORDER VS WEEK DISTRIBUTION'!W31)</f>
        <v/>
      </c>
      <c r="K5" s="127">
        <f>IF('ORDER VS WEEK DISTRIBUTION'!X31="","",'ORDER VS WEEK DISTRIBUTION'!X31)</f>
        <v/>
      </c>
      <c r="L5" s="127">
        <f>IF('ORDER VS WEEK DISTRIBUTION'!Y31="","",'ORDER VS WEEK DISTRIBUTION'!Y31)</f>
        <v/>
      </c>
      <c r="M5" s="127">
        <f>IF('ORDER VS WEEK DISTRIBUTION'!Z31="","",'ORDER VS WEEK DISTRIBUTION'!Z31)</f>
        <v/>
      </c>
      <c r="N5" s="127">
        <f>IF('ORDER VS WEEK DISTRIBUTION'!AA31="","",'ORDER VS WEEK DISTRIBUTION'!AA31)</f>
        <v/>
      </c>
      <c r="O5" s="127">
        <f>IF('ORDER VS WEEK DISTRIBUTION'!AB31="","",'ORDER VS WEEK DISTRIBUTION'!AB31)</f>
        <v/>
      </c>
      <c r="P5" s="127">
        <f>IF('ORDER VS WEEK DISTRIBUTION'!AC31="","",'ORDER VS WEEK DISTRIBUTION'!AC31)</f>
        <v/>
      </c>
      <c r="Q5" s="127">
        <f>IF('ORDER VS WEEK DISTRIBUTION'!AD31="","",'ORDER VS WEEK DISTRIBUTION'!AD31)</f>
        <v/>
      </c>
      <c r="R5" s="127">
        <f>IF('ORDER VS WEEK DISTRIBUTION'!AE31="","",'ORDER VS WEEK DISTRIBUTION'!AE31)</f>
        <v/>
      </c>
      <c r="S5" s="127">
        <f>IF('ORDER VS WEEK DISTRIBUTION'!AF31="","",'ORDER VS WEEK DISTRIBUTION'!AF31)</f>
        <v/>
      </c>
    </row>
    <row r="6">
      <c r="A6" s="104" t="n"/>
      <c r="B6" s="104" t="n"/>
      <c r="C6" s="116">
        <f>IF('ORDER VS WEEK DISTRIBUTION'!C32="","",'ORDER VS WEEK DISTRIBUTION'!C32)</f>
        <v/>
      </c>
      <c r="D6" s="108">
        <f>IF('ORDER VS WEEK DISTRIBUTION'!D32="","",'ORDER VS WEEK DISTRIBUTION'!D32)</f>
        <v/>
      </c>
      <c r="E6" s="117">
        <f>IF('ORDER VS WEEK DISTRIBUTION'!E32="","",'ORDER VS WEEK DISTRIBUTION'!E32)</f>
        <v/>
      </c>
      <c r="F6" s="117">
        <f>IF('ORDER VS WEEK DISTRIBUTION'!F32="","",'ORDER VS WEEK DISTRIBUTION'!F32)</f>
        <v/>
      </c>
      <c r="G6" s="110">
        <f>IF('ORDER VS WEEK DISTRIBUTION'!G32="","",'ORDER VS WEEK DISTRIBUTION'!G32)</f>
        <v/>
      </c>
      <c r="H6" s="111">
        <f>IF('ORDER VS WEEK DISTRIBUTION'!U32="","",'ORDER VS WEEK DISTRIBUTION'!U32)</f>
        <v/>
      </c>
      <c r="I6" s="111">
        <f>IF('ORDER VS WEEK DISTRIBUTION'!V32="","",'ORDER VS WEEK DISTRIBUTION'!V32)</f>
        <v/>
      </c>
      <c r="J6" s="111">
        <f>IF('ORDER VS WEEK DISTRIBUTION'!W32="","",'ORDER VS WEEK DISTRIBUTION'!W32)</f>
        <v/>
      </c>
      <c r="K6" s="111">
        <f>IF('ORDER VS WEEK DISTRIBUTION'!X32="","",'ORDER VS WEEK DISTRIBUTION'!X32)</f>
        <v/>
      </c>
      <c r="L6" s="111">
        <f>IF('ORDER VS WEEK DISTRIBUTION'!Y32="","",'ORDER VS WEEK DISTRIBUTION'!Y32)</f>
        <v/>
      </c>
      <c r="M6" s="111">
        <f>IF('ORDER VS WEEK DISTRIBUTION'!Z32="","",'ORDER VS WEEK DISTRIBUTION'!Z32)</f>
        <v/>
      </c>
      <c r="N6" s="111">
        <f>IF('ORDER VS WEEK DISTRIBUTION'!AA32="","",'ORDER VS WEEK DISTRIBUTION'!AA32)</f>
        <v/>
      </c>
      <c r="O6" s="111">
        <f>IF('ORDER VS WEEK DISTRIBUTION'!AB32="","",'ORDER VS WEEK DISTRIBUTION'!AB32)</f>
        <v/>
      </c>
      <c r="P6" s="111">
        <f>IF('ORDER VS WEEK DISTRIBUTION'!AC32="","",'ORDER VS WEEK DISTRIBUTION'!AC32)</f>
        <v/>
      </c>
      <c r="Q6" s="111">
        <f>IF('ORDER VS WEEK DISTRIBUTION'!AD32="","",'ORDER VS WEEK DISTRIBUTION'!AD32)</f>
        <v/>
      </c>
      <c r="R6" s="111">
        <f>IF('ORDER VS WEEK DISTRIBUTION'!AE32="","",'ORDER VS WEEK DISTRIBUTION'!AE32)</f>
        <v/>
      </c>
      <c r="S6" s="111">
        <f>IF('ORDER VS WEEK DISTRIBUTION'!AF32="","",'ORDER VS WEEK DISTRIBUTION'!AF32)</f>
        <v/>
      </c>
    </row>
    <row r="7">
      <c r="A7" s="86" t="n"/>
      <c r="B7" s="104" t="n"/>
      <c r="C7" s="86" t="n"/>
      <c r="D7" s="108">
        <f>IF('ORDER VS WEEK DISTRIBUTION'!D33="","",'ORDER VS WEEK DISTRIBUTION'!D33)</f>
        <v/>
      </c>
      <c r="E7" s="109">
        <f>IF('ORDER VS WEEK DISTRIBUTION'!E33="","",'ORDER VS WEEK DISTRIBUTION'!E33)</f>
        <v/>
      </c>
      <c r="F7" s="110">
        <f>IF('ORDER VS WEEK DISTRIBUTION'!F33="","",'ORDER VS WEEK DISTRIBUTION'!F33)</f>
        <v/>
      </c>
      <c r="G7" s="110">
        <f>IF('ORDER VS WEEK DISTRIBUTION'!G33="","",'ORDER VS WEEK DISTRIBUTION'!G33)</f>
        <v/>
      </c>
      <c r="H7" s="111">
        <f>IF('ORDER VS WEEK DISTRIBUTION'!U33="","",'ORDER VS WEEK DISTRIBUTION'!U33)</f>
        <v/>
      </c>
      <c r="I7" s="111">
        <f>IF('ORDER VS WEEK DISTRIBUTION'!V33="","",'ORDER VS WEEK DISTRIBUTION'!V33)</f>
        <v/>
      </c>
      <c r="J7" s="111">
        <f>IF('ORDER VS WEEK DISTRIBUTION'!W33="","",'ORDER VS WEEK DISTRIBUTION'!W33)</f>
        <v/>
      </c>
      <c r="K7" s="111">
        <f>IF('ORDER VS WEEK DISTRIBUTION'!X33="","",'ORDER VS WEEK DISTRIBUTION'!X33)</f>
        <v/>
      </c>
      <c r="L7" s="111">
        <f>IF('ORDER VS WEEK DISTRIBUTION'!Y33="","",'ORDER VS WEEK DISTRIBUTION'!Y33)</f>
        <v/>
      </c>
      <c r="M7" s="111">
        <f>IF('ORDER VS WEEK DISTRIBUTION'!Z33="","",'ORDER VS WEEK DISTRIBUTION'!Z33)</f>
        <v/>
      </c>
      <c r="N7" s="111">
        <f>IF('ORDER VS WEEK DISTRIBUTION'!AA33="","",'ORDER VS WEEK DISTRIBUTION'!AA33)</f>
        <v/>
      </c>
      <c r="O7" s="111">
        <f>IF('ORDER VS WEEK DISTRIBUTION'!AB33="","",'ORDER VS WEEK DISTRIBUTION'!AB33)</f>
        <v/>
      </c>
      <c r="P7" s="111">
        <f>IF('ORDER VS WEEK DISTRIBUTION'!AC33="","",'ORDER VS WEEK DISTRIBUTION'!AC33)</f>
        <v/>
      </c>
      <c r="Q7" s="111">
        <f>IF('ORDER VS WEEK DISTRIBUTION'!AD33="","",'ORDER VS WEEK DISTRIBUTION'!AD33)</f>
        <v/>
      </c>
      <c r="R7" s="111">
        <f>IF('ORDER VS WEEK DISTRIBUTION'!AE33="","",'ORDER VS WEEK DISTRIBUTION'!AE33)</f>
        <v/>
      </c>
      <c r="S7" s="111">
        <f>IF('ORDER VS WEEK DISTRIBUTION'!AF33="","",'ORDER VS WEEK DISTRIBUTION'!AF33)</f>
        <v/>
      </c>
    </row>
    <row r="8">
      <c r="A8" s="128">
        <f>IF('ORDER VS WEEK DISTRIBUTION'!A34="","",'ORDER VS WEEK DISTRIBUTION'!A34)</f>
        <v/>
      </c>
      <c r="B8" s="104" t="n"/>
      <c r="C8" s="65">
        <f>IF('ORDER VS WEEK DISTRIBUTION'!C43="","",'ORDER VS WEEK DISTRIBUTION'!C43)</f>
        <v/>
      </c>
      <c r="D8" s="52">
        <f>IF('ORDER VS WEEK DISTRIBUTION'!D43="","",'ORDER VS WEEK DISTRIBUTION'!D43)</f>
        <v/>
      </c>
      <c r="E8" s="53">
        <f>IF('ORDER VS WEEK DISTRIBUTION'!E43="","",'ORDER VS WEEK DISTRIBUTION'!E43)</f>
        <v/>
      </c>
      <c r="F8" s="53">
        <f>IF('ORDER VS WEEK DISTRIBUTION'!F43="","",'ORDER VS WEEK DISTRIBUTION'!F43)</f>
        <v/>
      </c>
      <c r="G8" s="75">
        <f>IF('ORDER VS WEEK DISTRIBUTION'!G43="","",'ORDER VS WEEK DISTRIBUTION'!G43)</f>
        <v/>
      </c>
      <c r="H8" s="75">
        <f>IF('ORDER VS WEEK DISTRIBUTION'!U43="","",'ORDER VS WEEK DISTRIBUTION'!U43)</f>
        <v/>
      </c>
      <c r="I8" s="75">
        <f>IF('ORDER VS WEEK DISTRIBUTION'!V43="","",'ORDER VS WEEK DISTRIBUTION'!V43)</f>
        <v/>
      </c>
      <c r="J8" s="75">
        <f>IF('ORDER VS WEEK DISTRIBUTION'!W43="","",'ORDER VS WEEK DISTRIBUTION'!W43)</f>
        <v/>
      </c>
      <c r="K8" s="75">
        <f>IF('ORDER VS WEEK DISTRIBUTION'!X43="","",'ORDER VS WEEK DISTRIBUTION'!X43)</f>
        <v/>
      </c>
      <c r="L8" s="75">
        <f>IF('ORDER VS WEEK DISTRIBUTION'!Y43="","",'ORDER VS WEEK DISTRIBUTION'!Y43)</f>
        <v/>
      </c>
      <c r="M8" s="75">
        <f>IF('ORDER VS WEEK DISTRIBUTION'!Z43="","",'ORDER VS WEEK DISTRIBUTION'!Z43)</f>
        <v/>
      </c>
      <c r="N8" s="75">
        <f>IF('ORDER VS WEEK DISTRIBUTION'!AA43="","",'ORDER VS WEEK DISTRIBUTION'!AA43)</f>
        <v/>
      </c>
      <c r="O8" s="75">
        <f>IF('ORDER VS WEEK DISTRIBUTION'!AB43="","",'ORDER VS WEEK DISTRIBUTION'!AB43)</f>
        <v/>
      </c>
      <c r="P8" s="75">
        <f>IF('ORDER VS WEEK DISTRIBUTION'!AC43="","",'ORDER VS WEEK DISTRIBUTION'!AC43)</f>
        <v/>
      </c>
      <c r="Q8" s="75">
        <f>IF('ORDER VS WEEK DISTRIBUTION'!AD43="","",'ORDER VS WEEK DISTRIBUTION'!AD43)</f>
        <v/>
      </c>
      <c r="R8" s="75">
        <f>IF('ORDER VS WEEK DISTRIBUTION'!AE43="","",'ORDER VS WEEK DISTRIBUTION'!AE43)</f>
        <v/>
      </c>
      <c r="S8" s="75">
        <f>IF('ORDER VS WEEK DISTRIBUTION'!AF43="","",'ORDER VS WEEK DISTRIBUTION'!AF43)</f>
        <v/>
      </c>
    </row>
    <row r="9">
      <c r="A9" s="104" t="n"/>
      <c r="B9" s="104" t="n"/>
      <c r="C9" s="124">
        <f>IF('ORDER VS WEEK DISTRIBUTION'!C44="","",'ORDER VS WEEK DISTRIBUTION'!C44)</f>
        <v/>
      </c>
      <c r="D9" s="52">
        <f>IF('ORDER VS WEEK DISTRIBUTION'!D44="","",'ORDER VS WEEK DISTRIBUTION'!D44)</f>
        <v/>
      </c>
      <c r="E9" s="53">
        <f>IF('ORDER VS WEEK DISTRIBUTION'!E44="","",'ORDER VS WEEK DISTRIBUTION'!E44)</f>
        <v/>
      </c>
      <c r="F9" s="53">
        <f>IF('ORDER VS WEEK DISTRIBUTION'!F44="","",'ORDER VS WEEK DISTRIBUTION'!F44)</f>
        <v/>
      </c>
      <c r="G9" s="75">
        <f>IF('ORDER VS WEEK DISTRIBUTION'!G44="","",'ORDER VS WEEK DISTRIBUTION'!G44)</f>
        <v/>
      </c>
      <c r="H9" s="75">
        <f>IF('ORDER VS WEEK DISTRIBUTION'!U44="","",'ORDER VS WEEK DISTRIBUTION'!U44)</f>
        <v/>
      </c>
      <c r="I9" s="75">
        <f>IF('ORDER VS WEEK DISTRIBUTION'!V44="","",'ORDER VS WEEK DISTRIBUTION'!V44)</f>
        <v/>
      </c>
      <c r="J9" s="75">
        <f>IF('ORDER VS WEEK DISTRIBUTION'!W44="","",'ORDER VS WEEK DISTRIBUTION'!W44)</f>
        <v/>
      </c>
      <c r="K9" s="75">
        <f>IF('ORDER VS WEEK DISTRIBUTION'!X44="","",'ORDER VS WEEK DISTRIBUTION'!X44)</f>
        <v/>
      </c>
      <c r="L9" s="75">
        <f>IF('ORDER VS WEEK DISTRIBUTION'!Y44="","",'ORDER VS WEEK DISTRIBUTION'!Y44)</f>
        <v/>
      </c>
      <c r="M9" s="75">
        <f>IF('ORDER VS WEEK DISTRIBUTION'!Z44="","",'ORDER VS WEEK DISTRIBUTION'!Z44)</f>
        <v/>
      </c>
      <c r="N9" s="75">
        <f>IF('ORDER VS WEEK DISTRIBUTION'!AA44="","",'ORDER VS WEEK DISTRIBUTION'!AA44)</f>
        <v/>
      </c>
      <c r="O9" s="75">
        <f>IF('ORDER VS WEEK DISTRIBUTION'!AB44="","",'ORDER VS WEEK DISTRIBUTION'!AB44)</f>
        <v/>
      </c>
      <c r="P9" s="75">
        <f>IF('ORDER VS WEEK DISTRIBUTION'!AC44="","",'ORDER VS WEEK DISTRIBUTION'!AC44)</f>
        <v/>
      </c>
      <c r="Q9" s="75">
        <f>IF('ORDER VS WEEK DISTRIBUTION'!AD44="","",'ORDER VS WEEK DISTRIBUTION'!AD44)</f>
        <v/>
      </c>
      <c r="R9" s="75">
        <f>IF('ORDER VS WEEK DISTRIBUTION'!AE44="","",'ORDER VS WEEK DISTRIBUTION'!AE44)</f>
        <v/>
      </c>
      <c r="S9" s="75">
        <f>IF('ORDER VS WEEK DISTRIBUTION'!AF44="","",'ORDER VS WEEK DISTRIBUTION'!AF44)</f>
        <v/>
      </c>
    </row>
    <row r="10">
      <c r="A10" s="104" t="n"/>
      <c r="B10" s="104" t="n"/>
      <c r="C10" s="105">
        <f>IF('ORDER VS WEEK DISTRIBUTION'!C45="","",'ORDER VS WEEK DISTRIBUTION'!C45)</f>
        <v/>
      </c>
      <c r="D10" s="125">
        <f>IF('ORDER VS WEEK DISTRIBUTION'!D45="","",'ORDER VS WEEK DISTRIBUTION'!D45)</f>
        <v/>
      </c>
      <c r="E10" s="126">
        <f>IF('ORDER VS WEEK DISTRIBUTION'!E45="","",'ORDER VS WEEK DISTRIBUTION'!E45)</f>
        <v/>
      </c>
      <c r="F10" s="126">
        <f>IF('ORDER VS WEEK DISTRIBUTION'!F45="","",'ORDER VS WEEK DISTRIBUTION'!F45)</f>
        <v/>
      </c>
      <c r="G10" s="127">
        <f>IF('ORDER VS WEEK DISTRIBUTION'!G45="","",'ORDER VS WEEK DISTRIBUTION'!G45)</f>
        <v/>
      </c>
      <c r="H10" s="127">
        <f>IF('ORDER VS WEEK DISTRIBUTION'!U45="","",'ORDER VS WEEK DISTRIBUTION'!U45)</f>
        <v/>
      </c>
      <c r="I10" s="127">
        <f>IF('ORDER VS WEEK DISTRIBUTION'!V45="","",'ORDER VS WEEK DISTRIBUTION'!V45)</f>
        <v/>
      </c>
      <c r="J10" s="127">
        <f>IF('ORDER VS WEEK DISTRIBUTION'!W45="","",'ORDER VS WEEK DISTRIBUTION'!W45)</f>
        <v/>
      </c>
      <c r="K10" s="127">
        <f>IF('ORDER VS WEEK DISTRIBUTION'!X45="","",'ORDER VS WEEK DISTRIBUTION'!X45)</f>
        <v/>
      </c>
      <c r="L10" s="127">
        <f>IF('ORDER VS WEEK DISTRIBUTION'!Y45="","",'ORDER VS WEEK DISTRIBUTION'!Y45)</f>
        <v/>
      </c>
      <c r="M10" s="127">
        <f>IF('ORDER VS WEEK DISTRIBUTION'!Z45="","",'ORDER VS WEEK DISTRIBUTION'!Z45)</f>
        <v/>
      </c>
      <c r="N10" s="127">
        <f>IF('ORDER VS WEEK DISTRIBUTION'!AA45="","",'ORDER VS WEEK DISTRIBUTION'!AA45)</f>
        <v/>
      </c>
      <c r="O10" s="127">
        <f>IF('ORDER VS WEEK DISTRIBUTION'!AB45="","",'ORDER VS WEEK DISTRIBUTION'!AB45)</f>
        <v/>
      </c>
      <c r="P10" s="127">
        <f>IF('ORDER VS WEEK DISTRIBUTION'!AC45="","",'ORDER VS WEEK DISTRIBUTION'!AC45)</f>
        <v/>
      </c>
      <c r="Q10" s="127">
        <f>IF('ORDER VS WEEK DISTRIBUTION'!AD45="","",'ORDER VS WEEK DISTRIBUTION'!AD45)</f>
        <v/>
      </c>
      <c r="R10" s="127">
        <f>IF('ORDER VS WEEK DISTRIBUTION'!AE45="","",'ORDER VS WEEK DISTRIBUTION'!AE45)</f>
        <v/>
      </c>
      <c r="S10" s="127">
        <f>IF('ORDER VS WEEK DISTRIBUTION'!AF45="","",'ORDER VS WEEK DISTRIBUTION'!AF45)</f>
        <v/>
      </c>
    </row>
    <row r="11">
      <c r="A11" s="104" t="n"/>
      <c r="B11" s="104" t="n"/>
      <c r="C11" s="116">
        <f>IF('ORDER VS WEEK DISTRIBUTION'!C46="","",'ORDER VS WEEK DISTRIBUTION'!C46)</f>
        <v/>
      </c>
      <c r="D11" s="108">
        <f>IF('ORDER VS WEEK DISTRIBUTION'!D46="","",'ORDER VS WEEK DISTRIBUTION'!D46)</f>
        <v/>
      </c>
      <c r="E11" s="114">
        <f>IF('ORDER VS WEEK DISTRIBUTION'!E46="","",'ORDER VS WEEK DISTRIBUTION'!E46)</f>
        <v/>
      </c>
      <c r="F11" s="114">
        <f>IF('ORDER VS WEEK DISTRIBUTION'!F46="","",'ORDER VS WEEK DISTRIBUTION'!F46)</f>
        <v/>
      </c>
      <c r="G11" s="115">
        <f>IF('ORDER VS WEEK DISTRIBUTION'!G46="","",'ORDER VS WEEK DISTRIBUTION'!G46)</f>
        <v/>
      </c>
      <c r="H11" s="111">
        <f>IF('ORDER VS WEEK DISTRIBUTION'!U46="","",'ORDER VS WEEK DISTRIBUTION'!U46)</f>
        <v/>
      </c>
      <c r="I11" s="111">
        <f>IF('ORDER VS WEEK DISTRIBUTION'!V46="","",'ORDER VS WEEK DISTRIBUTION'!V46)</f>
        <v/>
      </c>
      <c r="J11" s="111">
        <f>IF('ORDER VS WEEK DISTRIBUTION'!W46="","",'ORDER VS WEEK DISTRIBUTION'!W46)</f>
        <v/>
      </c>
      <c r="K11" s="111">
        <f>IF('ORDER VS WEEK DISTRIBUTION'!X46="","",'ORDER VS WEEK DISTRIBUTION'!X46)</f>
        <v/>
      </c>
      <c r="L11" s="111">
        <f>IF('ORDER VS WEEK DISTRIBUTION'!Y46="","",'ORDER VS WEEK DISTRIBUTION'!Y46)</f>
        <v/>
      </c>
      <c r="M11" s="111">
        <f>IF('ORDER VS WEEK DISTRIBUTION'!Z46="","",'ORDER VS WEEK DISTRIBUTION'!Z46)</f>
        <v/>
      </c>
      <c r="N11" s="111">
        <f>IF('ORDER VS WEEK DISTRIBUTION'!AA46="","",'ORDER VS WEEK DISTRIBUTION'!AA46)</f>
        <v/>
      </c>
      <c r="O11" s="111">
        <f>IF('ORDER VS WEEK DISTRIBUTION'!AB46="","",'ORDER VS WEEK DISTRIBUTION'!AB46)</f>
        <v/>
      </c>
      <c r="P11" s="111">
        <f>IF('ORDER VS WEEK DISTRIBUTION'!AC46="","",'ORDER VS WEEK DISTRIBUTION'!AC46)</f>
        <v/>
      </c>
      <c r="Q11" s="111">
        <f>IF('ORDER VS WEEK DISTRIBUTION'!AD46="","",'ORDER VS WEEK DISTRIBUTION'!AD46)</f>
        <v/>
      </c>
      <c r="R11" s="111">
        <f>IF('ORDER VS WEEK DISTRIBUTION'!AE46="","",'ORDER VS WEEK DISTRIBUTION'!AE46)</f>
        <v/>
      </c>
      <c r="S11" s="111">
        <f>IF('ORDER VS WEEK DISTRIBUTION'!AF46="","",'ORDER VS WEEK DISTRIBUTION'!AF46)</f>
        <v/>
      </c>
    </row>
    <row r="12">
      <c r="A12" s="86" t="n"/>
      <c r="B12" s="104" t="n"/>
      <c r="C12" s="86" t="n"/>
      <c r="D12" s="108">
        <f>IF('ORDER VS WEEK DISTRIBUTION'!D47="","",'ORDER VS WEEK DISTRIBUTION'!D47)</f>
        <v/>
      </c>
      <c r="E12" s="117">
        <f>IF('ORDER VS WEEK DISTRIBUTION'!E47="","",'ORDER VS WEEK DISTRIBUTION'!E47)</f>
        <v/>
      </c>
      <c r="F12" s="117">
        <f>IF('ORDER VS WEEK DISTRIBUTION'!F47="","",'ORDER VS WEEK DISTRIBUTION'!F47)</f>
        <v/>
      </c>
      <c r="G12" s="110">
        <f>IF('ORDER VS WEEK DISTRIBUTION'!G47="","",'ORDER VS WEEK DISTRIBUTION'!G47)</f>
        <v/>
      </c>
      <c r="H12" s="111">
        <f>IF('ORDER VS WEEK DISTRIBUTION'!U47="","",'ORDER VS WEEK DISTRIBUTION'!U47)</f>
        <v/>
      </c>
      <c r="I12" s="111">
        <f>IF('ORDER VS WEEK DISTRIBUTION'!V47="","",'ORDER VS WEEK DISTRIBUTION'!V47)</f>
        <v/>
      </c>
      <c r="J12" s="111">
        <f>IF('ORDER VS WEEK DISTRIBUTION'!W47="","",'ORDER VS WEEK DISTRIBUTION'!W47)</f>
        <v/>
      </c>
      <c r="K12" s="111">
        <f>IF('ORDER VS WEEK DISTRIBUTION'!X47="","",'ORDER VS WEEK DISTRIBUTION'!X47)</f>
        <v/>
      </c>
      <c r="L12" s="111">
        <f>IF('ORDER VS WEEK DISTRIBUTION'!Y47="","",'ORDER VS WEEK DISTRIBUTION'!Y47)</f>
        <v/>
      </c>
      <c r="M12" s="111">
        <f>IF('ORDER VS WEEK DISTRIBUTION'!Z47="","",'ORDER VS WEEK DISTRIBUTION'!Z47)</f>
        <v/>
      </c>
      <c r="N12" s="111">
        <f>IF('ORDER VS WEEK DISTRIBUTION'!AA47="","",'ORDER VS WEEK DISTRIBUTION'!AA47)</f>
        <v/>
      </c>
      <c r="O12" s="111">
        <f>IF('ORDER VS WEEK DISTRIBUTION'!AB47="","",'ORDER VS WEEK DISTRIBUTION'!AB47)</f>
        <v/>
      </c>
      <c r="P12" s="111">
        <f>IF('ORDER VS WEEK DISTRIBUTION'!AC47="","",'ORDER VS WEEK DISTRIBUTION'!AC47)</f>
        <v/>
      </c>
      <c r="Q12" s="111">
        <f>IF('ORDER VS WEEK DISTRIBUTION'!AD47="","",'ORDER VS WEEK DISTRIBUTION'!AD47)</f>
        <v/>
      </c>
      <c r="R12" s="111">
        <f>IF('ORDER VS WEEK DISTRIBUTION'!AE47="","",'ORDER VS WEEK DISTRIBUTION'!AE47)</f>
        <v/>
      </c>
      <c r="S12" s="111">
        <f>IF('ORDER VS WEEK DISTRIBUTION'!AF47="","",'ORDER VS WEEK DISTRIBUTION'!AF47)</f>
        <v/>
      </c>
    </row>
    <row r="13">
      <c r="A13" s="123">
        <f>IF('ORDER VS WEEK DISTRIBUTION'!A48="","",'ORDER VS WEEK DISTRIBUTION'!A48)</f>
        <v/>
      </c>
      <c r="B13" s="104" t="n"/>
      <c r="C13" s="65">
        <f>IF('ORDER VS WEEK DISTRIBUTION'!C54="","",'ORDER VS WEEK DISTRIBUTION'!C54)</f>
        <v/>
      </c>
      <c r="D13" s="52">
        <f>IF('ORDER VS WEEK DISTRIBUTION'!D54="","",'ORDER VS WEEK DISTRIBUTION'!D54)</f>
        <v/>
      </c>
      <c r="E13" s="53">
        <f>IF('ORDER VS WEEK DISTRIBUTION'!E54="","",'ORDER VS WEEK DISTRIBUTION'!E54)</f>
        <v/>
      </c>
      <c r="F13" s="53">
        <f>IF('ORDER VS WEEK DISTRIBUTION'!F54="","",'ORDER VS WEEK DISTRIBUTION'!F54)</f>
        <v/>
      </c>
      <c r="G13" s="75">
        <f>IF('ORDER VS WEEK DISTRIBUTION'!G54="","",'ORDER VS WEEK DISTRIBUTION'!G54)</f>
        <v/>
      </c>
      <c r="H13" s="75">
        <f>IF('ORDER VS WEEK DISTRIBUTION'!U54="","",'ORDER VS WEEK DISTRIBUTION'!U54)</f>
        <v/>
      </c>
      <c r="I13" s="75">
        <f>IF('ORDER VS WEEK DISTRIBUTION'!V54="","",'ORDER VS WEEK DISTRIBUTION'!V54)</f>
        <v/>
      </c>
      <c r="J13" s="75">
        <f>IF('ORDER VS WEEK DISTRIBUTION'!W54="","",'ORDER VS WEEK DISTRIBUTION'!W54)</f>
        <v/>
      </c>
      <c r="K13" s="75">
        <f>IF('ORDER VS WEEK DISTRIBUTION'!X54="","",'ORDER VS WEEK DISTRIBUTION'!X54)</f>
        <v/>
      </c>
      <c r="L13" s="75">
        <f>IF('ORDER VS WEEK DISTRIBUTION'!Y54="","",'ORDER VS WEEK DISTRIBUTION'!Y54)</f>
        <v/>
      </c>
      <c r="M13" s="75">
        <f>IF('ORDER VS WEEK DISTRIBUTION'!Z54="","",'ORDER VS WEEK DISTRIBUTION'!Z54)</f>
        <v/>
      </c>
      <c r="N13" s="75">
        <f>IF('ORDER VS WEEK DISTRIBUTION'!AA54="","",'ORDER VS WEEK DISTRIBUTION'!AA54)</f>
        <v/>
      </c>
      <c r="O13" s="75">
        <f>IF('ORDER VS WEEK DISTRIBUTION'!AB54="","",'ORDER VS WEEK DISTRIBUTION'!AB54)</f>
        <v/>
      </c>
      <c r="P13" s="75">
        <f>IF('ORDER VS WEEK DISTRIBUTION'!AC54="","",'ORDER VS WEEK DISTRIBUTION'!AC54)</f>
        <v/>
      </c>
      <c r="Q13" s="75">
        <f>IF('ORDER VS WEEK DISTRIBUTION'!AD54="","",'ORDER VS WEEK DISTRIBUTION'!AD54)</f>
        <v/>
      </c>
      <c r="R13" s="75">
        <f>IF('ORDER VS WEEK DISTRIBUTION'!AE54="","",'ORDER VS WEEK DISTRIBUTION'!AE54)</f>
        <v/>
      </c>
      <c r="S13" s="75">
        <f>IF('ORDER VS WEEK DISTRIBUTION'!AF54="","",'ORDER VS WEEK DISTRIBUTION'!AF54)</f>
        <v/>
      </c>
    </row>
    <row r="14">
      <c r="A14" s="104" t="n"/>
      <c r="B14" s="104" t="n"/>
      <c r="C14" s="124">
        <f>IF('ORDER VS WEEK DISTRIBUTION'!C55="","",'ORDER VS WEEK DISTRIBUTION'!C55)</f>
        <v/>
      </c>
      <c r="D14" s="52">
        <f>IF('ORDER VS WEEK DISTRIBUTION'!D55="","",'ORDER VS WEEK DISTRIBUTION'!D55)</f>
        <v/>
      </c>
      <c r="E14" s="53">
        <f>IF('ORDER VS WEEK DISTRIBUTION'!E55="","",'ORDER VS WEEK DISTRIBUTION'!E55)</f>
        <v/>
      </c>
      <c r="F14" s="53">
        <f>IF('ORDER VS WEEK DISTRIBUTION'!F55="","",'ORDER VS WEEK DISTRIBUTION'!F55)</f>
        <v/>
      </c>
      <c r="G14" s="75">
        <f>IF('ORDER VS WEEK DISTRIBUTION'!G55="","",'ORDER VS WEEK DISTRIBUTION'!G55)</f>
        <v/>
      </c>
      <c r="H14" s="75">
        <f>IF('ORDER VS WEEK DISTRIBUTION'!U55="","",'ORDER VS WEEK DISTRIBUTION'!U55)</f>
        <v/>
      </c>
      <c r="I14" s="75">
        <f>IF('ORDER VS WEEK DISTRIBUTION'!V55="","",'ORDER VS WEEK DISTRIBUTION'!V55)</f>
        <v/>
      </c>
      <c r="J14" s="75">
        <f>IF('ORDER VS WEEK DISTRIBUTION'!W55="","",'ORDER VS WEEK DISTRIBUTION'!W55)</f>
        <v/>
      </c>
      <c r="K14" s="75">
        <f>IF('ORDER VS WEEK DISTRIBUTION'!X55="","",'ORDER VS WEEK DISTRIBUTION'!X55)</f>
        <v/>
      </c>
      <c r="L14" s="75">
        <f>IF('ORDER VS WEEK DISTRIBUTION'!Y55="","",'ORDER VS WEEK DISTRIBUTION'!Y55)</f>
        <v/>
      </c>
      <c r="M14" s="75">
        <f>IF('ORDER VS WEEK DISTRIBUTION'!Z55="","",'ORDER VS WEEK DISTRIBUTION'!Z55)</f>
        <v/>
      </c>
      <c r="N14" s="75">
        <f>IF('ORDER VS WEEK DISTRIBUTION'!AA55="","",'ORDER VS WEEK DISTRIBUTION'!AA55)</f>
        <v/>
      </c>
      <c r="O14" s="75">
        <f>IF('ORDER VS WEEK DISTRIBUTION'!AB55="","",'ORDER VS WEEK DISTRIBUTION'!AB55)</f>
        <v/>
      </c>
      <c r="P14" s="75">
        <f>IF('ORDER VS WEEK DISTRIBUTION'!AC55="","",'ORDER VS WEEK DISTRIBUTION'!AC55)</f>
        <v/>
      </c>
      <c r="Q14" s="75">
        <f>IF('ORDER VS WEEK DISTRIBUTION'!AD55="","",'ORDER VS WEEK DISTRIBUTION'!AD55)</f>
        <v/>
      </c>
      <c r="R14" s="75">
        <f>IF('ORDER VS WEEK DISTRIBUTION'!AE55="","",'ORDER VS WEEK DISTRIBUTION'!AE55)</f>
        <v/>
      </c>
      <c r="S14" s="75">
        <f>IF('ORDER VS WEEK DISTRIBUTION'!AF55="","",'ORDER VS WEEK DISTRIBUTION'!AF55)</f>
        <v/>
      </c>
    </row>
    <row r="15">
      <c r="A15" s="104" t="n"/>
      <c r="B15" s="104" t="n"/>
      <c r="C15" s="105">
        <f>IF('ORDER VS WEEK DISTRIBUTION'!C56="","",'ORDER VS WEEK DISTRIBUTION'!C56)</f>
        <v/>
      </c>
      <c r="D15" s="125">
        <f>IF('ORDER VS WEEK DISTRIBUTION'!D56="","",'ORDER VS WEEK DISTRIBUTION'!D56)</f>
        <v/>
      </c>
      <c r="E15" s="126">
        <f>IF('ORDER VS WEEK DISTRIBUTION'!E56="","",'ORDER VS WEEK DISTRIBUTION'!E56)</f>
        <v/>
      </c>
      <c r="F15" s="126">
        <f>IF('ORDER VS WEEK DISTRIBUTION'!F56="","",'ORDER VS WEEK DISTRIBUTION'!F56)</f>
        <v/>
      </c>
      <c r="G15" s="127">
        <f>IF('ORDER VS WEEK DISTRIBUTION'!G56="","",'ORDER VS WEEK DISTRIBUTION'!G56)</f>
        <v/>
      </c>
      <c r="H15" s="127">
        <f>IF('ORDER VS WEEK DISTRIBUTION'!U56="","",'ORDER VS WEEK DISTRIBUTION'!U56)</f>
        <v/>
      </c>
      <c r="I15" s="127">
        <f>IF('ORDER VS WEEK DISTRIBUTION'!V56="","",'ORDER VS WEEK DISTRIBUTION'!V56)</f>
        <v/>
      </c>
      <c r="J15" s="127">
        <f>IF('ORDER VS WEEK DISTRIBUTION'!W56="","",'ORDER VS WEEK DISTRIBUTION'!W56)</f>
        <v/>
      </c>
      <c r="K15" s="127">
        <f>IF('ORDER VS WEEK DISTRIBUTION'!X56="","",'ORDER VS WEEK DISTRIBUTION'!X56)</f>
        <v/>
      </c>
      <c r="L15" s="127">
        <f>IF('ORDER VS WEEK DISTRIBUTION'!Y56="","",'ORDER VS WEEK DISTRIBUTION'!Y56)</f>
        <v/>
      </c>
      <c r="M15" s="127">
        <f>IF('ORDER VS WEEK DISTRIBUTION'!Z56="","",'ORDER VS WEEK DISTRIBUTION'!Z56)</f>
        <v/>
      </c>
      <c r="N15" s="127">
        <f>IF('ORDER VS WEEK DISTRIBUTION'!AA56="","",'ORDER VS WEEK DISTRIBUTION'!AA56)</f>
        <v/>
      </c>
      <c r="O15" s="127">
        <f>IF('ORDER VS WEEK DISTRIBUTION'!AB56="","",'ORDER VS WEEK DISTRIBUTION'!AB56)</f>
        <v/>
      </c>
      <c r="P15" s="127">
        <f>IF('ORDER VS WEEK DISTRIBUTION'!AC56="","",'ORDER VS WEEK DISTRIBUTION'!AC56)</f>
        <v/>
      </c>
      <c r="Q15" s="127">
        <f>IF('ORDER VS WEEK DISTRIBUTION'!AD56="","",'ORDER VS WEEK DISTRIBUTION'!AD56)</f>
        <v/>
      </c>
      <c r="R15" s="127">
        <f>IF('ORDER VS WEEK DISTRIBUTION'!AE56="","",'ORDER VS WEEK DISTRIBUTION'!AE56)</f>
        <v/>
      </c>
      <c r="S15" s="127">
        <f>IF('ORDER VS WEEK DISTRIBUTION'!AF56="","",'ORDER VS WEEK DISTRIBUTION'!AF56)</f>
        <v/>
      </c>
    </row>
    <row r="16">
      <c r="A16" s="104" t="n"/>
      <c r="B16" s="104" t="n"/>
      <c r="C16" s="116">
        <f>IF('ORDER VS WEEK DISTRIBUTION'!C57="","",'ORDER VS WEEK DISTRIBUTION'!C57)</f>
        <v/>
      </c>
      <c r="D16" s="108">
        <f>IF('ORDER VS WEEK DISTRIBUTION'!D57="","",'ORDER VS WEEK DISTRIBUTION'!D57)</f>
        <v/>
      </c>
      <c r="E16" s="114">
        <f>IF('ORDER VS WEEK DISTRIBUTION'!E57="","",'ORDER VS WEEK DISTRIBUTION'!E57)</f>
        <v/>
      </c>
      <c r="F16" s="114">
        <f>IF('ORDER VS WEEK DISTRIBUTION'!F57="","",'ORDER VS WEEK DISTRIBUTION'!F57)</f>
        <v/>
      </c>
      <c r="G16" s="115">
        <f>IF('ORDER VS WEEK DISTRIBUTION'!G57="","",'ORDER VS WEEK DISTRIBUTION'!G57)</f>
        <v/>
      </c>
      <c r="H16" s="111">
        <f>IF('ORDER VS WEEK DISTRIBUTION'!U57="","",'ORDER VS WEEK DISTRIBUTION'!U57)</f>
        <v/>
      </c>
      <c r="I16" s="111">
        <f>IF('ORDER VS WEEK DISTRIBUTION'!V57="","",'ORDER VS WEEK DISTRIBUTION'!V57)</f>
        <v/>
      </c>
      <c r="J16" s="111">
        <f>IF('ORDER VS WEEK DISTRIBUTION'!W57="","",'ORDER VS WEEK DISTRIBUTION'!W57)</f>
        <v/>
      </c>
      <c r="K16" s="111">
        <f>IF('ORDER VS WEEK DISTRIBUTION'!X57="","",'ORDER VS WEEK DISTRIBUTION'!X57)</f>
        <v/>
      </c>
      <c r="L16" s="111">
        <f>IF('ORDER VS WEEK DISTRIBUTION'!Y57="","",'ORDER VS WEEK DISTRIBUTION'!Y57)</f>
        <v/>
      </c>
      <c r="M16" s="111">
        <f>IF('ORDER VS WEEK DISTRIBUTION'!Z57="","",'ORDER VS WEEK DISTRIBUTION'!Z57)</f>
        <v/>
      </c>
      <c r="N16" s="111">
        <f>IF('ORDER VS WEEK DISTRIBUTION'!AA57="","",'ORDER VS WEEK DISTRIBUTION'!AA57)</f>
        <v/>
      </c>
      <c r="O16" s="111">
        <f>IF('ORDER VS WEEK DISTRIBUTION'!AB57="","",'ORDER VS WEEK DISTRIBUTION'!AB57)</f>
        <v/>
      </c>
      <c r="P16" s="111">
        <f>IF('ORDER VS WEEK DISTRIBUTION'!AC57="","",'ORDER VS WEEK DISTRIBUTION'!AC57)</f>
        <v/>
      </c>
      <c r="Q16" s="111">
        <f>IF('ORDER VS WEEK DISTRIBUTION'!AD57="","",'ORDER VS WEEK DISTRIBUTION'!AD57)</f>
        <v/>
      </c>
      <c r="R16" s="111">
        <f>IF('ORDER VS WEEK DISTRIBUTION'!AE57="","",'ORDER VS WEEK DISTRIBUTION'!AE57)</f>
        <v/>
      </c>
      <c r="S16" s="111">
        <f>IF('ORDER VS WEEK DISTRIBUTION'!AF57="","",'ORDER VS WEEK DISTRIBUTION'!AF57)</f>
        <v/>
      </c>
    </row>
    <row r="17">
      <c r="A17" s="86" t="n"/>
      <c r="B17" s="104" t="n"/>
      <c r="C17" s="86" t="n"/>
      <c r="D17" s="108">
        <f>IF('ORDER VS WEEK DISTRIBUTION'!D58="","",'ORDER VS WEEK DISTRIBUTION'!D58)</f>
        <v/>
      </c>
      <c r="E17" s="114">
        <f>IF('ORDER VS WEEK DISTRIBUTION'!E58="","",'ORDER VS WEEK DISTRIBUTION'!E58)</f>
        <v/>
      </c>
      <c r="F17" s="114">
        <f>IF('ORDER VS WEEK DISTRIBUTION'!F58="","",'ORDER VS WEEK DISTRIBUTION'!F58)</f>
        <v/>
      </c>
      <c r="G17" s="115">
        <f>IF('ORDER VS WEEK DISTRIBUTION'!G58="","",'ORDER VS WEEK DISTRIBUTION'!G58)</f>
        <v/>
      </c>
      <c r="H17" s="111">
        <f>IF('ORDER VS WEEK DISTRIBUTION'!U58="","",'ORDER VS WEEK DISTRIBUTION'!U58)</f>
        <v/>
      </c>
      <c r="I17" s="111">
        <f>IF('ORDER VS WEEK DISTRIBUTION'!V58="","",'ORDER VS WEEK DISTRIBUTION'!V58)</f>
        <v/>
      </c>
      <c r="J17" s="111">
        <f>IF('ORDER VS WEEK DISTRIBUTION'!W58="","",'ORDER VS WEEK DISTRIBUTION'!W58)</f>
        <v/>
      </c>
      <c r="K17" s="111">
        <f>IF('ORDER VS WEEK DISTRIBUTION'!X58="","",'ORDER VS WEEK DISTRIBUTION'!X58)</f>
        <v/>
      </c>
      <c r="L17" s="111">
        <f>IF('ORDER VS WEEK DISTRIBUTION'!Y58="","",'ORDER VS WEEK DISTRIBUTION'!Y58)</f>
        <v/>
      </c>
      <c r="M17" s="111">
        <f>IF('ORDER VS WEEK DISTRIBUTION'!Z58="","",'ORDER VS WEEK DISTRIBUTION'!Z58)</f>
        <v/>
      </c>
      <c r="N17" s="111">
        <f>IF('ORDER VS WEEK DISTRIBUTION'!AA58="","",'ORDER VS WEEK DISTRIBUTION'!AA58)</f>
        <v/>
      </c>
      <c r="O17" s="111">
        <f>IF('ORDER VS WEEK DISTRIBUTION'!AB58="","",'ORDER VS WEEK DISTRIBUTION'!AB58)</f>
        <v/>
      </c>
      <c r="P17" s="111">
        <f>IF('ORDER VS WEEK DISTRIBUTION'!AC58="","",'ORDER VS WEEK DISTRIBUTION'!AC58)</f>
        <v/>
      </c>
      <c r="Q17" s="111">
        <f>IF('ORDER VS WEEK DISTRIBUTION'!AD58="","",'ORDER VS WEEK DISTRIBUTION'!AD58)</f>
        <v/>
      </c>
      <c r="R17" s="111">
        <f>IF('ORDER VS WEEK DISTRIBUTION'!AE58="","",'ORDER VS WEEK DISTRIBUTION'!AE58)</f>
        <v/>
      </c>
      <c r="S17" s="111">
        <f>IF('ORDER VS WEEK DISTRIBUTION'!AF58="","",'ORDER VS WEEK DISTRIBUTION'!AF58)</f>
        <v/>
      </c>
    </row>
    <row r="18">
      <c r="A18" s="128">
        <f>IF('ORDER VS WEEK DISTRIBUTION'!A59="","",'ORDER VS WEEK DISTRIBUTION'!A59)</f>
        <v/>
      </c>
      <c r="B18" s="104" t="n"/>
      <c r="C18" s="65">
        <f>IF('ORDER VS WEEK DISTRIBUTION'!C63="","",'ORDER VS WEEK DISTRIBUTION'!C63)</f>
        <v/>
      </c>
      <c r="D18" s="52">
        <f>IF('ORDER VS WEEK DISTRIBUTION'!D63="","",'ORDER VS WEEK DISTRIBUTION'!D63)</f>
        <v/>
      </c>
      <c r="E18" s="53">
        <f>IF('ORDER VS WEEK DISTRIBUTION'!E63="","",'ORDER VS WEEK DISTRIBUTION'!E63)</f>
        <v/>
      </c>
      <c r="F18" s="53">
        <f>IF('ORDER VS WEEK DISTRIBUTION'!F63="","",'ORDER VS WEEK DISTRIBUTION'!F63)</f>
        <v/>
      </c>
      <c r="G18" s="75">
        <f>IF('ORDER VS WEEK DISTRIBUTION'!G63="","",'ORDER VS WEEK DISTRIBUTION'!G63)</f>
        <v/>
      </c>
      <c r="H18" s="75">
        <f>IF('ORDER VS WEEK DISTRIBUTION'!U63="","",'ORDER VS WEEK DISTRIBUTION'!U63)</f>
        <v/>
      </c>
      <c r="I18" s="75">
        <f>IF('ORDER VS WEEK DISTRIBUTION'!V63="","",'ORDER VS WEEK DISTRIBUTION'!V63)</f>
        <v/>
      </c>
      <c r="J18" s="75">
        <f>IF('ORDER VS WEEK DISTRIBUTION'!W63="","",'ORDER VS WEEK DISTRIBUTION'!W63)</f>
        <v/>
      </c>
      <c r="K18" s="75">
        <f>IF('ORDER VS WEEK DISTRIBUTION'!X63="","",'ORDER VS WEEK DISTRIBUTION'!X63)</f>
        <v/>
      </c>
      <c r="L18" s="75">
        <f>IF('ORDER VS WEEK DISTRIBUTION'!Y63="","",'ORDER VS WEEK DISTRIBUTION'!Y63)</f>
        <v/>
      </c>
      <c r="M18" s="75">
        <f>IF('ORDER VS WEEK DISTRIBUTION'!Z63="","",'ORDER VS WEEK DISTRIBUTION'!Z63)</f>
        <v/>
      </c>
      <c r="N18" s="75">
        <f>IF('ORDER VS WEEK DISTRIBUTION'!AA63="","",'ORDER VS WEEK DISTRIBUTION'!AA63)</f>
        <v/>
      </c>
      <c r="O18" s="75">
        <f>IF('ORDER VS WEEK DISTRIBUTION'!AB63="","",'ORDER VS WEEK DISTRIBUTION'!AB63)</f>
        <v/>
      </c>
      <c r="P18" s="75">
        <f>IF('ORDER VS WEEK DISTRIBUTION'!AC63="","",'ORDER VS WEEK DISTRIBUTION'!AC63)</f>
        <v/>
      </c>
      <c r="Q18" s="75">
        <f>IF('ORDER VS WEEK DISTRIBUTION'!AD63="","",'ORDER VS WEEK DISTRIBUTION'!AD63)</f>
        <v/>
      </c>
      <c r="R18" s="75">
        <f>IF('ORDER VS WEEK DISTRIBUTION'!AE63="","",'ORDER VS WEEK DISTRIBUTION'!AE63)</f>
        <v/>
      </c>
      <c r="S18" s="75">
        <f>IF('ORDER VS WEEK DISTRIBUTION'!AF63="","",'ORDER VS WEEK DISTRIBUTION'!AF63)</f>
        <v/>
      </c>
    </row>
    <row r="19">
      <c r="A19" s="104" t="n"/>
      <c r="B19" s="104" t="n"/>
      <c r="C19" s="105">
        <f>IF('ORDER VS WEEK DISTRIBUTION'!C64="","",'ORDER VS WEEK DISTRIBUTION'!C64)</f>
        <v/>
      </c>
      <c r="D19" s="125">
        <f>IF('ORDER VS WEEK DISTRIBUTION'!D64="","",'ORDER VS WEEK DISTRIBUTION'!D64)</f>
        <v/>
      </c>
      <c r="E19" s="126">
        <f>IF('ORDER VS WEEK DISTRIBUTION'!E64="","",'ORDER VS WEEK DISTRIBUTION'!E64)</f>
        <v/>
      </c>
      <c r="F19" s="126">
        <f>IF('ORDER VS WEEK DISTRIBUTION'!F64="","",'ORDER VS WEEK DISTRIBUTION'!F64)</f>
        <v/>
      </c>
      <c r="G19" s="127">
        <f>IF('ORDER VS WEEK DISTRIBUTION'!G64="","",'ORDER VS WEEK DISTRIBUTION'!G64)</f>
        <v/>
      </c>
      <c r="H19" s="127">
        <f>IF('ORDER VS WEEK DISTRIBUTION'!U64="","",'ORDER VS WEEK DISTRIBUTION'!U64)</f>
        <v/>
      </c>
      <c r="I19" s="127">
        <f>IF('ORDER VS WEEK DISTRIBUTION'!V64="","",'ORDER VS WEEK DISTRIBUTION'!V64)</f>
        <v/>
      </c>
      <c r="J19" s="127">
        <f>IF('ORDER VS WEEK DISTRIBUTION'!W64="","",'ORDER VS WEEK DISTRIBUTION'!W64)</f>
        <v/>
      </c>
      <c r="K19" s="127">
        <f>IF('ORDER VS WEEK DISTRIBUTION'!X64="","",'ORDER VS WEEK DISTRIBUTION'!X64)</f>
        <v/>
      </c>
      <c r="L19" s="127">
        <f>IF('ORDER VS WEEK DISTRIBUTION'!Y64="","",'ORDER VS WEEK DISTRIBUTION'!Y64)</f>
        <v/>
      </c>
      <c r="M19" s="127">
        <f>IF('ORDER VS WEEK DISTRIBUTION'!Z64="","",'ORDER VS WEEK DISTRIBUTION'!Z64)</f>
        <v/>
      </c>
      <c r="N19" s="127">
        <f>IF('ORDER VS WEEK DISTRIBUTION'!AA64="","",'ORDER VS WEEK DISTRIBUTION'!AA64)</f>
        <v/>
      </c>
      <c r="O19" s="127">
        <f>IF('ORDER VS WEEK DISTRIBUTION'!AB64="","",'ORDER VS WEEK DISTRIBUTION'!AB64)</f>
        <v/>
      </c>
      <c r="P19" s="127">
        <f>IF('ORDER VS WEEK DISTRIBUTION'!AC64="","",'ORDER VS WEEK DISTRIBUTION'!AC64)</f>
        <v/>
      </c>
      <c r="Q19" s="127">
        <f>IF('ORDER VS WEEK DISTRIBUTION'!AD64="","",'ORDER VS WEEK DISTRIBUTION'!AD64)</f>
        <v/>
      </c>
      <c r="R19" s="127">
        <f>IF('ORDER VS WEEK DISTRIBUTION'!AE64="","",'ORDER VS WEEK DISTRIBUTION'!AE64)</f>
        <v/>
      </c>
      <c r="S19" s="127">
        <f>IF('ORDER VS WEEK DISTRIBUTION'!AF64="","",'ORDER VS WEEK DISTRIBUTION'!AF64)</f>
        <v/>
      </c>
    </row>
    <row r="20">
      <c r="A20" s="104" t="n"/>
      <c r="B20" s="104" t="n"/>
      <c r="C20" s="116">
        <f>IF('ORDER VS WEEK DISTRIBUTION'!C65="","",'ORDER VS WEEK DISTRIBUTION'!C65)</f>
        <v/>
      </c>
      <c r="D20" s="108">
        <f>IF('ORDER VS WEEK DISTRIBUTION'!D65="","",'ORDER VS WEEK DISTRIBUTION'!D65)</f>
        <v/>
      </c>
      <c r="E20" s="117">
        <f>IF('ORDER VS WEEK DISTRIBUTION'!E65="","",'ORDER VS WEEK DISTRIBUTION'!E65)</f>
        <v/>
      </c>
      <c r="F20" s="117">
        <f>IF('ORDER VS WEEK DISTRIBUTION'!F65="","",'ORDER VS WEEK DISTRIBUTION'!F65)</f>
        <v/>
      </c>
      <c r="G20" s="117">
        <f>IF('ORDER VS WEEK DISTRIBUTION'!G65="","",'ORDER VS WEEK DISTRIBUTION'!G65)</f>
        <v/>
      </c>
      <c r="H20" s="111">
        <f>IF('ORDER VS WEEK DISTRIBUTION'!U65="","",'ORDER VS WEEK DISTRIBUTION'!U65)</f>
        <v/>
      </c>
      <c r="I20" s="111">
        <f>IF('ORDER VS WEEK DISTRIBUTION'!V65="","",'ORDER VS WEEK DISTRIBUTION'!V65)</f>
        <v/>
      </c>
      <c r="J20" s="111">
        <f>IF('ORDER VS WEEK DISTRIBUTION'!W65="","",'ORDER VS WEEK DISTRIBUTION'!W65)</f>
        <v/>
      </c>
      <c r="K20" s="111">
        <f>IF('ORDER VS WEEK DISTRIBUTION'!X65="","",'ORDER VS WEEK DISTRIBUTION'!X65)</f>
        <v/>
      </c>
      <c r="L20" s="111">
        <f>IF('ORDER VS WEEK DISTRIBUTION'!Y65="","",'ORDER VS WEEK DISTRIBUTION'!Y65)</f>
        <v/>
      </c>
      <c r="M20" s="111">
        <f>IF('ORDER VS WEEK DISTRIBUTION'!Z65="","",'ORDER VS WEEK DISTRIBUTION'!Z65)</f>
        <v/>
      </c>
      <c r="N20" s="111">
        <f>IF('ORDER VS WEEK DISTRIBUTION'!AA65="","",'ORDER VS WEEK DISTRIBUTION'!AA65)</f>
        <v/>
      </c>
      <c r="O20" s="111">
        <f>IF('ORDER VS WEEK DISTRIBUTION'!AB65="","",'ORDER VS WEEK DISTRIBUTION'!AB65)</f>
        <v/>
      </c>
      <c r="P20" s="111">
        <f>IF('ORDER VS WEEK DISTRIBUTION'!AC65="","",'ORDER VS WEEK DISTRIBUTION'!AC65)</f>
        <v/>
      </c>
      <c r="Q20" s="111">
        <f>IF('ORDER VS WEEK DISTRIBUTION'!AD65="","",'ORDER VS WEEK DISTRIBUTION'!AD65)</f>
        <v/>
      </c>
      <c r="R20" s="111">
        <f>IF('ORDER VS WEEK DISTRIBUTION'!AE65="","",'ORDER VS WEEK DISTRIBUTION'!AE65)</f>
        <v/>
      </c>
      <c r="S20" s="111">
        <f>IF('ORDER VS WEEK DISTRIBUTION'!AF65="","",'ORDER VS WEEK DISTRIBUTION'!AF65)</f>
        <v/>
      </c>
    </row>
    <row r="21">
      <c r="A21" s="86" t="n"/>
      <c r="B21" s="86" t="n"/>
      <c r="C21" s="86" t="n"/>
      <c r="D21" s="108">
        <f>IF('ORDER VS WEEK DISTRIBUTION'!D66="","",'ORDER VS WEEK DISTRIBUTION'!D66)</f>
        <v/>
      </c>
      <c r="E21" s="117">
        <f>IF('ORDER VS WEEK DISTRIBUTION'!E66="","",'ORDER VS WEEK DISTRIBUTION'!E66)</f>
        <v/>
      </c>
      <c r="F21" s="117">
        <f>IF('ORDER VS WEEK DISTRIBUTION'!F66="","",'ORDER VS WEEK DISTRIBUTION'!F66)</f>
        <v/>
      </c>
      <c r="G21" s="117">
        <f>IF('ORDER VS WEEK DISTRIBUTION'!G66="","",'ORDER VS WEEK DISTRIBUTION'!G66)</f>
        <v/>
      </c>
      <c r="H21" s="111">
        <f>IF('ORDER VS WEEK DISTRIBUTION'!U66="","",'ORDER VS WEEK DISTRIBUTION'!U66)</f>
        <v/>
      </c>
      <c r="I21" s="111">
        <f>IF('ORDER VS WEEK DISTRIBUTION'!V66="","",'ORDER VS WEEK DISTRIBUTION'!V66)</f>
        <v/>
      </c>
      <c r="J21" s="111">
        <f>IF('ORDER VS WEEK DISTRIBUTION'!W66="","",'ORDER VS WEEK DISTRIBUTION'!W66)</f>
        <v/>
      </c>
      <c r="K21" s="111">
        <f>IF('ORDER VS WEEK DISTRIBUTION'!X66="","",'ORDER VS WEEK DISTRIBUTION'!X66)</f>
        <v/>
      </c>
      <c r="L21" s="111">
        <f>IF('ORDER VS WEEK DISTRIBUTION'!Y66="","",'ORDER VS WEEK DISTRIBUTION'!Y66)</f>
        <v/>
      </c>
      <c r="M21" s="111">
        <f>IF('ORDER VS WEEK DISTRIBUTION'!Z66="","",'ORDER VS WEEK DISTRIBUTION'!Z66)</f>
        <v/>
      </c>
      <c r="N21" s="111">
        <f>IF('ORDER VS WEEK DISTRIBUTION'!AA66="","",'ORDER VS WEEK DISTRIBUTION'!AA66)</f>
        <v/>
      </c>
      <c r="O21" s="111">
        <f>IF('ORDER VS WEEK DISTRIBUTION'!AB66="","",'ORDER VS WEEK DISTRIBUTION'!AB66)</f>
        <v/>
      </c>
      <c r="P21" s="111">
        <f>IF('ORDER VS WEEK DISTRIBUTION'!AC66="","",'ORDER VS WEEK DISTRIBUTION'!AC66)</f>
        <v/>
      </c>
      <c r="Q21" s="111">
        <f>IF('ORDER VS WEEK DISTRIBUTION'!AD66="","",'ORDER VS WEEK DISTRIBUTION'!AD66)</f>
        <v/>
      </c>
      <c r="R21" s="111">
        <f>IF('ORDER VS WEEK DISTRIBUTION'!AE66="","",'ORDER VS WEEK DISTRIBUTION'!AE66)</f>
        <v/>
      </c>
      <c r="S21" s="111">
        <f>IF('ORDER VS WEEK DISTRIBUTION'!AF66="","",'ORDER VS WEEK DISTRIBUTION'!AF66)</f>
        <v/>
      </c>
    </row>
  </sheetData>
  <mergeCells count="11">
    <mergeCell ref="A18:A21"/>
    <mergeCell ref="A1:G1"/>
    <mergeCell ref="C20:C21"/>
    <mergeCell ref="A8:A12"/>
    <mergeCell ref="H1:S1"/>
    <mergeCell ref="B3:B21"/>
    <mergeCell ref="A3:A7"/>
    <mergeCell ref="A13:A17"/>
    <mergeCell ref="C6:C7"/>
    <mergeCell ref="C11:C12"/>
    <mergeCell ref="C16:C17"/>
  </mergeCells>
  <conditionalFormatting sqref="H3:S21">
    <cfRule type="expression" priority="3" dxfId="0">
      <formula>AND(H3&lt;&gt;"",$G3&lt;&gt;"",$G3&gt;0,H3&gt;$G3)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24"/>
  <sheetViews>
    <sheetView tabSelected="0" zoomScaleNormal="100" workbookViewId="0">
      <pane ySplit="1" topLeftCell="A2" activePane="bottomLeft" state="frozen"/>
      <selection pane="bottomLeft" activeCell="A1" sqref="A1:Y1"/>
    </sheetView>
  </sheetViews>
  <sheetFormatPr baseColWidth="8" defaultColWidth="8.5546875" defaultRowHeight="14.4"/>
  <cols>
    <col width="24" customWidth="1" style="5" min="1" max="1"/>
    <col width="16" customWidth="1" style="5" min="2" max="2"/>
    <col width="22" customWidth="1" style="5" min="3" max="3"/>
    <col width="13" customWidth="1" style="5" min="4" max="4"/>
    <col width="9" customWidth="1" style="5" min="5" max="5"/>
    <col width="13" customWidth="1" style="5" min="6" max="6"/>
    <col width="9" customWidth="1" style="5" min="7" max="7"/>
    <col width="22" customWidth="1" style="5" min="8" max="8"/>
    <col width="42" customWidth="1" style="5" min="9" max="9"/>
    <col width="22" customWidth="1" style="5" min="10" max="11"/>
    <col width="24" customWidth="1" style="5" min="12" max="12"/>
    <col width="30" customWidth="1" style="5" min="13" max="13"/>
    <col width="10" customWidth="1" style="5" min="14" max="18"/>
    <col width="12" customWidth="1" style="5" min="19" max="20"/>
    <col width="13" customWidth="1" style="5" min="21" max="21"/>
    <col width="12" customWidth="1" style="5" min="22" max="22"/>
    <col width="13" customWidth="1" style="5" min="23" max="23"/>
    <col width="16" customWidth="1" style="5" min="24" max="24"/>
    <col width="14" customWidth="1" style="5" min="25" max="25"/>
  </cols>
  <sheetData>
    <row r="1" ht="57.6" customHeight="1" s="5">
      <c r="A1" s="25" t="inlineStr">
        <is>
          <t>BUYER NAME</t>
        </is>
      </c>
      <c r="B1" s="25" t="inlineStr">
        <is>
          <t>NAV DOC NO</t>
        </is>
      </c>
      <c r="C1" s="25" t="inlineStr">
        <is>
          <t>Buyer Contact No</t>
        </is>
      </c>
      <c r="D1" s="25" t="inlineStr">
        <is>
          <t>Buyer Requested Shipment Date</t>
        </is>
      </c>
      <c r="E1" s="25" t="inlineStr">
        <is>
          <t>Month-yy</t>
        </is>
      </c>
      <c r="F1" s="25" t="inlineStr">
        <is>
          <t>Plan To Ship</t>
        </is>
      </c>
      <c r="G1" s="25" t="inlineStr">
        <is>
          <t>ITEM ID</t>
        </is>
      </c>
      <c r="H1" s="25" t="inlineStr">
        <is>
          <t>Column1</t>
        </is>
      </c>
      <c r="I1" s="25" t="inlineStr">
        <is>
          <t>PRODUCT NAME</t>
        </is>
      </c>
      <c r="J1" s="25" t="inlineStr">
        <is>
          <t>MC ROUTING</t>
        </is>
      </c>
      <c r="K1" s="25" t="inlineStr">
        <is>
          <t>CONCAT</t>
        </is>
      </c>
      <c r="L1" s="25" t="inlineStr">
        <is>
          <t>BLEND NAME</t>
        </is>
      </c>
      <c r="M1" s="25" t="inlineStr">
        <is>
          <t>SFG NAME</t>
        </is>
      </c>
      <c r="N1" s="25" t="inlineStr">
        <is>
          <t>NO OF CTN PER CFC</t>
        </is>
      </c>
      <c r="O1" s="25" t="inlineStr">
        <is>
          <t>NO OF TBGS PER CTN</t>
        </is>
      </c>
      <c r="P1" s="25" t="inlineStr">
        <is>
          <t>ORDER QTY</t>
        </is>
      </c>
      <c r="Q1" s="25" t="inlineStr">
        <is>
          <t>STOCK IN PROCESS</t>
        </is>
      </c>
      <c r="R1" s="25" t="inlineStr">
        <is>
          <t>READY STOCK</t>
        </is>
      </c>
      <c r="S1" s="25" t="inlineStr">
        <is>
          <t>STOCK IN PROCESS + READY STOCK</t>
        </is>
      </c>
      <c r="T1" s="25" t="inlineStr">
        <is>
          <t>PENDING TO PRODUCE IN CASES</t>
        </is>
      </c>
      <c r="U1" s="25" t="inlineStr">
        <is>
          <t>PENDING TO PRODUCE IN TBGS</t>
        </is>
      </c>
      <c r="V1" s="25" t="inlineStr">
        <is>
          <t>WEEK START</t>
        </is>
      </c>
      <c r="W1" s="25" t="inlineStr">
        <is>
          <t>REPORTING WEEK</t>
        </is>
      </c>
      <c r="X1" s="25" t="inlineStr">
        <is>
          <t>CAPACITY GROUP</t>
        </is>
      </c>
      <c r="Y1" s="25" t="inlineStr">
        <is>
          <t>PENDING PROD IN CONTAINERS</t>
        </is>
      </c>
    </row>
    <row r="2" ht="15" customHeight="1" s="5">
      <c r="A2" s="26" t="inlineStr">
        <is>
          <t>C.H.Robinson Trade Management</t>
        </is>
      </c>
      <c r="B2" s="26" t="inlineStr">
        <is>
          <t>MJIL/SO/26018843</t>
        </is>
      </c>
      <c r="C2" s="26" t="inlineStr">
        <is>
          <t>PO 09794</t>
        </is>
      </c>
      <c r="D2" s="82" t="n">
        <v>46262</v>
      </c>
      <c r="E2" s="83">
        <f>IF(ISNUMBER($D2),EOMONTH($D2,-1)+1,"")</f>
        <v/>
      </c>
      <c r="F2" s="82" t="n">
        <v>46266</v>
      </c>
      <c r="G2" s="26" t="n">
        <v>17793</v>
      </c>
      <c r="H2" s="26">
        <f>B2&amp;I2</f>
        <v/>
      </c>
      <c r="I2" s="26" t="inlineStr">
        <is>
          <t>DIPLOMAT ENGLISH BREAKFAST 10/50 DC TAG TBGS</t>
        </is>
      </c>
      <c r="J2" s="26" t="inlineStr">
        <is>
          <t>CONSTANTA TAG (D)</t>
        </is>
      </c>
      <c r="K2" s="26">
        <f>J2&amp;"-"&amp;TEXT(W2,"dd-mmm-yy")</f>
        <v/>
      </c>
      <c r="L2" s="26">
        <f>IFERROR(VLOOKUP($M2,'ITEM MASTER'!E:H,4,0),"")</f>
        <v/>
      </c>
      <c r="M2" s="26">
        <f>IFERROR(VLOOKUP($I2,'ITEM MASTER'!B:E,4,0),"")</f>
        <v/>
      </c>
      <c r="N2" s="26">
        <f>IFERROR(VLOOKUP($I2,'ITEM MASTER'!B:F,5,0),0)</f>
        <v/>
      </c>
      <c r="O2" s="26">
        <f>IFERROR(VLOOKUP($M2,'TBGS PER CTN'!B:C,2,0),0)</f>
        <v/>
      </c>
      <c r="P2" s="26" t="n">
        <v>2852</v>
      </c>
      <c r="Q2" s="26" t="n">
        <v>0</v>
      </c>
      <c r="R2" s="26" t="n">
        <v>2852</v>
      </c>
      <c r="S2" s="26">
        <f>Q2+R2</f>
        <v/>
      </c>
      <c r="T2" s="29" t="n">
        <v>0</v>
      </c>
      <c r="U2" s="29">
        <f>N2*O2*T2</f>
        <v/>
      </c>
      <c r="V2" s="82">
        <f>IF(ISNUMBER($D2),$D2-WEEKDAY($D2,3),'ORDER VS WEEK DISTRIBUTION'!$G$500)</f>
        <v/>
      </c>
      <c r="W2" s="82">
        <f>MAX($V2,'ORDER VS WEEK DISTRIBUTION'!$G$500)</f>
        <v/>
      </c>
      <c r="X2" s="26">
        <f>IFERROR(VLOOKUP($J2,'ORDER VS WEEK DISTRIBUTION'!$T:$U,2,0),"")</f>
        <v/>
      </c>
      <c r="Y2" s="26">
        <f>IFERROR($T2/IF(IFERROR(VLOOKUP($I2,'ITEM CFC PER CONTAINER'!$A:$B,2,0),0)&gt;0,VLOOKUP($I2,'ITEM CFC PER CONTAINER'!$A:$B,2,0),VLOOKUP($X2,'MC MASTER'!$A:$Q,16,0)),"")</f>
        <v/>
      </c>
    </row>
    <row r="3" ht="15" customHeight="1" s="5">
      <c r="A3" s="26" t="inlineStr">
        <is>
          <t>Harris Tea Co. -Us</t>
        </is>
      </c>
      <c r="B3" s="26" t="inlineStr">
        <is>
          <t>MJIL/SO/26019690</t>
        </is>
      </c>
      <c r="C3" s="26" t="inlineStr">
        <is>
          <t>AUG 2026 PLAN</t>
        </is>
      </c>
      <c r="D3" s="82" t="n">
        <v>46265</v>
      </c>
      <c r="E3" s="83">
        <f>IF(ISNUMBER($D3),EOMONTH($D3,-1)+1,"")</f>
        <v/>
      </c>
      <c r="F3" s="82" t="n">
        <v>46266</v>
      </c>
      <c r="G3" s="26" t="n">
        <v>23604</v>
      </c>
      <c r="H3" s="26">
        <f>B3&amp;I3</f>
        <v/>
      </c>
      <c r="I3" s="26" t="inlineStr">
        <is>
          <t>KEEFE 24/48 SC ENV TBGS</t>
        </is>
      </c>
      <c r="J3" s="26" t="inlineStr">
        <is>
          <t>MAISA ENV</t>
        </is>
      </c>
      <c r="K3" s="26">
        <f>J3&amp;"-"&amp;TEXT(W3,"dd-mmm-yy")</f>
        <v/>
      </c>
      <c r="L3" s="26">
        <f>IFERROR(VLOOKUP($M3,'ITEM MASTER'!E:H,4,0),"")</f>
        <v/>
      </c>
      <c r="M3" s="26">
        <f>IFERROR(VLOOKUP($I3,'ITEM MASTER'!B:E,4,0),"")</f>
        <v/>
      </c>
      <c r="N3" s="26">
        <f>IFERROR(VLOOKUP($I3,'ITEM MASTER'!B:F,5,0),0)</f>
        <v/>
      </c>
      <c r="O3" s="26">
        <f>IFERROR(VLOOKUP($M3,'TBGS PER CTN'!B:C,2,0),0)</f>
        <v/>
      </c>
      <c r="P3" s="26" t="n">
        <v>730</v>
      </c>
      <c r="Q3" s="26" t="n">
        <v>0</v>
      </c>
      <c r="R3" s="26" t="n">
        <v>596</v>
      </c>
      <c r="S3" s="26">
        <f>Q3+R3</f>
        <v/>
      </c>
      <c r="T3" s="29" t="n">
        <v>134</v>
      </c>
      <c r="U3" s="29">
        <f>N3*O3*T3</f>
        <v/>
      </c>
      <c r="V3" s="82">
        <f>IF(ISNUMBER($D3),$D3-WEEKDAY($D3,3),'ORDER VS WEEK DISTRIBUTION'!$G$500)</f>
        <v/>
      </c>
      <c r="W3" s="82">
        <f>MAX($V3,'ORDER VS WEEK DISTRIBUTION'!$G$500)</f>
        <v/>
      </c>
      <c r="X3" s="26">
        <f>IFERROR(VLOOKUP($J3,'ORDER VS WEEK DISTRIBUTION'!$T:$U,2,0),"")</f>
        <v/>
      </c>
      <c r="Y3" s="26">
        <f>IFERROR($T3/IF(IFERROR(VLOOKUP($I3,'ITEM CFC PER CONTAINER'!$A:$B,2,0),0)&gt;0,VLOOKUP($I3,'ITEM CFC PER CONTAINER'!$A:$B,2,0),VLOOKUP($X3,'MC MASTER'!$A:$Q,16,0)),"")</f>
        <v/>
      </c>
    </row>
    <row r="4" ht="15" customHeight="1" s="5">
      <c r="A4" s="26" t="inlineStr">
        <is>
          <t>Harris Tea Co. -Us</t>
        </is>
      </c>
      <c r="B4" s="26" t="inlineStr">
        <is>
          <t>MJIL/SO/26019690</t>
        </is>
      </c>
      <c r="C4" s="26" t="inlineStr">
        <is>
          <t>AUG 2026 PLAN</t>
        </is>
      </c>
      <c r="D4" s="82" t="n">
        <v>46265</v>
      </c>
      <c r="E4" s="83">
        <f>IF(ISNUMBER($D4),EOMONTH($D4,-1)+1,"")</f>
        <v/>
      </c>
      <c r="F4" s="82" t="n">
        <v>46266</v>
      </c>
      <c r="G4" s="26" t="n">
        <v>23760</v>
      </c>
      <c r="H4" s="26">
        <f>B4&amp;I4</f>
        <v/>
      </c>
      <c r="I4" s="26" t="inlineStr">
        <is>
          <t>SPROUTS FARMERS MARKET ORGANIC GREEN TEA 12/100 SC ENV TBGS</t>
        </is>
      </c>
      <c r="J4" s="26" t="inlineStr">
        <is>
          <t>MAISA ENV</t>
        </is>
      </c>
      <c r="K4" s="26">
        <f>J4&amp;"-"&amp;TEXT(W4,"dd-mmm-yy")</f>
        <v/>
      </c>
      <c r="L4" s="26">
        <f>IFERROR(VLOOKUP($M4,'ITEM MASTER'!E:H,4,0),"")</f>
        <v/>
      </c>
      <c r="M4" s="26">
        <f>IFERROR(VLOOKUP($I4,'ITEM MASTER'!B:E,4,0),"")</f>
        <v/>
      </c>
      <c r="N4" s="26">
        <f>IFERROR(VLOOKUP($I4,'ITEM MASTER'!B:F,5,0),0)</f>
        <v/>
      </c>
      <c r="O4" s="26">
        <f>IFERROR(VLOOKUP($M4,'TBGS PER CTN'!B:C,2,0),0)</f>
        <v/>
      </c>
      <c r="P4" s="26" t="n">
        <v>828</v>
      </c>
      <c r="Q4" s="26" t="n">
        <v>0</v>
      </c>
      <c r="R4" s="26" t="n">
        <v>828</v>
      </c>
      <c r="S4" s="26">
        <f>Q4+R4</f>
        <v/>
      </c>
      <c r="T4" s="29" t="n">
        <v>0</v>
      </c>
      <c r="U4" s="29">
        <f>N4*O4*T4</f>
        <v/>
      </c>
      <c r="V4" s="82">
        <f>IF(ISNUMBER($D4),$D4-WEEKDAY($D4,3),'ORDER VS WEEK DISTRIBUTION'!$G$500)</f>
        <v/>
      </c>
      <c r="W4" s="82">
        <f>MAX($V4,'ORDER VS WEEK DISTRIBUTION'!$G$500)</f>
        <v/>
      </c>
      <c r="X4" s="26">
        <f>IFERROR(VLOOKUP($J4,'ORDER VS WEEK DISTRIBUTION'!$T:$U,2,0),"")</f>
        <v/>
      </c>
      <c r="Y4" s="26">
        <f>IFERROR($T4/IF(IFERROR(VLOOKUP($I4,'ITEM CFC PER CONTAINER'!$A:$B,2,0),0)&gt;0,VLOOKUP($I4,'ITEM CFC PER CONTAINER'!$A:$B,2,0),VLOOKUP($X4,'MC MASTER'!$A:$Q,16,0)),"")</f>
        <v/>
      </c>
    </row>
    <row r="5" ht="15" customHeight="1" s="5">
      <c r="A5" s="26" t="inlineStr">
        <is>
          <t>Harris Tea Co. -Us</t>
        </is>
      </c>
      <c r="B5" s="26" t="inlineStr">
        <is>
          <t>MJIL/SO/26019690</t>
        </is>
      </c>
      <c r="C5" s="26" t="inlineStr">
        <is>
          <t>AUG 2026 PLAN</t>
        </is>
      </c>
      <c r="D5" s="82" t="n">
        <v>46265</v>
      </c>
      <c r="E5" s="83">
        <f>IF(ISNUMBER($D5),EOMONTH($D5,-1)+1,"")</f>
        <v/>
      </c>
      <c r="F5" s="82" t="n">
        <v>46266</v>
      </c>
      <c r="G5" s="26" t="n">
        <v>23224</v>
      </c>
      <c r="H5" s="26">
        <f>B5&amp;I5</f>
        <v/>
      </c>
      <c r="I5" s="26" t="inlineStr">
        <is>
          <t>TRSCO 32-3 OZ AB RND RFA ITBS</t>
        </is>
      </c>
      <c r="J5" s="26" t="inlineStr">
        <is>
          <t>BREW MAGIC</t>
        </is>
      </c>
      <c r="K5" s="26">
        <f>J5&amp;"-"&amp;TEXT(W5,"dd-mmm-yy")</f>
        <v/>
      </c>
      <c r="L5" s="26">
        <f>IFERROR(VLOOKUP($M5,'ITEM MASTER'!E:H,4,0),"")</f>
        <v/>
      </c>
      <c r="M5" s="26">
        <f>IFERROR(VLOOKUP($I5,'ITEM MASTER'!B:E,4,0),"")</f>
        <v/>
      </c>
      <c r="N5" s="26">
        <f>IFERROR(VLOOKUP($I5,'ITEM MASTER'!B:F,5,0),0)</f>
        <v/>
      </c>
      <c r="O5" s="26">
        <f>IFERROR(VLOOKUP($M5,'TBGS PER CTN'!B:C,2,0),0)</f>
        <v/>
      </c>
      <c r="P5" s="26" t="n">
        <v>140</v>
      </c>
      <c r="Q5" s="26" t="n">
        <v>0</v>
      </c>
      <c r="R5" s="26" t="n">
        <v>140</v>
      </c>
      <c r="S5" s="26">
        <f>Q5+R5</f>
        <v/>
      </c>
      <c r="T5" s="29" t="n">
        <v>0</v>
      </c>
      <c r="U5" s="29">
        <f>N5*O5*T5</f>
        <v/>
      </c>
      <c r="V5" s="82">
        <f>IF(ISNUMBER($D5),$D5-WEEKDAY($D5,3),'ORDER VS WEEK DISTRIBUTION'!$G$500)</f>
        <v/>
      </c>
      <c r="W5" s="82">
        <f>MAX($V5,'ORDER VS WEEK DISTRIBUTION'!$G$500)</f>
        <v/>
      </c>
      <c r="X5" s="26">
        <f>IFERROR(VLOOKUP($J5,'ORDER VS WEEK DISTRIBUTION'!$T:$U,2,0),"")</f>
        <v/>
      </c>
      <c r="Y5" s="26">
        <f>IFERROR($T5/IF(IFERROR(VLOOKUP($I5,'ITEM CFC PER CONTAINER'!$A:$B,2,0),0)&gt;0,VLOOKUP($I5,'ITEM CFC PER CONTAINER'!$A:$B,2,0),VLOOKUP($X5,'MC MASTER'!$A:$Q,16,0)),"")</f>
        <v/>
      </c>
    </row>
    <row r="6" ht="15" customHeight="1" s="5">
      <c r="A6" s="26" t="inlineStr">
        <is>
          <t>MATATA TRADE FZE DMCC</t>
        </is>
      </c>
      <c r="B6" s="26" t="inlineStr">
        <is>
          <t>MJIL/SO/25066914</t>
        </is>
      </c>
      <c r="C6" s="26" t="inlineStr">
        <is>
          <t>MJ-139/25-26 (MA26056)/2</t>
        </is>
      </c>
      <c r="D6" s="82" t="n">
        <v>46104</v>
      </c>
      <c r="E6" s="83">
        <f>IF(ISNUMBER($D6),EOMONTH($D6,-1)+1,"")</f>
        <v/>
      </c>
      <c r="F6" s="82" t="n">
        <v>46266</v>
      </c>
      <c r="G6" s="26" t="n">
        <v>35724</v>
      </c>
      <c r="H6" s="26">
        <f>B6&amp;I6</f>
        <v/>
      </c>
      <c r="I6" s="26" t="inlineStr">
        <is>
          <t>AKOUNA INSTANT COFFEE 9/150 SACHETS (15 STRIPS X 10 SACHETS X 1.5 GMS) WITH HANGER</t>
        </is>
      </c>
      <c r="J6" s="26" t="inlineStr">
        <is>
          <t>INSTANT COFFEE STICK PACK</t>
        </is>
      </c>
      <c r="K6" s="26">
        <f>J6&amp;"-"&amp;TEXT(W6,"dd-mmm-yy")</f>
        <v/>
      </c>
      <c r="L6" s="26">
        <f>IFERROR(VLOOKUP($M6,'ITEM MASTER'!E:H,4,0),"")</f>
        <v/>
      </c>
      <c r="M6" s="26">
        <f>IFERROR(VLOOKUP($I6,'ITEM MASTER'!B:E,4,0),"")</f>
        <v/>
      </c>
      <c r="N6" s="26">
        <f>IFERROR(VLOOKUP($I6,'ITEM MASTER'!B:F,5,0),0)</f>
        <v/>
      </c>
      <c r="O6" s="26">
        <f>IFERROR(VLOOKUP($M6,'TBGS PER CTN'!B:C,2,0),0)</f>
        <v/>
      </c>
      <c r="P6" s="26" t="n">
        <v>550</v>
      </c>
      <c r="Q6" s="26" t="n">
        <v>0</v>
      </c>
      <c r="R6" s="26" t="n">
        <v>550</v>
      </c>
      <c r="S6" s="26">
        <f>Q6+R6</f>
        <v/>
      </c>
      <c r="T6" s="29" t="n">
        <v>0</v>
      </c>
      <c r="U6" s="29">
        <f>N6*O6*T6</f>
        <v/>
      </c>
      <c r="V6" s="82">
        <f>IF(ISNUMBER($D6),$D6-WEEKDAY($D6,3),'ORDER VS WEEK DISTRIBUTION'!$G$500)</f>
        <v/>
      </c>
      <c r="W6" s="82">
        <f>MAX($V6,'ORDER VS WEEK DISTRIBUTION'!$G$500)</f>
        <v/>
      </c>
      <c r="X6" s="26">
        <f>IFERROR(VLOOKUP($J6,'ORDER VS WEEK DISTRIBUTION'!$T:$U,2,0),"")</f>
        <v/>
      </c>
      <c r="Y6" s="26">
        <f>IFERROR($T6/IF(IFERROR(VLOOKUP($I6,'ITEM CFC PER CONTAINER'!$A:$B,2,0),0)&gt;0,VLOOKUP($I6,'ITEM CFC PER CONTAINER'!$A:$B,2,0),VLOOKUP($X6,'MC MASTER'!$A:$Q,16,0)),"")</f>
        <v/>
      </c>
    </row>
    <row r="7" ht="15" customHeight="1" s="5">
      <c r="A7" s="26" t="inlineStr">
        <is>
          <t>Multitrade Overseas Pte. Ltd.</t>
        </is>
      </c>
      <c r="B7" s="26" t="inlineStr">
        <is>
          <t>MJIL/SO/26012321</t>
        </is>
      </c>
      <c r="C7" s="26" t="inlineStr">
        <is>
          <t>MJ-024/26-27 / 4 - ETKAF</t>
        </is>
      </c>
      <c r="D7" s="82" t="n">
        <v>46253</v>
      </c>
      <c r="E7" s="83">
        <f>IF(ISNUMBER($D7),EOMONTH($D7,-1)+1,"")</f>
        <v/>
      </c>
      <c r="F7" s="82" t="n">
        <v>46266</v>
      </c>
      <c r="G7" s="26" t="n">
        <v>2023</v>
      </c>
      <c r="H7" s="26">
        <f>B7&amp;I7</f>
        <v/>
      </c>
      <c r="I7" s="26" t="inlineStr">
        <is>
          <t>GV MINT 24/25 DC ENV TBGS WITH TSHIRT</t>
        </is>
      </c>
      <c r="J7" s="30" t="inlineStr">
        <is>
          <t>CONSTANTA ENV</t>
        </is>
      </c>
      <c r="K7" s="26">
        <f>J7&amp;"-"&amp;TEXT(W7,"dd-mmm-yy")</f>
        <v/>
      </c>
      <c r="L7" s="26">
        <f>IFERROR(VLOOKUP($M7,'ITEM MASTER'!E:H,4,0),"")</f>
        <v/>
      </c>
      <c r="M7" s="26">
        <f>IFERROR(VLOOKUP($I7,'ITEM MASTER'!B:E,4,0),"")</f>
        <v/>
      </c>
      <c r="N7" s="26">
        <f>IFERROR(VLOOKUP($I7,'ITEM MASTER'!B:F,5,0),0)</f>
        <v/>
      </c>
      <c r="O7" s="26">
        <f>IFERROR(VLOOKUP($M7,'TBGS PER CTN'!B:C,2,0),0)</f>
        <v/>
      </c>
      <c r="P7" s="26" t="n">
        <v>4000</v>
      </c>
      <c r="Q7" s="26" t="n">
        <v>0</v>
      </c>
      <c r="R7" s="26" t="n">
        <v>4000</v>
      </c>
      <c r="S7" s="26">
        <f>Q7+R7</f>
        <v/>
      </c>
      <c r="T7" s="29" t="n">
        <v>0</v>
      </c>
      <c r="U7" s="29">
        <f>N7*O7*T7</f>
        <v/>
      </c>
      <c r="V7" s="82">
        <f>IF(ISNUMBER($D7),$D7-WEEKDAY($D7,3),'ORDER VS WEEK DISTRIBUTION'!$G$500)</f>
        <v/>
      </c>
      <c r="W7" s="82">
        <f>MAX($V7,'ORDER VS WEEK DISTRIBUTION'!$G$500)</f>
        <v/>
      </c>
      <c r="X7" s="26">
        <f>IFERROR(VLOOKUP($J7,'ORDER VS WEEK DISTRIBUTION'!$T:$U,2,0),"")</f>
        <v/>
      </c>
      <c r="Y7" s="26">
        <f>IFERROR($T7/IF(IFERROR(VLOOKUP($I7,'ITEM CFC PER CONTAINER'!$A:$B,2,0),0)&gt;0,VLOOKUP($I7,'ITEM CFC PER CONTAINER'!$A:$B,2,0),VLOOKUP($X7,'MC MASTER'!$A:$Q,16,0)),"")</f>
        <v/>
      </c>
    </row>
    <row r="8" ht="15" customHeight="1" s="5">
      <c r="A8" s="26" t="inlineStr">
        <is>
          <t>Multitrade Overseas Pte. Ltd.</t>
        </is>
      </c>
      <c r="B8" s="26" t="inlineStr">
        <is>
          <t>MJIL/SO/26012321</t>
        </is>
      </c>
      <c r="C8" s="26" t="inlineStr">
        <is>
          <t>MJ-024/26-27 / 4 - ETKAF</t>
        </is>
      </c>
      <c r="D8" s="82" t="n">
        <v>46253</v>
      </c>
      <c r="E8" s="83">
        <f>IF(ISNUMBER($D8),EOMONTH($D8,-1)+1,"")</f>
        <v/>
      </c>
      <c r="F8" s="82" t="n">
        <v>46266</v>
      </c>
      <c r="G8" s="26" t="n">
        <v>1933</v>
      </c>
      <c r="H8" s="26">
        <f>B8&amp;I8</f>
        <v/>
      </c>
      <c r="I8" s="26" t="inlineStr">
        <is>
          <t>GV GARDEN STRAWBERRY 24/25 DC ENV TBGS WITH TSHIRT</t>
        </is>
      </c>
      <c r="J8" s="30" t="inlineStr">
        <is>
          <t>CONSTANTA ENV</t>
        </is>
      </c>
      <c r="K8" s="26">
        <f>J8&amp;"-"&amp;TEXT(W8,"dd-mmm-yy")</f>
        <v/>
      </c>
      <c r="L8" s="26">
        <f>IFERROR(VLOOKUP($M8,'ITEM MASTER'!E:H,4,0),"")</f>
        <v/>
      </c>
      <c r="M8" s="26">
        <f>IFERROR(VLOOKUP($I8,'ITEM MASTER'!B:E,4,0),"")</f>
        <v/>
      </c>
      <c r="N8" s="26">
        <f>IFERROR(VLOOKUP($I8,'ITEM MASTER'!B:F,5,0),0)</f>
        <v/>
      </c>
      <c r="O8" s="26">
        <f>IFERROR(VLOOKUP($M8,'TBGS PER CTN'!B:C,2,0),0)</f>
        <v/>
      </c>
      <c r="P8" s="26" t="n">
        <v>4750</v>
      </c>
      <c r="Q8" s="26" t="n">
        <v>0</v>
      </c>
      <c r="R8" s="26" t="n">
        <v>4750</v>
      </c>
      <c r="S8" s="26">
        <f>Q8+R8</f>
        <v/>
      </c>
      <c r="T8" s="29" t="n">
        <v>0</v>
      </c>
      <c r="U8" s="29">
        <f>N8*O8*T8</f>
        <v/>
      </c>
      <c r="V8" s="82">
        <f>IF(ISNUMBER($D8),$D8-WEEKDAY($D8,3),'ORDER VS WEEK DISTRIBUTION'!$G$500)</f>
        <v/>
      </c>
      <c r="W8" s="82">
        <f>MAX($V8,'ORDER VS WEEK DISTRIBUTION'!$G$500)</f>
        <v/>
      </c>
      <c r="X8" s="26">
        <f>IFERROR(VLOOKUP($J8,'ORDER VS WEEK DISTRIBUTION'!$T:$U,2,0),"")</f>
        <v/>
      </c>
      <c r="Y8" s="26">
        <f>IFERROR($T8/IF(IFERROR(VLOOKUP($I8,'ITEM CFC PER CONTAINER'!$A:$B,2,0),0)&gt;0,VLOOKUP($I8,'ITEM CFC PER CONTAINER'!$A:$B,2,0),VLOOKUP($X8,'MC MASTER'!$A:$Q,16,0)),"")</f>
        <v/>
      </c>
    </row>
    <row r="9" ht="15" customHeight="1" s="5">
      <c r="A9" s="26" t="inlineStr">
        <is>
          <t>Multitrade Overseas Pte. Ltd.</t>
        </is>
      </c>
      <c r="B9" s="26" t="inlineStr">
        <is>
          <t>MJIL/SO/26012321</t>
        </is>
      </c>
      <c r="C9" s="26" t="inlineStr">
        <is>
          <t>MJ-024/26-27 / 4 - ETKAF</t>
        </is>
      </c>
      <c r="D9" s="82" t="n">
        <v>46253</v>
      </c>
      <c r="E9" s="83">
        <f>IF(ISNUMBER($D9),EOMONTH($D9,-1)+1,"")</f>
        <v/>
      </c>
      <c r="F9" s="82" t="n">
        <v>46266</v>
      </c>
      <c r="G9" s="26" t="n">
        <v>2131</v>
      </c>
      <c r="H9" s="26">
        <f>B9&amp;I9</f>
        <v/>
      </c>
      <c r="I9" s="26" t="inlineStr">
        <is>
          <t>GV SPICY GINGER 24/25 DC ENV TBGS WITH TSHIRT</t>
        </is>
      </c>
      <c r="J9" s="30" t="inlineStr">
        <is>
          <t>CONSTANTA ENV</t>
        </is>
      </c>
      <c r="K9" s="26">
        <f>J9&amp;"-"&amp;TEXT(W9,"dd-mmm-yy")</f>
        <v/>
      </c>
      <c r="L9" s="26">
        <f>IFERROR(VLOOKUP($M9,'ITEM MASTER'!E:H,4,0),"")</f>
        <v/>
      </c>
      <c r="M9" s="26">
        <f>IFERROR(VLOOKUP($I9,'ITEM MASTER'!B:E,4,0),"")</f>
        <v/>
      </c>
      <c r="N9" s="26">
        <f>IFERROR(VLOOKUP($I9,'ITEM MASTER'!B:F,5,0),0)</f>
        <v/>
      </c>
      <c r="O9" s="26">
        <f>IFERROR(VLOOKUP($M9,'TBGS PER CTN'!B:C,2,0),0)</f>
        <v/>
      </c>
      <c r="P9" s="26" t="n">
        <v>3000</v>
      </c>
      <c r="Q9" s="26" t="n">
        <v>0</v>
      </c>
      <c r="R9" s="26" t="n">
        <v>3000</v>
      </c>
      <c r="S9" s="26">
        <f>Q9+R9</f>
        <v/>
      </c>
      <c r="T9" s="29" t="n">
        <v>0</v>
      </c>
      <c r="U9" s="29">
        <f>N9*O9*T9</f>
        <v/>
      </c>
      <c r="V9" s="82">
        <f>IF(ISNUMBER($D9),$D9-WEEKDAY($D9,3),'ORDER VS WEEK DISTRIBUTION'!$G$500)</f>
        <v/>
      </c>
      <c r="W9" s="82">
        <f>MAX($V9,'ORDER VS WEEK DISTRIBUTION'!$G$500)</f>
        <v/>
      </c>
      <c r="X9" s="26">
        <f>IFERROR(VLOOKUP($J9,'ORDER VS WEEK DISTRIBUTION'!$T:$U,2,0),"")</f>
        <v/>
      </c>
      <c r="Y9" s="26">
        <f>IFERROR($T9/IF(IFERROR(VLOOKUP($I9,'ITEM CFC PER CONTAINER'!$A:$B,2,0),0)&gt;0,VLOOKUP($I9,'ITEM CFC PER CONTAINER'!$A:$B,2,0),VLOOKUP($X9,'MC MASTER'!$A:$Q,16,0)),"")</f>
        <v/>
      </c>
    </row>
    <row r="10" ht="15" customHeight="1" s="5">
      <c r="A10" s="26" t="inlineStr">
        <is>
          <t>Multitrade Overseas Pte. Ltd.</t>
        </is>
      </c>
      <c r="B10" s="26" t="inlineStr">
        <is>
          <t>MJIL/SO/26012321</t>
        </is>
      </c>
      <c r="C10" s="26" t="inlineStr">
        <is>
          <t>MJ-024/26-27 / 4 - ETKAF</t>
        </is>
      </c>
      <c r="D10" s="82" t="n">
        <v>46253</v>
      </c>
      <c r="E10" s="83">
        <f>IF(ISNUMBER($D10),EOMONTH($D10,-1)+1,"")</f>
        <v/>
      </c>
      <c r="F10" s="82" t="n">
        <v>46266</v>
      </c>
      <c r="G10" s="26" t="n">
        <v>2051</v>
      </c>
      <c r="H10" s="26">
        <f>B10&amp;I10</f>
        <v/>
      </c>
      <c r="I10" s="26" t="inlineStr">
        <is>
          <t>GV ORANGE 24/25 DC ENV TBGS WITH TSHIRT</t>
        </is>
      </c>
      <c r="J10" s="30" t="inlineStr">
        <is>
          <t>CONSTANTA ENV</t>
        </is>
      </c>
      <c r="K10" s="26">
        <f>J10&amp;"-"&amp;TEXT(W10,"dd-mmm-yy")</f>
        <v/>
      </c>
      <c r="L10" s="26">
        <f>IFERROR(VLOOKUP($M10,'ITEM MASTER'!E:H,4,0),"")</f>
        <v/>
      </c>
      <c r="M10" s="26">
        <f>IFERROR(VLOOKUP($I10,'ITEM MASTER'!B:E,4,0),"")</f>
        <v/>
      </c>
      <c r="N10" s="26">
        <f>IFERROR(VLOOKUP($I10,'ITEM MASTER'!B:F,5,0),0)</f>
        <v/>
      </c>
      <c r="O10" s="26">
        <f>IFERROR(VLOOKUP($M10,'TBGS PER CTN'!B:C,2,0),0)</f>
        <v/>
      </c>
      <c r="P10" s="26" t="n">
        <v>440</v>
      </c>
      <c r="Q10" s="26" t="n">
        <v>0</v>
      </c>
      <c r="R10" s="26" t="n">
        <v>440</v>
      </c>
      <c r="S10" s="26">
        <f>Q10+R10</f>
        <v/>
      </c>
      <c r="T10" s="29" t="n">
        <v>0</v>
      </c>
      <c r="U10" s="29">
        <f>N10*O10*T10</f>
        <v/>
      </c>
      <c r="V10" s="82">
        <f>IF(ISNUMBER($D10),$D10-WEEKDAY($D10,3),'ORDER VS WEEK DISTRIBUTION'!$G$500)</f>
        <v/>
      </c>
      <c r="W10" s="82">
        <f>MAX($V10,'ORDER VS WEEK DISTRIBUTION'!$G$500)</f>
        <v/>
      </c>
      <c r="X10" s="26">
        <f>IFERROR(VLOOKUP($J10,'ORDER VS WEEK DISTRIBUTION'!$T:$U,2,0),"")</f>
        <v/>
      </c>
      <c r="Y10" s="26">
        <f>IFERROR($T10/IF(IFERROR(VLOOKUP($I10,'ITEM CFC PER CONTAINER'!$A:$B,2,0),0)&gt;0,VLOOKUP($I10,'ITEM CFC PER CONTAINER'!$A:$B,2,0),VLOOKUP($X10,'MC MASTER'!$A:$Q,16,0)),"")</f>
        <v/>
      </c>
    </row>
    <row r="11" ht="15" customHeight="1" s="5">
      <c r="A11" s="26" t="inlineStr">
        <is>
          <t>Multitrade Overseas Pte. Ltd.</t>
        </is>
      </c>
      <c r="B11" s="26" t="inlineStr">
        <is>
          <t>MJIL/SO/26012321</t>
        </is>
      </c>
      <c r="C11" s="26" t="inlineStr">
        <is>
          <t>MJ-024/26-27 / 4 - ETKAF</t>
        </is>
      </c>
      <c r="D11" s="82" t="n">
        <v>46253</v>
      </c>
      <c r="E11" s="83">
        <f>IF(ISNUMBER($D11),EOMONTH($D11,-1)+1,"")</f>
        <v/>
      </c>
      <c r="F11" s="82" t="n">
        <v>46266</v>
      </c>
      <c r="G11" s="26" t="n">
        <v>2105</v>
      </c>
      <c r="H11" s="26">
        <f>B11&amp;I11</f>
        <v/>
      </c>
      <c r="I11" s="26" t="inlineStr">
        <is>
          <t>GV ROYAL LEMON 24/25 DC ENV TBGS WITH TSHIRT</t>
        </is>
      </c>
      <c r="J11" s="30" t="inlineStr">
        <is>
          <t>CONSTANTA ENV</t>
        </is>
      </c>
      <c r="K11" s="26">
        <f>J11&amp;"-"&amp;TEXT(W11,"dd-mmm-yy")</f>
        <v/>
      </c>
      <c r="L11" s="26">
        <f>IFERROR(VLOOKUP($M11,'ITEM MASTER'!E:H,4,0),"")</f>
        <v/>
      </c>
      <c r="M11" s="26">
        <f>IFERROR(VLOOKUP($I11,'ITEM MASTER'!B:E,4,0),"")</f>
        <v/>
      </c>
      <c r="N11" s="26">
        <f>IFERROR(VLOOKUP($I11,'ITEM MASTER'!B:F,5,0),0)</f>
        <v/>
      </c>
      <c r="O11" s="26">
        <f>IFERROR(VLOOKUP($M11,'TBGS PER CTN'!B:C,2,0),0)</f>
        <v/>
      </c>
      <c r="P11" s="26" t="n">
        <v>50</v>
      </c>
      <c r="Q11" s="26" t="n">
        <v>0</v>
      </c>
      <c r="R11" s="26" t="n">
        <v>50</v>
      </c>
      <c r="S11" s="26">
        <f>Q11+R11</f>
        <v/>
      </c>
      <c r="T11" s="29" t="n">
        <v>0</v>
      </c>
      <c r="U11" s="29">
        <f>N11*O11*T11</f>
        <v/>
      </c>
      <c r="V11" s="82">
        <f>IF(ISNUMBER($D11),$D11-WEEKDAY($D11,3),'ORDER VS WEEK DISTRIBUTION'!$G$500)</f>
        <v/>
      </c>
      <c r="W11" s="82">
        <f>MAX($V11,'ORDER VS WEEK DISTRIBUTION'!$G$500)</f>
        <v/>
      </c>
      <c r="X11" s="26">
        <f>IFERROR(VLOOKUP($J11,'ORDER VS WEEK DISTRIBUTION'!$T:$U,2,0),"")</f>
        <v/>
      </c>
      <c r="Y11" s="26">
        <f>IFERROR($T11/IF(IFERROR(VLOOKUP($I11,'ITEM CFC PER CONTAINER'!$A:$B,2,0),0)&gt;0,VLOOKUP($I11,'ITEM CFC PER CONTAINER'!$A:$B,2,0),VLOOKUP($X11,'MC MASTER'!$A:$Q,16,0)),"")</f>
        <v/>
      </c>
    </row>
    <row r="12" ht="15" customHeight="1" s="5">
      <c r="A12" s="26" t="inlineStr">
        <is>
          <t>Multitrade Overseas Pte. Ltd.</t>
        </is>
      </c>
      <c r="B12" s="26" t="inlineStr">
        <is>
          <t>MJIL/SO/26012321</t>
        </is>
      </c>
      <c r="C12" s="26" t="inlineStr">
        <is>
          <t>MJ-024/26-27 / 4 - ETKAF</t>
        </is>
      </c>
      <c r="D12" s="82" t="n">
        <v>46253</v>
      </c>
      <c r="E12" s="83">
        <f>IF(ISNUMBER($D12),EOMONTH($D12,-1)+1,"")</f>
        <v/>
      </c>
      <c r="F12" s="82" t="n">
        <v>46266</v>
      </c>
      <c r="G12" s="26" t="n">
        <v>37183</v>
      </c>
      <c r="H12" s="26">
        <f>B12&amp;I12</f>
        <v/>
      </c>
      <c r="I12" s="26" t="inlineStr">
        <is>
          <t>TEZ CAFE INSTANT COFFEE 9/150 SACHETS (15 STRIPS X 10 SACHETS X 2 GMS) WITH HANGER</t>
        </is>
      </c>
      <c r="J12" s="26" t="inlineStr">
        <is>
          <t>INSTANT COFFEE STICK PACK</t>
        </is>
      </c>
      <c r="K12" s="26">
        <f>J12&amp;"-"&amp;TEXT(W12,"dd-mmm-yy")</f>
        <v/>
      </c>
      <c r="L12" s="26">
        <f>IFERROR(VLOOKUP($M12,'ITEM MASTER'!E:H,4,0),"")</f>
        <v/>
      </c>
      <c r="M12" s="26">
        <f>IFERROR(VLOOKUP($I12,'ITEM MASTER'!B:E,4,0),"")</f>
        <v/>
      </c>
      <c r="N12" s="26">
        <f>IFERROR(VLOOKUP($I12,'ITEM MASTER'!B:F,5,0),0)</f>
        <v/>
      </c>
      <c r="O12" s="26">
        <f>IFERROR(VLOOKUP($M12,'TBGS PER CTN'!B:C,2,0),0)</f>
        <v/>
      </c>
      <c r="P12" s="26" t="n">
        <v>300</v>
      </c>
      <c r="Q12" s="26" t="n">
        <v>0</v>
      </c>
      <c r="R12" s="26" t="n">
        <v>103</v>
      </c>
      <c r="S12" s="26">
        <f>Q12+R12</f>
        <v/>
      </c>
      <c r="T12" s="29" t="n">
        <v>197</v>
      </c>
      <c r="U12" s="29">
        <f>N12*O12*T12</f>
        <v/>
      </c>
      <c r="V12" s="82">
        <f>IF(ISNUMBER($D12),$D12-WEEKDAY($D12,3),'ORDER VS WEEK DISTRIBUTION'!$G$500)</f>
        <v/>
      </c>
      <c r="W12" s="82">
        <f>MAX($V12,'ORDER VS WEEK DISTRIBUTION'!$G$500)</f>
        <v/>
      </c>
      <c r="X12" s="26">
        <f>IFERROR(VLOOKUP($J12,'ORDER VS WEEK DISTRIBUTION'!$T:$U,2,0),"")</f>
        <v/>
      </c>
      <c r="Y12" s="26">
        <f>IFERROR($T12/IF(IFERROR(VLOOKUP($I12,'ITEM CFC PER CONTAINER'!$A:$B,2,0),0)&gt;0,VLOOKUP($I12,'ITEM CFC PER CONTAINER'!$A:$B,2,0),VLOOKUP($X12,'MC MASTER'!$A:$Q,16,0)),"")</f>
        <v/>
      </c>
    </row>
    <row r="13" ht="15" customHeight="1" s="5">
      <c r="A13" s="26" t="inlineStr">
        <is>
          <t>Multitrade Overseas Pte. Ltd.</t>
        </is>
      </c>
      <c r="B13" s="26" t="inlineStr">
        <is>
          <t>MJIL/SO/26012321</t>
        </is>
      </c>
      <c r="C13" s="26" t="inlineStr">
        <is>
          <t>MJ-024/26-27 / 4 - ETKAF</t>
        </is>
      </c>
      <c r="D13" s="82" t="n">
        <v>46253</v>
      </c>
      <c r="E13" s="83">
        <f>IF(ISNUMBER($D13),EOMONTH($D13,-1)+1,"")</f>
        <v/>
      </c>
      <c r="F13" s="82" t="n">
        <v>46266</v>
      </c>
      <c r="G13" s="26" t="n">
        <v>33935</v>
      </c>
      <c r="H13" s="26">
        <f>B13&amp;I13</f>
        <v/>
      </c>
      <c r="I13" s="26" t="inlineStr">
        <is>
          <t>TEZ CAFE CAPPUCCINO 3 IN 1 (25GMS) 12 STRIPS X 10 SACHETS WITH HANGER</t>
        </is>
      </c>
      <c r="J13" s="30" t="inlineStr">
        <is>
          <t>CONSTANTA ENV</t>
        </is>
      </c>
      <c r="K13" s="26">
        <f>J13&amp;"-"&amp;TEXT(W13,"dd-mmm-yy")</f>
        <v/>
      </c>
      <c r="L13" s="26">
        <f>IFERROR(VLOOKUP($M13,'ITEM MASTER'!E:H,4,0),"")</f>
        <v/>
      </c>
      <c r="M13" s="26">
        <f>IFERROR(VLOOKUP($I13,'ITEM MASTER'!B:E,4,0),"")</f>
        <v/>
      </c>
      <c r="N13" s="26">
        <f>IFERROR(VLOOKUP($I13,'ITEM MASTER'!B:F,5,0),0)</f>
        <v/>
      </c>
      <c r="O13" s="26">
        <f>IFERROR(VLOOKUP($M13,'TBGS PER CTN'!B:C,2,0),0)</f>
        <v/>
      </c>
      <c r="P13" s="26" t="n">
        <v>300</v>
      </c>
      <c r="Q13" s="26" t="n">
        <v>0</v>
      </c>
      <c r="R13" s="26" t="n">
        <v>300</v>
      </c>
      <c r="S13" s="26">
        <f>Q13+R13</f>
        <v/>
      </c>
      <c r="T13" s="29" t="n">
        <v>0</v>
      </c>
      <c r="U13" s="29">
        <f>N13*O13*T13</f>
        <v/>
      </c>
      <c r="V13" s="82">
        <f>IF(ISNUMBER($D13),$D13-WEEKDAY($D13,3),'ORDER VS WEEK DISTRIBUTION'!$G$500)</f>
        <v/>
      </c>
      <c r="W13" s="82">
        <f>MAX($V13,'ORDER VS WEEK DISTRIBUTION'!$G$500)</f>
        <v/>
      </c>
      <c r="X13" s="26">
        <f>IFERROR(VLOOKUP($J13,'ORDER VS WEEK DISTRIBUTION'!$T:$U,2,0),"")</f>
        <v/>
      </c>
      <c r="Y13" s="26">
        <f>IFERROR($T13/IF(IFERROR(VLOOKUP($I13,'ITEM CFC PER CONTAINER'!$A:$B,2,0),0)&gt;0,VLOOKUP($I13,'ITEM CFC PER CONTAINER'!$A:$B,2,0),VLOOKUP($X13,'MC MASTER'!$A:$Q,16,0)),"")</f>
        <v/>
      </c>
    </row>
    <row r="14" ht="15" customHeight="1" s="5">
      <c r="A14" s="26" t="inlineStr">
        <is>
          <t>Multitrade Overseas Pte. Ltd.</t>
        </is>
      </c>
      <c r="B14" s="26" t="inlineStr">
        <is>
          <t>MJIL/SO/26023675</t>
        </is>
      </c>
      <c r="C14" s="26" t="inlineStr">
        <is>
          <t>MJ-044/26-27/ 1 (STE CONGO)</t>
        </is>
      </c>
      <c r="D14" s="82" t="n">
        <v>46249</v>
      </c>
      <c r="E14" s="83">
        <f>IF(ISNUMBER($D14),EOMONTH($D14,-1)+1,"")</f>
        <v/>
      </c>
      <c r="F14" s="82" t="n">
        <v>46266</v>
      </c>
      <c r="G14" s="26" t="n">
        <v>26731</v>
      </c>
      <c r="H14" s="26">
        <f>B14&amp;I14</f>
        <v/>
      </c>
      <c r="I14" s="26" t="inlineStr">
        <is>
          <t>VIVO 24/25 DC ENV TBGS</t>
        </is>
      </c>
      <c r="J14" s="26" t="inlineStr">
        <is>
          <t>C250 AF</t>
        </is>
      </c>
      <c r="K14" s="26">
        <f>J14&amp;"-"&amp;TEXT(W14,"dd-mmm-yy")</f>
        <v/>
      </c>
      <c r="L14" s="26">
        <f>IFERROR(VLOOKUP($M14,'ITEM MASTER'!E:H,4,0),"")</f>
        <v/>
      </c>
      <c r="M14" s="26">
        <f>IFERROR(VLOOKUP($I14,'ITEM MASTER'!B:E,4,0),"")</f>
        <v/>
      </c>
      <c r="N14" s="26">
        <f>IFERROR(VLOOKUP($I14,'ITEM MASTER'!B:F,5,0),0)</f>
        <v/>
      </c>
      <c r="O14" s="26">
        <f>IFERROR(VLOOKUP($M14,'TBGS PER CTN'!B:C,2,0),0)</f>
        <v/>
      </c>
      <c r="P14" s="26" t="n">
        <v>6375</v>
      </c>
      <c r="Q14" s="26" t="n">
        <v>0</v>
      </c>
      <c r="R14" s="26" t="n">
        <v>6375</v>
      </c>
      <c r="S14" s="26">
        <f>Q14+R14</f>
        <v/>
      </c>
      <c r="T14" s="29" t="n">
        <v>0</v>
      </c>
      <c r="U14" s="29">
        <f>N14*O14*T14</f>
        <v/>
      </c>
      <c r="V14" s="82">
        <f>IF(ISNUMBER($D14),$D14-WEEKDAY($D14,3),'ORDER VS WEEK DISTRIBUTION'!$G$500)</f>
        <v/>
      </c>
      <c r="W14" s="82">
        <f>MAX($V14,'ORDER VS WEEK DISTRIBUTION'!$G$500)</f>
        <v/>
      </c>
      <c r="X14" s="26">
        <f>IFERROR(VLOOKUP($J14,'ORDER VS WEEK DISTRIBUTION'!$T:$U,2,0),"")</f>
        <v/>
      </c>
      <c r="Y14" s="26">
        <f>IFERROR($T14/IF(IFERROR(VLOOKUP($I14,'ITEM CFC PER CONTAINER'!$A:$B,2,0),0)&gt;0,VLOOKUP($I14,'ITEM CFC PER CONTAINER'!$A:$B,2,0),VLOOKUP($X14,'MC MASTER'!$A:$Q,16,0)),"")</f>
        <v/>
      </c>
    </row>
    <row r="15" ht="15" customHeight="1" s="5">
      <c r="A15" s="26" t="inlineStr">
        <is>
          <t>Multitrade Overseas Pte. Ltd.</t>
        </is>
      </c>
      <c r="B15" s="26" t="inlineStr">
        <is>
          <t>MJIL/SO/26023675</t>
        </is>
      </c>
      <c r="C15" s="26" t="inlineStr">
        <is>
          <t>MJ-044/26-27/ 1 (STE CONGO)</t>
        </is>
      </c>
      <c r="D15" s="82" t="n">
        <v>46249</v>
      </c>
      <c r="E15" s="83">
        <f>IF(ISNUMBER($D15),EOMONTH($D15,-1)+1,"")</f>
        <v/>
      </c>
      <c r="F15" s="82" t="n">
        <v>46266</v>
      </c>
      <c r="G15" s="26" t="n">
        <v>34165</v>
      </c>
      <c r="H15" s="26">
        <f>B15&amp;I15</f>
        <v/>
      </c>
      <c r="I15" s="26" t="inlineStr">
        <is>
          <t>VIVO 12/100 DC ENV TBGS</t>
        </is>
      </c>
      <c r="J15" s="30" t="inlineStr">
        <is>
          <t>CONSTANTA ENV</t>
        </is>
      </c>
      <c r="K15" s="26">
        <f>J15&amp;"-"&amp;TEXT(W15,"dd-mmm-yy")</f>
        <v/>
      </c>
      <c r="L15" s="26">
        <f>IFERROR(VLOOKUP($M15,'ITEM MASTER'!E:H,4,0),"")</f>
        <v/>
      </c>
      <c r="M15" s="26">
        <f>IFERROR(VLOOKUP($I15,'ITEM MASTER'!B:E,4,0),"")</f>
        <v/>
      </c>
      <c r="N15" s="26">
        <f>IFERROR(VLOOKUP($I15,'ITEM MASTER'!B:F,5,0),0)</f>
        <v/>
      </c>
      <c r="O15" s="26">
        <f>IFERROR(VLOOKUP($M15,'TBGS PER CTN'!B:C,2,0),0)</f>
        <v/>
      </c>
      <c r="P15" s="26" t="n">
        <v>71</v>
      </c>
      <c r="Q15" s="26" t="n">
        <v>0</v>
      </c>
      <c r="R15" s="26" t="n">
        <v>71</v>
      </c>
      <c r="S15" s="26">
        <f>Q15+R15</f>
        <v/>
      </c>
      <c r="T15" s="29" t="n">
        <v>0</v>
      </c>
      <c r="U15" s="29">
        <f>N15*O15*T15</f>
        <v/>
      </c>
      <c r="V15" s="82">
        <f>IF(ISNUMBER($D15),$D15-WEEKDAY($D15,3),'ORDER VS WEEK DISTRIBUTION'!$G$500)</f>
        <v/>
      </c>
      <c r="W15" s="82">
        <f>MAX($V15,'ORDER VS WEEK DISTRIBUTION'!$G$500)</f>
        <v/>
      </c>
      <c r="X15" s="26">
        <f>IFERROR(VLOOKUP($J15,'ORDER VS WEEK DISTRIBUTION'!$T:$U,2,0),"")</f>
        <v/>
      </c>
      <c r="Y15" s="26">
        <f>IFERROR($T15/IF(IFERROR(VLOOKUP($I15,'ITEM CFC PER CONTAINER'!$A:$B,2,0),0)&gt;0,VLOOKUP($I15,'ITEM CFC PER CONTAINER'!$A:$B,2,0),VLOOKUP($X15,'MC MASTER'!$A:$Q,16,0)),"")</f>
        <v/>
      </c>
    </row>
    <row r="16" ht="15" customHeight="1" s="5">
      <c r="A16" s="26" t="inlineStr">
        <is>
          <t>Multitrade Overseas Pte. Ltd.</t>
        </is>
      </c>
      <c r="B16" s="26" t="inlineStr">
        <is>
          <t>MJIL/SO/26027543</t>
        </is>
      </c>
      <c r="C16" s="26" t="inlineStr">
        <is>
          <t>MJ-058/26-27 (OUSMANE)</t>
        </is>
      </c>
      <c r="D16" s="82" t="n">
        <v>46262</v>
      </c>
      <c r="E16" s="83">
        <f>IF(ISNUMBER($D16),EOMONTH($D16,-1)+1,"")</f>
        <v/>
      </c>
      <c r="F16" s="82" t="n">
        <v>46266</v>
      </c>
      <c r="G16" s="26" t="n">
        <v>31661</v>
      </c>
      <c r="H16" s="26">
        <f>B16&amp;I16</f>
        <v/>
      </c>
      <c r="I16" s="26" t="inlineStr">
        <is>
          <t>PREMIER STRAWBERRY 24/25 DC ENV TBGS</t>
        </is>
      </c>
      <c r="J16" s="30" t="inlineStr">
        <is>
          <t>CONSTANTA ENV</t>
        </is>
      </c>
      <c r="K16" s="26">
        <f>J16&amp;"-"&amp;TEXT(W16,"dd-mmm-yy")</f>
        <v/>
      </c>
      <c r="L16" s="26">
        <f>IFERROR(VLOOKUP($M16,'ITEM MASTER'!E:H,4,0),"")</f>
        <v/>
      </c>
      <c r="M16" s="26">
        <f>IFERROR(VLOOKUP($I16,'ITEM MASTER'!B:E,4,0),"")</f>
        <v/>
      </c>
      <c r="N16" s="26">
        <f>IFERROR(VLOOKUP($I16,'ITEM MASTER'!B:F,5,0),0)</f>
        <v/>
      </c>
      <c r="O16" s="26">
        <f>IFERROR(VLOOKUP($M16,'TBGS PER CTN'!B:C,2,0),0)</f>
        <v/>
      </c>
      <c r="P16" s="26" t="n">
        <v>3500</v>
      </c>
      <c r="Q16" s="26" t="n">
        <v>0</v>
      </c>
      <c r="R16" s="26" t="n">
        <v>3500</v>
      </c>
      <c r="S16" s="26">
        <f>Q16+R16</f>
        <v/>
      </c>
      <c r="T16" s="29" t="n">
        <v>0</v>
      </c>
      <c r="U16" s="29">
        <f>N16*O16*T16</f>
        <v/>
      </c>
      <c r="V16" s="82">
        <f>IF(ISNUMBER($D16),$D16-WEEKDAY($D16,3),'ORDER VS WEEK DISTRIBUTION'!$G$500)</f>
        <v/>
      </c>
      <c r="W16" s="82">
        <f>MAX($V16,'ORDER VS WEEK DISTRIBUTION'!$G$500)</f>
        <v/>
      </c>
      <c r="X16" s="26">
        <f>IFERROR(VLOOKUP($J16,'ORDER VS WEEK DISTRIBUTION'!$T:$U,2,0),"")</f>
        <v/>
      </c>
      <c r="Y16" s="26">
        <f>IFERROR($T16/IF(IFERROR(VLOOKUP($I16,'ITEM CFC PER CONTAINER'!$A:$B,2,0),0)&gt;0,VLOOKUP($I16,'ITEM CFC PER CONTAINER'!$A:$B,2,0),VLOOKUP($X16,'MC MASTER'!$A:$Q,16,0)),"")</f>
        <v/>
      </c>
    </row>
    <row r="17" ht="15" customHeight="1" s="5">
      <c r="A17" s="26" t="inlineStr">
        <is>
          <t>Multitrade Overseas Pte. Ltd.</t>
        </is>
      </c>
      <c r="B17" s="26" t="inlineStr">
        <is>
          <t>MJIL/SO/26027543</t>
        </is>
      </c>
      <c r="C17" s="26" t="inlineStr">
        <is>
          <t>MJ-058/26-27 (OUSMANE)</t>
        </is>
      </c>
      <c r="D17" s="82" t="n">
        <v>46262</v>
      </c>
      <c r="E17" s="83">
        <f>IF(ISNUMBER($D17),EOMONTH($D17,-1)+1,"")</f>
        <v/>
      </c>
      <c r="F17" s="82" t="n">
        <v>46266</v>
      </c>
      <c r="G17" s="26" t="n">
        <v>31663</v>
      </c>
      <c r="H17" s="26">
        <f>B17&amp;I17</f>
        <v/>
      </c>
      <c r="I17" s="26" t="inlineStr">
        <is>
          <t>PREMIER GINGER 24/25 DC ENV TBGS</t>
        </is>
      </c>
      <c r="J17" s="30" t="inlineStr">
        <is>
          <t>CONSTANTA ENV</t>
        </is>
      </c>
      <c r="K17" s="26">
        <f>J17&amp;"-"&amp;TEXT(W17,"dd-mmm-yy")</f>
        <v/>
      </c>
      <c r="L17" s="26">
        <f>IFERROR(VLOOKUP($M17,'ITEM MASTER'!E:H,4,0),"")</f>
        <v/>
      </c>
      <c r="M17" s="26">
        <f>IFERROR(VLOOKUP($I17,'ITEM MASTER'!B:E,4,0),"")</f>
        <v/>
      </c>
      <c r="N17" s="26">
        <f>IFERROR(VLOOKUP($I17,'ITEM MASTER'!B:F,5,0),0)</f>
        <v/>
      </c>
      <c r="O17" s="26">
        <f>IFERROR(VLOOKUP($M17,'TBGS PER CTN'!B:C,2,0),0)</f>
        <v/>
      </c>
      <c r="P17" s="26" t="n">
        <v>1400</v>
      </c>
      <c r="Q17" s="26" t="n">
        <v>0</v>
      </c>
      <c r="R17" s="26" t="n">
        <v>1400</v>
      </c>
      <c r="S17" s="26">
        <f>Q17+R17</f>
        <v/>
      </c>
      <c r="T17" s="29" t="n">
        <v>0</v>
      </c>
      <c r="U17" s="29">
        <f>N17*O17*T17</f>
        <v/>
      </c>
      <c r="V17" s="82">
        <f>IF(ISNUMBER($D17),$D17-WEEKDAY($D17,3),'ORDER VS WEEK DISTRIBUTION'!$G$500)</f>
        <v/>
      </c>
      <c r="W17" s="82">
        <f>MAX($V17,'ORDER VS WEEK DISTRIBUTION'!$G$500)</f>
        <v/>
      </c>
      <c r="X17" s="26">
        <f>IFERROR(VLOOKUP($J17,'ORDER VS WEEK DISTRIBUTION'!$T:$U,2,0),"")</f>
        <v/>
      </c>
      <c r="Y17" s="26">
        <f>IFERROR($T17/IF(IFERROR(VLOOKUP($I17,'ITEM CFC PER CONTAINER'!$A:$B,2,0),0)&gt;0,VLOOKUP($I17,'ITEM CFC PER CONTAINER'!$A:$B,2,0),VLOOKUP($X17,'MC MASTER'!$A:$Q,16,0)),"")</f>
        <v/>
      </c>
    </row>
    <row r="18" ht="15" customHeight="1" s="5">
      <c r="A18" s="26" t="inlineStr">
        <is>
          <t>Multitrade Overseas Pte. Ltd.</t>
        </is>
      </c>
      <c r="B18" s="26" t="inlineStr">
        <is>
          <t>MJIL/SO/26027543</t>
        </is>
      </c>
      <c r="C18" s="26" t="inlineStr">
        <is>
          <t>MJ-058/26-27 (OUSMANE)</t>
        </is>
      </c>
      <c r="D18" s="82" t="n">
        <v>46262</v>
      </c>
      <c r="E18" s="83">
        <f>IF(ISNUMBER($D18),EOMONTH($D18,-1)+1,"")</f>
        <v/>
      </c>
      <c r="F18" s="82" t="n">
        <v>46266</v>
      </c>
      <c r="G18" s="26" t="n">
        <v>31662</v>
      </c>
      <c r="H18" s="26">
        <f>B18&amp;I18</f>
        <v/>
      </c>
      <c r="I18" s="26" t="inlineStr">
        <is>
          <t>PREMIER ORANGE 24/25 DC ENV TBGS</t>
        </is>
      </c>
      <c r="J18" s="30" t="inlineStr">
        <is>
          <t>CONSTANTA ENV</t>
        </is>
      </c>
      <c r="K18" s="26">
        <f>J18&amp;"-"&amp;TEXT(W18,"dd-mmm-yy")</f>
        <v/>
      </c>
      <c r="L18" s="26">
        <f>IFERROR(VLOOKUP($M18,'ITEM MASTER'!E:H,4,0),"")</f>
        <v/>
      </c>
      <c r="M18" s="26">
        <f>IFERROR(VLOOKUP($I18,'ITEM MASTER'!B:E,4,0),"")</f>
        <v/>
      </c>
      <c r="N18" s="26">
        <f>IFERROR(VLOOKUP($I18,'ITEM MASTER'!B:F,5,0),0)</f>
        <v/>
      </c>
      <c r="O18" s="26">
        <f>IFERROR(VLOOKUP($M18,'TBGS PER CTN'!B:C,2,0),0)</f>
        <v/>
      </c>
      <c r="P18" s="26" t="n">
        <v>800</v>
      </c>
      <c r="Q18" s="26" t="n">
        <v>0</v>
      </c>
      <c r="R18" s="26" t="n">
        <v>788</v>
      </c>
      <c r="S18" s="26">
        <f>Q18+R18</f>
        <v/>
      </c>
      <c r="T18" s="29" t="n">
        <v>12</v>
      </c>
      <c r="U18" s="29">
        <f>N18*O18*T18</f>
        <v/>
      </c>
      <c r="V18" s="82">
        <f>IF(ISNUMBER($D18),$D18-WEEKDAY($D18,3),'ORDER VS WEEK DISTRIBUTION'!$G$500)</f>
        <v/>
      </c>
      <c r="W18" s="82">
        <f>MAX($V18,'ORDER VS WEEK DISTRIBUTION'!$G$500)</f>
        <v/>
      </c>
      <c r="X18" s="26">
        <f>IFERROR(VLOOKUP($J18,'ORDER VS WEEK DISTRIBUTION'!$T:$U,2,0),"")</f>
        <v/>
      </c>
      <c r="Y18" s="26">
        <f>IFERROR($T18/IF(IFERROR(VLOOKUP($I18,'ITEM CFC PER CONTAINER'!$A:$B,2,0),0)&gt;0,VLOOKUP($I18,'ITEM CFC PER CONTAINER'!$A:$B,2,0),VLOOKUP($X18,'MC MASTER'!$A:$Q,16,0)),"")</f>
        <v/>
      </c>
    </row>
    <row r="19" ht="15" customHeight="1" s="5">
      <c r="A19" s="26" t="inlineStr">
        <is>
          <t>Multitrade Overseas Pte. Ltd.</t>
        </is>
      </c>
      <c r="B19" s="26" t="inlineStr">
        <is>
          <t>MJIL/SO/26027543</t>
        </is>
      </c>
      <c r="C19" s="26" t="inlineStr">
        <is>
          <t>MJ-058/26-27 (OUSMANE)</t>
        </is>
      </c>
      <c r="D19" s="82" t="n">
        <v>46262</v>
      </c>
      <c r="E19" s="83">
        <f>IF(ISNUMBER($D19),EOMONTH($D19,-1)+1,"")</f>
        <v/>
      </c>
      <c r="F19" s="82" t="n">
        <v>46266</v>
      </c>
      <c r="G19" s="26" t="n">
        <v>31664</v>
      </c>
      <c r="H19" s="26">
        <f>B19&amp;I19</f>
        <v/>
      </c>
      <c r="I19" s="26" t="inlineStr">
        <is>
          <t>PREMIER MINT 24/25 DC ENV TBGS</t>
        </is>
      </c>
      <c r="J19" s="30" t="inlineStr">
        <is>
          <t>CONSTANTA ENV</t>
        </is>
      </c>
      <c r="K19" s="26">
        <f>J19&amp;"-"&amp;TEXT(W19,"dd-mmm-yy")</f>
        <v/>
      </c>
      <c r="L19" s="26">
        <f>IFERROR(VLOOKUP($M19,'ITEM MASTER'!E:H,4,0),"")</f>
        <v/>
      </c>
      <c r="M19" s="26">
        <f>IFERROR(VLOOKUP($I19,'ITEM MASTER'!B:E,4,0),"")</f>
        <v/>
      </c>
      <c r="N19" s="26">
        <f>IFERROR(VLOOKUP($I19,'ITEM MASTER'!B:F,5,0),0)</f>
        <v/>
      </c>
      <c r="O19" s="26">
        <f>IFERROR(VLOOKUP($M19,'TBGS PER CTN'!B:C,2,0),0)</f>
        <v/>
      </c>
      <c r="P19" s="26" t="n">
        <v>500</v>
      </c>
      <c r="Q19" s="26" t="n">
        <v>0</v>
      </c>
      <c r="R19" s="26" t="n">
        <v>500</v>
      </c>
      <c r="S19" s="26">
        <f>Q19+R19</f>
        <v/>
      </c>
      <c r="T19" s="29" t="n">
        <v>0</v>
      </c>
      <c r="U19" s="29">
        <f>N19*O19*T19</f>
        <v/>
      </c>
      <c r="V19" s="82">
        <f>IF(ISNUMBER($D19),$D19-WEEKDAY($D19,3),'ORDER VS WEEK DISTRIBUTION'!$G$500)</f>
        <v/>
      </c>
      <c r="W19" s="82">
        <f>MAX($V19,'ORDER VS WEEK DISTRIBUTION'!$G$500)</f>
        <v/>
      </c>
      <c r="X19" s="26">
        <f>IFERROR(VLOOKUP($J19,'ORDER VS WEEK DISTRIBUTION'!$T:$U,2,0),"")</f>
        <v/>
      </c>
      <c r="Y19" s="26">
        <f>IFERROR($T19/IF(IFERROR(VLOOKUP($I19,'ITEM CFC PER CONTAINER'!$A:$B,2,0),0)&gt;0,VLOOKUP($I19,'ITEM CFC PER CONTAINER'!$A:$B,2,0),VLOOKUP($X19,'MC MASTER'!$A:$Q,16,0)),"")</f>
        <v/>
      </c>
    </row>
    <row r="20" ht="15" customHeight="1" s="5">
      <c r="A20" s="26" t="inlineStr">
        <is>
          <t>Kaysun General Trading FZCO</t>
        </is>
      </c>
      <c r="B20" s="26" t="inlineStr">
        <is>
          <t>MJIL/SO/26029767</t>
        </is>
      </c>
      <c r="C20" s="26" t="inlineStr">
        <is>
          <t>MJ-010/26-27</t>
        </is>
      </c>
      <c r="D20" s="82" t="n">
        <v>46275</v>
      </c>
      <c r="E20" s="83">
        <f>IF(ISNUMBER($D20),EOMONTH($D20,-1)+1,"")</f>
        <v/>
      </c>
      <c r="F20" s="82" t="n">
        <v>46275</v>
      </c>
      <c r="G20" s="26" t="n">
        <v>1333</v>
      </c>
      <c r="H20" s="26">
        <f>B20&amp;I20</f>
        <v/>
      </c>
      <c r="I20" s="26" t="inlineStr">
        <is>
          <t>CHAYA 12/100 DC ENV TBGS WITH TSHIRT</t>
        </is>
      </c>
      <c r="J20" s="26" t="inlineStr">
        <is>
          <t>PERFECTA ENV</t>
        </is>
      </c>
      <c r="K20" s="26">
        <f>J20&amp;"-"&amp;TEXT(W20,"dd-mmm-yy")</f>
        <v/>
      </c>
      <c r="L20" s="26">
        <f>IFERROR(VLOOKUP($M20,'ITEM MASTER'!E:H,4,0),"")</f>
        <v/>
      </c>
      <c r="M20" s="26">
        <f>IFERROR(VLOOKUP($I20,'ITEM MASTER'!B:E,4,0),"")</f>
        <v/>
      </c>
      <c r="N20" s="26">
        <f>IFERROR(VLOOKUP($I20,'ITEM MASTER'!B:F,5,0),0)</f>
        <v/>
      </c>
      <c r="O20" s="26">
        <f>IFERROR(VLOOKUP($M20,'TBGS PER CTN'!B:C,2,0),0)</f>
        <v/>
      </c>
      <c r="P20" s="26" t="n">
        <v>1600</v>
      </c>
      <c r="Q20" s="26" t="n">
        <v>0</v>
      </c>
      <c r="R20" s="26" t="n">
        <v>299</v>
      </c>
      <c r="S20" s="26">
        <f>Q20+R20</f>
        <v/>
      </c>
      <c r="T20" s="29" t="n">
        <v>1301</v>
      </c>
      <c r="U20" s="29">
        <f>N20*O20*T20</f>
        <v/>
      </c>
      <c r="V20" s="82">
        <f>IF(ISNUMBER($D20),$D20-WEEKDAY($D20,3),'ORDER VS WEEK DISTRIBUTION'!$G$500)</f>
        <v/>
      </c>
      <c r="W20" s="82">
        <f>MAX($V20,'ORDER VS WEEK DISTRIBUTION'!$G$500)</f>
        <v/>
      </c>
      <c r="X20" s="26">
        <f>IFERROR(VLOOKUP($J20,'ORDER VS WEEK DISTRIBUTION'!$T:$U,2,0),"")</f>
        <v/>
      </c>
      <c r="Y20" s="26">
        <f>IFERROR($T20/IF(IFERROR(VLOOKUP($I20,'ITEM CFC PER CONTAINER'!$A:$B,2,0),0)&gt;0,VLOOKUP($I20,'ITEM CFC PER CONTAINER'!$A:$B,2,0),VLOOKUP($X20,'MC MASTER'!$A:$Q,16,0)),"")</f>
        <v/>
      </c>
    </row>
    <row r="21" ht="15" customHeight="1" s="5">
      <c r="A21" s="26" t="inlineStr">
        <is>
          <t>Kaysun General Trading FZCO</t>
        </is>
      </c>
      <c r="B21" s="26" t="inlineStr">
        <is>
          <t>MJIL/SO/26029767</t>
        </is>
      </c>
      <c r="C21" s="26" t="inlineStr">
        <is>
          <t>MJ-010/26-27</t>
        </is>
      </c>
      <c r="D21" s="82" t="n">
        <v>46275</v>
      </c>
      <c r="E21" s="83">
        <f>IF(ISNUMBER($D21),EOMONTH($D21,-1)+1,"")</f>
        <v/>
      </c>
      <c r="F21" s="82" t="n">
        <v>46275</v>
      </c>
      <c r="G21" s="26" t="n">
        <v>377</v>
      </c>
      <c r="H21" s="26">
        <f>B21&amp;I21</f>
        <v/>
      </c>
      <c r="I21" s="26" t="inlineStr">
        <is>
          <t>CHAYA 24/25 DC ENV TBGS WITH T-SHIRT</t>
        </is>
      </c>
      <c r="J21" s="26" t="inlineStr">
        <is>
          <t>MD20 ENV</t>
        </is>
      </c>
      <c r="K21" s="26">
        <f>J21&amp;"-"&amp;TEXT(W21,"dd-mmm-yy")</f>
        <v/>
      </c>
      <c r="L21" s="26">
        <f>IFERROR(VLOOKUP($M21,'ITEM MASTER'!E:H,4,0),"")</f>
        <v/>
      </c>
      <c r="M21" s="26">
        <f>IFERROR(VLOOKUP($I21,'ITEM MASTER'!B:E,4,0),"")</f>
        <v/>
      </c>
      <c r="N21" s="26">
        <f>IFERROR(VLOOKUP($I21,'ITEM MASTER'!B:F,5,0),0)</f>
        <v/>
      </c>
      <c r="O21" s="26">
        <f>IFERROR(VLOOKUP($M21,'TBGS PER CTN'!B:C,2,0),0)</f>
        <v/>
      </c>
      <c r="P21" s="26" t="n">
        <v>3100</v>
      </c>
      <c r="Q21" s="26" t="n">
        <v>34</v>
      </c>
      <c r="R21" s="26" t="n">
        <v>0</v>
      </c>
      <c r="S21" s="26">
        <f>Q21+R21</f>
        <v/>
      </c>
      <c r="T21" s="29" t="n">
        <v>3066</v>
      </c>
      <c r="U21" s="29">
        <f>N21*O21*T21</f>
        <v/>
      </c>
      <c r="V21" s="82">
        <f>IF(ISNUMBER($D21),$D21-WEEKDAY($D21,3),'ORDER VS WEEK DISTRIBUTION'!$G$500)</f>
        <v/>
      </c>
      <c r="W21" s="82">
        <f>MAX($V21,'ORDER VS WEEK DISTRIBUTION'!$G$500)</f>
        <v/>
      </c>
      <c r="X21" s="26">
        <f>IFERROR(VLOOKUP($J21,'ORDER VS WEEK DISTRIBUTION'!$T:$U,2,0),"")</f>
        <v/>
      </c>
      <c r="Y21" s="26">
        <f>IFERROR($T21/IF(IFERROR(VLOOKUP($I21,'ITEM CFC PER CONTAINER'!$A:$B,2,0),0)&gt;0,VLOOKUP($I21,'ITEM CFC PER CONTAINER'!$A:$B,2,0),VLOOKUP($X21,'MC MASTER'!$A:$Q,16,0)),"")</f>
        <v/>
      </c>
    </row>
    <row r="22" ht="15" customHeight="1" s="5">
      <c r="A22" s="26" t="inlineStr">
        <is>
          <t>Kaysun General Trading FZCO</t>
        </is>
      </c>
      <c r="B22" s="26" t="inlineStr">
        <is>
          <t>MJIL/SO/26029768</t>
        </is>
      </c>
      <c r="C22" s="26" t="inlineStr">
        <is>
          <t>MJ-011/26-27</t>
        </is>
      </c>
      <c r="D22" s="82" t="n">
        <v>46275</v>
      </c>
      <c r="E22" s="83">
        <f>IF(ISNUMBER($D22),EOMONTH($D22,-1)+1,"")</f>
        <v/>
      </c>
      <c r="F22" s="82" t="n">
        <v>46275</v>
      </c>
      <c r="G22" s="26" t="n">
        <v>23393</v>
      </c>
      <c r="H22" s="26">
        <f>B22&amp;I22</f>
        <v/>
      </c>
      <c r="I22" s="26" t="inlineStr">
        <is>
          <t>CHAYA MINT 24/25 DC ENV TBGS WITH T-SHIRT</t>
        </is>
      </c>
      <c r="J22" s="30" t="inlineStr">
        <is>
          <t>CONSTANTA ENV</t>
        </is>
      </c>
      <c r="K22" s="26">
        <f>J22&amp;"-"&amp;TEXT(W22,"dd-mmm-yy")</f>
        <v/>
      </c>
      <c r="L22" s="26">
        <f>IFERROR(VLOOKUP($M22,'ITEM MASTER'!E:H,4,0),"")</f>
        <v/>
      </c>
      <c r="M22" s="26">
        <f>IFERROR(VLOOKUP($I22,'ITEM MASTER'!B:E,4,0),"")</f>
        <v/>
      </c>
      <c r="N22" s="26">
        <f>IFERROR(VLOOKUP($I22,'ITEM MASTER'!B:F,5,0),0)</f>
        <v/>
      </c>
      <c r="O22" s="26">
        <f>IFERROR(VLOOKUP($M22,'TBGS PER CTN'!B:C,2,0),0)</f>
        <v/>
      </c>
      <c r="P22" s="26" t="n">
        <v>4400</v>
      </c>
      <c r="Q22" s="26" t="n">
        <v>0</v>
      </c>
      <c r="R22" s="26" t="n">
        <v>235</v>
      </c>
      <c r="S22" s="26">
        <f>Q22+R22</f>
        <v/>
      </c>
      <c r="T22" s="29" t="n">
        <v>4165</v>
      </c>
      <c r="U22" s="29">
        <f>N22*O22*T22</f>
        <v/>
      </c>
      <c r="V22" s="82">
        <f>IF(ISNUMBER($D22),$D22-WEEKDAY($D22,3),'ORDER VS WEEK DISTRIBUTION'!$G$500)</f>
        <v/>
      </c>
      <c r="W22" s="82">
        <f>MAX($V22,'ORDER VS WEEK DISTRIBUTION'!$G$500)</f>
        <v/>
      </c>
      <c r="X22" s="26">
        <f>IFERROR(VLOOKUP($J22,'ORDER VS WEEK DISTRIBUTION'!$T:$U,2,0),"")</f>
        <v/>
      </c>
      <c r="Y22" s="26">
        <f>IFERROR($T22/IF(IFERROR(VLOOKUP($I22,'ITEM CFC PER CONTAINER'!$A:$B,2,0),0)&gt;0,VLOOKUP($I22,'ITEM CFC PER CONTAINER'!$A:$B,2,0),VLOOKUP($X22,'MC MASTER'!$A:$Q,16,0)),"")</f>
        <v/>
      </c>
    </row>
    <row r="23" ht="15" customHeight="1" s="5">
      <c r="A23" s="26" t="inlineStr">
        <is>
          <t>Kaysun General Trading FZCO</t>
        </is>
      </c>
      <c r="B23" s="26" t="inlineStr">
        <is>
          <t>MJIL/SO/26029768</t>
        </is>
      </c>
      <c r="C23" s="26" t="inlineStr">
        <is>
          <t>MJ-011/26-27</t>
        </is>
      </c>
      <c r="D23" s="82" t="n">
        <v>46275</v>
      </c>
      <c r="E23" s="83">
        <f>IF(ISNUMBER($D23),EOMONTH($D23,-1)+1,"")</f>
        <v/>
      </c>
      <c r="F23" s="82" t="n">
        <v>46275</v>
      </c>
      <c r="G23" s="26" t="n">
        <v>27754</v>
      </c>
      <c r="H23" s="26">
        <f>B23&amp;I23</f>
        <v/>
      </c>
      <c r="I23" s="26" t="inlineStr">
        <is>
          <t>CHAYA GINGER 24/25 DC ENV TBGS WITH TSHIRT</t>
        </is>
      </c>
      <c r="J23" s="30" t="inlineStr">
        <is>
          <t>CONSTANTA ENV</t>
        </is>
      </c>
      <c r="K23" s="26">
        <f>J23&amp;"-"&amp;TEXT(W23,"dd-mmm-yy")</f>
        <v/>
      </c>
      <c r="L23" s="26">
        <f>IFERROR(VLOOKUP($M23,'ITEM MASTER'!E:H,4,0),"")</f>
        <v/>
      </c>
      <c r="M23" s="26">
        <f>IFERROR(VLOOKUP($I23,'ITEM MASTER'!B:E,4,0),"")</f>
        <v/>
      </c>
      <c r="N23" s="26">
        <f>IFERROR(VLOOKUP($I23,'ITEM MASTER'!B:F,5,0),0)</f>
        <v/>
      </c>
      <c r="O23" s="26">
        <f>IFERROR(VLOOKUP($M23,'TBGS PER CTN'!B:C,2,0),0)</f>
        <v/>
      </c>
      <c r="P23" s="26" t="n">
        <v>1200</v>
      </c>
      <c r="Q23" s="26" t="n">
        <v>18</v>
      </c>
      <c r="R23" s="26" t="n">
        <v>37</v>
      </c>
      <c r="S23" s="26">
        <f>Q23+R23</f>
        <v/>
      </c>
      <c r="T23" s="29" t="n">
        <v>1145</v>
      </c>
      <c r="U23" s="29">
        <f>N23*O23*T23</f>
        <v/>
      </c>
      <c r="V23" s="82">
        <f>IF(ISNUMBER($D23),$D23-WEEKDAY($D23,3),'ORDER VS WEEK DISTRIBUTION'!$G$500)</f>
        <v/>
      </c>
      <c r="W23" s="82">
        <f>MAX($V23,'ORDER VS WEEK DISTRIBUTION'!$G$500)</f>
        <v/>
      </c>
      <c r="X23" s="26">
        <f>IFERROR(VLOOKUP($J23,'ORDER VS WEEK DISTRIBUTION'!$T:$U,2,0),"")</f>
        <v/>
      </c>
      <c r="Y23" s="26">
        <f>IFERROR($T23/IF(IFERROR(VLOOKUP($I23,'ITEM CFC PER CONTAINER'!$A:$B,2,0),0)&gt;0,VLOOKUP($I23,'ITEM CFC PER CONTAINER'!$A:$B,2,0),VLOOKUP($X23,'MC MASTER'!$A:$Q,16,0)),"")</f>
        <v/>
      </c>
    </row>
    <row r="24" ht="15" customHeight="1" s="5">
      <c r="A24" s="26" t="inlineStr">
        <is>
          <t>Kaysun General Trading FZCO</t>
        </is>
      </c>
      <c r="B24" s="26" t="inlineStr">
        <is>
          <t>MJIL/SO/26029768</t>
        </is>
      </c>
      <c r="C24" s="26" t="inlineStr">
        <is>
          <t>MJ-011/26-27</t>
        </is>
      </c>
      <c r="D24" s="82" t="n">
        <v>46275</v>
      </c>
      <c r="E24" s="83">
        <f>IF(ISNUMBER($D24),EOMONTH($D24,-1)+1,"")</f>
        <v/>
      </c>
      <c r="F24" s="82" t="n">
        <v>46275</v>
      </c>
      <c r="G24" s="26" t="n">
        <v>27755</v>
      </c>
      <c r="H24" s="26">
        <f>B24&amp;I24</f>
        <v/>
      </c>
      <c r="I24" s="26" t="inlineStr">
        <is>
          <t>CHAYA LEMON 24/25 DC ENV TBGS WITH T-SHIRT</t>
        </is>
      </c>
      <c r="J24" s="30" t="inlineStr">
        <is>
          <t>CONSTANTA ENV</t>
        </is>
      </c>
      <c r="K24" s="26">
        <f>J24&amp;"-"&amp;TEXT(W24,"dd-mmm-yy")</f>
        <v/>
      </c>
      <c r="L24" s="26">
        <f>IFERROR(VLOOKUP($M24,'ITEM MASTER'!E:H,4,0),"")</f>
        <v/>
      </c>
      <c r="M24" s="26">
        <f>IFERROR(VLOOKUP($I24,'ITEM MASTER'!B:E,4,0),"")</f>
        <v/>
      </c>
      <c r="N24" s="26">
        <f>IFERROR(VLOOKUP($I24,'ITEM MASTER'!B:F,5,0),0)</f>
        <v/>
      </c>
      <c r="O24" s="26">
        <f>IFERROR(VLOOKUP($M24,'TBGS PER CTN'!B:C,2,0),0)</f>
        <v/>
      </c>
      <c r="P24" s="26" t="n">
        <v>600</v>
      </c>
      <c r="Q24" s="26" t="n">
        <v>0</v>
      </c>
      <c r="R24" s="26" t="n">
        <v>0</v>
      </c>
      <c r="S24" s="26">
        <f>Q24+R24</f>
        <v/>
      </c>
      <c r="T24" s="29" t="n">
        <v>600</v>
      </c>
      <c r="U24" s="29">
        <f>N24*O24*T24</f>
        <v/>
      </c>
      <c r="V24" s="82">
        <f>IF(ISNUMBER($D24),$D24-WEEKDAY($D24,3),'ORDER VS WEEK DISTRIBUTION'!$G$500)</f>
        <v/>
      </c>
      <c r="W24" s="82">
        <f>MAX($V24,'ORDER VS WEEK DISTRIBUTION'!$G$500)</f>
        <v/>
      </c>
      <c r="X24" s="26">
        <f>IFERROR(VLOOKUP($J24,'ORDER VS WEEK DISTRIBUTION'!$T:$U,2,0),"")</f>
        <v/>
      </c>
      <c r="Y24" s="26">
        <f>IFERROR($T24/IF(IFERROR(VLOOKUP($I24,'ITEM CFC PER CONTAINER'!$A:$B,2,0),0)&gt;0,VLOOKUP($I24,'ITEM CFC PER CONTAINER'!$A:$B,2,0),VLOOKUP($X24,'MC MASTER'!$A:$Q,16,0)),"")</f>
        <v/>
      </c>
    </row>
    <row r="25" ht="15" customHeight="1" s="5">
      <c r="A25" s="26" t="inlineStr">
        <is>
          <t>HORIZON IMPEX - F.Z.E.</t>
        </is>
      </c>
      <c r="B25" s="26" t="inlineStr">
        <is>
          <t>MJIL/SO/26017152</t>
        </is>
      </c>
      <c r="C25" s="26" t="inlineStr">
        <is>
          <t>MJ-029/26-27 (L-5158)</t>
        </is>
      </c>
      <c r="D25" s="82" t="n">
        <v>46298</v>
      </c>
      <c r="E25" s="83">
        <f>IF(ISNUMBER($D25),EOMONTH($D25,-1)+1,"")</f>
        <v/>
      </c>
      <c r="F25" s="82" t="n">
        <v>46279</v>
      </c>
      <c r="G25" s="26" t="n">
        <v>26730</v>
      </c>
      <c r="H25" s="26">
        <f>B25&amp;I25</f>
        <v/>
      </c>
      <c r="I25" s="26" t="inlineStr">
        <is>
          <t>AFRICA CHOICE 24/25 DC ENV TBGS</t>
        </is>
      </c>
      <c r="J25" s="26" t="inlineStr">
        <is>
          <t>C250 AF</t>
        </is>
      </c>
      <c r="K25" s="26">
        <f>J25&amp;"-"&amp;TEXT(W25,"dd-mmm-yy")</f>
        <v/>
      </c>
      <c r="L25" s="26">
        <f>IFERROR(VLOOKUP($M25,'ITEM MASTER'!E:H,4,0),"")</f>
        <v/>
      </c>
      <c r="M25" s="26">
        <f>IFERROR(VLOOKUP($I25,'ITEM MASTER'!B:E,4,0),"")</f>
        <v/>
      </c>
      <c r="N25" s="26">
        <f>IFERROR(VLOOKUP($I25,'ITEM MASTER'!B:F,5,0),0)</f>
        <v/>
      </c>
      <c r="O25" s="26">
        <f>IFERROR(VLOOKUP($M25,'TBGS PER CTN'!B:C,2,0),0)</f>
        <v/>
      </c>
      <c r="P25" s="26" t="n">
        <v>5355</v>
      </c>
      <c r="Q25" s="26" t="n">
        <v>0</v>
      </c>
      <c r="R25" s="26" t="n">
        <v>5125</v>
      </c>
      <c r="S25" s="26">
        <f>Q25+R25</f>
        <v/>
      </c>
      <c r="T25" s="29" t="n">
        <v>230</v>
      </c>
      <c r="U25" s="29">
        <f>N25*O25*T25</f>
        <v/>
      </c>
      <c r="V25" s="82">
        <f>IF(ISNUMBER($D25),$D25-WEEKDAY($D25,3),'ORDER VS WEEK DISTRIBUTION'!$G$500)</f>
        <v/>
      </c>
      <c r="W25" s="82">
        <f>MAX($V25,'ORDER VS WEEK DISTRIBUTION'!$G$500)</f>
        <v/>
      </c>
      <c r="X25" s="26">
        <f>IFERROR(VLOOKUP($J25,'ORDER VS WEEK DISTRIBUTION'!$T:$U,2,0),"")</f>
        <v/>
      </c>
      <c r="Y25" s="26">
        <f>IFERROR($T25/IF(IFERROR(VLOOKUP($I25,'ITEM CFC PER CONTAINER'!$A:$B,2,0),0)&gt;0,VLOOKUP($I25,'ITEM CFC PER CONTAINER'!$A:$B,2,0),VLOOKUP($X25,'MC MASTER'!$A:$Q,16,0)),"")</f>
        <v/>
      </c>
    </row>
    <row r="26" ht="15" customHeight="1" s="5">
      <c r="A26" s="26" t="inlineStr">
        <is>
          <t>HORIZON IMPEX - F.Z.E.</t>
        </is>
      </c>
      <c r="B26" s="26" t="inlineStr">
        <is>
          <t>MJIL/SO/26017152</t>
        </is>
      </c>
      <c r="C26" s="26" t="inlineStr">
        <is>
          <t>MJ-029/26-27 (L-5158)</t>
        </is>
      </c>
      <c r="D26" s="82" t="n">
        <v>46298</v>
      </c>
      <c r="E26" s="83">
        <f>IF(ISNUMBER($D26),EOMONTH($D26,-1)+1,"")</f>
        <v/>
      </c>
      <c r="F26" s="82" t="n">
        <v>46279</v>
      </c>
      <c r="G26" s="26" t="n">
        <v>28708</v>
      </c>
      <c r="H26" s="26">
        <f>B26&amp;I26</f>
        <v/>
      </c>
      <c r="I26" s="26" t="inlineStr">
        <is>
          <t>AFRICA CHOICE 12/100 DC ENV TBGS</t>
        </is>
      </c>
      <c r="J26" s="26" t="inlineStr">
        <is>
          <t>C250 AF</t>
        </is>
      </c>
      <c r="K26" s="26">
        <f>J26&amp;"-"&amp;TEXT(W26,"dd-mmm-yy")</f>
        <v/>
      </c>
      <c r="L26" s="26">
        <f>IFERROR(VLOOKUP($M26,'ITEM MASTER'!E:H,4,0),"")</f>
        <v/>
      </c>
      <c r="M26" s="26">
        <f>IFERROR(VLOOKUP($I26,'ITEM MASTER'!B:E,4,0),"")</f>
        <v/>
      </c>
      <c r="N26" s="26">
        <f>IFERROR(VLOOKUP($I26,'ITEM MASTER'!B:F,5,0),0)</f>
        <v/>
      </c>
      <c r="O26" s="26">
        <f>IFERROR(VLOOKUP($M26,'TBGS PER CTN'!B:C,2,0),0)</f>
        <v/>
      </c>
      <c r="P26" s="26" t="n">
        <v>500</v>
      </c>
      <c r="Q26" s="26" t="n">
        <v>0</v>
      </c>
      <c r="R26" s="26" t="n">
        <v>68</v>
      </c>
      <c r="S26" s="26">
        <f>Q26+R26</f>
        <v/>
      </c>
      <c r="T26" s="29" t="n">
        <v>432</v>
      </c>
      <c r="U26" s="29">
        <f>N26*O26*T26</f>
        <v/>
      </c>
      <c r="V26" s="82">
        <f>IF(ISNUMBER($D26),$D26-WEEKDAY($D26,3),'ORDER VS WEEK DISTRIBUTION'!$G$500)</f>
        <v/>
      </c>
      <c r="W26" s="82">
        <f>MAX($V26,'ORDER VS WEEK DISTRIBUTION'!$G$500)</f>
        <v/>
      </c>
      <c r="X26" s="26">
        <f>IFERROR(VLOOKUP($J26,'ORDER VS WEEK DISTRIBUTION'!$T:$U,2,0),"")</f>
        <v/>
      </c>
      <c r="Y26" s="26">
        <f>IFERROR($T26/IF(IFERROR(VLOOKUP($I26,'ITEM CFC PER CONTAINER'!$A:$B,2,0),0)&gt;0,VLOOKUP($I26,'ITEM CFC PER CONTAINER'!$A:$B,2,0),VLOOKUP($X26,'MC MASTER'!$A:$Q,16,0)),"")</f>
        <v/>
      </c>
    </row>
    <row r="27" ht="15" customHeight="1" s="5">
      <c r="A27" s="26" t="inlineStr">
        <is>
          <t xml:space="preserve">Madhu Jayanti International Pvt Ltd - USA RBW SC </t>
        </is>
      </c>
      <c r="B27" s="26" t="inlineStr">
        <is>
          <t>MJIL/SO/26023798</t>
        </is>
      </c>
      <c r="C27" s="26" t="inlineStr">
        <is>
          <t>SEP SHPT - 1 - 20 ASST GREEN</t>
        </is>
      </c>
      <c r="D27" s="82" t="n">
        <v>46279</v>
      </c>
      <c r="E27" s="83">
        <f>IF(ISNUMBER($D27),EOMONTH($D27,-1)+1,"")</f>
        <v/>
      </c>
      <c r="F27" s="82" t="n">
        <v>46279</v>
      </c>
      <c r="G27" s="26" t="n">
        <v>37682</v>
      </c>
      <c r="H27" s="26">
        <f>B27&amp;I27</f>
        <v/>
      </c>
      <c r="I27" s="26" t="inlineStr">
        <is>
          <t>BARISSIMO GREEN TEA COLLECTIONS 12/20 DC SF ENV TBGS</t>
        </is>
      </c>
      <c r="J27" s="26" t="inlineStr">
        <is>
          <t>C250-A</t>
        </is>
      </c>
      <c r="K27" s="26">
        <f>J27&amp;"-"&amp;TEXT(W27,"dd-mmm-yy")</f>
        <v/>
      </c>
      <c r="L27" s="26">
        <f>IFERROR(VLOOKUP($M27,'ITEM MASTER'!E:H,4,0),"")</f>
        <v/>
      </c>
      <c r="M27" s="26">
        <f>IFERROR(VLOOKUP($I27,'ITEM MASTER'!B:E,4,0),"")</f>
        <v/>
      </c>
      <c r="N27" s="26">
        <f>IFERROR(VLOOKUP($I27,'ITEM MASTER'!B:F,5,0),0)</f>
        <v/>
      </c>
      <c r="O27" s="26">
        <f>IFERROR(VLOOKUP($M27,'TBGS PER CTN'!B:C,2,0),0)</f>
        <v/>
      </c>
      <c r="P27" s="26" t="n">
        <v>8320</v>
      </c>
      <c r="Q27" s="26" t="n">
        <v>0</v>
      </c>
      <c r="R27" s="26" t="n">
        <v>1280</v>
      </c>
      <c r="S27" s="26">
        <f>Q27+R27</f>
        <v/>
      </c>
      <c r="T27" s="29" t="n">
        <v>7040</v>
      </c>
      <c r="U27" s="29">
        <f>N27*O27*T27</f>
        <v/>
      </c>
      <c r="V27" s="82">
        <f>IF(ISNUMBER($D27),$D27-WEEKDAY($D27,3),'ORDER VS WEEK DISTRIBUTION'!$G$500)</f>
        <v/>
      </c>
      <c r="W27" s="82">
        <f>MAX($V27,'ORDER VS WEEK DISTRIBUTION'!$G$500)</f>
        <v/>
      </c>
      <c r="X27" s="26">
        <f>IFERROR(VLOOKUP($J27,'ORDER VS WEEK DISTRIBUTION'!$T:$U,2,0),"")</f>
        <v/>
      </c>
      <c r="Y27" s="26">
        <f>IFERROR($T27/IF(IFERROR(VLOOKUP($I27,'ITEM CFC PER CONTAINER'!$A:$B,2,0),0)&gt;0,VLOOKUP($I27,'ITEM CFC PER CONTAINER'!$A:$B,2,0),VLOOKUP($X27,'MC MASTER'!$A:$Q,16,0)),"")</f>
        <v/>
      </c>
    </row>
    <row r="28" ht="15" customHeight="1" s="5">
      <c r="A28" s="26" t="inlineStr">
        <is>
          <t xml:space="preserve">Madhu Jayanti International Pvt Ltd - USA RBW SC </t>
        </is>
      </c>
      <c r="B28" s="26" t="inlineStr">
        <is>
          <t>MJIL/SO/26023799</t>
        </is>
      </c>
      <c r="C28" s="26" t="inlineStr">
        <is>
          <t>SEP SHPT - 1 - 20 ASST BLACK</t>
        </is>
      </c>
      <c r="D28" s="82" t="n">
        <v>46279</v>
      </c>
      <c r="E28" s="83">
        <f>IF(ISNUMBER($D28),EOMONTH($D28,-1)+1,"")</f>
        <v/>
      </c>
      <c r="F28" s="82" t="n">
        <v>46279</v>
      </c>
      <c r="G28" s="26" t="n">
        <v>37683</v>
      </c>
      <c r="H28" s="26">
        <f>B28&amp;I28</f>
        <v/>
      </c>
      <c r="I28" s="26" t="inlineStr">
        <is>
          <t>BARISSIMO BLACK TEA COLLECTIONS 12/20 DC SF ENV TBGS</t>
        </is>
      </c>
      <c r="J28" s="26" t="inlineStr">
        <is>
          <t>C250 AF</t>
        </is>
      </c>
      <c r="K28" s="26">
        <f>J28&amp;"-"&amp;TEXT(W28,"dd-mmm-yy")</f>
        <v/>
      </c>
      <c r="L28" s="26">
        <f>IFERROR(VLOOKUP($M28,'ITEM MASTER'!E:H,4,0),"")</f>
        <v/>
      </c>
      <c r="M28" s="26">
        <f>IFERROR(VLOOKUP($I28,'ITEM MASTER'!B:E,4,0),"")</f>
        <v/>
      </c>
      <c r="N28" s="26">
        <f>IFERROR(VLOOKUP($I28,'ITEM MASTER'!B:F,5,0),0)</f>
        <v/>
      </c>
      <c r="O28" s="26">
        <f>IFERROR(VLOOKUP($M28,'TBGS PER CTN'!B:C,2,0),0)</f>
        <v/>
      </c>
      <c r="P28" s="26" t="n">
        <v>8320</v>
      </c>
      <c r="Q28" s="26" t="n">
        <v>0</v>
      </c>
      <c r="R28" s="26" t="n">
        <v>8320</v>
      </c>
      <c r="S28" s="26">
        <f>Q28+R28</f>
        <v/>
      </c>
      <c r="T28" s="29" t="n">
        <v>0</v>
      </c>
      <c r="U28" s="29">
        <f>N28*O28*T28</f>
        <v/>
      </c>
      <c r="V28" s="82">
        <f>IF(ISNUMBER($D28),$D28-WEEKDAY($D28,3),'ORDER VS WEEK DISTRIBUTION'!$G$500)</f>
        <v/>
      </c>
      <c r="W28" s="82">
        <f>MAX($V28,'ORDER VS WEEK DISTRIBUTION'!$G$500)</f>
        <v/>
      </c>
      <c r="X28" s="26">
        <f>IFERROR(VLOOKUP($J28,'ORDER VS WEEK DISTRIBUTION'!$T:$U,2,0),"")</f>
        <v/>
      </c>
      <c r="Y28" s="26">
        <f>IFERROR($T28/IF(IFERROR(VLOOKUP($I28,'ITEM CFC PER CONTAINER'!$A:$B,2,0),0)&gt;0,VLOOKUP($I28,'ITEM CFC PER CONTAINER'!$A:$B,2,0),VLOOKUP($X28,'MC MASTER'!$A:$Q,16,0)),"")</f>
        <v/>
      </c>
    </row>
    <row r="29" ht="15" customHeight="1" s="5">
      <c r="A29" s="26" t="inlineStr">
        <is>
          <t xml:space="preserve">Madhu Jayanti International Pvt Ltd - USA RBW SC </t>
        </is>
      </c>
      <c r="B29" s="26" t="inlineStr">
        <is>
          <t>MJIL/SO/26023800</t>
        </is>
      </c>
      <c r="C29" s="26" t="inlineStr">
        <is>
          <t>SEP SHPT - 1 - 20 ASST HERBAL</t>
        </is>
      </c>
      <c r="D29" s="82" t="n">
        <v>46279</v>
      </c>
      <c r="E29" s="83">
        <f>IF(ISNUMBER($D29),EOMONTH($D29,-1)+1,"")</f>
        <v/>
      </c>
      <c r="F29" s="82" t="n">
        <v>46279</v>
      </c>
      <c r="G29" s="26" t="n">
        <v>37684</v>
      </c>
      <c r="H29" s="26">
        <f>B29&amp;I29</f>
        <v/>
      </c>
      <c r="I29" s="26" t="inlineStr">
        <is>
          <t>BARISSIMO HERBAL TEA COLLECTIONS 12/20 DC SF ENV TBGS</t>
        </is>
      </c>
      <c r="J29" s="26" t="inlineStr">
        <is>
          <t>C250 AF</t>
        </is>
      </c>
      <c r="K29" s="26">
        <f>J29&amp;"-"&amp;TEXT(W29,"dd-mmm-yy")</f>
        <v/>
      </c>
      <c r="L29" s="26">
        <f>IFERROR(VLOOKUP($M29,'ITEM MASTER'!E:H,4,0),"")</f>
        <v/>
      </c>
      <c r="M29" s="26">
        <f>IFERROR(VLOOKUP($I29,'ITEM MASTER'!B:E,4,0),"")</f>
        <v/>
      </c>
      <c r="N29" s="26">
        <f>IFERROR(VLOOKUP($I29,'ITEM MASTER'!B:F,5,0),0)</f>
        <v/>
      </c>
      <c r="O29" s="26">
        <f>IFERROR(VLOOKUP($M29,'TBGS PER CTN'!B:C,2,0),0)</f>
        <v/>
      </c>
      <c r="P29" s="26" t="n">
        <v>8320</v>
      </c>
      <c r="Q29" s="26" t="n">
        <v>0</v>
      </c>
      <c r="R29" s="26" t="n">
        <v>640</v>
      </c>
      <c r="S29" s="26">
        <f>Q29+R29</f>
        <v/>
      </c>
      <c r="T29" s="29" t="n">
        <v>7680</v>
      </c>
      <c r="U29" s="29">
        <f>N29*O29*T29</f>
        <v/>
      </c>
      <c r="V29" s="82">
        <f>IF(ISNUMBER($D29),$D29-WEEKDAY($D29,3),'ORDER VS WEEK DISTRIBUTION'!$G$500)</f>
        <v/>
      </c>
      <c r="W29" s="82">
        <f>MAX($V29,'ORDER VS WEEK DISTRIBUTION'!$G$500)</f>
        <v/>
      </c>
      <c r="X29" s="26">
        <f>IFERROR(VLOOKUP($J29,'ORDER VS WEEK DISTRIBUTION'!$T:$U,2,0),"")</f>
        <v/>
      </c>
      <c r="Y29" s="26">
        <f>IFERROR($T29/IF(IFERROR(VLOOKUP($I29,'ITEM CFC PER CONTAINER'!$A:$B,2,0),0)&gt;0,VLOOKUP($I29,'ITEM CFC PER CONTAINER'!$A:$B,2,0),VLOOKUP($X29,'MC MASTER'!$A:$Q,16,0)),"")</f>
        <v/>
      </c>
    </row>
    <row r="30" ht="15" customHeight="1" s="5">
      <c r="A30" s="26" t="inlineStr">
        <is>
          <t>Multitrade Overseas Pte. Ltd.</t>
        </is>
      </c>
      <c r="B30" s="26" t="inlineStr">
        <is>
          <t>MJIL/SO/26034593</t>
        </is>
      </c>
      <c r="C30" s="26" t="inlineStr">
        <is>
          <t>MJ-069/26-27 (STE CONGO)</t>
        </is>
      </c>
      <c r="D30" s="82" t="n">
        <v>46305</v>
      </c>
      <c r="E30" s="83">
        <f>IF(ISNUMBER($D30),EOMONTH($D30,-1)+1,"")</f>
        <v/>
      </c>
      <c r="F30" s="82" t="n">
        <v>46279</v>
      </c>
      <c r="G30" s="26" t="n">
        <v>26731</v>
      </c>
      <c r="H30" s="26">
        <f>B30&amp;I30</f>
        <v/>
      </c>
      <c r="I30" s="26" t="inlineStr">
        <is>
          <t>VIVO 24/25 DC ENV TBGS</t>
        </is>
      </c>
      <c r="J30" s="26" t="inlineStr">
        <is>
          <t>C250 AF</t>
        </is>
      </c>
      <c r="K30" s="26">
        <f>J30&amp;"-"&amp;TEXT(W30,"dd-mmm-yy")</f>
        <v/>
      </c>
      <c r="L30" s="26">
        <f>IFERROR(VLOOKUP($M30,'ITEM MASTER'!E:H,4,0),"")</f>
        <v/>
      </c>
      <c r="M30" s="26">
        <f>IFERROR(VLOOKUP($I30,'ITEM MASTER'!B:E,4,0),"")</f>
        <v/>
      </c>
      <c r="N30" s="26">
        <f>IFERROR(VLOOKUP($I30,'ITEM MASTER'!B:F,5,0),0)</f>
        <v/>
      </c>
      <c r="O30" s="26">
        <f>IFERROR(VLOOKUP($M30,'TBGS PER CTN'!B:C,2,0),0)</f>
        <v/>
      </c>
      <c r="P30" s="26" t="n">
        <v>6375</v>
      </c>
      <c r="Q30" s="26" t="n">
        <v>110</v>
      </c>
      <c r="R30" s="26" t="n">
        <v>1793</v>
      </c>
      <c r="S30" s="26">
        <f>Q30+R30</f>
        <v/>
      </c>
      <c r="T30" s="29" t="n">
        <v>4472</v>
      </c>
      <c r="U30" s="29">
        <f>N30*O30*T30</f>
        <v/>
      </c>
      <c r="V30" s="82">
        <f>IF(ISNUMBER($D30),$D30-WEEKDAY($D30,3),'ORDER VS WEEK DISTRIBUTION'!$G$500)</f>
        <v/>
      </c>
      <c r="W30" s="82">
        <f>MAX($V30,'ORDER VS WEEK DISTRIBUTION'!$G$500)</f>
        <v/>
      </c>
      <c r="X30" s="26">
        <f>IFERROR(VLOOKUP($J30,'ORDER VS WEEK DISTRIBUTION'!$T:$U,2,0),"")</f>
        <v/>
      </c>
      <c r="Y30" s="26">
        <f>IFERROR($T30/IF(IFERROR(VLOOKUP($I30,'ITEM CFC PER CONTAINER'!$A:$B,2,0),0)&gt;0,VLOOKUP($I30,'ITEM CFC PER CONTAINER'!$A:$B,2,0),VLOOKUP($X30,'MC MASTER'!$A:$Q,16,0)),"")</f>
        <v/>
      </c>
    </row>
    <row r="31" ht="15" customHeight="1" s="5">
      <c r="A31" s="26" t="inlineStr">
        <is>
          <t>Solis Intertrade Fzc</t>
        </is>
      </c>
      <c r="B31" s="26" t="inlineStr">
        <is>
          <t>MJIL/SO/26027539</t>
        </is>
      </c>
      <c r="C31" s="26" t="inlineStr">
        <is>
          <t>MJ-060/26-27</t>
        </is>
      </c>
      <c r="D31" s="82" t="n">
        <v>46279</v>
      </c>
      <c r="E31" s="83">
        <f>IF(ISNUMBER($D31),EOMONTH($D31,-1)+1,"")</f>
        <v/>
      </c>
      <c r="F31" s="82" t="n">
        <v>46279</v>
      </c>
      <c r="G31" s="26" t="n">
        <v>23136</v>
      </c>
      <c r="H31" s="26">
        <f>B31&amp;I31</f>
        <v/>
      </c>
      <c r="I31" s="26" t="inlineStr">
        <is>
          <t>AL FINA COCKTAIL 24/25 DC ENV TBGS</t>
        </is>
      </c>
      <c r="J31" s="30" t="inlineStr">
        <is>
          <t>CONSTANTA ENV</t>
        </is>
      </c>
      <c r="K31" s="26">
        <f>J31&amp;"-"&amp;TEXT(W31,"dd-mmm-yy")</f>
        <v/>
      </c>
      <c r="L31" s="26">
        <f>IFERROR(VLOOKUP($M31,'ITEM MASTER'!E:H,4,0),"")</f>
        <v/>
      </c>
      <c r="M31" s="26">
        <f>IFERROR(VLOOKUP($I31,'ITEM MASTER'!B:E,4,0),"")</f>
        <v/>
      </c>
      <c r="N31" s="26">
        <f>IFERROR(VLOOKUP($I31,'ITEM MASTER'!B:F,5,0),0)</f>
        <v/>
      </c>
      <c r="O31" s="26">
        <f>IFERROR(VLOOKUP($M31,'TBGS PER CTN'!B:C,2,0),0)</f>
        <v/>
      </c>
      <c r="P31" s="26" t="n">
        <v>500</v>
      </c>
      <c r="Q31" s="26" t="n">
        <v>0</v>
      </c>
      <c r="R31" s="26" t="n">
        <v>467</v>
      </c>
      <c r="S31" s="26">
        <f>Q31+R31</f>
        <v/>
      </c>
      <c r="T31" s="29" t="n">
        <v>33</v>
      </c>
      <c r="U31" s="29">
        <f>N31*O31*T31</f>
        <v/>
      </c>
      <c r="V31" s="82">
        <f>IF(ISNUMBER($D31),$D31-WEEKDAY($D31,3),'ORDER VS WEEK DISTRIBUTION'!$G$500)</f>
        <v/>
      </c>
      <c r="W31" s="82">
        <f>MAX($V31,'ORDER VS WEEK DISTRIBUTION'!$G$500)</f>
        <v/>
      </c>
      <c r="X31" s="26">
        <f>IFERROR(VLOOKUP($J31,'ORDER VS WEEK DISTRIBUTION'!$T:$U,2,0),"")</f>
        <v/>
      </c>
      <c r="Y31" s="26">
        <f>IFERROR($T31/IF(IFERROR(VLOOKUP($I31,'ITEM CFC PER CONTAINER'!$A:$B,2,0),0)&gt;0,VLOOKUP($I31,'ITEM CFC PER CONTAINER'!$A:$B,2,0),VLOOKUP($X31,'MC MASTER'!$A:$Q,16,0)),"")</f>
        <v/>
      </c>
    </row>
    <row r="32" ht="15" customHeight="1" s="5">
      <c r="A32" s="26" t="inlineStr">
        <is>
          <t>Solis Intertrade Fzc</t>
        </is>
      </c>
      <c r="B32" s="26" t="inlineStr">
        <is>
          <t>MJIL/SO/26027539</t>
        </is>
      </c>
      <c r="C32" s="26" t="inlineStr">
        <is>
          <t>MJ-060/26-27</t>
        </is>
      </c>
      <c r="D32" s="82" t="n">
        <v>46279</v>
      </c>
      <c r="E32" s="83">
        <f>IF(ISNUMBER($D32),EOMONTH($D32,-1)+1,"")</f>
        <v/>
      </c>
      <c r="F32" s="82" t="n">
        <v>46279</v>
      </c>
      <c r="G32" s="26" t="n">
        <v>23139</v>
      </c>
      <c r="H32" s="26">
        <f>B32&amp;I32</f>
        <v/>
      </c>
      <c r="I32" s="26" t="inlineStr">
        <is>
          <t>AL FINA GINGER 24/25 DC ENV TBGS</t>
        </is>
      </c>
      <c r="J32" s="30" t="inlineStr">
        <is>
          <t>CONSTANTA ENV</t>
        </is>
      </c>
      <c r="K32" s="26">
        <f>J32&amp;"-"&amp;TEXT(W32,"dd-mmm-yy")</f>
        <v/>
      </c>
      <c r="L32" s="26">
        <f>IFERROR(VLOOKUP($M32,'ITEM MASTER'!E:H,4,0),"")</f>
        <v/>
      </c>
      <c r="M32" s="26">
        <f>IFERROR(VLOOKUP($I32,'ITEM MASTER'!B:E,4,0),"")</f>
        <v/>
      </c>
      <c r="N32" s="26">
        <f>IFERROR(VLOOKUP($I32,'ITEM MASTER'!B:F,5,0),0)</f>
        <v/>
      </c>
      <c r="O32" s="26">
        <f>IFERROR(VLOOKUP($M32,'TBGS PER CTN'!B:C,2,0),0)</f>
        <v/>
      </c>
      <c r="P32" s="26" t="n">
        <v>900</v>
      </c>
      <c r="Q32" s="26" t="n">
        <v>0</v>
      </c>
      <c r="R32" s="26" t="n">
        <v>900</v>
      </c>
      <c r="S32" s="26">
        <f>Q32+R32</f>
        <v/>
      </c>
      <c r="T32" s="29" t="n">
        <v>0</v>
      </c>
      <c r="U32" s="29">
        <f>N32*O32*T32</f>
        <v/>
      </c>
      <c r="V32" s="82">
        <f>IF(ISNUMBER($D32),$D32-WEEKDAY($D32,3),'ORDER VS WEEK DISTRIBUTION'!$G$500)</f>
        <v/>
      </c>
      <c r="W32" s="82">
        <f>MAX($V32,'ORDER VS WEEK DISTRIBUTION'!$G$500)</f>
        <v/>
      </c>
      <c r="X32" s="26">
        <f>IFERROR(VLOOKUP($J32,'ORDER VS WEEK DISTRIBUTION'!$T:$U,2,0),"")</f>
        <v/>
      </c>
      <c r="Y32" s="26">
        <f>IFERROR($T32/IF(IFERROR(VLOOKUP($I32,'ITEM CFC PER CONTAINER'!$A:$B,2,0),0)&gt;0,VLOOKUP($I32,'ITEM CFC PER CONTAINER'!$A:$B,2,0),VLOOKUP($X32,'MC MASTER'!$A:$Q,16,0)),"")</f>
        <v/>
      </c>
    </row>
    <row r="33" ht="15" customHeight="1" s="5">
      <c r="A33" s="26" t="inlineStr">
        <is>
          <t>Solis Intertrade Fzc</t>
        </is>
      </c>
      <c r="B33" s="26" t="inlineStr">
        <is>
          <t>MJIL/SO/26027539</t>
        </is>
      </c>
      <c r="C33" s="26" t="inlineStr">
        <is>
          <t>MJ-060/26-27</t>
        </is>
      </c>
      <c r="D33" s="82" t="n">
        <v>46279</v>
      </c>
      <c r="E33" s="83">
        <f>IF(ISNUMBER($D33),EOMONTH($D33,-1)+1,"")</f>
        <v/>
      </c>
      <c r="F33" s="82" t="n">
        <v>46279</v>
      </c>
      <c r="G33" s="26" t="n">
        <v>23141</v>
      </c>
      <c r="H33" s="26">
        <f>B33&amp;I33</f>
        <v/>
      </c>
      <c r="I33" s="26" t="inlineStr">
        <is>
          <t>AL FINA LEMON 24/25 DC ENV TBGS</t>
        </is>
      </c>
      <c r="J33" s="30" t="inlineStr">
        <is>
          <t>CONSTANTA ENV</t>
        </is>
      </c>
      <c r="K33" s="26">
        <f>J33&amp;"-"&amp;TEXT(W33,"dd-mmm-yy")</f>
        <v/>
      </c>
      <c r="L33" s="26">
        <f>IFERROR(VLOOKUP($M33,'ITEM MASTER'!E:H,4,0),"")</f>
        <v/>
      </c>
      <c r="M33" s="26">
        <f>IFERROR(VLOOKUP($I33,'ITEM MASTER'!B:E,4,0),"")</f>
        <v/>
      </c>
      <c r="N33" s="26">
        <f>IFERROR(VLOOKUP($I33,'ITEM MASTER'!B:F,5,0),0)</f>
        <v/>
      </c>
      <c r="O33" s="26">
        <f>IFERROR(VLOOKUP($M33,'TBGS PER CTN'!B:C,2,0),0)</f>
        <v/>
      </c>
      <c r="P33" s="26" t="n">
        <v>300</v>
      </c>
      <c r="Q33" s="26" t="n">
        <v>0</v>
      </c>
      <c r="R33" s="26" t="n">
        <v>268</v>
      </c>
      <c r="S33" s="26">
        <f>Q33+R33</f>
        <v/>
      </c>
      <c r="T33" s="29" t="n">
        <v>32</v>
      </c>
      <c r="U33" s="29">
        <f>N33*O33*T33</f>
        <v/>
      </c>
      <c r="V33" s="82">
        <f>IF(ISNUMBER($D33),$D33-WEEKDAY($D33,3),'ORDER VS WEEK DISTRIBUTION'!$G$500)</f>
        <v/>
      </c>
      <c r="W33" s="82">
        <f>MAX($V33,'ORDER VS WEEK DISTRIBUTION'!$G$500)</f>
        <v/>
      </c>
      <c r="X33" s="26">
        <f>IFERROR(VLOOKUP($J33,'ORDER VS WEEK DISTRIBUTION'!$T:$U,2,0),"")</f>
        <v/>
      </c>
      <c r="Y33" s="26">
        <f>IFERROR($T33/IF(IFERROR(VLOOKUP($I33,'ITEM CFC PER CONTAINER'!$A:$B,2,0),0)&gt;0,VLOOKUP($I33,'ITEM CFC PER CONTAINER'!$A:$B,2,0),VLOOKUP($X33,'MC MASTER'!$A:$Q,16,0)),"")</f>
        <v/>
      </c>
    </row>
    <row r="34" ht="15" customHeight="1" s="5">
      <c r="A34" s="26" t="inlineStr">
        <is>
          <t>Solis Intertrade Fzc</t>
        </is>
      </c>
      <c r="B34" s="26" t="inlineStr">
        <is>
          <t>MJIL/SO/26027539</t>
        </is>
      </c>
      <c r="C34" s="26" t="inlineStr">
        <is>
          <t>MJ-060/26-27</t>
        </is>
      </c>
      <c r="D34" s="82" t="n">
        <v>46279</v>
      </c>
      <c r="E34" s="83">
        <f>IF(ISNUMBER($D34),EOMONTH($D34,-1)+1,"")</f>
        <v/>
      </c>
      <c r="F34" s="82" t="n">
        <v>46279</v>
      </c>
      <c r="G34" s="26" t="n">
        <v>23142</v>
      </c>
      <c r="H34" s="26">
        <f>B34&amp;I34</f>
        <v/>
      </c>
      <c r="I34" s="26" t="inlineStr">
        <is>
          <t>AL FINA MANGO 24/25 DC ENV TBGS</t>
        </is>
      </c>
      <c r="J34" s="30" t="inlineStr">
        <is>
          <t>CONSTANTA ENV</t>
        </is>
      </c>
      <c r="K34" s="26">
        <f>J34&amp;"-"&amp;TEXT(W34,"dd-mmm-yy")</f>
        <v/>
      </c>
      <c r="L34" s="26">
        <f>IFERROR(VLOOKUP($M34,'ITEM MASTER'!E:H,4,0),"")</f>
        <v/>
      </c>
      <c r="M34" s="26">
        <f>IFERROR(VLOOKUP($I34,'ITEM MASTER'!B:E,4,0),"")</f>
        <v/>
      </c>
      <c r="N34" s="26">
        <f>IFERROR(VLOOKUP($I34,'ITEM MASTER'!B:F,5,0),0)</f>
        <v/>
      </c>
      <c r="O34" s="26">
        <f>IFERROR(VLOOKUP($M34,'TBGS PER CTN'!B:C,2,0),0)</f>
        <v/>
      </c>
      <c r="P34" s="26" t="n">
        <v>400</v>
      </c>
      <c r="Q34" s="26" t="n">
        <v>0</v>
      </c>
      <c r="R34" s="26" t="n">
        <v>394</v>
      </c>
      <c r="S34" s="26">
        <f>Q34+R34</f>
        <v/>
      </c>
      <c r="T34" s="29" t="n">
        <v>6</v>
      </c>
      <c r="U34" s="29">
        <f>N34*O34*T34</f>
        <v/>
      </c>
      <c r="V34" s="82">
        <f>IF(ISNUMBER($D34),$D34-WEEKDAY($D34,3),'ORDER VS WEEK DISTRIBUTION'!$G$500)</f>
        <v/>
      </c>
      <c r="W34" s="82">
        <f>MAX($V34,'ORDER VS WEEK DISTRIBUTION'!$G$500)</f>
        <v/>
      </c>
      <c r="X34" s="26">
        <f>IFERROR(VLOOKUP($J34,'ORDER VS WEEK DISTRIBUTION'!$T:$U,2,0),"")</f>
        <v/>
      </c>
      <c r="Y34" s="26">
        <f>IFERROR($T34/IF(IFERROR(VLOOKUP($I34,'ITEM CFC PER CONTAINER'!$A:$B,2,0),0)&gt;0,VLOOKUP($I34,'ITEM CFC PER CONTAINER'!$A:$B,2,0),VLOOKUP($X34,'MC MASTER'!$A:$Q,16,0)),"")</f>
        <v/>
      </c>
    </row>
    <row r="35" ht="15" customHeight="1" s="5">
      <c r="A35" s="26" t="inlineStr">
        <is>
          <t>Solis Intertrade Fzc</t>
        </is>
      </c>
      <c r="B35" s="26" t="inlineStr">
        <is>
          <t>MJIL/SO/26027539</t>
        </is>
      </c>
      <c r="C35" s="26" t="inlineStr">
        <is>
          <t>MJ-060/26-27</t>
        </is>
      </c>
      <c r="D35" s="82" t="n">
        <v>46279</v>
      </c>
      <c r="E35" s="83">
        <f>IF(ISNUMBER($D35),EOMONTH($D35,-1)+1,"")</f>
        <v/>
      </c>
      <c r="F35" s="82" t="n">
        <v>46279</v>
      </c>
      <c r="G35" s="26" t="n">
        <v>23143</v>
      </c>
      <c r="H35" s="26">
        <f>B35&amp;I35</f>
        <v/>
      </c>
      <c r="I35" s="26" t="inlineStr">
        <is>
          <t>AL FINA MINT 24/25 DC ENV TBGS</t>
        </is>
      </c>
      <c r="J35" s="30" t="inlineStr">
        <is>
          <t>CONSTANTA ENV</t>
        </is>
      </c>
      <c r="K35" s="26">
        <f>J35&amp;"-"&amp;TEXT(W35,"dd-mmm-yy")</f>
        <v/>
      </c>
      <c r="L35" s="26">
        <f>IFERROR(VLOOKUP($M35,'ITEM MASTER'!E:H,4,0),"")</f>
        <v/>
      </c>
      <c r="M35" s="26">
        <f>IFERROR(VLOOKUP($I35,'ITEM MASTER'!B:E,4,0),"")</f>
        <v/>
      </c>
      <c r="N35" s="26">
        <f>IFERROR(VLOOKUP($I35,'ITEM MASTER'!B:F,5,0),0)</f>
        <v/>
      </c>
      <c r="O35" s="26">
        <f>IFERROR(VLOOKUP($M35,'TBGS PER CTN'!B:C,2,0),0)</f>
        <v/>
      </c>
      <c r="P35" s="26" t="n">
        <v>700</v>
      </c>
      <c r="Q35" s="26" t="n">
        <v>0</v>
      </c>
      <c r="R35" s="26" t="n">
        <v>700</v>
      </c>
      <c r="S35" s="26">
        <f>Q35+R35</f>
        <v/>
      </c>
      <c r="T35" s="29" t="n">
        <v>0</v>
      </c>
      <c r="U35" s="29">
        <f>N35*O35*T35</f>
        <v/>
      </c>
      <c r="V35" s="82">
        <f>IF(ISNUMBER($D35),$D35-WEEKDAY($D35,3),'ORDER VS WEEK DISTRIBUTION'!$G$500)</f>
        <v/>
      </c>
      <c r="W35" s="82">
        <f>MAX($V35,'ORDER VS WEEK DISTRIBUTION'!$G$500)</f>
        <v/>
      </c>
      <c r="X35" s="26">
        <f>IFERROR(VLOOKUP($J35,'ORDER VS WEEK DISTRIBUTION'!$T:$U,2,0),"")</f>
        <v/>
      </c>
      <c r="Y35" s="26">
        <f>IFERROR($T35/IF(IFERROR(VLOOKUP($I35,'ITEM CFC PER CONTAINER'!$A:$B,2,0),0)&gt;0,VLOOKUP($I35,'ITEM CFC PER CONTAINER'!$A:$B,2,0),VLOOKUP($X35,'MC MASTER'!$A:$Q,16,0)),"")</f>
        <v/>
      </c>
    </row>
    <row r="36" ht="15" customHeight="1" s="5">
      <c r="A36" s="26" t="inlineStr">
        <is>
          <t>Solis Intertrade Fzc</t>
        </is>
      </c>
      <c r="B36" s="26" t="inlineStr">
        <is>
          <t>MJIL/SO/26027539</t>
        </is>
      </c>
      <c r="C36" s="26" t="inlineStr">
        <is>
          <t>MJ-060/26-27</t>
        </is>
      </c>
      <c r="D36" s="82" t="n">
        <v>46279</v>
      </c>
      <c r="E36" s="83">
        <f>IF(ISNUMBER($D36),EOMONTH($D36,-1)+1,"")</f>
        <v/>
      </c>
      <c r="F36" s="82" t="n">
        <v>46279</v>
      </c>
      <c r="G36" s="26" t="n">
        <v>23144</v>
      </c>
      <c r="H36" s="26">
        <f>B36&amp;I36</f>
        <v/>
      </c>
      <c r="I36" s="26" t="inlineStr">
        <is>
          <t>AL FINA ORANGE 24/25 DC ENV TBGS</t>
        </is>
      </c>
      <c r="J36" s="30" t="inlineStr">
        <is>
          <t>CONSTANTA ENV</t>
        </is>
      </c>
      <c r="K36" s="26">
        <f>J36&amp;"-"&amp;TEXT(W36,"dd-mmm-yy")</f>
        <v/>
      </c>
      <c r="L36" s="26">
        <f>IFERROR(VLOOKUP($M36,'ITEM MASTER'!E:H,4,0),"")</f>
        <v/>
      </c>
      <c r="M36" s="26">
        <f>IFERROR(VLOOKUP($I36,'ITEM MASTER'!B:E,4,0),"")</f>
        <v/>
      </c>
      <c r="N36" s="26">
        <f>IFERROR(VLOOKUP($I36,'ITEM MASTER'!B:F,5,0),0)</f>
        <v/>
      </c>
      <c r="O36" s="26">
        <f>IFERROR(VLOOKUP($M36,'TBGS PER CTN'!B:C,2,0),0)</f>
        <v/>
      </c>
      <c r="P36" s="26" t="n">
        <v>1200</v>
      </c>
      <c r="Q36" s="26" t="n">
        <v>0</v>
      </c>
      <c r="R36" s="26" t="n">
        <v>1200</v>
      </c>
      <c r="S36" s="26">
        <f>Q36+R36</f>
        <v/>
      </c>
      <c r="T36" s="29" t="n">
        <v>0</v>
      </c>
      <c r="U36" s="29">
        <f>N36*O36*T36</f>
        <v/>
      </c>
      <c r="V36" s="82">
        <f>IF(ISNUMBER($D36),$D36-WEEKDAY($D36,3),'ORDER VS WEEK DISTRIBUTION'!$G$500)</f>
        <v/>
      </c>
      <c r="W36" s="82">
        <f>MAX($V36,'ORDER VS WEEK DISTRIBUTION'!$G$500)</f>
        <v/>
      </c>
      <c r="X36" s="26">
        <f>IFERROR(VLOOKUP($J36,'ORDER VS WEEK DISTRIBUTION'!$T:$U,2,0),"")</f>
        <v/>
      </c>
      <c r="Y36" s="26">
        <f>IFERROR($T36/IF(IFERROR(VLOOKUP($I36,'ITEM CFC PER CONTAINER'!$A:$B,2,0),0)&gt;0,VLOOKUP($I36,'ITEM CFC PER CONTAINER'!$A:$B,2,0),VLOOKUP($X36,'MC MASTER'!$A:$Q,16,0)),"")</f>
        <v/>
      </c>
    </row>
    <row r="37" ht="15" customHeight="1" s="5">
      <c r="A37" s="26" t="inlineStr">
        <is>
          <t>Solis Intertrade Fzc</t>
        </is>
      </c>
      <c r="B37" s="26" t="inlineStr">
        <is>
          <t>MJIL/SO/26027539</t>
        </is>
      </c>
      <c r="C37" s="26" t="inlineStr">
        <is>
          <t>MJ-060/26-27</t>
        </is>
      </c>
      <c r="D37" s="82" t="n">
        <v>46279</v>
      </c>
      <c r="E37" s="83">
        <f>IF(ISNUMBER($D37),EOMONTH($D37,-1)+1,"")</f>
        <v/>
      </c>
      <c r="F37" s="82" t="n">
        <v>46279</v>
      </c>
      <c r="G37" s="26" t="n">
        <v>23145</v>
      </c>
      <c r="H37" s="26">
        <f>B37&amp;I37</f>
        <v/>
      </c>
      <c r="I37" s="26" t="inlineStr">
        <is>
          <t>AL FINA STRAWBERRY 24/25 DC ENV TBGS</t>
        </is>
      </c>
      <c r="J37" s="30" t="inlineStr">
        <is>
          <t>CONSTANTA ENV</t>
        </is>
      </c>
      <c r="K37" s="26">
        <f>J37&amp;"-"&amp;TEXT(W37,"dd-mmm-yy")</f>
        <v/>
      </c>
      <c r="L37" s="26">
        <f>IFERROR(VLOOKUP($M37,'ITEM MASTER'!E:H,4,0),"")</f>
        <v/>
      </c>
      <c r="M37" s="26">
        <f>IFERROR(VLOOKUP($I37,'ITEM MASTER'!B:E,4,0),"")</f>
        <v/>
      </c>
      <c r="N37" s="26">
        <f>IFERROR(VLOOKUP($I37,'ITEM MASTER'!B:F,5,0),0)</f>
        <v/>
      </c>
      <c r="O37" s="26">
        <f>IFERROR(VLOOKUP($M37,'TBGS PER CTN'!B:C,2,0),0)</f>
        <v/>
      </c>
      <c r="P37" s="26" t="n">
        <v>600</v>
      </c>
      <c r="Q37" s="26" t="n">
        <v>0</v>
      </c>
      <c r="R37" s="26" t="n">
        <v>430</v>
      </c>
      <c r="S37" s="26">
        <f>Q37+R37</f>
        <v/>
      </c>
      <c r="T37" s="29" t="n">
        <v>170</v>
      </c>
      <c r="U37" s="29">
        <f>N37*O37*T37</f>
        <v/>
      </c>
      <c r="V37" s="82">
        <f>IF(ISNUMBER($D37),$D37-WEEKDAY($D37,3),'ORDER VS WEEK DISTRIBUTION'!$G$500)</f>
        <v/>
      </c>
      <c r="W37" s="82">
        <f>MAX($V37,'ORDER VS WEEK DISTRIBUTION'!$G$500)</f>
        <v/>
      </c>
      <c r="X37" s="26">
        <f>IFERROR(VLOOKUP($J37,'ORDER VS WEEK DISTRIBUTION'!$T:$U,2,0),"")</f>
        <v/>
      </c>
      <c r="Y37" s="26">
        <f>IFERROR($T37/IF(IFERROR(VLOOKUP($I37,'ITEM CFC PER CONTAINER'!$A:$B,2,0),0)&gt;0,VLOOKUP($I37,'ITEM CFC PER CONTAINER'!$A:$B,2,0),VLOOKUP($X37,'MC MASTER'!$A:$Q,16,0)),"")</f>
        <v/>
      </c>
    </row>
    <row r="38" ht="15" customHeight="1" s="5">
      <c r="A38" s="26" t="inlineStr">
        <is>
          <t>Solis Intertrade Fzc</t>
        </is>
      </c>
      <c r="B38" s="26" t="inlineStr">
        <is>
          <t>MJIL/SO/26027539</t>
        </is>
      </c>
      <c r="C38" s="26" t="inlineStr">
        <is>
          <t>MJ-060/26-27</t>
        </is>
      </c>
      <c r="D38" s="82" t="n">
        <v>46279</v>
      </c>
      <c r="E38" s="83">
        <f>IF(ISNUMBER($D38),EOMONTH($D38,-1)+1,"")</f>
        <v/>
      </c>
      <c r="F38" s="82" t="n">
        <v>46279</v>
      </c>
      <c r="G38" s="26" t="n">
        <v>23146</v>
      </c>
      <c r="H38" s="26">
        <f>B38&amp;I38</f>
        <v/>
      </c>
      <c r="I38" s="26" t="inlineStr">
        <is>
          <t>AL FINA TAMARIND 24/25 DC ENV TBGS</t>
        </is>
      </c>
      <c r="J38" s="30" t="inlineStr">
        <is>
          <t>CONSTANTA ENV</t>
        </is>
      </c>
      <c r="K38" s="26">
        <f>J38&amp;"-"&amp;TEXT(W38,"dd-mmm-yy")</f>
        <v/>
      </c>
      <c r="L38" s="26">
        <f>IFERROR(VLOOKUP($M38,'ITEM MASTER'!E:H,4,0),"")</f>
        <v/>
      </c>
      <c r="M38" s="26">
        <f>IFERROR(VLOOKUP($I38,'ITEM MASTER'!B:E,4,0),"")</f>
        <v/>
      </c>
      <c r="N38" s="26">
        <f>IFERROR(VLOOKUP($I38,'ITEM MASTER'!B:F,5,0),0)</f>
        <v/>
      </c>
      <c r="O38" s="26">
        <f>IFERROR(VLOOKUP($M38,'TBGS PER CTN'!B:C,2,0),0)</f>
        <v/>
      </c>
      <c r="P38" s="26" t="n">
        <v>300</v>
      </c>
      <c r="Q38" s="26" t="n">
        <v>0</v>
      </c>
      <c r="R38" s="26" t="n">
        <v>300</v>
      </c>
      <c r="S38" s="26">
        <f>Q38+R38</f>
        <v/>
      </c>
      <c r="T38" s="29" t="n">
        <v>0</v>
      </c>
      <c r="U38" s="29">
        <f>N38*O38*T38</f>
        <v/>
      </c>
      <c r="V38" s="82">
        <f>IF(ISNUMBER($D38),$D38-WEEKDAY($D38,3),'ORDER VS WEEK DISTRIBUTION'!$G$500)</f>
        <v/>
      </c>
      <c r="W38" s="82">
        <f>MAX($V38,'ORDER VS WEEK DISTRIBUTION'!$G$500)</f>
        <v/>
      </c>
      <c r="X38" s="26">
        <f>IFERROR(VLOOKUP($J38,'ORDER VS WEEK DISTRIBUTION'!$T:$U,2,0),"")</f>
        <v/>
      </c>
      <c r="Y38" s="26">
        <f>IFERROR($T38/IF(IFERROR(VLOOKUP($I38,'ITEM CFC PER CONTAINER'!$A:$B,2,0),0)&gt;0,VLOOKUP($I38,'ITEM CFC PER CONTAINER'!$A:$B,2,0),VLOOKUP($X38,'MC MASTER'!$A:$Q,16,0)),"")</f>
        <v/>
      </c>
    </row>
    <row r="39" ht="15" customHeight="1" s="5">
      <c r="A39" s="26" t="inlineStr">
        <is>
          <t>Solis Intertrade Fzc</t>
        </is>
      </c>
      <c r="B39" s="26" t="inlineStr">
        <is>
          <t>MJIL/SO/26027539</t>
        </is>
      </c>
      <c r="C39" s="26" t="inlineStr">
        <is>
          <t>MJ-060/26-27</t>
        </is>
      </c>
      <c r="D39" s="82" t="n">
        <v>46279</v>
      </c>
      <c r="E39" s="83">
        <f>IF(ISNUMBER($D39),EOMONTH($D39,-1)+1,"")</f>
        <v/>
      </c>
      <c r="F39" s="82" t="n">
        <v>46279</v>
      </c>
      <c r="G39" s="26" t="n">
        <v>36615</v>
      </c>
      <c r="H39" s="26">
        <f>B39&amp;I39</f>
        <v/>
      </c>
      <c r="I39" s="26" t="inlineStr">
        <is>
          <t>AL FINA MIX 24/25 DC ENV TBGS</t>
        </is>
      </c>
      <c r="J39" s="30" t="inlineStr">
        <is>
          <t>CONSTANTA ENV</t>
        </is>
      </c>
      <c r="K39" s="26">
        <f>J39&amp;"-"&amp;TEXT(W39,"dd-mmm-yy")</f>
        <v/>
      </c>
      <c r="L39" s="26">
        <f>IFERROR(VLOOKUP($M39,'ITEM MASTER'!E:H,4,0),"")</f>
        <v/>
      </c>
      <c r="M39" s="26">
        <f>IFERROR(VLOOKUP($I39,'ITEM MASTER'!B:E,4,0),"")</f>
        <v/>
      </c>
      <c r="N39" s="26">
        <f>IFERROR(VLOOKUP($I39,'ITEM MASTER'!B:F,5,0),0)</f>
        <v/>
      </c>
      <c r="O39" s="26">
        <f>IFERROR(VLOOKUP($M39,'TBGS PER CTN'!B:C,2,0),0)</f>
        <v/>
      </c>
      <c r="P39" s="26" t="n">
        <v>1000</v>
      </c>
      <c r="Q39" s="26" t="n">
        <v>0</v>
      </c>
      <c r="R39" s="26" t="n">
        <v>993</v>
      </c>
      <c r="S39" s="26">
        <f>Q39+R39</f>
        <v/>
      </c>
      <c r="T39" s="29" t="n">
        <v>7</v>
      </c>
      <c r="U39" s="29">
        <f>N39*O39*T39</f>
        <v/>
      </c>
      <c r="V39" s="82">
        <f>IF(ISNUMBER($D39),$D39-WEEKDAY($D39,3),'ORDER VS WEEK DISTRIBUTION'!$G$500)</f>
        <v/>
      </c>
      <c r="W39" s="82">
        <f>MAX($V39,'ORDER VS WEEK DISTRIBUTION'!$G$500)</f>
        <v/>
      </c>
      <c r="X39" s="26">
        <f>IFERROR(VLOOKUP($J39,'ORDER VS WEEK DISTRIBUTION'!$T:$U,2,0),"")</f>
        <v/>
      </c>
      <c r="Y39" s="26">
        <f>IFERROR($T39/IF(IFERROR(VLOOKUP($I39,'ITEM CFC PER CONTAINER'!$A:$B,2,0),0)&gt;0,VLOOKUP($I39,'ITEM CFC PER CONTAINER'!$A:$B,2,0),VLOOKUP($X39,'MC MASTER'!$A:$Q,16,0)),"")</f>
        <v/>
      </c>
    </row>
    <row r="40" ht="15" customHeight="1" s="5">
      <c r="A40" s="26" t="inlineStr">
        <is>
          <t>Solis Intertrade Fzc</t>
        </is>
      </c>
      <c r="B40" s="26" t="inlineStr">
        <is>
          <t>MJIL/SO/26027539</t>
        </is>
      </c>
      <c r="C40" s="26" t="inlineStr">
        <is>
          <t>MJ-060/26-27</t>
        </is>
      </c>
      <c r="D40" s="82" t="n">
        <v>46279</v>
      </c>
      <c r="E40" s="83">
        <f>IF(ISNUMBER($D40),EOMONTH($D40,-1)+1,"")</f>
        <v/>
      </c>
      <c r="F40" s="82" t="n">
        <v>46279</v>
      </c>
      <c r="G40" s="26" t="n">
        <v>26164</v>
      </c>
      <c r="H40" s="26">
        <f>B40&amp;I40</f>
        <v/>
      </c>
      <c r="I40" s="26" t="inlineStr">
        <is>
          <t>AL FINA PINEAPPLE 24/25 DC ENV TBGS</t>
        </is>
      </c>
      <c r="J40" s="30" t="inlineStr">
        <is>
          <t>CONSTANTA ENV</t>
        </is>
      </c>
      <c r="K40" s="26">
        <f>J40&amp;"-"&amp;TEXT(W40,"dd-mmm-yy")</f>
        <v/>
      </c>
      <c r="L40" s="26">
        <f>IFERROR(VLOOKUP($M40,'ITEM MASTER'!E:H,4,0),"")</f>
        <v/>
      </c>
      <c r="M40" s="26">
        <f>IFERROR(VLOOKUP($I40,'ITEM MASTER'!B:E,4,0),"")</f>
        <v/>
      </c>
      <c r="N40" s="26">
        <f>IFERROR(VLOOKUP($I40,'ITEM MASTER'!B:F,5,0),0)</f>
        <v/>
      </c>
      <c r="O40" s="26">
        <f>IFERROR(VLOOKUP($M40,'TBGS PER CTN'!B:C,2,0),0)</f>
        <v/>
      </c>
      <c r="P40" s="26" t="n">
        <v>400</v>
      </c>
      <c r="Q40" s="26" t="n">
        <v>0</v>
      </c>
      <c r="R40" s="26" t="n">
        <v>381</v>
      </c>
      <c r="S40" s="26">
        <f>Q40+R40</f>
        <v/>
      </c>
      <c r="T40" s="29" t="n">
        <v>19</v>
      </c>
      <c r="U40" s="29">
        <f>N40*O40*T40</f>
        <v/>
      </c>
      <c r="V40" s="82">
        <f>IF(ISNUMBER($D40),$D40-WEEKDAY($D40,3),'ORDER VS WEEK DISTRIBUTION'!$G$500)</f>
        <v/>
      </c>
      <c r="W40" s="82">
        <f>MAX($V40,'ORDER VS WEEK DISTRIBUTION'!$G$500)</f>
        <v/>
      </c>
      <c r="X40" s="26">
        <f>IFERROR(VLOOKUP($J40,'ORDER VS WEEK DISTRIBUTION'!$T:$U,2,0),"")</f>
        <v/>
      </c>
      <c r="Y40" s="26">
        <f>IFERROR($T40/IF(IFERROR(VLOOKUP($I40,'ITEM CFC PER CONTAINER'!$A:$B,2,0),0)&gt;0,VLOOKUP($I40,'ITEM CFC PER CONTAINER'!$A:$B,2,0),VLOOKUP($X40,'MC MASTER'!$A:$Q,16,0)),"")</f>
        <v/>
      </c>
    </row>
    <row r="41" ht="15" customHeight="1" s="5">
      <c r="A41" s="26" t="inlineStr">
        <is>
          <t>Llc `Jay Tea`</t>
        </is>
      </c>
      <c r="B41" s="26" t="inlineStr">
        <is>
          <t>MJIL/SO/26037943</t>
        </is>
      </c>
      <c r="C41" s="26" t="inlineStr">
        <is>
          <t>JT-MJIPL-03-03/19 ORDER NO.30</t>
        </is>
      </c>
      <c r="D41" s="82" t="n">
        <v>46311</v>
      </c>
      <c r="E41" s="83">
        <f>IF(ISNUMBER($D41),EOMONTH($D41,-1)+1,"")</f>
        <v/>
      </c>
      <c r="F41" s="82" t="n">
        <v>46280</v>
      </c>
      <c r="G41" s="26" t="n">
        <v>38286</v>
      </c>
      <c r="H41" s="26">
        <f>B41&amp;I41</f>
        <v/>
      </c>
      <c r="I41" s="26" t="inlineStr">
        <is>
          <t>JUNGLE KING CTC 36/250 GMS PKT TEA</t>
        </is>
      </c>
      <c r="J41" s="26" t="inlineStr">
        <is>
          <t>Pearl Pack-FFS POUCH</t>
        </is>
      </c>
      <c r="K41" s="26">
        <f>J41&amp;"-"&amp;TEXT(W41,"dd-mmm-yy")</f>
        <v/>
      </c>
      <c r="L41" s="26">
        <f>IFERROR(VLOOKUP($M41,'ITEM MASTER'!E:H,4,0),"")</f>
        <v/>
      </c>
      <c r="M41" s="26">
        <f>IFERROR(VLOOKUP($I41,'ITEM MASTER'!B:E,4,0),"")</f>
        <v/>
      </c>
      <c r="N41" s="26">
        <f>IFERROR(VLOOKUP($I41,'ITEM MASTER'!B:F,5,0),0)</f>
        <v/>
      </c>
      <c r="O41" s="26">
        <f>IFERROR(VLOOKUP($M41,'TBGS PER CTN'!B:C,2,0),0)</f>
        <v/>
      </c>
      <c r="P41" s="26" t="n">
        <v>2250</v>
      </c>
      <c r="Q41" s="26" t="n">
        <v>0</v>
      </c>
      <c r="R41" s="26" t="n">
        <v>0</v>
      </c>
      <c r="S41" s="26">
        <f>Q41+R41</f>
        <v/>
      </c>
      <c r="T41" s="29" t="n">
        <v>2250</v>
      </c>
      <c r="U41" s="29">
        <f>N41*O41*T41</f>
        <v/>
      </c>
      <c r="V41" s="82">
        <f>IF(ISNUMBER($D41),$D41-WEEKDAY($D41,3),'ORDER VS WEEK DISTRIBUTION'!$G$500)</f>
        <v/>
      </c>
      <c r="W41" s="82">
        <f>MAX($V41,'ORDER VS WEEK DISTRIBUTION'!$G$500)</f>
        <v/>
      </c>
      <c r="X41" s="26">
        <f>IFERROR(VLOOKUP($J41,'ORDER VS WEEK DISTRIBUTION'!$T:$U,2,0),"")</f>
        <v/>
      </c>
      <c r="Y41" s="26">
        <f>IFERROR($T41/IF(IFERROR(VLOOKUP($I41,'ITEM CFC PER CONTAINER'!$A:$B,2,0),0)&gt;0,VLOOKUP($I41,'ITEM CFC PER CONTAINER'!$A:$B,2,0),VLOOKUP($X41,'MC MASTER'!$A:$Q,16,0)),"")</f>
        <v/>
      </c>
    </row>
    <row r="42" ht="15" customHeight="1" s="5">
      <c r="A42" s="26" t="inlineStr">
        <is>
          <t>Llc `Jay Tea`</t>
        </is>
      </c>
      <c r="B42" s="26" t="inlineStr">
        <is>
          <t>MJIL/SO/26037980</t>
        </is>
      </c>
      <c r="C42" s="26" t="inlineStr">
        <is>
          <t>JT-MJIPL-03-03/19 ORDER NO.31</t>
        </is>
      </c>
      <c r="D42" s="82" t="n">
        <v>46305</v>
      </c>
      <c r="E42" s="83">
        <f>IF(ISNUMBER($D42),EOMONTH($D42,-1)+1,"")</f>
        <v/>
      </c>
      <c r="F42" s="82" t="n">
        <v>46280</v>
      </c>
      <c r="G42" s="26" t="n">
        <v>32391</v>
      </c>
      <c r="H42" s="26">
        <f>B42&amp;I42</f>
        <v/>
      </c>
      <c r="I42" s="26" t="inlineStr">
        <is>
          <t>STD R 135 BULK, 30 KGS - PP BAGS</t>
        </is>
      </c>
      <c r="J42" s="26" t="n"/>
      <c r="K42" s="26">
        <f>J42&amp;"-"&amp;TEXT(W42,"dd-mmm-yy")</f>
        <v/>
      </c>
      <c r="L42" s="26">
        <f>IFERROR(VLOOKUP($M42,'ITEM MASTER'!E:H,4,0),"")</f>
        <v/>
      </c>
      <c r="M42" s="26">
        <f>IFERROR(VLOOKUP($I42,'ITEM MASTER'!B:E,4,0),"")</f>
        <v/>
      </c>
      <c r="N42" s="26">
        <f>IFERROR(VLOOKUP($I42,'ITEM MASTER'!B:F,5,0),0)</f>
        <v/>
      </c>
      <c r="O42" s="26">
        <f>IFERROR(VLOOKUP($M42,'TBGS PER CTN'!B:C,2,0),0)</f>
        <v/>
      </c>
      <c r="P42" s="26" t="n">
        <v>567</v>
      </c>
      <c r="Q42" s="26" t="n">
        <v>0</v>
      </c>
      <c r="R42" s="26" t="n">
        <v>0</v>
      </c>
      <c r="S42" s="26">
        <f>Q42+R42</f>
        <v/>
      </c>
      <c r="T42" s="29" t="n">
        <v>567</v>
      </c>
      <c r="U42" s="29">
        <f>N42*O42*T42</f>
        <v/>
      </c>
      <c r="V42" s="82">
        <f>IF(ISNUMBER($D42),$D42-WEEKDAY($D42,3),'ORDER VS WEEK DISTRIBUTION'!$G$500)</f>
        <v/>
      </c>
      <c r="W42" s="82">
        <f>MAX($V42,'ORDER VS WEEK DISTRIBUTION'!$G$500)</f>
        <v/>
      </c>
      <c r="X42" s="26">
        <f>IFERROR(VLOOKUP($J42,'ORDER VS WEEK DISTRIBUTION'!$T:$U,2,0),"")</f>
        <v/>
      </c>
      <c r="Y42" s="26">
        <f>IFERROR($T42/IF(IFERROR(VLOOKUP($I42,'ITEM CFC PER CONTAINER'!$A:$B,2,0),0)&gt;0,VLOOKUP($I42,'ITEM CFC PER CONTAINER'!$A:$B,2,0),VLOOKUP($X42,'MC MASTER'!$A:$Q,16,0)),"")</f>
        <v/>
      </c>
    </row>
    <row r="43" ht="15" customHeight="1" s="5">
      <c r="A43" s="26" t="inlineStr">
        <is>
          <t>Llc `Jay Tea`</t>
        </is>
      </c>
      <c r="B43" s="26" t="inlineStr">
        <is>
          <t>MJIL/SO/26037980</t>
        </is>
      </c>
      <c r="C43" s="26" t="inlineStr">
        <is>
          <t>JT-MJIPL-03-03/19 ORDER NO.31</t>
        </is>
      </c>
      <c r="D43" s="82" t="n">
        <v>46305</v>
      </c>
      <c r="E43" s="83">
        <f>IF(ISNUMBER($D43),EOMONTH($D43,-1)+1,"")</f>
        <v/>
      </c>
      <c r="F43" s="82" t="n">
        <v>46280</v>
      </c>
      <c r="G43" s="26" t="n">
        <v>32985</v>
      </c>
      <c r="H43" s="26">
        <f>B43&amp;I43</f>
        <v/>
      </c>
      <c r="I43" s="26" t="inlineStr">
        <is>
          <t>GV CLASSIC EARL GREY 18/25 DC TAG TBGS</t>
        </is>
      </c>
      <c r="J43" s="26" t="inlineStr">
        <is>
          <t>CONSTANTA TAG</t>
        </is>
      </c>
      <c r="K43" s="26">
        <f>J43&amp;"-"&amp;TEXT(W43,"dd-mmm-yy")</f>
        <v/>
      </c>
      <c r="L43" s="26">
        <f>IFERROR(VLOOKUP($M43,'ITEM MASTER'!E:H,4,0),"")</f>
        <v/>
      </c>
      <c r="M43" s="26">
        <f>IFERROR(VLOOKUP($I43,'ITEM MASTER'!B:E,4,0),"")</f>
        <v/>
      </c>
      <c r="N43" s="26">
        <f>IFERROR(VLOOKUP($I43,'ITEM MASTER'!B:F,5,0),0)</f>
        <v/>
      </c>
      <c r="O43" s="26">
        <f>IFERROR(VLOOKUP($M43,'TBGS PER CTN'!B:C,2,0),0)</f>
        <v/>
      </c>
      <c r="P43" s="26" t="n">
        <v>400</v>
      </c>
      <c r="Q43" s="26" t="n">
        <v>0</v>
      </c>
      <c r="R43" s="26" t="n">
        <v>0</v>
      </c>
      <c r="S43" s="26">
        <f>Q43+R43</f>
        <v/>
      </c>
      <c r="T43" s="29" t="n">
        <v>400</v>
      </c>
      <c r="U43" s="29">
        <f>N43*O43*T43</f>
        <v/>
      </c>
      <c r="V43" s="82">
        <f>IF(ISNUMBER($D43),$D43-WEEKDAY($D43,3),'ORDER VS WEEK DISTRIBUTION'!$G$500)</f>
        <v/>
      </c>
      <c r="W43" s="82">
        <f>MAX($V43,'ORDER VS WEEK DISTRIBUTION'!$G$500)</f>
        <v/>
      </c>
      <c r="X43" s="26">
        <f>IFERROR(VLOOKUP($J43,'ORDER VS WEEK DISTRIBUTION'!$T:$U,2,0),"")</f>
        <v/>
      </c>
      <c r="Y43" s="26">
        <f>IFERROR($T43/IF(IFERROR(VLOOKUP($I43,'ITEM CFC PER CONTAINER'!$A:$B,2,0),0)&gt;0,VLOOKUP($I43,'ITEM CFC PER CONTAINER'!$A:$B,2,0),VLOOKUP($X43,'MC MASTER'!$A:$Q,16,0)),"")</f>
        <v/>
      </c>
    </row>
    <row r="44" ht="15" customHeight="1" s="5">
      <c r="A44" s="26" t="inlineStr">
        <is>
          <t>Llc `Jay Tea`</t>
        </is>
      </c>
      <c r="B44" s="26" t="inlineStr">
        <is>
          <t>MJIL/SO/26037980</t>
        </is>
      </c>
      <c r="C44" s="26" t="inlineStr">
        <is>
          <t>JT-MJIPL-03-03/19 ORDER NO.31</t>
        </is>
      </c>
      <c r="D44" s="82" t="n">
        <v>46305</v>
      </c>
      <c r="E44" s="83">
        <f>IF(ISNUMBER($D44),EOMONTH($D44,-1)+1,"")</f>
        <v/>
      </c>
      <c r="F44" s="82" t="n">
        <v>46280</v>
      </c>
      <c r="G44" s="26" t="n">
        <v>38287</v>
      </c>
      <c r="H44" s="26">
        <f>B44&amp;I44</f>
        <v/>
      </c>
      <c r="I44" s="26" t="inlineStr">
        <is>
          <t>GV CLASSIC EARL GREY 18/100 DC TAG TBGS</t>
        </is>
      </c>
      <c r="J44" s="30" t="inlineStr">
        <is>
          <t>CONSTANTA ENV</t>
        </is>
      </c>
      <c r="K44" s="26">
        <f>J44&amp;"-"&amp;TEXT(W44,"dd-mmm-yy")</f>
        <v/>
      </c>
      <c r="L44" s="26">
        <f>IFERROR(VLOOKUP($M44,'ITEM MASTER'!E:H,4,0),"")</f>
        <v/>
      </c>
      <c r="M44" s="26">
        <f>IFERROR(VLOOKUP($I44,'ITEM MASTER'!B:E,4,0),"")</f>
        <v/>
      </c>
      <c r="N44" s="26">
        <f>IFERROR(VLOOKUP($I44,'ITEM MASTER'!B:F,5,0),0)</f>
        <v/>
      </c>
      <c r="O44" s="26">
        <f>IFERROR(VLOOKUP($M44,'TBGS PER CTN'!B:C,2,0),0)</f>
        <v/>
      </c>
      <c r="P44" s="26" t="n">
        <v>300</v>
      </c>
      <c r="Q44" s="26" t="n">
        <v>0</v>
      </c>
      <c r="R44" s="26" t="n">
        <v>0</v>
      </c>
      <c r="S44" s="26">
        <f>Q44+R44</f>
        <v/>
      </c>
      <c r="T44" s="29" t="n">
        <v>300</v>
      </c>
      <c r="U44" s="29">
        <f>N44*O44*T44</f>
        <v/>
      </c>
      <c r="V44" s="82">
        <f>IF(ISNUMBER($D44),$D44-WEEKDAY($D44,3),'ORDER VS WEEK DISTRIBUTION'!$G$500)</f>
        <v/>
      </c>
      <c r="W44" s="82">
        <f>MAX($V44,'ORDER VS WEEK DISTRIBUTION'!$G$500)</f>
        <v/>
      </c>
      <c r="X44" s="26">
        <f>IFERROR(VLOOKUP($J44,'ORDER VS WEEK DISTRIBUTION'!$T:$U,2,0),"")</f>
        <v/>
      </c>
      <c r="Y44" s="26">
        <f>IFERROR($T44/IF(IFERROR(VLOOKUP($I44,'ITEM CFC PER CONTAINER'!$A:$B,2,0),0)&gt;0,VLOOKUP($I44,'ITEM CFC PER CONTAINER'!$A:$B,2,0),VLOOKUP($X44,'MC MASTER'!$A:$Q,16,0)),"")</f>
        <v/>
      </c>
    </row>
    <row r="45" ht="15" customHeight="1" s="5">
      <c r="A45" s="26" t="inlineStr">
        <is>
          <t>Llc `Jay Tea`</t>
        </is>
      </c>
      <c r="B45" s="26" t="inlineStr">
        <is>
          <t>MJIL/SO/26037980</t>
        </is>
      </c>
      <c r="C45" s="26" t="inlineStr">
        <is>
          <t>JT-MJIPL-03-03/19 ORDER NO.31</t>
        </is>
      </c>
      <c r="D45" s="82" t="n">
        <v>46305</v>
      </c>
      <c r="E45" s="83">
        <f>IF(ISNUMBER($D45),EOMONTH($D45,-1)+1,"")</f>
        <v/>
      </c>
      <c r="F45" s="82" t="n">
        <v>46280</v>
      </c>
      <c r="G45" s="26" t="n">
        <v>38288</v>
      </c>
      <c r="H45" s="26">
        <f>B45&amp;I45</f>
        <v/>
      </c>
      <c r="I45" s="26" t="inlineStr">
        <is>
          <t>INDUS FRUITS &amp; BERRIES 6/100 (4 VARIETIES X 25 TBGS) DC TAG TBGS</t>
        </is>
      </c>
      <c r="J45" s="26" t="inlineStr">
        <is>
          <t>CONSTANTA TAG D</t>
        </is>
      </c>
      <c r="K45" s="26">
        <f>J45&amp;"-"&amp;TEXT(W45,"dd-mmm-yy")</f>
        <v/>
      </c>
      <c r="L45" s="26">
        <f>IFERROR(VLOOKUP($M45,'ITEM MASTER'!E:H,4,0),"")</f>
        <v/>
      </c>
      <c r="M45" s="26">
        <f>IFERROR(VLOOKUP($I45,'ITEM MASTER'!B:E,4,0),"")</f>
        <v/>
      </c>
      <c r="N45" s="26">
        <f>IFERROR(VLOOKUP($I45,'ITEM MASTER'!B:F,5,0),0)</f>
        <v/>
      </c>
      <c r="O45" s="26">
        <f>IFERROR(VLOOKUP($M45,'TBGS PER CTN'!B:C,2,0),0)</f>
        <v/>
      </c>
      <c r="P45" s="26" t="n">
        <v>1500</v>
      </c>
      <c r="Q45" s="26" t="n">
        <v>0</v>
      </c>
      <c r="R45" s="26" t="n">
        <v>0</v>
      </c>
      <c r="S45" s="26">
        <f>Q45+R45</f>
        <v/>
      </c>
      <c r="T45" s="29" t="n">
        <v>1500</v>
      </c>
      <c r="U45" s="29">
        <f>N45*O45*T45</f>
        <v/>
      </c>
      <c r="V45" s="82">
        <f>IF(ISNUMBER($D45),$D45-WEEKDAY($D45,3),'ORDER VS WEEK DISTRIBUTION'!$G$500)</f>
        <v/>
      </c>
      <c r="W45" s="82">
        <f>MAX($V45,'ORDER VS WEEK DISTRIBUTION'!$G$500)</f>
        <v/>
      </c>
      <c r="X45" s="26">
        <f>IFERROR(VLOOKUP($J45,'ORDER VS WEEK DISTRIBUTION'!$T:$U,2,0),"")</f>
        <v/>
      </c>
      <c r="Y45" s="26">
        <f>IFERROR($T45/IF(IFERROR(VLOOKUP($I45,'ITEM CFC PER CONTAINER'!$A:$B,2,0),0)&gt;0,VLOOKUP($I45,'ITEM CFC PER CONTAINER'!$A:$B,2,0),VLOOKUP($X45,'MC MASTER'!$A:$Q,16,0)),"")</f>
        <v/>
      </c>
    </row>
    <row r="46" ht="15" customHeight="1" s="5">
      <c r="A46" s="26" t="inlineStr">
        <is>
          <t>Plac General Trading Fzco</t>
        </is>
      </c>
      <c r="B46" s="26" t="inlineStr">
        <is>
          <t>MJIL/SO/26027049</t>
        </is>
      </c>
      <c r="C46" s="26" t="inlineStr">
        <is>
          <t>MJ-053/26-27 + MJ-054/26-27</t>
        </is>
      </c>
      <c r="D46" s="82" t="n">
        <v>46291</v>
      </c>
      <c r="E46" s="83">
        <f>IF(ISNUMBER($D46),EOMONTH($D46,-1)+1,"")</f>
        <v/>
      </c>
      <c r="F46" s="82" t="n">
        <v>46280</v>
      </c>
      <c r="G46" s="26" t="n">
        <v>27579</v>
      </c>
      <c r="H46" s="26">
        <f>B46&amp;I46</f>
        <v/>
      </c>
      <c r="I46" s="26" t="inlineStr">
        <is>
          <t>GINNY STRAWBERRY 24/25 DC ENV TBGS</t>
        </is>
      </c>
      <c r="J46" s="30" t="inlineStr">
        <is>
          <t>CONSTANTA ENV</t>
        </is>
      </c>
      <c r="K46" s="26">
        <f>J46&amp;"-"&amp;TEXT(W46,"dd-mmm-yy")</f>
        <v/>
      </c>
      <c r="L46" s="26">
        <f>IFERROR(VLOOKUP($M46,'ITEM MASTER'!E:H,4,0),"")</f>
        <v/>
      </c>
      <c r="M46" s="26">
        <f>IFERROR(VLOOKUP($I46,'ITEM MASTER'!B:E,4,0),"")</f>
        <v/>
      </c>
      <c r="N46" s="26">
        <f>IFERROR(VLOOKUP($I46,'ITEM MASTER'!B:F,5,0),0)</f>
        <v/>
      </c>
      <c r="O46" s="26">
        <f>IFERROR(VLOOKUP($M46,'TBGS PER CTN'!B:C,2,0),0)</f>
        <v/>
      </c>
      <c r="P46" s="26" t="n">
        <v>5200</v>
      </c>
      <c r="Q46" s="26" t="n">
        <v>0</v>
      </c>
      <c r="R46" s="26" t="n">
        <v>5147</v>
      </c>
      <c r="S46" s="26">
        <f>Q46+R46</f>
        <v/>
      </c>
      <c r="T46" s="29" t="n">
        <v>53</v>
      </c>
      <c r="U46" s="29">
        <f>N46*O46*T46</f>
        <v/>
      </c>
      <c r="V46" s="82">
        <f>IF(ISNUMBER($D46),$D46-WEEKDAY($D46,3),'ORDER VS WEEK DISTRIBUTION'!$G$500)</f>
        <v/>
      </c>
      <c r="W46" s="82">
        <f>MAX($V46,'ORDER VS WEEK DISTRIBUTION'!$G$500)</f>
        <v/>
      </c>
      <c r="X46" s="26">
        <f>IFERROR(VLOOKUP($J46,'ORDER VS WEEK DISTRIBUTION'!$T:$U,2,0),"")</f>
        <v/>
      </c>
      <c r="Y46" s="26">
        <f>IFERROR($T46/IF(IFERROR(VLOOKUP($I46,'ITEM CFC PER CONTAINER'!$A:$B,2,0),0)&gt;0,VLOOKUP($I46,'ITEM CFC PER CONTAINER'!$A:$B,2,0),VLOOKUP($X46,'MC MASTER'!$A:$Q,16,0)),"")</f>
        <v/>
      </c>
    </row>
    <row r="47" ht="15" customHeight="1" s="5">
      <c r="A47" s="26" t="inlineStr">
        <is>
          <t>Plac General Trading Fzco</t>
        </is>
      </c>
      <c r="B47" s="26" t="inlineStr">
        <is>
          <t>MJIL/SO/26027049</t>
        </is>
      </c>
      <c r="C47" s="26" t="inlineStr">
        <is>
          <t>MJ-053/26-27 + MJ-054/26-27</t>
        </is>
      </c>
      <c r="D47" s="82" t="n">
        <v>46291</v>
      </c>
      <c r="E47" s="83">
        <f>IF(ISNUMBER($D47),EOMONTH($D47,-1)+1,"")</f>
        <v/>
      </c>
      <c r="F47" s="82" t="n">
        <v>46280</v>
      </c>
      <c r="G47" s="26" t="n">
        <v>27578</v>
      </c>
      <c r="H47" s="26">
        <f>B47&amp;I47</f>
        <v/>
      </c>
      <c r="I47" s="26" t="inlineStr">
        <is>
          <t>GINNY MINT 24/25 DC ENV TBGS</t>
        </is>
      </c>
      <c r="J47" s="30" t="inlineStr">
        <is>
          <t>CONSTANTA ENV</t>
        </is>
      </c>
      <c r="K47" s="26">
        <f>J47&amp;"-"&amp;TEXT(W47,"dd-mmm-yy")</f>
        <v/>
      </c>
      <c r="L47" s="26">
        <f>IFERROR(VLOOKUP($M47,'ITEM MASTER'!E:H,4,0),"")</f>
        <v/>
      </c>
      <c r="M47" s="26">
        <f>IFERROR(VLOOKUP($I47,'ITEM MASTER'!B:E,4,0),"")</f>
        <v/>
      </c>
      <c r="N47" s="26">
        <f>IFERROR(VLOOKUP($I47,'ITEM MASTER'!B:F,5,0),0)</f>
        <v/>
      </c>
      <c r="O47" s="26">
        <f>IFERROR(VLOOKUP($M47,'TBGS PER CTN'!B:C,2,0),0)</f>
        <v/>
      </c>
      <c r="P47" s="26" t="n">
        <v>5200</v>
      </c>
      <c r="Q47" s="26" t="n">
        <v>0</v>
      </c>
      <c r="R47" s="26" t="n">
        <v>4732</v>
      </c>
      <c r="S47" s="26">
        <f>Q47+R47</f>
        <v/>
      </c>
      <c r="T47" s="29" t="n">
        <v>468</v>
      </c>
      <c r="U47" s="29">
        <f>N47*O47*T47</f>
        <v/>
      </c>
      <c r="V47" s="82">
        <f>IF(ISNUMBER($D47),$D47-WEEKDAY($D47,3),'ORDER VS WEEK DISTRIBUTION'!$G$500)</f>
        <v/>
      </c>
      <c r="W47" s="82">
        <f>MAX($V47,'ORDER VS WEEK DISTRIBUTION'!$G$500)</f>
        <v/>
      </c>
      <c r="X47" s="26">
        <f>IFERROR(VLOOKUP($J47,'ORDER VS WEEK DISTRIBUTION'!$T:$U,2,0),"")</f>
        <v/>
      </c>
      <c r="Y47" s="26">
        <f>IFERROR($T47/IF(IFERROR(VLOOKUP($I47,'ITEM CFC PER CONTAINER'!$A:$B,2,0),0)&gt;0,VLOOKUP($I47,'ITEM CFC PER CONTAINER'!$A:$B,2,0),VLOOKUP($X47,'MC MASTER'!$A:$Q,16,0)),"")</f>
        <v/>
      </c>
    </row>
    <row r="48" ht="15" customHeight="1" s="5">
      <c r="A48" s="26" t="inlineStr">
        <is>
          <t>Plac General Trading Fzco</t>
        </is>
      </c>
      <c r="B48" s="26" t="inlineStr">
        <is>
          <t>MJIL/SO/26027049</t>
        </is>
      </c>
      <c r="C48" s="26" t="inlineStr">
        <is>
          <t>MJ-053/26-27 + MJ-054/26-27</t>
        </is>
      </c>
      <c r="D48" s="82" t="n">
        <v>46291</v>
      </c>
      <c r="E48" s="83">
        <f>IF(ISNUMBER($D48),EOMONTH($D48,-1)+1,"")</f>
        <v/>
      </c>
      <c r="F48" s="82" t="n">
        <v>46280</v>
      </c>
      <c r="G48" s="26" t="n">
        <v>26211</v>
      </c>
      <c r="H48" s="26">
        <f>B48&amp;I48</f>
        <v/>
      </c>
      <c r="I48" s="26" t="inlineStr">
        <is>
          <t>GINNY GINGER 24/25 DC ENV TBGS</t>
        </is>
      </c>
      <c r="J48" s="30" t="inlineStr">
        <is>
          <t>CONSTANTA ENV</t>
        </is>
      </c>
      <c r="K48" s="26">
        <f>J48&amp;"-"&amp;TEXT(W48,"dd-mmm-yy")</f>
        <v/>
      </c>
      <c r="L48" s="26">
        <f>IFERROR(VLOOKUP($M48,'ITEM MASTER'!E:H,4,0),"")</f>
        <v/>
      </c>
      <c r="M48" s="26">
        <f>IFERROR(VLOOKUP($I48,'ITEM MASTER'!B:E,4,0),"")</f>
        <v/>
      </c>
      <c r="N48" s="26">
        <f>IFERROR(VLOOKUP($I48,'ITEM MASTER'!B:F,5,0),0)</f>
        <v/>
      </c>
      <c r="O48" s="26">
        <f>IFERROR(VLOOKUP($M48,'TBGS PER CTN'!B:C,2,0),0)</f>
        <v/>
      </c>
      <c r="P48" s="26" t="n">
        <v>2000</v>
      </c>
      <c r="Q48" s="26" t="n">
        <v>0</v>
      </c>
      <c r="R48" s="26" t="n">
        <v>1436</v>
      </c>
      <c r="S48" s="26">
        <f>Q48+R48</f>
        <v/>
      </c>
      <c r="T48" s="29" t="n">
        <v>564</v>
      </c>
      <c r="U48" s="29">
        <f>N48*O48*T48</f>
        <v/>
      </c>
      <c r="V48" s="82">
        <f>IF(ISNUMBER($D48),$D48-WEEKDAY($D48,3),'ORDER VS WEEK DISTRIBUTION'!$G$500)</f>
        <v/>
      </c>
      <c r="W48" s="82">
        <f>MAX($V48,'ORDER VS WEEK DISTRIBUTION'!$G$500)</f>
        <v/>
      </c>
      <c r="X48" s="26">
        <f>IFERROR(VLOOKUP($J48,'ORDER VS WEEK DISTRIBUTION'!$T:$U,2,0),"")</f>
        <v/>
      </c>
      <c r="Y48" s="26">
        <f>IFERROR($T48/IF(IFERROR(VLOOKUP($I48,'ITEM CFC PER CONTAINER'!$A:$B,2,0),0)&gt;0,VLOOKUP($I48,'ITEM CFC PER CONTAINER'!$A:$B,2,0),VLOOKUP($X48,'MC MASTER'!$A:$Q,16,0)),"")</f>
        <v/>
      </c>
    </row>
    <row r="49" ht="15" customHeight="1" s="5">
      <c r="A49" s="26" t="inlineStr">
        <is>
          <t>Kaysun General Trading FZCO</t>
        </is>
      </c>
      <c r="B49" s="26" t="inlineStr">
        <is>
          <t>MJIL/SO/26029769</t>
        </is>
      </c>
      <c r="C49" s="26" t="inlineStr">
        <is>
          <t>MJ-045/26-27</t>
        </is>
      </c>
      <c r="D49" s="82" t="n">
        <v>46281</v>
      </c>
      <c r="E49" s="83">
        <f>IF(ISNUMBER($D49),EOMONTH($D49,-1)+1,"")</f>
        <v/>
      </c>
      <c r="F49" s="82" t="n">
        <v>46281</v>
      </c>
      <c r="G49" s="26" t="n">
        <v>23441</v>
      </c>
      <c r="H49" s="26">
        <f>B49&amp;I49</f>
        <v/>
      </c>
      <c r="I49" s="26" t="inlineStr">
        <is>
          <t>CHAYA STRAWBERRY 24/25 DC ENV TBGS</t>
        </is>
      </c>
      <c r="J49" s="30" t="inlineStr">
        <is>
          <t>CONSTANTA ENV</t>
        </is>
      </c>
      <c r="K49" s="26">
        <f>J49&amp;"-"&amp;TEXT(W49,"dd-mmm-yy")</f>
        <v/>
      </c>
      <c r="L49" s="26">
        <f>IFERROR(VLOOKUP($M49,'ITEM MASTER'!E:H,4,0),"")</f>
        <v/>
      </c>
      <c r="M49" s="26">
        <f>IFERROR(VLOOKUP($I49,'ITEM MASTER'!B:E,4,0),"")</f>
        <v/>
      </c>
      <c r="N49" s="26">
        <f>IFERROR(VLOOKUP($I49,'ITEM MASTER'!B:F,5,0),0)</f>
        <v/>
      </c>
      <c r="O49" s="26">
        <f>IFERROR(VLOOKUP($M49,'TBGS PER CTN'!B:C,2,0),0)</f>
        <v/>
      </c>
      <c r="P49" s="26" t="n">
        <v>1550</v>
      </c>
      <c r="Q49" s="26" t="n">
        <v>0</v>
      </c>
      <c r="R49" s="26" t="n">
        <v>1550</v>
      </c>
      <c r="S49" s="26">
        <f>Q49+R49</f>
        <v/>
      </c>
      <c r="T49" s="29" t="n">
        <v>0</v>
      </c>
      <c r="U49" s="29">
        <f>N49*O49*T49</f>
        <v/>
      </c>
      <c r="V49" s="82">
        <f>IF(ISNUMBER($D49),$D49-WEEKDAY($D49,3),'ORDER VS WEEK DISTRIBUTION'!$G$500)</f>
        <v/>
      </c>
      <c r="W49" s="82">
        <f>MAX($V49,'ORDER VS WEEK DISTRIBUTION'!$G$500)</f>
        <v/>
      </c>
      <c r="X49" s="26">
        <f>IFERROR(VLOOKUP($J49,'ORDER VS WEEK DISTRIBUTION'!$T:$U,2,0),"")</f>
        <v/>
      </c>
      <c r="Y49" s="26">
        <f>IFERROR($T49/IF(IFERROR(VLOOKUP($I49,'ITEM CFC PER CONTAINER'!$A:$B,2,0),0)&gt;0,VLOOKUP($I49,'ITEM CFC PER CONTAINER'!$A:$B,2,0),VLOOKUP($X49,'MC MASTER'!$A:$Q,16,0)),"")</f>
        <v/>
      </c>
    </row>
    <row r="50" ht="15" customHeight="1" s="5">
      <c r="A50" s="26" t="inlineStr">
        <is>
          <t>Kaysun General Trading FZCO</t>
        </is>
      </c>
      <c r="B50" s="26" t="inlineStr">
        <is>
          <t>MJIL/SO/26029769</t>
        </is>
      </c>
      <c r="C50" s="26" t="inlineStr">
        <is>
          <t>MJ-045/26-27</t>
        </is>
      </c>
      <c r="D50" s="82" t="n">
        <v>46281</v>
      </c>
      <c r="E50" s="83">
        <f>IF(ISNUMBER($D50),EOMONTH($D50,-1)+1,"")</f>
        <v/>
      </c>
      <c r="F50" s="82" t="n">
        <v>46281</v>
      </c>
      <c r="G50" s="26" t="n">
        <v>26187</v>
      </c>
      <c r="H50" s="26">
        <f>B50&amp;I50</f>
        <v/>
      </c>
      <c r="I50" s="26" t="inlineStr">
        <is>
          <t>CHAYA COCKTAIL 24/25 DC ENV TBGS</t>
        </is>
      </c>
      <c r="J50" s="30" t="inlineStr">
        <is>
          <t>CONSTANTA ENV</t>
        </is>
      </c>
      <c r="K50" s="26">
        <f>J50&amp;"-"&amp;TEXT(W50,"dd-mmm-yy")</f>
        <v/>
      </c>
      <c r="L50" s="26">
        <f>IFERROR(VLOOKUP($M50,'ITEM MASTER'!E:H,4,0),"")</f>
        <v/>
      </c>
      <c r="M50" s="26">
        <f>IFERROR(VLOOKUP($I50,'ITEM MASTER'!B:E,4,0),"")</f>
        <v/>
      </c>
      <c r="N50" s="26">
        <f>IFERROR(VLOOKUP($I50,'ITEM MASTER'!B:F,5,0),0)</f>
        <v/>
      </c>
      <c r="O50" s="26">
        <f>IFERROR(VLOOKUP($M50,'TBGS PER CTN'!B:C,2,0),0)</f>
        <v/>
      </c>
      <c r="P50" s="26" t="n">
        <v>1550</v>
      </c>
      <c r="Q50" s="26" t="n">
        <v>0</v>
      </c>
      <c r="R50" s="26" t="n">
        <v>197</v>
      </c>
      <c r="S50" s="26">
        <f>Q50+R50</f>
        <v/>
      </c>
      <c r="T50" s="29" t="n">
        <v>1353</v>
      </c>
      <c r="U50" s="29">
        <f>N50*O50*T50</f>
        <v/>
      </c>
      <c r="V50" s="82">
        <f>IF(ISNUMBER($D50),$D50-WEEKDAY($D50,3),'ORDER VS WEEK DISTRIBUTION'!$G$500)</f>
        <v/>
      </c>
      <c r="W50" s="82">
        <f>MAX($V50,'ORDER VS WEEK DISTRIBUTION'!$G$500)</f>
        <v/>
      </c>
      <c r="X50" s="26">
        <f>IFERROR(VLOOKUP($J50,'ORDER VS WEEK DISTRIBUTION'!$T:$U,2,0),"")</f>
        <v/>
      </c>
      <c r="Y50" s="26">
        <f>IFERROR($T50/IF(IFERROR(VLOOKUP($I50,'ITEM CFC PER CONTAINER'!$A:$B,2,0),0)&gt;0,VLOOKUP($I50,'ITEM CFC PER CONTAINER'!$A:$B,2,0),VLOOKUP($X50,'MC MASTER'!$A:$Q,16,0)),"")</f>
        <v/>
      </c>
    </row>
    <row r="51" ht="15" customHeight="1" s="5">
      <c r="A51" s="26" t="inlineStr">
        <is>
          <t>Kaysun General Trading FZCO</t>
        </is>
      </c>
      <c r="B51" s="26" t="inlineStr">
        <is>
          <t>MJIL/SO/26029769</t>
        </is>
      </c>
      <c r="C51" s="26" t="inlineStr">
        <is>
          <t>MJ-045/26-27</t>
        </is>
      </c>
      <c r="D51" s="82" t="n">
        <v>46281</v>
      </c>
      <c r="E51" s="83">
        <f>IF(ISNUMBER($D51),EOMONTH($D51,-1)+1,"")</f>
        <v/>
      </c>
      <c r="F51" s="82" t="n">
        <v>46281</v>
      </c>
      <c r="G51" s="26" t="n">
        <v>23444</v>
      </c>
      <c r="H51" s="26">
        <f>B51&amp;I51</f>
        <v/>
      </c>
      <c r="I51" s="26" t="inlineStr">
        <is>
          <t>CHAYA MINT 24/25 DC ENV TBGS</t>
        </is>
      </c>
      <c r="J51" s="30" t="inlineStr">
        <is>
          <t>CONSTANTA ENV</t>
        </is>
      </c>
      <c r="K51" s="26">
        <f>J51&amp;"-"&amp;TEXT(W51,"dd-mmm-yy")</f>
        <v/>
      </c>
      <c r="L51" s="26">
        <f>IFERROR(VLOOKUP($M51,'ITEM MASTER'!E:H,4,0),"")</f>
        <v/>
      </c>
      <c r="M51" s="26">
        <f>IFERROR(VLOOKUP($I51,'ITEM MASTER'!B:E,4,0),"")</f>
        <v/>
      </c>
      <c r="N51" s="26">
        <f>IFERROR(VLOOKUP($I51,'ITEM MASTER'!B:F,5,0),0)</f>
        <v/>
      </c>
      <c r="O51" s="26">
        <f>IFERROR(VLOOKUP($M51,'TBGS PER CTN'!B:C,2,0),0)</f>
        <v/>
      </c>
      <c r="P51" s="26" t="n">
        <v>1050</v>
      </c>
      <c r="Q51" s="26" t="n">
        <v>0</v>
      </c>
      <c r="R51" s="26" t="n">
        <v>974</v>
      </c>
      <c r="S51" s="26">
        <f>Q51+R51</f>
        <v/>
      </c>
      <c r="T51" s="29" t="n">
        <v>76</v>
      </c>
      <c r="U51" s="29">
        <f>N51*O51*T51</f>
        <v/>
      </c>
      <c r="V51" s="82">
        <f>IF(ISNUMBER($D51),$D51-WEEKDAY($D51,3),'ORDER VS WEEK DISTRIBUTION'!$G$500)</f>
        <v/>
      </c>
      <c r="W51" s="82">
        <f>MAX($V51,'ORDER VS WEEK DISTRIBUTION'!$G$500)</f>
        <v/>
      </c>
      <c r="X51" s="26">
        <f>IFERROR(VLOOKUP($J51,'ORDER VS WEEK DISTRIBUTION'!$T:$U,2,0),"")</f>
        <v/>
      </c>
      <c r="Y51" s="26">
        <f>IFERROR($T51/IF(IFERROR(VLOOKUP($I51,'ITEM CFC PER CONTAINER'!$A:$B,2,0),0)&gt;0,VLOOKUP($I51,'ITEM CFC PER CONTAINER'!$A:$B,2,0),VLOOKUP($X51,'MC MASTER'!$A:$Q,16,0)),"")</f>
        <v/>
      </c>
    </row>
    <row r="52" ht="15" customHeight="1" s="5">
      <c r="A52" s="26" t="inlineStr">
        <is>
          <t>Kaysun General Trading FZCO</t>
        </is>
      </c>
      <c r="B52" s="26" t="inlineStr">
        <is>
          <t>MJIL/SO/26029769</t>
        </is>
      </c>
      <c r="C52" s="26" t="inlineStr">
        <is>
          <t>MJ-045/26-27</t>
        </is>
      </c>
      <c r="D52" s="82" t="n">
        <v>46281</v>
      </c>
      <c r="E52" s="83">
        <f>IF(ISNUMBER($D52),EOMONTH($D52,-1)+1,"")</f>
        <v/>
      </c>
      <c r="F52" s="82" t="n">
        <v>46281</v>
      </c>
      <c r="G52" s="26" t="n">
        <v>23447</v>
      </c>
      <c r="H52" s="26">
        <f>B52&amp;I52</f>
        <v/>
      </c>
      <c r="I52" s="26" t="inlineStr">
        <is>
          <t>CHAYA PINEAPPLE 24/25 DC ENV TBGS</t>
        </is>
      </c>
      <c r="J52" s="30" t="inlineStr">
        <is>
          <t>CONSTANTA ENV</t>
        </is>
      </c>
      <c r="K52" s="26">
        <f>J52&amp;"-"&amp;TEXT(W52,"dd-mmm-yy")</f>
        <v/>
      </c>
      <c r="L52" s="26">
        <f>IFERROR(VLOOKUP($M52,'ITEM MASTER'!E:H,4,0),"")</f>
        <v/>
      </c>
      <c r="M52" s="26">
        <f>IFERROR(VLOOKUP($I52,'ITEM MASTER'!B:E,4,0),"")</f>
        <v/>
      </c>
      <c r="N52" s="26">
        <f>IFERROR(VLOOKUP($I52,'ITEM MASTER'!B:F,5,0),0)</f>
        <v/>
      </c>
      <c r="O52" s="26">
        <f>IFERROR(VLOOKUP($M52,'TBGS PER CTN'!B:C,2,0),0)</f>
        <v/>
      </c>
      <c r="P52" s="26" t="n">
        <v>250</v>
      </c>
      <c r="Q52" s="26" t="n">
        <v>0</v>
      </c>
      <c r="R52" s="26" t="n">
        <v>0</v>
      </c>
      <c r="S52" s="26">
        <f>Q52+R52</f>
        <v/>
      </c>
      <c r="T52" s="29" t="n">
        <v>250</v>
      </c>
      <c r="U52" s="29">
        <f>N52*O52*T52</f>
        <v/>
      </c>
      <c r="V52" s="82">
        <f>IF(ISNUMBER($D52),$D52-WEEKDAY($D52,3),'ORDER VS WEEK DISTRIBUTION'!$G$500)</f>
        <v/>
      </c>
      <c r="W52" s="82">
        <f>MAX($V52,'ORDER VS WEEK DISTRIBUTION'!$G$500)</f>
        <v/>
      </c>
      <c r="X52" s="26">
        <f>IFERROR(VLOOKUP($J52,'ORDER VS WEEK DISTRIBUTION'!$T:$U,2,0),"")</f>
        <v/>
      </c>
      <c r="Y52" s="26">
        <f>IFERROR($T52/IF(IFERROR(VLOOKUP($I52,'ITEM CFC PER CONTAINER'!$A:$B,2,0),0)&gt;0,VLOOKUP($I52,'ITEM CFC PER CONTAINER'!$A:$B,2,0),VLOOKUP($X52,'MC MASTER'!$A:$Q,16,0)),"")</f>
        <v/>
      </c>
    </row>
    <row r="53" ht="15" customHeight="1" s="5">
      <c r="A53" s="26" t="inlineStr">
        <is>
          <t>Kaysun General Trading FZCO</t>
        </is>
      </c>
      <c r="B53" s="26" t="inlineStr">
        <is>
          <t>MJIL/SO/26029769</t>
        </is>
      </c>
      <c r="C53" s="26" t="inlineStr">
        <is>
          <t>MJ-045/26-27</t>
        </is>
      </c>
      <c r="D53" s="82" t="n">
        <v>46281</v>
      </c>
      <c r="E53" s="83">
        <f>IF(ISNUMBER($D53),EOMONTH($D53,-1)+1,"")</f>
        <v/>
      </c>
      <c r="F53" s="82" t="n">
        <v>46281</v>
      </c>
      <c r="G53" s="26" t="n">
        <v>23445</v>
      </c>
      <c r="H53" s="26">
        <f>B53&amp;I53</f>
        <v/>
      </c>
      <c r="I53" s="26" t="inlineStr">
        <is>
          <t>CHAYA GINGER 24/25 DC ENV TBGS</t>
        </is>
      </c>
      <c r="J53" s="30" t="inlineStr">
        <is>
          <t>CONSTANTA ENV</t>
        </is>
      </c>
      <c r="K53" s="26">
        <f>J53&amp;"-"&amp;TEXT(W53,"dd-mmm-yy")</f>
        <v/>
      </c>
      <c r="L53" s="26">
        <f>IFERROR(VLOOKUP($M53,'ITEM MASTER'!E:H,4,0),"")</f>
        <v/>
      </c>
      <c r="M53" s="26">
        <f>IFERROR(VLOOKUP($I53,'ITEM MASTER'!B:E,4,0),"")</f>
        <v/>
      </c>
      <c r="N53" s="26">
        <f>IFERROR(VLOOKUP($I53,'ITEM MASTER'!B:F,5,0),0)</f>
        <v/>
      </c>
      <c r="O53" s="26">
        <f>IFERROR(VLOOKUP($M53,'TBGS PER CTN'!B:C,2,0),0)</f>
        <v/>
      </c>
      <c r="P53" s="26" t="n">
        <v>800</v>
      </c>
      <c r="Q53" s="26" t="n">
        <v>0</v>
      </c>
      <c r="R53" s="26" t="n">
        <v>167</v>
      </c>
      <c r="S53" s="26">
        <f>Q53+R53</f>
        <v/>
      </c>
      <c r="T53" s="29" t="n">
        <v>633</v>
      </c>
      <c r="U53" s="29">
        <f>N53*O53*T53</f>
        <v/>
      </c>
      <c r="V53" s="82">
        <f>IF(ISNUMBER($D53),$D53-WEEKDAY($D53,3),'ORDER VS WEEK DISTRIBUTION'!$G$500)</f>
        <v/>
      </c>
      <c r="W53" s="82">
        <f>MAX($V53,'ORDER VS WEEK DISTRIBUTION'!$G$500)</f>
        <v/>
      </c>
      <c r="X53" s="26">
        <f>IFERROR(VLOOKUP($J53,'ORDER VS WEEK DISTRIBUTION'!$T:$U,2,0),"")</f>
        <v/>
      </c>
      <c r="Y53" s="26">
        <f>IFERROR($T53/IF(IFERROR(VLOOKUP($I53,'ITEM CFC PER CONTAINER'!$A:$B,2,0),0)&gt;0,VLOOKUP($I53,'ITEM CFC PER CONTAINER'!$A:$B,2,0),VLOOKUP($X53,'MC MASTER'!$A:$Q,16,0)),"")</f>
        <v/>
      </c>
    </row>
    <row r="54" ht="15" customHeight="1" s="5">
      <c r="A54" s="26" t="inlineStr">
        <is>
          <t>Kaysun General Trading FZCO</t>
        </is>
      </c>
      <c r="B54" s="26" t="inlineStr">
        <is>
          <t>MJIL/SO/26029769</t>
        </is>
      </c>
      <c r="C54" s="26" t="inlineStr">
        <is>
          <t>MJ-045/26-27</t>
        </is>
      </c>
      <c r="D54" s="82" t="n">
        <v>46281</v>
      </c>
      <c r="E54" s="83">
        <f>IF(ISNUMBER($D54),EOMONTH($D54,-1)+1,"")</f>
        <v/>
      </c>
      <c r="F54" s="82" t="n">
        <v>46281</v>
      </c>
      <c r="G54" s="26" t="n">
        <v>23442</v>
      </c>
      <c r="H54" s="26">
        <f>B54&amp;I54</f>
        <v/>
      </c>
      <c r="I54" s="26" t="inlineStr">
        <is>
          <t>CHAYA LEMON 24/25 DC ENV TBGS</t>
        </is>
      </c>
      <c r="J54" s="30" t="inlineStr">
        <is>
          <t>CONSTANTA ENV</t>
        </is>
      </c>
      <c r="K54" s="26">
        <f>J54&amp;"-"&amp;TEXT(W54,"dd-mmm-yy")</f>
        <v/>
      </c>
      <c r="L54" s="26">
        <f>IFERROR(VLOOKUP($M54,'ITEM MASTER'!E:H,4,0),"")</f>
        <v/>
      </c>
      <c r="M54" s="26">
        <f>IFERROR(VLOOKUP($I54,'ITEM MASTER'!B:E,4,0),"")</f>
        <v/>
      </c>
      <c r="N54" s="26">
        <f>IFERROR(VLOOKUP($I54,'ITEM MASTER'!B:F,5,0),0)</f>
        <v/>
      </c>
      <c r="O54" s="26">
        <f>IFERROR(VLOOKUP($M54,'TBGS PER CTN'!B:C,2,0),0)</f>
        <v/>
      </c>
      <c r="P54" s="26" t="n">
        <v>800</v>
      </c>
      <c r="Q54" s="26" t="n">
        <v>0</v>
      </c>
      <c r="R54" s="26" t="n">
        <v>800</v>
      </c>
      <c r="S54" s="26">
        <f>Q54+R54</f>
        <v/>
      </c>
      <c r="T54" s="29" t="n">
        <v>0</v>
      </c>
      <c r="U54" s="29">
        <f>N54*O54*T54</f>
        <v/>
      </c>
      <c r="V54" s="82">
        <f>IF(ISNUMBER($D54),$D54-WEEKDAY($D54,3),'ORDER VS WEEK DISTRIBUTION'!$G$500)</f>
        <v/>
      </c>
      <c r="W54" s="82">
        <f>MAX($V54,'ORDER VS WEEK DISTRIBUTION'!$G$500)</f>
        <v/>
      </c>
      <c r="X54" s="26">
        <f>IFERROR(VLOOKUP($J54,'ORDER VS WEEK DISTRIBUTION'!$T:$U,2,0),"")</f>
        <v/>
      </c>
      <c r="Y54" s="26">
        <f>IFERROR($T54/IF(IFERROR(VLOOKUP($I54,'ITEM CFC PER CONTAINER'!$A:$B,2,0),0)&gt;0,VLOOKUP($I54,'ITEM CFC PER CONTAINER'!$A:$B,2,0),VLOOKUP($X54,'MC MASTER'!$A:$Q,16,0)),"")</f>
        <v/>
      </c>
    </row>
    <row r="55" ht="15" customHeight="1" s="5">
      <c r="A55" s="26" t="inlineStr">
        <is>
          <t>Kaysun General Trading FZCO</t>
        </is>
      </c>
      <c r="B55" s="26" t="inlineStr">
        <is>
          <t>MJIL/SO/26029778</t>
        </is>
      </c>
      <c r="C55" s="26" t="inlineStr">
        <is>
          <t>MJ-046/26-27</t>
        </is>
      </c>
      <c r="D55" s="82" t="n">
        <v>46281</v>
      </c>
      <c r="E55" s="83">
        <f>IF(ISNUMBER($D55),EOMONTH($D55,-1)+1,"")</f>
        <v/>
      </c>
      <c r="F55" s="82" t="n">
        <v>46281</v>
      </c>
      <c r="G55" s="26" t="n">
        <v>23443</v>
      </c>
      <c r="H55" s="26">
        <f>B55&amp;I55</f>
        <v/>
      </c>
      <c r="I55" s="26" t="inlineStr">
        <is>
          <t>CHAYA ORANGE 24/25 DC ENV TBGS</t>
        </is>
      </c>
      <c r="J55" s="30" t="inlineStr">
        <is>
          <t>CONSTANTA ENV</t>
        </is>
      </c>
      <c r="K55" s="26">
        <f>J55&amp;"-"&amp;TEXT(W55,"dd-mmm-yy")</f>
        <v/>
      </c>
      <c r="L55" s="26">
        <f>IFERROR(VLOOKUP($M55,'ITEM MASTER'!E:H,4,0),"")</f>
        <v/>
      </c>
      <c r="M55" s="26">
        <f>IFERROR(VLOOKUP($I55,'ITEM MASTER'!B:E,4,0),"")</f>
        <v/>
      </c>
      <c r="N55" s="26">
        <f>IFERROR(VLOOKUP($I55,'ITEM MASTER'!B:F,5,0),0)</f>
        <v/>
      </c>
      <c r="O55" s="26">
        <f>IFERROR(VLOOKUP($M55,'TBGS PER CTN'!B:C,2,0),0)</f>
        <v/>
      </c>
      <c r="P55" s="26" t="n">
        <v>800</v>
      </c>
      <c r="Q55" s="26" t="n">
        <v>0</v>
      </c>
      <c r="R55" s="26" t="n">
        <v>0</v>
      </c>
      <c r="S55" s="26">
        <f>Q55+R55</f>
        <v/>
      </c>
      <c r="T55" s="29" t="n">
        <v>800</v>
      </c>
      <c r="U55" s="29">
        <f>N55*O55*T55</f>
        <v/>
      </c>
      <c r="V55" s="82">
        <f>IF(ISNUMBER($D55),$D55-WEEKDAY($D55,3),'ORDER VS WEEK DISTRIBUTION'!$G$500)</f>
        <v/>
      </c>
      <c r="W55" s="82">
        <f>MAX($V55,'ORDER VS WEEK DISTRIBUTION'!$G$500)</f>
        <v/>
      </c>
      <c r="X55" s="26">
        <f>IFERROR(VLOOKUP($J55,'ORDER VS WEEK DISTRIBUTION'!$T:$U,2,0),"")</f>
        <v/>
      </c>
      <c r="Y55" s="26">
        <f>IFERROR($T55/IF(IFERROR(VLOOKUP($I55,'ITEM CFC PER CONTAINER'!$A:$B,2,0),0)&gt;0,VLOOKUP($I55,'ITEM CFC PER CONTAINER'!$A:$B,2,0),VLOOKUP($X55,'MC MASTER'!$A:$Q,16,0)),"")</f>
        <v/>
      </c>
    </row>
    <row r="56" ht="15" customHeight="1" s="5">
      <c r="A56" s="26" t="inlineStr">
        <is>
          <t>Kaysun General Trading FZCO</t>
        </is>
      </c>
      <c r="B56" s="26" t="inlineStr">
        <is>
          <t>MJIL/SO/26029778</t>
        </is>
      </c>
      <c r="C56" s="26" t="inlineStr">
        <is>
          <t>MJ-046/26-27</t>
        </is>
      </c>
      <c r="D56" s="82" t="n">
        <v>46281</v>
      </c>
      <c r="E56" s="83">
        <f>IF(ISNUMBER($D56),EOMONTH($D56,-1)+1,"")</f>
        <v/>
      </c>
      <c r="F56" s="82" t="n">
        <v>46281</v>
      </c>
      <c r="G56" s="26" t="n">
        <v>23442</v>
      </c>
      <c r="H56" s="26">
        <f>B56&amp;I56</f>
        <v/>
      </c>
      <c r="I56" s="26" t="inlineStr">
        <is>
          <t>CHAYA LEMON 24/25 DC ENV TBGS</t>
        </is>
      </c>
      <c r="J56" s="30" t="inlineStr">
        <is>
          <t>CONSTANTA ENV</t>
        </is>
      </c>
      <c r="K56" s="26">
        <f>J56&amp;"-"&amp;TEXT(W56,"dd-mmm-yy")</f>
        <v/>
      </c>
      <c r="L56" s="26">
        <f>IFERROR(VLOOKUP($M56,'ITEM MASTER'!E:H,4,0),"")</f>
        <v/>
      </c>
      <c r="M56" s="26">
        <f>IFERROR(VLOOKUP($I56,'ITEM MASTER'!B:E,4,0),"")</f>
        <v/>
      </c>
      <c r="N56" s="26">
        <f>IFERROR(VLOOKUP($I56,'ITEM MASTER'!B:F,5,0),0)</f>
        <v/>
      </c>
      <c r="O56" s="26">
        <f>IFERROR(VLOOKUP($M56,'TBGS PER CTN'!B:C,2,0),0)</f>
        <v/>
      </c>
      <c r="P56" s="26" t="n">
        <v>950</v>
      </c>
      <c r="Q56" s="26" t="n">
        <v>0</v>
      </c>
      <c r="R56" s="26" t="n">
        <v>646</v>
      </c>
      <c r="S56" s="26">
        <f>Q56+R56</f>
        <v/>
      </c>
      <c r="T56" s="29" t="n">
        <v>304</v>
      </c>
      <c r="U56" s="29">
        <f>N56*O56*T56</f>
        <v/>
      </c>
      <c r="V56" s="82">
        <f>IF(ISNUMBER($D56),$D56-WEEKDAY($D56,3),'ORDER VS WEEK DISTRIBUTION'!$G$500)</f>
        <v/>
      </c>
      <c r="W56" s="82">
        <f>MAX($V56,'ORDER VS WEEK DISTRIBUTION'!$G$500)</f>
        <v/>
      </c>
      <c r="X56" s="26">
        <f>IFERROR(VLOOKUP($J56,'ORDER VS WEEK DISTRIBUTION'!$T:$U,2,0),"")</f>
        <v/>
      </c>
      <c r="Y56" s="26">
        <f>IFERROR($T56/IF(IFERROR(VLOOKUP($I56,'ITEM CFC PER CONTAINER'!$A:$B,2,0),0)&gt;0,VLOOKUP($I56,'ITEM CFC PER CONTAINER'!$A:$B,2,0),VLOOKUP($X56,'MC MASTER'!$A:$Q,16,0)),"")</f>
        <v/>
      </c>
    </row>
    <row r="57" ht="15" customHeight="1" s="5">
      <c r="A57" s="26" t="inlineStr">
        <is>
          <t>Kaysun General Trading FZCO</t>
        </is>
      </c>
      <c r="B57" s="26" t="inlineStr">
        <is>
          <t>MJIL/SO/26029778</t>
        </is>
      </c>
      <c r="C57" s="26" t="inlineStr">
        <is>
          <t>MJ-046/26-27</t>
        </is>
      </c>
      <c r="D57" s="82" t="n">
        <v>46281</v>
      </c>
      <c r="E57" s="83">
        <f>IF(ISNUMBER($D57),EOMONTH($D57,-1)+1,"")</f>
        <v/>
      </c>
      <c r="F57" s="82" t="n">
        <v>46281</v>
      </c>
      <c r="G57" s="26" t="n">
        <v>23441</v>
      </c>
      <c r="H57" s="26">
        <f>B57&amp;I57</f>
        <v/>
      </c>
      <c r="I57" s="26" t="inlineStr">
        <is>
          <t>CHAYA STRAWBERRY 24/25 DC ENV TBGS</t>
        </is>
      </c>
      <c r="J57" s="30" t="inlineStr">
        <is>
          <t>CONSTANTA ENV</t>
        </is>
      </c>
      <c r="K57" s="26">
        <f>J57&amp;"-"&amp;TEXT(W57,"dd-mmm-yy")</f>
        <v/>
      </c>
      <c r="L57" s="26">
        <f>IFERROR(VLOOKUP($M57,'ITEM MASTER'!E:H,4,0),"")</f>
        <v/>
      </c>
      <c r="M57" s="26">
        <f>IFERROR(VLOOKUP($I57,'ITEM MASTER'!B:E,4,0),"")</f>
        <v/>
      </c>
      <c r="N57" s="26">
        <f>IFERROR(VLOOKUP($I57,'ITEM MASTER'!B:F,5,0),0)</f>
        <v/>
      </c>
      <c r="O57" s="26">
        <f>IFERROR(VLOOKUP($M57,'TBGS PER CTN'!B:C,2,0),0)</f>
        <v/>
      </c>
      <c r="P57" s="26" t="n">
        <v>1200</v>
      </c>
      <c r="Q57" s="26" t="n">
        <v>0</v>
      </c>
      <c r="R57" s="26" t="n">
        <v>1200</v>
      </c>
      <c r="S57" s="26">
        <f>Q57+R57</f>
        <v/>
      </c>
      <c r="T57" s="29" t="n">
        <v>0</v>
      </c>
      <c r="U57" s="29">
        <f>N57*O57*T57</f>
        <v/>
      </c>
      <c r="V57" s="82">
        <f>IF(ISNUMBER($D57),$D57-WEEKDAY($D57,3),'ORDER VS WEEK DISTRIBUTION'!$G$500)</f>
        <v/>
      </c>
      <c r="W57" s="82">
        <f>MAX($V57,'ORDER VS WEEK DISTRIBUTION'!$G$500)</f>
        <v/>
      </c>
      <c r="X57" s="26">
        <f>IFERROR(VLOOKUP($J57,'ORDER VS WEEK DISTRIBUTION'!$T:$U,2,0),"")</f>
        <v/>
      </c>
      <c r="Y57" s="26">
        <f>IFERROR($T57/IF(IFERROR(VLOOKUP($I57,'ITEM CFC PER CONTAINER'!$A:$B,2,0),0)&gt;0,VLOOKUP($I57,'ITEM CFC PER CONTAINER'!$A:$B,2,0),VLOOKUP($X57,'MC MASTER'!$A:$Q,16,0)),"")</f>
        <v/>
      </c>
    </row>
    <row r="58" ht="15" customHeight="1" s="5">
      <c r="A58" s="26" t="inlineStr">
        <is>
          <t>Kaysun General Trading FZCO</t>
        </is>
      </c>
      <c r="B58" s="26" t="inlineStr">
        <is>
          <t>MJIL/SO/26029778</t>
        </is>
      </c>
      <c r="C58" s="26" t="inlineStr">
        <is>
          <t>MJ-046/26-27</t>
        </is>
      </c>
      <c r="D58" s="82" t="n">
        <v>46281</v>
      </c>
      <c r="E58" s="83">
        <f>IF(ISNUMBER($D58),EOMONTH($D58,-1)+1,"")</f>
        <v/>
      </c>
      <c r="F58" s="82" t="n">
        <v>46281</v>
      </c>
      <c r="G58" s="26" t="n">
        <v>26187</v>
      </c>
      <c r="H58" s="26">
        <f>B58&amp;I58</f>
        <v/>
      </c>
      <c r="I58" s="26" t="inlineStr">
        <is>
          <t>CHAYA COCKTAIL 24/25 DC ENV TBGS</t>
        </is>
      </c>
      <c r="J58" s="30" t="inlineStr">
        <is>
          <t>CONSTANTA ENV</t>
        </is>
      </c>
      <c r="K58" s="26">
        <f>J58&amp;"-"&amp;TEXT(W58,"dd-mmm-yy")</f>
        <v/>
      </c>
      <c r="L58" s="26">
        <f>IFERROR(VLOOKUP($M58,'ITEM MASTER'!E:H,4,0),"")</f>
        <v/>
      </c>
      <c r="M58" s="26">
        <f>IFERROR(VLOOKUP($I58,'ITEM MASTER'!B:E,4,0),"")</f>
        <v/>
      </c>
      <c r="N58" s="26">
        <f>IFERROR(VLOOKUP($I58,'ITEM MASTER'!B:F,5,0),0)</f>
        <v/>
      </c>
      <c r="O58" s="26">
        <f>IFERROR(VLOOKUP($M58,'TBGS PER CTN'!B:C,2,0),0)</f>
        <v/>
      </c>
      <c r="P58" s="26" t="n">
        <v>1100</v>
      </c>
      <c r="Q58" s="26" t="n">
        <v>0</v>
      </c>
      <c r="R58" s="26" t="n">
        <v>0</v>
      </c>
      <c r="S58" s="26">
        <f>Q58+R58</f>
        <v/>
      </c>
      <c r="T58" s="29" t="n">
        <v>1100</v>
      </c>
      <c r="U58" s="29">
        <f>N58*O58*T58</f>
        <v/>
      </c>
      <c r="V58" s="82">
        <f>IF(ISNUMBER($D58),$D58-WEEKDAY($D58,3),'ORDER VS WEEK DISTRIBUTION'!$G$500)</f>
        <v/>
      </c>
      <c r="W58" s="82">
        <f>MAX($V58,'ORDER VS WEEK DISTRIBUTION'!$G$500)</f>
        <v/>
      </c>
      <c r="X58" s="26">
        <f>IFERROR(VLOOKUP($J58,'ORDER VS WEEK DISTRIBUTION'!$T:$U,2,0),"")</f>
        <v/>
      </c>
      <c r="Y58" s="26">
        <f>IFERROR($T58/IF(IFERROR(VLOOKUP($I58,'ITEM CFC PER CONTAINER'!$A:$B,2,0),0)&gt;0,VLOOKUP($I58,'ITEM CFC PER CONTAINER'!$A:$B,2,0),VLOOKUP($X58,'MC MASTER'!$A:$Q,16,0)),"")</f>
        <v/>
      </c>
    </row>
    <row r="59" ht="15" customHeight="1" s="5">
      <c r="A59" s="26" t="inlineStr">
        <is>
          <t>Kaysun General Trading FZCO</t>
        </is>
      </c>
      <c r="B59" s="26" t="inlineStr">
        <is>
          <t>MJIL/SO/26029778</t>
        </is>
      </c>
      <c r="C59" s="26" t="inlineStr">
        <is>
          <t>MJ-046/26-27</t>
        </is>
      </c>
      <c r="D59" s="82" t="n">
        <v>46281</v>
      </c>
      <c r="E59" s="83">
        <f>IF(ISNUMBER($D59),EOMONTH($D59,-1)+1,"")</f>
        <v/>
      </c>
      <c r="F59" s="82" t="n">
        <v>46281</v>
      </c>
      <c r="G59" s="26" t="n">
        <v>23444</v>
      </c>
      <c r="H59" s="26">
        <f>B59&amp;I59</f>
        <v/>
      </c>
      <c r="I59" s="26" t="inlineStr">
        <is>
          <t>CHAYA MINT 24/25 DC ENV TBGS</t>
        </is>
      </c>
      <c r="J59" s="30" t="inlineStr">
        <is>
          <t>CONSTANTA ENV</t>
        </is>
      </c>
      <c r="K59" s="26">
        <f>J59&amp;"-"&amp;TEXT(W59,"dd-mmm-yy")</f>
        <v/>
      </c>
      <c r="L59" s="26">
        <f>IFERROR(VLOOKUP($M59,'ITEM MASTER'!E:H,4,0),"")</f>
        <v/>
      </c>
      <c r="M59" s="26">
        <f>IFERROR(VLOOKUP($I59,'ITEM MASTER'!B:E,4,0),"")</f>
        <v/>
      </c>
      <c r="N59" s="26">
        <f>IFERROR(VLOOKUP($I59,'ITEM MASTER'!B:F,5,0),0)</f>
        <v/>
      </c>
      <c r="O59" s="26">
        <f>IFERROR(VLOOKUP($M59,'TBGS PER CTN'!B:C,2,0),0)</f>
        <v/>
      </c>
      <c r="P59" s="26" t="n">
        <v>1100</v>
      </c>
      <c r="Q59" s="26" t="n">
        <v>0</v>
      </c>
      <c r="R59" s="26" t="n">
        <v>0</v>
      </c>
      <c r="S59" s="26">
        <f>Q59+R59</f>
        <v/>
      </c>
      <c r="T59" s="29" t="n">
        <v>1100</v>
      </c>
      <c r="U59" s="29">
        <f>N59*O59*T59</f>
        <v/>
      </c>
      <c r="V59" s="82">
        <f>IF(ISNUMBER($D59),$D59-WEEKDAY($D59,3),'ORDER VS WEEK DISTRIBUTION'!$G$500)</f>
        <v/>
      </c>
      <c r="W59" s="82">
        <f>MAX($V59,'ORDER VS WEEK DISTRIBUTION'!$G$500)</f>
        <v/>
      </c>
      <c r="X59" s="26">
        <f>IFERROR(VLOOKUP($J59,'ORDER VS WEEK DISTRIBUTION'!$T:$U,2,0),"")</f>
        <v/>
      </c>
      <c r="Y59" s="26">
        <f>IFERROR($T59/IF(IFERROR(VLOOKUP($I59,'ITEM CFC PER CONTAINER'!$A:$B,2,0),0)&gt;0,VLOOKUP($I59,'ITEM CFC PER CONTAINER'!$A:$B,2,0),VLOOKUP($X59,'MC MASTER'!$A:$Q,16,0)),"")</f>
        <v/>
      </c>
    </row>
    <row r="60" ht="15" customHeight="1" s="5">
      <c r="A60" s="26" t="inlineStr">
        <is>
          <t>Kaysun General Trading FZCO</t>
        </is>
      </c>
      <c r="B60" s="26" t="inlineStr">
        <is>
          <t>MJIL/SO/26029778</t>
        </is>
      </c>
      <c r="C60" s="26" t="inlineStr">
        <is>
          <t>MJ-046/26-27</t>
        </is>
      </c>
      <c r="D60" s="82" t="n">
        <v>46281</v>
      </c>
      <c r="E60" s="83">
        <f>IF(ISNUMBER($D60),EOMONTH($D60,-1)+1,"")</f>
        <v/>
      </c>
      <c r="F60" s="82" t="n">
        <v>46281</v>
      </c>
      <c r="G60" s="26" t="n">
        <v>23445</v>
      </c>
      <c r="H60" s="26">
        <f>B60&amp;I60</f>
        <v/>
      </c>
      <c r="I60" s="26" t="inlineStr">
        <is>
          <t>CHAYA GINGER 24/25 DC ENV TBGS</t>
        </is>
      </c>
      <c r="J60" s="30" t="inlineStr">
        <is>
          <t>CONSTANTA ENV</t>
        </is>
      </c>
      <c r="K60" s="26">
        <f>J60&amp;"-"&amp;TEXT(W60,"dd-mmm-yy")</f>
        <v/>
      </c>
      <c r="L60" s="26">
        <f>IFERROR(VLOOKUP($M60,'ITEM MASTER'!E:H,4,0),"")</f>
        <v/>
      </c>
      <c r="M60" s="26">
        <f>IFERROR(VLOOKUP($I60,'ITEM MASTER'!B:E,4,0),"")</f>
        <v/>
      </c>
      <c r="N60" s="26">
        <f>IFERROR(VLOOKUP($I60,'ITEM MASTER'!B:F,5,0),0)</f>
        <v/>
      </c>
      <c r="O60" s="26">
        <f>IFERROR(VLOOKUP($M60,'TBGS PER CTN'!B:C,2,0),0)</f>
        <v/>
      </c>
      <c r="P60" s="26" t="n">
        <v>900</v>
      </c>
      <c r="Q60" s="26" t="n">
        <v>0</v>
      </c>
      <c r="R60" s="26" t="n">
        <v>0</v>
      </c>
      <c r="S60" s="26">
        <f>Q60+R60</f>
        <v/>
      </c>
      <c r="T60" s="29" t="n">
        <v>900</v>
      </c>
      <c r="U60" s="29">
        <f>N60*O60*T60</f>
        <v/>
      </c>
      <c r="V60" s="82">
        <f>IF(ISNUMBER($D60),$D60-WEEKDAY($D60,3),'ORDER VS WEEK DISTRIBUTION'!$G$500)</f>
        <v/>
      </c>
      <c r="W60" s="82">
        <f>MAX($V60,'ORDER VS WEEK DISTRIBUTION'!$G$500)</f>
        <v/>
      </c>
      <c r="X60" s="26">
        <f>IFERROR(VLOOKUP($J60,'ORDER VS WEEK DISTRIBUTION'!$T:$U,2,0),"")</f>
        <v/>
      </c>
      <c r="Y60" s="26">
        <f>IFERROR($T60/IF(IFERROR(VLOOKUP($I60,'ITEM CFC PER CONTAINER'!$A:$B,2,0),0)&gt;0,VLOOKUP($I60,'ITEM CFC PER CONTAINER'!$A:$B,2,0),VLOOKUP($X60,'MC MASTER'!$A:$Q,16,0)),"")</f>
        <v/>
      </c>
    </row>
    <row r="61" ht="15" customHeight="1" s="5">
      <c r="A61" s="26" t="inlineStr">
        <is>
          <t>Solis Intertrade Fzc</t>
        </is>
      </c>
      <c r="B61" s="26" t="inlineStr">
        <is>
          <t>MJIL/SO/26018149</t>
        </is>
      </c>
      <c r="C61" s="26" t="inlineStr">
        <is>
          <t>MJ-AB-003/26-27</t>
        </is>
      </c>
      <c r="D61" s="82" t="n">
        <v>46291</v>
      </c>
      <c r="E61" s="83">
        <f>IF(ISNUMBER($D61),EOMONTH($D61,-1)+1,"")</f>
        <v/>
      </c>
      <c r="F61" s="82" t="n">
        <v>46281</v>
      </c>
      <c r="G61" s="26" t="n">
        <v>32664</v>
      </c>
      <c r="H61" s="26">
        <f>B61&amp;I61</f>
        <v/>
      </c>
      <c r="I61" s="26" t="inlineStr">
        <is>
          <t>FG CTN AL FINA 100 DC ENV TBGS - HALAL (ABIDJAN)</t>
        </is>
      </c>
      <c r="J61" s="26" t="n"/>
      <c r="K61" s="26">
        <f>J61&amp;"-"&amp;TEXT(W61,"dd-mmm-yy")</f>
        <v/>
      </c>
      <c r="L61" s="26">
        <f>IFERROR(VLOOKUP($M61,'ITEM MASTER'!E:H,4,0),"")</f>
        <v/>
      </c>
      <c r="M61" s="26">
        <f>IFERROR(VLOOKUP($I61,'ITEM MASTER'!B:E,4,0),"")</f>
        <v/>
      </c>
      <c r="N61" s="26">
        <f>IFERROR(VLOOKUP($I61,'ITEM MASTER'!B:F,5,0),0)</f>
        <v/>
      </c>
      <c r="O61" s="26">
        <f>IFERROR(VLOOKUP($M61,'TBGS PER CTN'!B:C,2,0),0)</f>
        <v/>
      </c>
      <c r="P61" s="26" t="n">
        <v>893</v>
      </c>
      <c r="Q61" s="26" t="n">
        <v>0</v>
      </c>
      <c r="R61" s="26" t="n">
        <v>0</v>
      </c>
      <c r="S61" s="26">
        <f>Q61+R61</f>
        <v/>
      </c>
      <c r="T61" s="29" t="n">
        <v>893</v>
      </c>
      <c r="U61" s="29">
        <f>N61*O61*T61</f>
        <v/>
      </c>
      <c r="V61" s="82">
        <f>IF(ISNUMBER($D61),$D61-WEEKDAY($D61,3),'ORDER VS WEEK DISTRIBUTION'!$G$500)</f>
        <v/>
      </c>
      <c r="W61" s="82">
        <f>MAX($V61,'ORDER VS WEEK DISTRIBUTION'!$G$500)</f>
        <v/>
      </c>
      <c r="X61" s="26">
        <f>IFERROR(VLOOKUP($J61,'ORDER VS WEEK DISTRIBUTION'!$T:$U,2,0),"")</f>
        <v/>
      </c>
      <c r="Y61" s="26">
        <f>IFERROR($T61/IF(IFERROR(VLOOKUP($I61,'ITEM CFC PER CONTAINER'!$A:$B,2,0),0)&gt;0,VLOOKUP($I61,'ITEM CFC PER CONTAINER'!$A:$B,2,0),VLOOKUP($X61,'MC MASTER'!$A:$Q,16,0)),"")</f>
        <v/>
      </c>
    </row>
    <row r="62" ht="15" customHeight="1" s="5">
      <c r="A62" s="26" t="inlineStr">
        <is>
          <t>Solis Intertrade Fzc</t>
        </is>
      </c>
      <c r="B62" s="26" t="inlineStr">
        <is>
          <t>MJIL/SO/26018149</t>
        </is>
      </c>
      <c r="C62" s="26" t="inlineStr">
        <is>
          <t>MJ-AB-003/26-27</t>
        </is>
      </c>
      <c r="D62" s="82" t="n">
        <v>46291</v>
      </c>
      <c r="E62" s="83">
        <f>IF(ISNUMBER($D62),EOMONTH($D62,-1)+1,"")</f>
        <v/>
      </c>
      <c r="F62" s="82" t="n">
        <v>46281</v>
      </c>
      <c r="G62" s="26" t="n">
        <v>36156</v>
      </c>
      <c r="H62" s="26">
        <f>B62&amp;I62</f>
        <v/>
      </c>
      <c r="I62" s="26" t="inlineStr">
        <is>
          <t>FG ENV AL FINA DC ENV TBGS-HALAL (ABIDJAN) (1000 KGS / PALLET)</t>
        </is>
      </c>
      <c r="J62" s="26" t="n"/>
      <c r="K62" s="26">
        <f>J62&amp;"-"&amp;TEXT(W62,"dd-mmm-yy")</f>
        <v/>
      </c>
      <c r="L62" s="26">
        <f>IFERROR(VLOOKUP($M62,'ITEM MASTER'!E:H,4,0),"")</f>
        <v/>
      </c>
      <c r="M62" s="26">
        <f>IFERROR(VLOOKUP($I62,'ITEM MASTER'!B:E,4,0),"")</f>
        <v/>
      </c>
      <c r="N62" s="26">
        <f>IFERROR(VLOOKUP($I62,'ITEM MASTER'!B:F,5,0),0)</f>
        <v/>
      </c>
      <c r="O62" s="26">
        <f>IFERROR(VLOOKUP($M62,'TBGS PER CTN'!B:C,2,0),0)</f>
        <v/>
      </c>
      <c r="P62" s="26" t="n">
        <v>34</v>
      </c>
      <c r="Q62" s="26" t="n">
        <v>0</v>
      </c>
      <c r="R62" s="26" t="n">
        <v>0</v>
      </c>
      <c r="S62" s="26">
        <f>Q62+R62</f>
        <v/>
      </c>
      <c r="T62" s="29" t="n">
        <v>34</v>
      </c>
      <c r="U62" s="29">
        <f>N62*O62*T62</f>
        <v/>
      </c>
      <c r="V62" s="82">
        <f>IF(ISNUMBER($D62),$D62-WEEKDAY($D62,3),'ORDER VS WEEK DISTRIBUTION'!$G$500)</f>
        <v/>
      </c>
      <c r="W62" s="82">
        <f>MAX($V62,'ORDER VS WEEK DISTRIBUTION'!$G$500)</f>
        <v/>
      </c>
      <c r="X62" s="26">
        <f>IFERROR(VLOOKUP($J62,'ORDER VS WEEK DISTRIBUTION'!$T:$U,2,0),"")</f>
        <v/>
      </c>
      <c r="Y62" s="26">
        <f>IFERROR($T62/IF(IFERROR(VLOOKUP($I62,'ITEM CFC PER CONTAINER'!$A:$B,2,0),0)&gt;0,VLOOKUP($I62,'ITEM CFC PER CONTAINER'!$A:$B,2,0),VLOOKUP($X62,'MC MASTER'!$A:$Q,16,0)),"")</f>
        <v/>
      </c>
    </row>
    <row r="63" ht="15" customHeight="1" s="5">
      <c r="A63" s="26" t="inlineStr">
        <is>
          <t>Solis Intertrade Fzc</t>
        </is>
      </c>
      <c r="B63" s="26" t="inlineStr">
        <is>
          <t>MJIL/SO/26018149</t>
        </is>
      </c>
      <c r="C63" s="26" t="inlineStr">
        <is>
          <t>MJ-AB-003/26-27</t>
        </is>
      </c>
      <c r="D63" s="82" t="n">
        <v>46291</v>
      </c>
      <c r="E63" s="83">
        <f>IF(ISNUMBER($D63),EOMONTH($D63,-1)+1,"")</f>
        <v/>
      </c>
      <c r="F63" s="82" t="n">
        <v>46281</v>
      </c>
      <c r="G63" s="26" t="n">
        <v>22047</v>
      </c>
      <c r="H63" s="26">
        <f>B63&amp;I63</f>
        <v/>
      </c>
      <c r="I63" s="26" t="inlineStr">
        <is>
          <t>FG THREAD FOR TEABAGS</t>
        </is>
      </c>
      <c r="J63" s="26" t="n"/>
      <c r="K63" s="26">
        <f>J63&amp;"-"&amp;TEXT(W63,"dd-mmm-yy")</f>
        <v/>
      </c>
      <c r="L63" s="26">
        <f>IFERROR(VLOOKUP($M63,'ITEM MASTER'!E:H,4,0),"")</f>
        <v/>
      </c>
      <c r="M63" s="26">
        <f>IFERROR(VLOOKUP($I63,'ITEM MASTER'!B:E,4,0),"")</f>
        <v/>
      </c>
      <c r="N63" s="26">
        <f>IFERROR(VLOOKUP($I63,'ITEM MASTER'!B:F,5,0),0)</f>
        <v/>
      </c>
      <c r="O63" s="26">
        <f>IFERROR(VLOOKUP($M63,'TBGS PER CTN'!B:C,2,0),0)</f>
        <v/>
      </c>
      <c r="P63" s="26" t="n">
        <v>41</v>
      </c>
      <c r="Q63" s="26" t="n">
        <v>0</v>
      </c>
      <c r="R63" s="26" t="n">
        <v>32</v>
      </c>
      <c r="S63" s="26">
        <f>Q63+R63</f>
        <v/>
      </c>
      <c r="T63" s="29" t="n">
        <v>9</v>
      </c>
      <c r="U63" s="29">
        <f>N63*O63*T63</f>
        <v/>
      </c>
      <c r="V63" s="82">
        <f>IF(ISNUMBER($D63),$D63-WEEKDAY($D63,3),'ORDER VS WEEK DISTRIBUTION'!$G$500)</f>
        <v/>
      </c>
      <c r="W63" s="82">
        <f>MAX($V63,'ORDER VS WEEK DISTRIBUTION'!$G$500)</f>
        <v/>
      </c>
      <c r="X63" s="26">
        <f>IFERROR(VLOOKUP($J63,'ORDER VS WEEK DISTRIBUTION'!$T:$U,2,0),"")</f>
        <v/>
      </c>
      <c r="Y63" s="26">
        <f>IFERROR($T63/IF(IFERROR(VLOOKUP($I63,'ITEM CFC PER CONTAINER'!$A:$B,2,0),0)&gt;0,VLOOKUP($I63,'ITEM CFC PER CONTAINER'!$A:$B,2,0),VLOOKUP($X63,'MC MASTER'!$A:$Q,16,0)),"")</f>
        <v/>
      </c>
    </row>
    <row r="64" ht="15" customHeight="1" s="5">
      <c r="A64" s="26" t="inlineStr">
        <is>
          <t>Solis Intertrade Fzc</t>
        </is>
      </c>
      <c r="B64" s="26" t="inlineStr">
        <is>
          <t>MJIL/SO/26018149</t>
        </is>
      </c>
      <c r="C64" s="26" t="inlineStr">
        <is>
          <t>MJ-AB-003/26-27</t>
        </is>
      </c>
      <c r="D64" s="82" t="n">
        <v>46291</v>
      </c>
      <c r="E64" s="83">
        <f>IF(ISNUMBER($D64),EOMONTH($D64,-1)+1,"")</f>
        <v/>
      </c>
      <c r="F64" s="82" t="n">
        <v>46281</v>
      </c>
      <c r="G64" s="26" t="n">
        <v>32756</v>
      </c>
      <c r="H64" s="26">
        <f>B64&amp;I64</f>
        <v/>
      </c>
      <c r="I64" s="26" t="inlineStr">
        <is>
          <t>FG-ALUMINIUM WIRE (16 KGS)</t>
        </is>
      </c>
      <c r="J64" s="26" t="n"/>
      <c r="K64" s="26">
        <f>J64&amp;"-"&amp;TEXT(W64,"dd-mmm-yy")</f>
        <v/>
      </c>
      <c r="L64" s="26">
        <f>IFERROR(VLOOKUP($M64,'ITEM MASTER'!E:H,4,0),"")</f>
        <v/>
      </c>
      <c r="M64" s="26">
        <f>IFERROR(VLOOKUP($I64,'ITEM MASTER'!B:E,4,0),"")</f>
        <v/>
      </c>
      <c r="N64" s="26">
        <f>IFERROR(VLOOKUP($I64,'ITEM MASTER'!B:F,5,0),0)</f>
        <v/>
      </c>
      <c r="O64" s="26">
        <f>IFERROR(VLOOKUP($M64,'TBGS PER CTN'!B:C,2,0),0)</f>
        <v/>
      </c>
      <c r="P64" s="26" t="n">
        <v>33</v>
      </c>
      <c r="Q64" s="26" t="n">
        <v>0</v>
      </c>
      <c r="R64" s="26" t="n">
        <v>33</v>
      </c>
      <c r="S64" s="26">
        <f>Q64+R64</f>
        <v/>
      </c>
      <c r="T64" s="29" t="n">
        <v>0</v>
      </c>
      <c r="U64" s="29">
        <f>N64*O64*T64</f>
        <v/>
      </c>
      <c r="V64" s="82">
        <f>IF(ISNUMBER($D64),$D64-WEEKDAY($D64,3),'ORDER VS WEEK DISTRIBUTION'!$G$500)</f>
        <v/>
      </c>
      <c r="W64" s="82">
        <f>MAX($V64,'ORDER VS WEEK DISTRIBUTION'!$G$500)</f>
        <v/>
      </c>
      <c r="X64" s="26">
        <f>IFERROR(VLOOKUP($J64,'ORDER VS WEEK DISTRIBUTION'!$T:$U,2,0),"")</f>
        <v/>
      </c>
      <c r="Y64" s="26">
        <f>IFERROR($T64/IF(IFERROR(VLOOKUP($I64,'ITEM CFC PER CONTAINER'!$A:$B,2,0),0)&gt;0,VLOOKUP($I64,'ITEM CFC PER CONTAINER'!$A:$B,2,0),VLOOKUP($X64,'MC MASTER'!$A:$Q,16,0)),"")</f>
        <v/>
      </c>
    </row>
    <row r="65" ht="15" customHeight="1" s="5">
      <c r="A65" s="26" t="inlineStr">
        <is>
          <t>Solis Intertrade Fzc</t>
        </is>
      </c>
      <c r="B65" s="26" t="inlineStr">
        <is>
          <t>MJIL/SO/26018149</t>
        </is>
      </c>
      <c r="C65" s="26" t="inlineStr">
        <is>
          <t>MJ-AB-003/26-27</t>
        </is>
      </c>
      <c r="D65" s="82" t="n">
        <v>46291</v>
      </c>
      <c r="E65" s="83">
        <f>IF(ISNUMBER($D65),EOMONTH($D65,-1)+1,"")</f>
        <v/>
      </c>
      <c r="F65" s="82" t="n">
        <v>46281</v>
      </c>
      <c r="G65" s="26" t="n">
        <v>27730</v>
      </c>
      <c r="H65" s="26">
        <f>B65&amp;I65</f>
        <v/>
      </c>
      <c r="I65" s="26" t="inlineStr">
        <is>
          <t>FG BOPP FILM 270 MM (NEW)</t>
        </is>
      </c>
      <c r="J65" s="26" t="n"/>
      <c r="K65" s="26">
        <f>J65&amp;"-"&amp;TEXT(W65,"dd-mmm-yy")</f>
        <v/>
      </c>
      <c r="L65" s="26">
        <f>IFERROR(VLOOKUP($M65,'ITEM MASTER'!E:H,4,0),"")</f>
        <v/>
      </c>
      <c r="M65" s="26">
        <f>IFERROR(VLOOKUP($I65,'ITEM MASTER'!B:E,4,0),"")</f>
        <v/>
      </c>
      <c r="N65" s="26">
        <f>IFERROR(VLOOKUP($I65,'ITEM MASTER'!B:F,5,0),0)</f>
        <v/>
      </c>
      <c r="O65" s="26">
        <f>IFERROR(VLOOKUP($M65,'TBGS PER CTN'!B:C,2,0),0)</f>
        <v/>
      </c>
      <c r="P65" s="26" t="n">
        <v>85</v>
      </c>
      <c r="Q65" s="26" t="n">
        <v>0</v>
      </c>
      <c r="R65" s="26" t="n">
        <v>85</v>
      </c>
      <c r="S65" s="26">
        <f>Q65+R65</f>
        <v/>
      </c>
      <c r="T65" s="29" t="n">
        <v>0</v>
      </c>
      <c r="U65" s="29">
        <f>N65*O65*T65</f>
        <v/>
      </c>
      <c r="V65" s="82">
        <f>IF(ISNUMBER($D65),$D65-WEEKDAY($D65,3),'ORDER VS WEEK DISTRIBUTION'!$G$500)</f>
        <v/>
      </c>
      <c r="W65" s="82">
        <f>MAX($V65,'ORDER VS WEEK DISTRIBUTION'!$G$500)</f>
        <v/>
      </c>
      <c r="X65" s="26">
        <f>IFERROR(VLOOKUP($J65,'ORDER VS WEEK DISTRIBUTION'!$T:$U,2,0),"")</f>
        <v/>
      </c>
      <c r="Y65" s="26">
        <f>IFERROR($T65/IF(IFERROR(VLOOKUP($I65,'ITEM CFC PER CONTAINER'!$A:$B,2,0),0)&gt;0,VLOOKUP($I65,'ITEM CFC PER CONTAINER'!$A:$B,2,0),VLOOKUP($X65,'MC MASTER'!$A:$Q,16,0)),"")</f>
        <v/>
      </c>
    </row>
    <row r="66" ht="15" customHeight="1" s="5">
      <c r="A66" s="26" t="inlineStr">
        <is>
          <t>Dagab Inkop &amp; Logistik Ab</t>
        </is>
      </c>
      <c r="B66" s="26" t="inlineStr">
        <is>
          <t>MJIL/SO/26028089</t>
        </is>
      </c>
      <c r="C66" s="26" t="inlineStr">
        <is>
          <t>F338264426</t>
        </is>
      </c>
      <c r="D66" s="82" t="n">
        <v>46283</v>
      </c>
      <c r="E66" s="83">
        <f>IF(ISNUMBER($D66),EOMONTH($D66,-1)+1,"")</f>
        <v/>
      </c>
      <c r="F66" s="82" t="n">
        <v>46283</v>
      </c>
      <c r="G66" s="26" t="n">
        <v>1599</v>
      </c>
      <c r="H66" s="26">
        <f>B66&amp;I66</f>
        <v/>
      </c>
      <c r="I66" s="26" t="inlineStr">
        <is>
          <t>GARANT EARL GREY 12/150 GMS POUCH-100% RFA</t>
        </is>
      </c>
      <c r="J66" s="26" t="inlineStr">
        <is>
          <t>Pearl Pack-FFS POUCH</t>
        </is>
      </c>
      <c r="K66" s="26">
        <f>J66&amp;"-"&amp;TEXT(W66,"dd-mmm-yy")</f>
        <v/>
      </c>
      <c r="L66" s="26">
        <f>IFERROR(VLOOKUP($M66,'ITEM MASTER'!E:H,4,0),"")</f>
        <v/>
      </c>
      <c r="M66" s="26">
        <f>IFERROR(VLOOKUP($I66,'ITEM MASTER'!B:E,4,0),"")</f>
        <v/>
      </c>
      <c r="N66" s="26">
        <f>IFERROR(VLOOKUP($I66,'ITEM MASTER'!B:F,5,0),0)</f>
        <v/>
      </c>
      <c r="O66" s="26">
        <f>IFERROR(VLOOKUP($M66,'TBGS PER CTN'!B:C,2,0),0)</f>
        <v/>
      </c>
      <c r="P66" s="26" t="n">
        <v>4500</v>
      </c>
      <c r="Q66" s="26" t="n">
        <v>0</v>
      </c>
      <c r="R66" s="26" t="n">
        <v>4500</v>
      </c>
      <c r="S66" s="26">
        <f>Q66+R66</f>
        <v/>
      </c>
      <c r="T66" s="29" t="n">
        <v>0</v>
      </c>
      <c r="U66" s="29">
        <f>N66*O66*T66</f>
        <v/>
      </c>
      <c r="V66" s="82">
        <f>IF(ISNUMBER($D66),$D66-WEEKDAY($D66,3),'ORDER VS WEEK DISTRIBUTION'!$G$500)</f>
        <v/>
      </c>
      <c r="W66" s="82">
        <f>MAX($V66,'ORDER VS WEEK DISTRIBUTION'!$G$500)</f>
        <v/>
      </c>
      <c r="X66" s="26">
        <f>IFERROR(VLOOKUP($J66,'ORDER VS WEEK DISTRIBUTION'!$T:$U,2,0),"")</f>
        <v/>
      </c>
      <c r="Y66" s="26">
        <f>IFERROR($T66/IF(IFERROR(VLOOKUP($I66,'ITEM CFC PER CONTAINER'!$A:$B,2,0),0)&gt;0,VLOOKUP($I66,'ITEM CFC PER CONTAINER'!$A:$B,2,0),VLOOKUP($X66,'MC MASTER'!$A:$Q,16,0)),"")</f>
        <v/>
      </c>
    </row>
    <row r="67" ht="15" customHeight="1" s="5">
      <c r="A67" s="26" t="inlineStr">
        <is>
          <t>Dagab Inkop &amp; Logistik Ab</t>
        </is>
      </c>
      <c r="B67" s="26" t="inlineStr">
        <is>
          <t>MJIL/SO/26028090</t>
        </is>
      </c>
      <c r="C67" s="26" t="inlineStr">
        <is>
          <t>F338263942</t>
        </is>
      </c>
      <c r="D67" s="82" t="n">
        <v>46283</v>
      </c>
      <c r="E67" s="83">
        <f>IF(ISNUMBER($D67),EOMONTH($D67,-1)+1,"")</f>
        <v/>
      </c>
      <c r="F67" s="82" t="n">
        <v>46283</v>
      </c>
      <c r="G67" s="26" t="n">
        <v>1692</v>
      </c>
      <c r="H67" s="26">
        <f>B67&amp;I67</f>
        <v/>
      </c>
      <c r="I67" s="26" t="inlineStr">
        <is>
          <t>GARANT RHUBARBER 12/150 GMS POUCH-100% RFA</t>
        </is>
      </c>
      <c r="J67" s="26" t="inlineStr">
        <is>
          <t>Pearl Pack-FFS POUCH</t>
        </is>
      </c>
      <c r="K67" s="26">
        <f>J67&amp;"-"&amp;TEXT(W67,"dd-mmm-yy")</f>
        <v/>
      </c>
      <c r="L67" s="26">
        <f>IFERROR(VLOOKUP($M67,'ITEM MASTER'!E:H,4,0),"")</f>
        <v/>
      </c>
      <c r="M67" s="26">
        <f>IFERROR(VLOOKUP($I67,'ITEM MASTER'!B:E,4,0),"")</f>
        <v/>
      </c>
      <c r="N67" s="26">
        <f>IFERROR(VLOOKUP($I67,'ITEM MASTER'!B:F,5,0),0)</f>
        <v/>
      </c>
      <c r="O67" s="26">
        <f>IFERROR(VLOOKUP($M67,'TBGS PER CTN'!B:C,2,0),0)</f>
        <v/>
      </c>
      <c r="P67" s="26" t="n">
        <v>900</v>
      </c>
      <c r="Q67" s="26" t="n">
        <v>0</v>
      </c>
      <c r="R67" s="26" t="n">
        <v>900</v>
      </c>
      <c r="S67" s="26">
        <f>Q67+R67</f>
        <v/>
      </c>
      <c r="T67" s="29" t="n">
        <v>0</v>
      </c>
      <c r="U67" s="29">
        <f>N67*O67*T67</f>
        <v/>
      </c>
      <c r="V67" s="82">
        <f>IF(ISNUMBER($D67),$D67-WEEKDAY($D67,3),'ORDER VS WEEK DISTRIBUTION'!$G$500)</f>
        <v/>
      </c>
      <c r="W67" s="82">
        <f>MAX($V67,'ORDER VS WEEK DISTRIBUTION'!$G$500)</f>
        <v/>
      </c>
      <c r="X67" s="26">
        <f>IFERROR(VLOOKUP($J67,'ORDER VS WEEK DISTRIBUTION'!$T:$U,2,0),"")</f>
        <v/>
      </c>
      <c r="Y67" s="26">
        <f>IFERROR($T67/IF(IFERROR(VLOOKUP($I67,'ITEM CFC PER CONTAINER'!$A:$B,2,0),0)&gt;0,VLOOKUP($I67,'ITEM CFC PER CONTAINER'!$A:$B,2,0),VLOOKUP($X67,'MC MASTER'!$A:$Q,16,0)),"")</f>
        <v/>
      </c>
    </row>
    <row r="68" ht="15" customHeight="1" s="5">
      <c r="A68" s="26" t="inlineStr">
        <is>
          <t>Dagab Inkop &amp; Logistik Ab</t>
        </is>
      </c>
      <c r="B68" s="26" t="inlineStr">
        <is>
          <t>MJIL/SO/26028090</t>
        </is>
      </c>
      <c r="C68" s="26" t="inlineStr">
        <is>
          <t>F338263942</t>
        </is>
      </c>
      <c r="D68" s="82" t="n">
        <v>46283</v>
      </c>
      <c r="E68" s="83">
        <f>IF(ISNUMBER($D68),EOMONTH($D68,-1)+1,"")</f>
        <v/>
      </c>
      <c r="F68" s="82" t="n">
        <v>46283</v>
      </c>
      <c r="G68" s="26" t="n">
        <v>1637</v>
      </c>
      <c r="H68" s="26">
        <f>B68&amp;I68</f>
        <v/>
      </c>
      <c r="I68" s="26" t="inlineStr">
        <is>
          <t>GARANT GAMLA SODER 12/150 GMS POUCH-100% RFA</t>
        </is>
      </c>
      <c r="J68" s="26" t="inlineStr">
        <is>
          <t>Pearl Pack-FFS POUCH</t>
        </is>
      </c>
      <c r="K68" s="26">
        <f>J68&amp;"-"&amp;TEXT(W68,"dd-mmm-yy")</f>
        <v/>
      </c>
      <c r="L68" s="26">
        <f>IFERROR(VLOOKUP($M68,'ITEM MASTER'!E:H,4,0),"")</f>
        <v/>
      </c>
      <c r="M68" s="26">
        <f>IFERROR(VLOOKUP($I68,'ITEM MASTER'!B:E,4,0),"")</f>
        <v/>
      </c>
      <c r="N68" s="26">
        <f>IFERROR(VLOOKUP($I68,'ITEM MASTER'!B:F,5,0),0)</f>
        <v/>
      </c>
      <c r="O68" s="26">
        <f>IFERROR(VLOOKUP($M68,'TBGS PER CTN'!B:C,2,0),0)</f>
        <v/>
      </c>
      <c r="P68" s="26" t="n">
        <v>1800</v>
      </c>
      <c r="Q68" s="26" t="n">
        <v>0</v>
      </c>
      <c r="R68" s="26" t="n">
        <v>56</v>
      </c>
      <c r="S68" s="26">
        <f>Q68+R68</f>
        <v/>
      </c>
      <c r="T68" s="29" t="n">
        <v>1744</v>
      </c>
      <c r="U68" s="29">
        <f>N68*O68*T68</f>
        <v/>
      </c>
      <c r="V68" s="82">
        <f>IF(ISNUMBER($D68),$D68-WEEKDAY($D68,3),'ORDER VS WEEK DISTRIBUTION'!$G$500)</f>
        <v/>
      </c>
      <c r="W68" s="82">
        <f>MAX($V68,'ORDER VS WEEK DISTRIBUTION'!$G$500)</f>
        <v/>
      </c>
      <c r="X68" s="26">
        <f>IFERROR(VLOOKUP($J68,'ORDER VS WEEK DISTRIBUTION'!$T:$U,2,0),"")</f>
        <v/>
      </c>
      <c r="Y68" s="26">
        <f>IFERROR($T68/IF(IFERROR(VLOOKUP($I68,'ITEM CFC PER CONTAINER'!$A:$B,2,0),0)&gt;0,VLOOKUP($I68,'ITEM CFC PER CONTAINER'!$A:$B,2,0),VLOOKUP($X68,'MC MASTER'!$A:$Q,16,0)),"")</f>
        <v/>
      </c>
    </row>
    <row r="69" ht="15" customHeight="1" s="5">
      <c r="A69" s="26" t="inlineStr">
        <is>
          <t>Dagab Inkop &amp; Logistik Ab</t>
        </is>
      </c>
      <c r="B69" s="26" t="inlineStr">
        <is>
          <t>MJIL/SO/26028090</t>
        </is>
      </c>
      <c r="C69" s="26" t="inlineStr">
        <is>
          <t>F338263942</t>
        </is>
      </c>
      <c r="D69" s="82" t="n">
        <v>46283</v>
      </c>
      <c r="E69" s="83">
        <f>IF(ISNUMBER($D69),EOMONTH($D69,-1)+1,"")</f>
        <v/>
      </c>
      <c r="F69" s="82" t="n">
        <v>46283</v>
      </c>
      <c r="G69" s="26" t="n">
        <v>1646</v>
      </c>
      <c r="H69" s="26">
        <f>B69&amp;I69</f>
        <v/>
      </c>
      <c r="I69" s="26" t="inlineStr">
        <is>
          <t>GARANT GREEN CITRUS 12/150 GMS POUCH-100% RFA</t>
        </is>
      </c>
      <c r="J69" s="26" t="inlineStr">
        <is>
          <t>Pearl Pack-FFS POUCH</t>
        </is>
      </c>
      <c r="K69" s="26">
        <f>J69&amp;"-"&amp;TEXT(W69,"dd-mmm-yy")</f>
        <v/>
      </c>
      <c r="L69" s="26">
        <f>IFERROR(VLOOKUP($M69,'ITEM MASTER'!E:H,4,0),"")</f>
        <v/>
      </c>
      <c r="M69" s="26">
        <f>IFERROR(VLOOKUP($I69,'ITEM MASTER'!B:E,4,0),"")</f>
        <v/>
      </c>
      <c r="N69" s="26">
        <f>IFERROR(VLOOKUP($I69,'ITEM MASTER'!B:F,5,0),0)</f>
        <v/>
      </c>
      <c r="O69" s="26">
        <f>IFERROR(VLOOKUP($M69,'TBGS PER CTN'!B:C,2,0),0)</f>
        <v/>
      </c>
      <c r="P69" s="26" t="n">
        <v>900</v>
      </c>
      <c r="Q69" s="26" t="n">
        <v>0</v>
      </c>
      <c r="R69" s="26" t="n">
        <v>825</v>
      </c>
      <c r="S69" s="26">
        <f>Q69+R69</f>
        <v/>
      </c>
      <c r="T69" s="29" t="n">
        <v>75</v>
      </c>
      <c r="U69" s="29">
        <f>N69*O69*T69</f>
        <v/>
      </c>
      <c r="V69" s="82">
        <f>IF(ISNUMBER($D69),$D69-WEEKDAY($D69,3),'ORDER VS WEEK DISTRIBUTION'!$G$500)</f>
        <v/>
      </c>
      <c r="W69" s="82">
        <f>MAX($V69,'ORDER VS WEEK DISTRIBUTION'!$G$500)</f>
        <v/>
      </c>
      <c r="X69" s="26">
        <f>IFERROR(VLOOKUP($J69,'ORDER VS WEEK DISTRIBUTION'!$T:$U,2,0),"")</f>
        <v/>
      </c>
      <c r="Y69" s="26">
        <f>IFERROR($T69/IF(IFERROR(VLOOKUP($I69,'ITEM CFC PER CONTAINER'!$A:$B,2,0),0)&gt;0,VLOOKUP($I69,'ITEM CFC PER CONTAINER'!$A:$B,2,0),VLOOKUP($X69,'MC MASTER'!$A:$Q,16,0)),"")</f>
        <v/>
      </c>
    </row>
    <row r="70" ht="15" customHeight="1" s="5">
      <c r="A70" s="26" t="inlineStr">
        <is>
          <t>Dagab Inkop &amp; Logistik Ab</t>
        </is>
      </c>
      <c r="B70" s="26" t="inlineStr">
        <is>
          <t>MJIL/SO/26028090</t>
        </is>
      </c>
      <c r="C70" s="26" t="inlineStr">
        <is>
          <t>F338263942</t>
        </is>
      </c>
      <c r="D70" s="82" t="n">
        <v>46283</v>
      </c>
      <c r="E70" s="83">
        <f>IF(ISNUMBER($D70),EOMONTH($D70,-1)+1,"")</f>
        <v/>
      </c>
      <c r="F70" s="82" t="n">
        <v>46283</v>
      </c>
      <c r="G70" s="26" t="n">
        <v>1578</v>
      </c>
      <c r="H70" s="26">
        <f>B70&amp;I70</f>
        <v/>
      </c>
      <c r="I70" s="26" t="inlineStr">
        <is>
          <t>GARANT CHAI MASALA 12/150 GMS POUCH-100% RFA</t>
        </is>
      </c>
      <c r="J70" s="26" t="inlineStr">
        <is>
          <t>Pearl Pack-FFS POUCH</t>
        </is>
      </c>
      <c r="K70" s="26">
        <f>J70&amp;"-"&amp;TEXT(W70,"dd-mmm-yy")</f>
        <v/>
      </c>
      <c r="L70" s="26">
        <f>IFERROR(VLOOKUP($M70,'ITEM MASTER'!E:H,4,0),"")</f>
        <v/>
      </c>
      <c r="M70" s="26">
        <f>IFERROR(VLOOKUP($I70,'ITEM MASTER'!B:E,4,0),"")</f>
        <v/>
      </c>
      <c r="N70" s="26">
        <f>IFERROR(VLOOKUP($I70,'ITEM MASTER'!B:F,5,0),0)</f>
        <v/>
      </c>
      <c r="O70" s="26">
        <f>IFERROR(VLOOKUP($M70,'TBGS PER CTN'!B:C,2,0),0)</f>
        <v/>
      </c>
      <c r="P70" s="26" t="n">
        <v>900</v>
      </c>
      <c r="Q70" s="26" t="n">
        <v>0</v>
      </c>
      <c r="R70" s="26" t="n">
        <v>75</v>
      </c>
      <c r="S70" s="26">
        <f>Q70+R70</f>
        <v/>
      </c>
      <c r="T70" s="29" t="n">
        <v>825</v>
      </c>
      <c r="U70" s="29">
        <f>N70*O70*T70</f>
        <v/>
      </c>
      <c r="V70" s="82">
        <f>IF(ISNUMBER($D70),$D70-WEEKDAY($D70,3),'ORDER VS WEEK DISTRIBUTION'!$G$500)</f>
        <v/>
      </c>
      <c r="W70" s="82">
        <f>MAX($V70,'ORDER VS WEEK DISTRIBUTION'!$G$500)</f>
        <v/>
      </c>
      <c r="X70" s="26">
        <f>IFERROR(VLOOKUP($J70,'ORDER VS WEEK DISTRIBUTION'!$T:$U,2,0),"")</f>
        <v/>
      </c>
      <c r="Y70" s="26">
        <f>IFERROR($T70/IF(IFERROR(VLOOKUP($I70,'ITEM CFC PER CONTAINER'!$A:$B,2,0),0)&gt;0,VLOOKUP($I70,'ITEM CFC PER CONTAINER'!$A:$B,2,0),VLOOKUP($X70,'MC MASTER'!$A:$Q,16,0)),"")</f>
        <v/>
      </c>
    </row>
    <row r="71" ht="15" customHeight="1" s="5">
      <c r="A71" s="26" t="inlineStr">
        <is>
          <t>SUNRAJ GLOBAL FZC</t>
        </is>
      </c>
      <c r="B71" s="26" t="inlineStr">
        <is>
          <t>MJIL/SO/26022293</t>
        </is>
      </c>
      <c r="C71" s="26" t="inlineStr">
        <is>
          <t>MJSUN/26-27/02</t>
        </is>
      </c>
      <c r="D71" s="82" t="n">
        <v>46295</v>
      </c>
      <c r="E71" s="83">
        <f>IF(ISNUMBER($D71),EOMONTH($D71,-1)+1,"")</f>
        <v/>
      </c>
      <c r="F71" s="82" t="n">
        <v>46284</v>
      </c>
      <c r="G71" s="26" t="n">
        <v>31683</v>
      </c>
      <c r="H71" s="26">
        <f>B71&amp;I71</f>
        <v/>
      </c>
      <c r="I71" s="26" t="inlineStr">
        <is>
          <t>STD:A132 BULK, 30 KGS</t>
        </is>
      </c>
      <c r="J71" s="26" t="n"/>
      <c r="K71" s="26">
        <f>J71&amp;"-"&amp;TEXT(W71,"dd-mmm-yy")</f>
        <v/>
      </c>
      <c r="L71" s="26">
        <f>IFERROR(VLOOKUP($M71,'ITEM MASTER'!E:H,4,0),"")</f>
        <v/>
      </c>
      <c r="M71" s="26">
        <f>IFERROR(VLOOKUP($I71,'ITEM MASTER'!B:E,4,0),"")</f>
        <v/>
      </c>
      <c r="N71" s="26">
        <f>IFERROR(VLOOKUP($I71,'ITEM MASTER'!B:F,5,0),0)</f>
        <v/>
      </c>
      <c r="O71" s="26">
        <f>IFERROR(VLOOKUP($M71,'TBGS PER CTN'!B:C,2,0),0)</f>
        <v/>
      </c>
      <c r="P71" s="26" t="n">
        <v>1880</v>
      </c>
      <c r="Q71" s="26" t="n">
        <v>0</v>
      </c>
      <c r="R71" s="26" t="n">
        <v>0</v>
      </c>
      <c r="S71" s="26">
        <f>Q71+R71</f>
        <v/>
      </c>
      <c r="T71" s="29" t="n">
        <v>1880</v>
      </c>
      <c r="U71" s="29">
        <f>N71*O71*T71</f>
        <v/>
      </c>
      <c r="V71" s="82">
        <f>IF(ISNUMBER($D71),$D71-WEEKDAY($D71,3),'ORDER VS WEEK DISTRIBUTION'!$G$500)</f>
        <v/>
      </c>
      <c r="W71" s="82">
        <f>MAX($V71,'ORDER VS WEEK DISTRIBUTION'!$G$500)</f>
        <v/>
      </c>
      <c r="X71" s="26">
        <f>IFERROR(VLOOKUP($J71,'ORDER VS WEEK DISTRIBUTION'!$T:$U,2,0),"")</f>
        <v/>
      </c>
      <c r="Y71" s="26">
        <f>IFERROR($T71/IF(IFERROR(VLOOKUP($I71,'ITEM CFC PER CONTAINER'!$A:$B,2,0),0)&gt;0,VLOOKUP($I71,'ITEM CFC PER CONTAINER'!$A:$B,2,0),VLOOKUP($X71,'MC MASTER'!$A:$Q,16,0)),"")</f>
        <v/>
      </c>
    </row>
    <row r="72" ht="15" customHeight="1" s="5">
      <c r="A72" s="26" t="inlineStr">
        <is>
          <t>Multitrade Overseas Pte. Ltd.</t>
        </is>
      </c>
      <c r="B72" s="26" t="inlineStr">
        <is>
          <t>MJIL/SO/26031709</t>
        </is>
      </c>
      <c r="C72" s="26" t="inlineStr">
        <is>
          <t>MJ-063/26-27 (DALA &amp; SONS)</t>
        </is>
      </c>
      <c r="D72" s="82" t="n">
        <v>46291</v>
      </c>
      <c r="E72" s="83">
        <f>IF(ISNUMBER($D72),EOMONTH($D72,-1)+1,"")</f>
        <v/>
      </c>
      <c r="F72" s="82" t="n">
        <v>46286</v>
      </c>
      <c r="G72" s="26" t="n">
        <v>22922</v>
      </c>
      <c r="H72" s="26">
        <f>B72&amp;I72</f>
        <v/>
      </c>
      <c r="I72" s="26" t="inlineStr">
        <is>
          <t>GV MINT 48/25 DC ENV TBGS</t>
        </is>
      </c>
      <c r="J72" s="30" t="inlineStr">
        <is>
          <t>CONSTANTA ENV</t>
        </is>
      </c>
      <c r="K72" s="26">
        <f>J72&amp;"-"&amp;TEXT(W72,"dd-mmm-yy")</f>
        <v/>
      </c>
      <c r="L72" s="26">
        <f>IFERROR(VLOOKUP($M72,'ITEM MASTER'!E:H,4,0),"")</f>
        <v/>
      </c>
      <c r="M72" s="26">
        <f>IFERROR(VLOOKUP($I72,'ITEM MASTER'!B:E,4,0),"")</f>
        <v/>
      </c>
      <c r="N72" s="26">
        <f>IFERROR(VLOOKUP($I72,'ITEM MASTER'!B:F,5,0),0)</f>
        <v/>
      </c>
      <c r="O72" s="26">
        <f>IFERROR(VLOOKUP($M72,'TBGS PER CTN'!B:C,2,0),0)</f>
        <v/>
      </c>
      <c r="P72" s="26" t="n">
        <v>1000</v>
      </c>
      <c r="Q72" s="26" t="n">
        <v>0</v>
      </c>
      <c r="R72" s="26" t="n">
        <v>1000</v>
      </c>
      <c r="S72" s="26">
        <f>Q72+R72</f>
        <v/>
      </c>
      <c r="T72" s="29" t="n">
        <v>0</v>
      </c>
      <c r="U72" s="29">
        <f>N72*O72*T72</f>
        <v/>
      </c>
      <c r="V72" s="82">
        <f>IF(ISNUMBER($D72),$D72-WEEKDAY($D72,3),'ORDER VS WEEK DISTRIBUTION'!$G$500)</f>
        <v/>
      </c>
      <c r="W72" s="82">
        <f>MAX($V72,'ORDER VS WEEK DISTRIBUTION'!$G$500)</f>
        <v/>
      </c>
      <c r="X72" s="26">
        <f>IFERROR(VLOOKUP($J72,'ORDER VS WEEK DISTRIBUTION'!$T:$U,2,0),"")</f>
        <v/>
      </c>
      <c r="Y72" s="26">
        <f>IFERROR($T72/IF(IFERROR(VLOOKUP($I72,'ITEM CFC PER CONTAINER'!$A:$B,2,0),0)&gt;0,VLOOKUP($I72,'ITEM CFC PER CONTAINER'!$A:$B,2,0),VLOOKUP($X72,'MC MASTER'!$A:$Q,16,0)),"")</f>
        <v/>
      </c>
    </row>
    <row r="73" ht="15" customHeight="1" s="5">
      <c r="A73" s="26" t="inlineStr">
        <is>
          <t>Multitrade Overseas Pte. Ltd.</t>
        </is>
      </c>
      <c r="B73" s="26" t="inlineStr">
        <is>
          <t>MJIL/SO/26031709</t>
        </is>
      </c>
      <c r="C73" s="26" t="inlineStr">
        <is>
          <t>MJ-063/26-27 (DALA &amp; SONS)</t>
        </is>
      </c>
      <c r="D73" s="82" t="n">
        <v>46291</v>
      </c>
      <c r="E73" s="83">
        <f>IF(ISNUMBER($D73),EOMONTH($D73,-1)+1,"")</f>
        <v/>
      </c>
      <c r="F73" s="82" t="n">
        <v>46286</v>
      </c>
      <c r="G73" s="26" t="n">
        <v>26083</v>
      </c>
      <c r="H73" s="26">
        <f>B73&amp;I73</f>
        <v/>
      </c>
      <c r="I73" s="26" t="inlineStr">
        <is>
          <t>GV GARDEN STRAWBERRY 48/25 DC ENV TBGS</t>
        </is>
      </c>
      <c r="J73" s="30" t="inlineStr">
        <is>
          <t>CONSTANTA ENV</t>
        </is>
      </c>
      <c r="K73" s="26">
        <f>J73&amp;"-"&amp;TEXT(W73,"dd-mmm-yy")</f>
        <v/>
      </c>
      <c r="L73" s="26">
        <f>IFERROR(VLOOKUP($M73,'ITEM MASTER'!E:H,4,0),"")</f>
        <v/>
      </c>
      <c r="M73" s="26">
        <f>IFERROR(VLOOKUP($I73,'ITEM MASTER'!B:E,4,0),"")</f>
        <v/>
      </c>
      <c r="N73" s="26">
        <f>IFERROR(VLOOKUP($I73,'ITEM MASTER'!B:F,5,0),0)</f>
        <v/>
      </c>
      <c r="O73" s="26">
        <f>IFERROR(VLOOKUP($M73,'TBGS PER CTN'!B:C,2,0),0)</f>
        <v/>
      </c>
      <c r="P73" s="26" t="n">
        <v>400</v>
      </c>
      <c r="Q73" s="26" t="n">
        <v>0</v>
      </c>
      <c r="R73" s="26" t="n">
        <v>400</v>
      </c>
      <c r="S73" s="26">
        <f>Q73+R73</f>
        <v/>
      </c>
      <c r="T73" s="29" t="n">
        <v>0</v>
      </c>
      <c r="U73" s="29">
        <f>N73*O73*T73</f>
        <v/>
      </c>
      <c r="V73" s="82">
        <f>IF(ISNUMBER($D73),$D73-WEEKDAY($D73,3),'ORDER VS WEEK DISTRIBUTION'!$G$500)</f>
        <v/>
      </c>
      <c r="W73" s="82">
        <f>MAX($V73,'ORDER VS WEEK DISTRIBUTION'!$G$500)</f>
        <v/>
      </c>
      <c r="X73" s="26">
        <f>IFERROR(VLOOKUP($J73,'ORDER VS WEEK DISTRIBUTION'!$T:$U,2,0),"")</f>
        <v/>
      </c>
      <c r="Y73" s="26">
        <f>IFERROR($T73/IF(IFERROR(VLOOKUP($I73,'ITEM CFC PER CONTAINER'!$A:$B,2,0),0)&gt;0,VLOOKUP($I73,'ITEM CFC PER CONTAINER'!$A:$B,2,0),VLOOKUP($X73,'MC MASTER'!$A:$Q,16,0)),"")</f>
        <v/>
      </c>
    </row>
    <row r="74" ht="15" customHeight="1" s="5">
      <c r="A74" s="26" t="inlineStr">
        <is>
          <t>Multitrade Overseas Pte. Ltd.</t>
        </is>
      </c>
      <c r="B74" s="26" t="inlineStr">
        <is>
          <t>MJIL/SO/26031709</t>
        </is>
      </c>
      <c r="C74" s="26" t="inlineStr">
        <is>
          <t>MJ-063/26-27 (DALA &amp; SONS)</t>
        </is>
      </c>
      <c r="D74" s="82" t="n">
        <v>46291</v>
      </c>
      <c r="E74" s="83">
        <f>IF(ISNUMBER($D74),EOMONTH($D74,-1)+1,"")</f>
        <v/>
      </c>
      <c r="F74" s="82" t="n">
        <v>46286</v>
      </c>
      <c r="G74" s="26" t="n">
        <v>28051</v>
      </c>
      <c r="H74" s="26">
        <f>B74&amp;I74</f>
        <v/>
      </c>
      <c r="I74" s="26" t="inlineStr">
        <is>
          <t>GV CLOVE 48/25 DC ENV TBGS</t>
        </is>
      </c>
      <c r="J74" s="30" t="inlineStr">
        <is>
          <t>CONSTANTA ENV</t>
        </is>
      </c>
      <c r="K74" s="26">
        <f>J74&amp;"-"&amp;TEXT(W74,"dd-mmm-yy")</f>
        <v/>
      </c>
      <c r="L74" s="26">
        <f>IFERROR(VLOOKUP($M74,'ITEM MASTER'!E:H,4,0),"")</f>
        <v/>
      </c>
      <c r="M74" s="26">
        <f>IFERROR(VLOOKUP($I74,'ITEM MASTER'!B:E,4,0),"")</f>
        <v/>
      </c>
      <c r="N74" s="26">
        <f>IFERROR(VLOOKUP($I74,'ITEM MASTER'!B:F,5,0),0)</f>
        <v/>
      </c>
      <c r="O74" s="26">
        <f>IFERROR(VLOOKUP($M74,'TBGS PER CTN'!B:C,2,0),0)</f>
        <v/>
      </c>
      <c r="P74" s="26" t="n">
        <v>800</v>
      </c>
      <c r="Q74" s="26" t="n">
        <v>0</v>
      </c>
      <c r="R74" s="26" t="n">
        <v>800</v>
      </c>
      <c r="S74" s="26">
        <f>Q74+R74</f>
        <v/>
      </c>
      <c r="T74" s="29" t="n">
        <v>0</v>
      </c>
      <c r="U74" s="29">
        <f>N74*O74*T74</f>
        <v/>
      </c>
      <c r="V74" s="82">
        <f>IF(ISNUMBER($D74),$D74-WEEKDAY($D74,3),'ORDER VS WEEK DISTRIBUTION'!$G$500)</f>
        <v/>
      </c>
      <c r="W74" s="82">
        <f>MAX($V74,'ORDER VS WEEK DISTRIBUTION'!$G$500)</f>
        <v/>
      </c>
      <c r="X74" s="26">
        <f>IFERROR(VLOOKUP($J74,'ORDER VS WEEK DISTRIBUTION'!$T:$U,2,0),"")</f>
        <v/>
      </c>
      <c r="Y74" s="26">
        <f>IFERROR($T74/IF(IFERROR(VLOOKUP($I74,'ITEM CFC PER CONTAINER'!$A:$B,2,0),0)&gt;0,VLOOKUP($I74,'ITEM CFC PER CONTAINER'!$A:$B,2,0),VLOOKUP($X74,'MC MASTER'!$A:$Q,16,0)),"")</f>
        <v/>
      </c>
    </row>
    <row r="75" ht="15" customHeight="1" s="5">
      <c r="A75" s="26" t="inlineStr">
        <is>
          <t>Multitrade Overseas Pte. Ltd.</t>
        </is>
      </c>
      <c r="B75" s="26" t="inlineStr">
        <is>
          <t>MJIL/SO/26031709</t>
        </is>
      </c>
      <c r="C75" s="26" t="inlineStr">
        <is>
          <t>MJ-063/26-27 (DALA &amp; SONS)</t>
        </is>
      </c>
      <c r="D75" s="82" t="n">
        <v>46291</v>
      </c>
      <c r="E75" s="83">
        <f>IF(ISNUMBER($D75),EOMONTH($D75,-1)+1,"")</f>
        <v/>
      </c>
      <c r="F75" s="82" t="n">
        <v>46286</v>
      </c>
      <c r="G75" s="26" t="n">
        <v>26085</v>
      </c>
      <c r="H75" s="26">
        <f>B75&amp;I75</f>
        <v/>
      </c>
      <c r="I75" s="26" t="inlineStr">
        <is>
          <t>GV SPICY GINGER 48/25 DC ENV TBGS</t>
        </is>
      </c>
      <c r="J75" s="30" t="inlineStr">
        <is>
          <t>CONSTANTA ENV</t>
        </is>
      </c>
      <c r="K75" s="26">
        <f>J75&amp;"-"&amp;TEXT(W75,"dd-mmm-yy")</f>
        <v/>
      </c>
      <c r="L75" s="26">
        <f>IFERROR(VLOOKUP($M75,'ITEM MASTER'!E:H,4,0),"")</f>
        <v/>
      </c>
      <c r="M75" s="26">
        <f>IFERROR(VLOOKUP($I75,'ITEM MASTER'!B:E,4,0),"")</f>
        <v/>
      </c>
      <c r="N75" s="26">
        <f>IFERROR(VLOOKUP($I75,'ITEM MASTER'!B:F,5,0),0)</f>
        <v/>
      </c>
      <c r="O75" s="26">
        <f>IFERROR(VLOOKUP($M75,'TBGS PER CTN'!B:C,2,0),0)</f>
        <v/>
      </c>
      <c r="P75" s="26" t="n">
        <v>400</v>
      </c>
      <c r="Q75" s="26" t="n">
        <v>0</v>
      </c>
      <c r="R75" s="26" t="n">
        <v>400</v>
      </c>
      <c r="S75" s="26">
        <f>Q75+R75</f>
        <v/>
      </c>
      <c r="T75" s="29" t="n">
        <v>0</v>
      </c>
      <c r="U75" s="29">
        <f>N75*O75*T75</f>
        <v/>
      </c>
      <c r="V75" s="82">
        <f>IF(ISNUMBER($D75),$D75-WEEKDAY($D75,3),'ORDER VS WEEK DISTRIBUTION'!$G$500)</f>
        <v/>
      </c>
      <c r="W75" s="82">
        <f>MAX($V75,'ORDER VS WEEK DISTRIBUTION'!$G$500)</f>
        <v/>
      </c>
      <c r="X75" s="26">
        <f>IFERROR(VLOOKUP($J75,'ORDER VS WEEK DISTRIBUTION'!$T:$U,2,0),"")</f>
        <v/>
      </c>
      <c r="Y75" s="26">
        <f>IFERROR($T75/IF(IFERROR(VLOOKUP($I75,'ITEM CFC PER CONTAINER'!$A:$B,2,0),0)&gt;0,VLOOKUP($I75,'ITEM CFC PER CONTAINER'!$A:$B,2,0),VLOOKUP($X75,'MC MASTER'!$A:$Q,16,0)),"")</f>
        <v/>
      </c>
    </row>
    <row r="76" ht="15" customHeight="1" s="5">
      <c r="A76" s="26" t="inlineStr">
        <is>
          <t>Multitrade Overseas Pte. Ltd.</t>
        </is>
      </c>
      <c r="B76" s="26" t="inlineStr">
        <is>
          <t>MJIL/SO/26031709</t>
        </is>
      </c>
      <c r="C76" s="26" t="inlineStr">
        <is>
          <t>MJ-063/26-27 (DALA &amp; SONS)</t>
        </is>
      </c>
      <c r="D76" s="82" t="n">
        <v>46291</v>
      </c>
      <c r="E76" s="83">
        <f>IF(ISNUMBER($D76),EOMONTH($D76,-1)+1,"")</f>
        <v/>
      </c>
      <c r="F76" s="82" t="n">
        <v>46286</v>
      </c>
      <c r="G76" s="26" t="n">
        <v>38180</v>
      </c>
      <c r="H76" s="26">
        <f>B76&amp;I76</f>
        <v/>
      </c>
      <c r="I76" s="26" t="inlineStr">
        <is>
          <t>GV VANILLA 48/25 DC ENV TBGS</t>
        </is>
      </c>
      <c r="J76" s="30" t="inlineStr">
        <is>
          <t>CONSTANTA ENV</t>
        </is>
      </c>
      <c r="K76" s="26">
        <f>J76&amp;"-"&amp;TEXT(W76,"dd-mmm-yy")</f>
        <v/>
      </c>
      <c r="L76" s="26">
        <f>IFERROR(VLOOKUP($M76,'ITEM MASTER'!E:H,4,0),"")</f>
        <v/>
      </c>
      <c r="M76" s="26">
        <f>IFERROR(VLOOKUP($I76,'ITEM MASTER'!B:E,4,0),"")</f>
        <v/>
      </c>
      <c r="N76" s="26">
        <f>IFERROR(VLOOKUP($I76,'ITEM MASTER'!B:F,5,0),0)</f>
        <v/>
      </c>
      <c r="O76" s="26">
        <f>IFERROR(VLOOKUP($M76,'TBGS PER CTN'!B:C,2,0),0)</f>
        <v/>
      </c>
      <c r="P76" s="26" t="n">
        <v>250</v>
      </c>
      <c r="Q76" s="26" t="n">
        <v>0</v>
      </c>
      <c r="R76" s="26" t="n">
        <v>111</v>
      </c>
      <c r="S76" s="26">
        <f>Q76+R76</f>
        <v/>
      </c>
      <c r="T76" s="29" t="n">
        <v>139</v>
      </c>
      <c r="U76" s="29">
        <f>N76*O76*T76</f>
        <v/>
      </c>
      <c r="V76" s="82">
        <f>IF(ISNUMBER($D76),$D76-WEEKDAY($D76,3),'ORDER VS WEEK DISTRIBUTION'!$G$500)</f>
        <v/>
      </c>
      <c r="W76" s="82">
        <f>MAX($V76,'ORDER VS WEEK DISTRIBUTION'!$G$500)</f>
        <v/>
      </c>
      <c r="X76" s="26">
        <f>IFERROR(VLOOKUP($J76,'ORDER VS WEEK DISTRIBUTION'!$T:$U,2,0),"")</f>
        <v/>
      </c>
      <c r="Y76" s="26">
        <f>IFERROR($T76/IF(IFERROR(VLOOKUP($I76,'ITEM CFC PER CONTAINER'!$A:$B,2,0),0)&gt;0,VLOOKUP($I76,'ITEM CFC PER CONTAINER'!$A:$B,2,0),VLOOKUP($X76,'MC MASTER'!$A:$Q,16,0)),"")</f>
        <v/>
      </c>
    </row>
    <row r="77" ht="15" customHeight="1" s="5">
      <c r="A77" s="26" t="inlineStr">
        <is>
          <t>Multitrade Overseas Pte. Ltd.</t>
        </is>
      </c>
      <c r="B77" s="26" t="inlineStr">
        <is>
          <t>MJIL/SO/26031709</t>
        </is>
      </c>
      <c r="C77" s="26" t="inlineStr">
        <is>
          <t>MJ-063/26-27 (DALA &amp; SONS)</t>
        </is>
      </c>
      <c r="D77" s="82" t="n">
        <v>46291</v>
      </c>
      <c r="E77" s="83">
        <f>IF(ISNUMBER($D77),EOMONTH($D77,-1)+1,"")</f>
        <v/>
      </c>
      <c r="F77" s="82" t="n">
        <v>46286</v>
      </c>
      <c r="G77" s="26" t="n">
        <v>37944</v>
      </c>
      <c r="H77" s="26">
        <f>B77&amp;I77</f>
        <v/>
      </c>
      <c r="I77" s="26" t="inlineStr">
        <is>
          <t>GV HIBISCUS 48/25 DC ENV TBGS</t>
        </is>
      </c>
      <c r="J77" s="30" t="inlineStr">
        <is>
          <t>CONSTANTA ENV</t>
        </is>
      </c>
      <c r="K77" s="26">
        <f>J77&amp;"-"&amp;TEXT(W77,"dd-mmm-yy")</f>
        <v/>
      </c>
      <c r="L77" s="26">
        <f>IFERROR(VLOOKUP($M77,'ITEM MASTER'!E:H,4,0),"")</f>
        <v/>
      </c>
      <c r="M77" s="26">
        <f>IFERROR(VLOOKUP($I77,'ITEM MASTER'!B:E,4,0),"")</f>
        <v/>
      </c>
      <c r="N77" s="26">
        <f>IFERROR(VLOOKUP($I77,'ITEM MASTER'!B:F,5,0),0)</f>
        <v/>
      </c>
      <c r="O77" s="26">
        <f>IFERROR(VLOOKUP($M77,'TBGS PER CTN'!B:C,2,0),0)</f>
        <v/>
      </c>
      <c r="P77" s="26" t="n">
        <v>250</v>
      </c>
      <c r="Q77" s="26" t="n">
        <v>0</v>
      </c>
      <c r="R77" s="26" t="n">
        <v>232</v>
      </c>
      <c r="S77" s="26">
        <f>Q77+R77</f>
        <v/>
      </c>
      <c r="T77" s="29" t="n">
        <v>18</v>
      </c>
      <c r="U77" s="29">
        <f>N77*O77*T77</f>
        <v/>
      </c>
      <c r="V77" s="82">
        <f>IF(ISNUMBER($D77),$D77-WEEKDAY($D77,3),'ORDER VS WEEK DISTRIBUTION'!$G$500)</f>
        <v/>
      </c>
      <c r="W77" s="82">
        <f>MAX($V77,'ORDER VS WEEK DISTRIBUTION'!$G$500)</f>
        <v/>
      </c>
      <c r="X77" s="26">
        <f>IFERROR(VLOOKUP($J77,'ORDER VS WEEK DISTRIBUTION'!$T:$U,2,0),"")</f>
        <v/>
      </c>
      <c r="Y77" s="26">
        <f>IFERROR($T77/IF(IFERROR(VLOOKUP($I77,'ITEM CFC PER CONTAINER'!$A:$B,2,0),0)&gt;0,VLOOKUP($I77,'ITEM CFC PER CONTAINER'!$A:$B,2,0),VLOOKUP($X77,'MC MASTER'!$A:$Q,16,0)),"")</f>
        <v/>
      </c>
    </row>
    <row r="78" ht="15" customHeight="1" s="5">
      <c r="A78" s="26" t="inlineStr">
        <is>
          <t>Saran Enterprises Ltd.</t>
        </is>
      </c>
      <c r="B78" s="26" t="inlineStr">
        <is>
          <t>MJIL/SO/26032443</t>
        </is>
      </c>
      <c r="C78" s="26" t="inlineStr">
        <is>
          <t>PO 30072026/08 - JUMBO</t>
        </is>
      </c>
      <c r="D78" s="82" t="n">
        <v>46286</v>
      </c>
      <c r="E78" s="83">
        <f>IF(ISNUMBER($D78),EOMONTH($D78,-1)+1,"")</f>
        <v/>
      </c>
      <c r="F78" s="82" t="n">
        <v>46286</v>
      </c>
      <c r="G78" s="26" t="n">
        <v>5520</v>
      </c>
      <c r="H78" s="26">
        <f>B78&amp;I78</f>
        <v/>
      </c>
      <c r="I78" s="26" t="inlineStr">
        <is>
          <t>JUMBO GREEN LEMON 12/20 DC SF ENV TBGS</t>
        </is>
      </c>
      <c r="J78" s="26" t="inlineStr">
        <is>
          <t>C250</t>
        </is>
      </c>
      <c r="K78" s="26">
        <f>J78&amp;"-"&amp;TEXT(W78,"dd-mmm-yy")</f>
        <v/>
      </c>
      <c r="L78" s="26">
        <f>IFERROR(VLOOKUP($M78,'ITEM MASTER'!E:H,4,0),"")</f>
        <v/>
      </c>
      <c r="M78" s="26">
        <f>IFERROR(VLOOKUP($I78,'ITEM MASTER'!B:E,4,0),"")</f>
        <v/>
      </c>
      <c r="N78" s="26">
        <f>IFERROR(VLOOKUP($I78,'ITEM MASTER'!B:F,5,0),0)</f>
        <v/>
      </c>
      <c r="O78" s="26">
        <f>IFERROR(VLOOKUP($M78,'TBGS PER CTN'!B:C,2,0),0)</f>
        <v/>
      </c>
      <c r="P78" s="26" t="n">
        <v>240</v>
      </c>
      <c r="Q78" s="26" t="n">
        <v>0</v>
      </c>
      <c r="R78" s="26" t="n">
        <v>240</v>
      </c>
      <c r="S78" s="26">
        <f>Q78+R78</f>
        <v/>
      </c>
      <c r="T78" s="29" t="n">
        <v>0</v>
      </c>
      <c r="U78" s="29">
        <f>N78*O78*T78</f>
        <v/>
      </c>
      <c r="V78" s="82">
        <f>IF(ISNUMBER($D78),$D78-WEEKDAY($D78,3),'ORDER VS WEEK DISTRIBUTION'!$G$500)</f>
        <v/>
      </c>
      <c r="W78" s="82">
        <f>MAX($V78,'ORDER VS WEEK DISTRIBUTION'!$G$500)</f>
        <v/>
      </c>
      <c r="X78" s="26">
        <f>IFERROR(VLOOKUP($J78,'ORDER VS WEEK DISTRIBUTION'!$T:$U,2,0),"")</f>
        <v/>
      </c>
      <c r="Y78" s="26">
        <f>IFERROR($T78/IF(IFERROR(VLOOKUP($I78,'ITEM CFC PER CONTAINER'!$A:$B,2,0),0)&gt;0,VLOOKUP($I78,'ITEM CFC PER CONTAINER'!$A:$B,2,0),VLOOKUP($X78,'MC MASTER'!$A:$Q,16,0)),"")</f>
        <v/>
      </c>
    </row>
    <row r="79" ht="15" customHeight="1" s="5">
      <c r="A79" s="26" t="inlineStr">
        <is>
          <t>Saran Enterprises Ltd.</t>
        </is>
      </c>
      <c r="B79" s="26" t="inlineStr">
        <is>
          <t>MJIL/SO/26032443</t>
        </is>
      </c>
      <c r="C79" s="26" t="inlineStr">
        <is>
          <t>PO 30072026/08 - JUMBO</t>
        </is>
      </c>
      <c r="D79" s="82" t="n">
        <v>46286</v>
      </c>
      <c r="E79" s="83">
        <f>IF(ISNUMBER($D79),EOMONTH($D79,-1)+1,"")</f>
        <v/>
      </c>
      <c r="F79" s="82" t="n">
        <v>46286</v>
      </c>
      <c r="G79" s="26" t="n">
        <v>5526</v>
      </c>
      <c r="H79" s="26">
        <f>B79&amp;I79</f>
        <v/>
      </c>
      <c r="I79" s="26" t="inlineStr">
        <is>
          <t>JUMBO GREEN TEA PURE ORIGINAL 12/20 DC SF ENV TBGS</t>
        </is>
      </c>
      <c r="J79" s="26" t="inlineStr">
        <is>
          <t>C250</t>
        </is>
      </c>
      <c r="K79" s="26">
        <f>J79&amp;"-"&amp;TEXT(W79,"dd-mmm-yy")</f>
        <v/>
      </c>
      <c r="L79" s="26">
        <f>IFERROR(VLOOKUP($M79,'ITEM MASTER'!E:H,4,0),"")</f>
        <v/>
      </c>
      <c r="M79" s="26">
        <f>IFERROR(VLOOKUP($I79,'ITEM MASTER'!B:E,4,0),"")</f>
        <v/>
      </c>
      <c r="N79" s="26">
        <f>IFERROR(VLOOKUP($I79,'ITEM MASTER'!B:F,5,0),0)</f>
        <v/>
      </c>
      <c r="O79" s="26">
        <f>IFERROR(VLOOKUP($M79,'TBGS PER CTN'!B:C,2,0),0)</f>
        <v/>
      </c>
      <c r="P79" s="26" t="n">
        <v>720</v>
      </c>
      <c r="Q79" s="26" t="n">
        <v>0</v>
      </c>
      <c r="R79" s="26" t="n">
        <v>720</v>
      </c>
      <c r="S79" s="26">
        <f>Q79+R79</f>
        <v/>
      </c>
      <c r="T79" s="29" t="n">
        <v>0</v>
      </c>
      <c r="U79" s="29">
        <f>N79*O79*T79</f>
        <v/>
      </c>
      <c r="V79" s="82">
        <f>IF(ISNUMBER($D79),$D79-WEEKDAY($D79,3),'ORDER VS WEEK DISTRIBUTION'!$G$500)</f>
        <v/>
      </c>
      <c r="W79" s="82">
        <f>MAX($V79,'ORDER VS WEEK DISTRIBUTION'!$G$500)</f>
        <v/>
      </c>
      <c r="X79" s="26">
        <f>IFERROR(VLOOKUP($J79,'ORDER VS WEEK DISTRIBUTION'!$T:$U,2,0),"")</f>
        <v/>
      </c>
      <c r="Y79" s="26">
        <f>IFERROR($T79/IF(IFERROR(VLOOKUP($I79,'ITEM CFC PER CONTAINER'!$A:$B,2,0),0)&gt;0,VLOOKUP($I79,'ITEM CFC PER CONTAINER'!$A:$B,2,0),VLOOKUP($X79,'MC MASTER'!$A:$Q,16,0)),"")</f>
        <v/>
      </c>
    </row>
    <row r="80" ht="15" customHeight="1" s="5">
      <c r="A80" s="26" t="inlineStr">
        <is>
          <t>Saran Enterprises Ltd.</t>
        </is>
      </c>
      <c r="B80" s="26" t="inlineStr">
        <is>
          <t>MJIL/SO/26032443</t>
        </is>
      </c>
      <c r="C80" s="26" t="inlineStr">
        <is>
          <t>PO 30072026/08 - JUMBO</t>
        </is>
      </c>
      <c r="D80" s="82" t="n">
        <v>46286</v>
      </c>
      <c r="E80" s="83">
        <f>IF(ISNUMBER($D80),EOMONTH($D80,-1)+1,"")</f>
        <v/>
      </c>
      <c r="F80" s="82" t="n">
        <v>46286</v>
      </c>
      <c r="G80" s="26" t="n">
        <v>5532</v>
      </c>
      <c r="H80" s="26">
        <f>B80&amp;I80</f>
        <v/>
      </c>
      <c r="I80" s="26" t="inlineStr">
        <is>
          <t>JUMBO ROOIBOS HONEY 12/20 DC SF ENV TBGS</t>
        </is>
      </c>
      <c r="J80" s="26" t="inlineStr">
        <is>
          <t>MD20 ENV</t>
        </is>
      </c>
      <c r="K80" s="26">
        <f>J80&amp;"-"&amp;TEXT(W80,"dd-mmm-yy")</f>
        <v/>
      </c>
      <c r="L80" s="26">
        <f>IFERROR(VLOOKUP($M80,'ITEM MASTER'!E:H,4,0),"")</f>
        <v/>
      </c>
      <c r="M80" s="26">
        <f>IFERROR(VLOOKUP($I80,'ITEM MASTER'!B:E,4,0),"")</f>
        <v/>
      </c>
      <c r="N80" s="26">
        <f>IFERROR(VLOOKUP($I80,'ITEM MASTER'!B:F,5,0),0)</f>
        <v/>
      </c>
      <c r="O80" s="26">
        <f>IFERROR(VLOOKUP($M80,'TBGS PER CTN'!B:C,2,0),0)</f>
        <v/>
      </c>
      <c r="P80" s="26" t="n">
        <v>360</v>
      </c>
      <c r="Q80" s="26" t="n">
        <v>0</v>
      </c>
      <c r="R80" s="26" t="n">
        <v>360</v>
      </c>
      <c r="S80" s="26">
        <f>Q80+R80</f>
        <v/>
      </c>
      <c r="T80" s="29" t="n">
        <v>0</v>
      </c>
      <c r="U80" s="29">
        <f>N80*O80*T80</f>
        <v/>
      </c>
      <c r="V80" s="82">
        <f>IF(ISNUMBER($D80),$D80-WEEKDAY($D80,3),'ORDER VS WEEK DISTRIBUTION'!$G$500)</f>
        <v/>
      </c>
      <c r="W80" s="82">
        <f>MAX($V80,'ORDER VS WEEK DISTRIBUTION'!$G$500)</f>
        <v/>
      </c>
      <c r="X80" s="26">
        <f>IFERROR(VLOOKUP($J80,'ORDER VS WEEK DISTRIBUTION'!$T:$U,2,0),"")</f>
        <v/>
      </c>
      <c r="Y80" s="26">
        <f>IFERROR($T80/IF(IFERROR(VLOOKUP($I80,'ITEM CFC PER CONTAINER'!$A:$B,2,0),0)&gt;0,VLOOKUP($I80,'ITEM CFC PER CONTAINER'!$A:$B,2,0),VLOOKUP($X80,'MC MASTER'!$A:$Q,16,0)),"")</f>
        <v/>
      </c>
    </row>
    <row r="81" ht="15" customHeight="1" s="5">
      <c r="A81" s="26" t="inlineStr">
        <is>
          <t>Saran Enterprises Ltd.</t>
        </is>
      </c>
      <c r="B81" s="26" t="inlineStr">
        <is>
          <t>MJIL/SO/26032443</t>
        </is>
      </c>
      <c r="C81" s="26" t="inlineStr">
        <is>
          <t>PO 30072026/08 - JUMBO</t>
        </is>
      </c>
      <c r="D81" s="82" t="n">
        <v>46286</v>
      </c>
      <c r="E81" s="83">
        <f>IF(ISNUMBER($D81),EOMONTH($D81,-1)+1,"")</f>
        <v/>
      </c>
      <c r="F81" s="82" t="n">
        <v>46286</v>
      </c>
      <c r="G81" s="26" t="n">
        <v>5533</v>
      </c>
      <c r="H81" s="26">
        <f>B81&amp;I81</f>
        <v/>
      </c>
      <c r="I81" s="26" t="inlineStr">
        <is>
          <t>JUMBO ROOIBOS MANGO PEACH 12/20 DC SF ENV TBGS</t>
        </is>
      </c>
      <c r="J81" s="26" t="inlineStr">
        <is>
          <t>C250</t>
        </is>
      </c>
      <c r="K81" s="26">
        <f>J81&amp;"-"&amp;TEXT(W81,"dd-mmm-yy")</f>
        <v/>
      </c>
      <c r="L81" s="26">
        <f>IFERROR(VLOOKUP($M81,'ITEM MASTER'!E:H,4,0),"")</f>
        <v/>
      </c>
      <c r="M81" s="26">
        <f>IFERROR(VLOOKUP($I81,'ITEM MASTER'!B:E,4,0),"")</f>
        <v/>
      </c>
      <c r="N81" s="26">
        <f>IFERROR(VLOOKUP($I81,'ITEM MASTER'!B:F,5,0),0)</f>
        <v/>
      </c>
      <c r="O81" s="26">
        <f>IFERROR(VLOOKUP($M81,'TBGS PER CTN'!B:C,2,0),0)</f>
        <v/>
      </c>
      <c r="P81" s="26" t="n">
        <v>360</v>
      </c>
      <c r="Q81" s="26" t="n">
        <v>0</v>
      </c>
      <c r="R81" s="26" t="n">
        <v>360</v>
      </c>
      <c r="S81" s="26">
        <f>Q81+R81</f>
        <v/>
      </c>
      <c r="T81" s="29" t="n">
        <v>0</v>
      </c>
      <c r="U81" s="29">
        <f>N81*O81*T81</f>
        <v/>
      </c>
      <c r="V81" s="82">
        <f>IF(ISNUMBER($D81),$D81-WEEKDAY($D81,3),'ORDER VS WEEK DISTRIBUTION'!$G$500)</f>
        <v/>
      </c>
      <c r="W81" s="82">
        <f>MAX($V81,'ORDER VS WEEK DISTRIBUTION'!$G$500)</f>
        <v/>
      </c>
      <c r="X81" s="26">
        <f>IFERROR(VLOOKUP($J81,'ORDER VS WEEK DISTRIBUTION'!$T:$U,2,0),"")</f>
        <v/>
      </c>
      <c r="Y81" s="26">
        <f>IFERROR($T81/IF(IFERROR(VLOOKUP($I81,'ITEM CFC PER CONTAINER'!$A:$B,2,0),0)&gt;0,VLOOKUP($I81,'ITEM CFC PER CONTAINER'!$A:$B,2,0),VLOOKUP($X81,'MC MASTER'!$A:$Q,16,0)),"")</f>
        <v/>
      </c>
    </row>
    <row r="82" ht="15" customHeight="1" s="5">
      <c r="A82" s="26" t="inlineStr">
        <is>
          <t>Saran Enterprises Ltd.</t>
        </is>
      </c>
      <c r="B82" s="26" t="inlineStr">
        <is>
          <t>MJIL/SO/26032443</t>
        </is>
      </c>
      <c r="C82" s="26" t="inlineStr">
        <is>
          <t>PO 30072026/08 - JUMBO</t>
        </is>
      </c>
      <c r="D82" s="82" t="n">
        <v>46286</v>
      </c>
      <c r="E82" s="83">
        <f>IF(ISNUMBER($D82),EOMONTH($D82,-1)+1,"")</f>
        <v/>
      </c>
      <c r="F82" s="82" t="n">
        <v>46286</v>
      </c>
      <c r="G82" s="26" t="n">
        <v>5534</v>
      </c>
      <c r="H82" s="26">
        <f>B82&amp;I82</f>
        <v/>
      </c>
      <c r="I82" s="26" t="inlineStr">
        <is>
          <t>JUMBO ROOIBOS ORIGINAL 12/20 DC SF ENV TBGS</t>
        </is>
      </c>
      <c r="J82" s="26" t="inlineStr">
        <is>
          <t>MD20 ENV</t>
        </is>
      </c>
      <c r="K82" s="26">
        <f>J82&amp;"-"&amp;TEXT(W82,"dd-mmm-yy")</f>
        <v/>
      </c>
      <c r="L82" s="26">
        <f>IFERROR(VLOOKUP($M82,'ITEM MASTER'!E:H,4,0),"")</f>
        <v/>
      </c>
      <c r="M82" s="26">
        <f>IFERROR(VLOOKUP($I82,'ITEM MASTER'!B:E,4,0),"")</f>
        <v/>
      </c>
      <c r="N82" s="26">
        <f>IFERROR(VLOOKUP($I82,'ITEM MASTER'!B:F,5,0),0)</f>
        <v/>
      </c>
      <c r="O82" s="26">
        <f>IFERROR(VLOOKUP($M82,'TBGS PER CTN'!B:C,2,0),0)</f>
        <v/>
      </c>
      <c r="P82" s="26" t="n">
        <v>360</v>
      </c>
      <c r="Q82" s="26" t="n">
        <v>13</v>
      </c>
      <c r="R82" s="26" t="n">
        <v>172</v>
      </c>
      <c r="S82" s="26">
        <f>Q82+R82</f>
        <v/>
      </c>
      <c r="T82" s="29" t="n">
        <v>175</v>
      </c>
      <c r="U82" s="29">
        <f>N82*O82*T82</f>
        <v/>
      </c>
      <c r="V82" s="82">
        <f>IF(ISNUMBER($D82),$D82-WEEKDAY($D82,3),'ORDER VS WEEK DISTRIBUTION'!$G$500)</f>
        <v/>
      </c>
      <c r="W82" s="82">
        <f>MAX($V82,'ORDER VS WEEK DISTRIBUTION'!$G$500)</f>
        <v/>
      </c>
      <c r="X82" s="26">
        <f>IFERROR(VLOOKUP($J82,'ORDER VS WEEK DISTRIBUTION'!$T:$U,2,0),"")</f>
        <v/>
      </c>
      <c r="Y82" s="26">
        <f>IFERROR($T82/IF(IFERROR(VLOOKUP($I82,'ITEM CFC PER CONTAINER'!$A:$B,2,0),0)&gt;0,VLOOKUP($I82,'ITEM CFC PER CONTAINER'!$A:$B,2,0),VLOOKUP($X82,'MC MASTER'!$A:$Q,16,0)),"")</f>
        <v/>
      </c>
    </row>
    <row r="83" ht="15" customHeight="1" s="5">
      <c r="A83" s="26" t="inlineStr">
        <is>
          <t>Saran Enterprises Ltd.</t>
        </is>
      </c>
      <c r="B83" s="26" t="inlineStr">
        <is>
          <t>MJIL/SO/26032443</t>
        </is>
      </c>
      <c r="C83" s="26" t="inlineStr">
        <is>
          <t>PO 30072026/08 - JUMBO</t>
        </is>
      </c>
      <c r="D83" s="82" t="n">
        <v>46286</v>
      </c>
      <c r="E83" s="83">
        <f>IF(ISNUMBER($D83),EOMONTH($D83,-1)+1,"")</f>
        <v/>
      </c>
      <c r="F83" s="82" t="n">
        <v>46286</v>
      </c>
      <c r="G83" s="26" t="n">
        <v>5535</v>
      </c>
      <c r="H83" s="26">
        <f>B83&amp;I83</f>
        <v/>
      </c>
      <c r="I83" s="26" t="inlineStr">
        <is>
          <t>JUMBO STRAWBERRY 12/20 DC SF ENV TBGS</t>
        </is>
      </c>
      <c r="J83" s="26" t="inlineStr">
        <is>
          <t>C250</t>
        </is>
      </c>
      <c r="K83" s="26">
        <f>J83&amp;"-"&amp;TEXT(W83,"dd-mmm-yy")</f>
        <v/>
      </c>
      <c r="L83" s="26">
        <f>IFERROR(VLOOKUP($M83,'ITEM MASTER'!E:H,4,0),"")</f>
        <v/>
      </c>
      <c r="M83" s="26">
        <f>IFERROR(VLOOKUP($I83,'ITEM MASTER'!B:E,4,0),"")</f>
        <v/>
      </c>
      <c r="N83" s="26">
        <f>IFERROR(VLOOKUP($I83,'ITEM MASTER'!B:F,5,0),0)</f>
        <v/>
      </c>
      <c r="O83" s="26">
        <f>IFERROR(VLOOKUP($M83,'TBGS PER CTN'!B:C,2,0),0)</f>
        <v/>
      </c>
      <c r="P83" s="26" t="n">
        <v>480</v>
      </c>
      <c r="Q83" s="26" t="n">
        <v>0</v>
      </c>
      <c r="R83" s="26" t="n">
        <v>275</v>
      </c>
      <c r="S83" s="26">
        <f>Q83+R83</f>
        <v/>
      </c>
      <c r="T83" s="29" t="n">
        <v>205</v>
      </c>
      <c r="U83" s="29">
        <f>N83*O83*T83</f>
        <v/>
      </c>
      <c r="V83" s="82">
        <f>IF(ISNUMBER($D83),$D83-WEEKDAY($D83,3),'ORDER VS WEEK DISTRIBUTION'!$G$500)</f>
        <v/>
      </c>
      <c r="W83" s="82">
        <f>MAX($V83,'ORDER VS WEEK DISTRIBUTION'!$G$500)</f>
        <v/>
      </c>
      <c r="X83" s="26">
        <f>IFERROR(VLOOKUP($J83,'ORDER VS WEEK DISTRIBUTION'!$T:$U,2,0),"")</f>
        <v/>
      </c>
      <c r="Y83" s="26">
        <f>IFERROR($T83/IF(IFERROR(VLOOKUP($I83,'ITEM CFC PER CONTAINER'!$A:$B,2,0),0)&gt;0,VLOOKUP($I83,'ITEM CFC PER CONTAINER'!$A:$B,2,0),VLOOKUP($X83,'MC MASTER'!$A:$Q,16,0)),"")</f>
        <v/>
      </c>
    </row>
    <row r="84" ht="15" customHeight="1" s="5">
      <c r="A84" s="26" t="inlineStr">
        <is>
          <t>Saran Enterprises Ltd.</t>
        </is>
      </c>
      <c r="B84" s="26" t="inlineStr">
        <is>
          <t>MJIL/SO/26032443</t>
        </is>
      </c>
      <c r="C84" s="26" t="inlineStr">
        <is>
          <t>PO 30072026/08 - JUMBO</t>
        </is>
      </c>
      <c r="D84" s="82" t="n">
        <v>46286</v>
      </c>
      <c r="E84" s="83">
        <f>IF(ISNUMBER($D84),EOMONTH($D84,-1)+1,"")</f>
        <v/>
      </c>
      <c r="F84" s="82" t="n">
        <v>46286</v>
      </c>
      <c r="G84" s="26" t="n">
        <v>5519</v>
      </c>
      <c r="H84" s="26">
        <f>B84&amp;I84</f>
        <v/>
      </c>
      <c r="I84" s="26" t="inlineStr">
        <is>
          <t>JUMBO FOREST FRUITS 12/20 DC SF ENV TBGS</t>
        </is>
      </c>
      <c r="J84" s="26" t="inlineStr">
        <is>
          <t>C250</t>
        </is>
      </c>
      <c r="K84" s="26">
        <f>J84&amp;"-"&amp;TEXT(W84,"dd-mmm-yy")</f>
        <v/>
      </c>
      <c r="L84" s="26">
        <f>IFERROR(VLOOKUP($M84,'ITEM MASTER'!E:H,4,0),"")</f>
        <v/>
      </c>
      <c r="M84" s="26">
        <f>IFERROR(VLOOKUP($I84,'ITEM MASTER'!B:E,4,0),"")</f>
        <v/>
      </c>
      <c r="N84" s="26">
        <f>IFERROR(VLOOKUP($I84,'ITEM MASTER'!B:F,5,0),0)</f>
        <v/>
      </c>
      <c r="O84" s="26">
        <f>IFERROR(VLOOKUP($M84,'TBGS PER CTN'!B:C,2,0),0)</f>
        <v/>
      </c>
      <c r="P84" s="26" t="n">
        <v>960</v>
      </c>
      <c r="Q84" s="26" t="n">
        <v>0</v>
      </c>
      <c r="R84" s="26" t="n">
        <v>960</v>
      </c>
      <c r="S84" s="26">
        <f>Q84+R84</f>
        <v/>
      </c>
      <c r="T84" s="29" t="n">
        <v>0</v>
      </c>
      <c r="U84" s="29">
        <f>N84*O84*T84</f>
        <v/>
      </c>
      <c r="V84" s="82">
        <f>IF(ISNUMBER($D84),$D84-WEEKDAY($D84,3),'ORDER VS WEEK DISTRIBUTION'!$G$500)</f>
        <v/>
      </c>
      <c r="W84" s="82">
        <f>MAX($V84,'ORDER VS WEEK DISTRIBUTION'!$G$500)</f>
        <v/>
      </c>
      <c r="X84" s="26">
        <f>IFERROR(VLOOKUP($J84,'ORDER VS WEEK DISTRIBUTION'!$T:$U,2,0),"")</f>
        <v/>
      </c>
      <c r="Y84" s="26">
        <f>IFERROR($T84/IF(IFERROR(VLOOKUP($I84,'ITEM CFC PER CONTAINER'!$A:$B,2,0),0)&gt;0,VLOOKUP($I84,'ITEM CFC PER CONTAINER'!$A:$B,2,0),VLOOKUP($X84,'MC MASTER'!$A:$Q,16,0)),"")</f>
        <v/>
      </c>
    </row>
    <row r="85" ht="15" customHeight="1" s="5">
      <c r="A85" s="26" t="inlineStr">
        <is>
          <t>Saran Enterprises Ltd.</t>
        </is>
      </c>
      <c r="B85" s="26" t="inlineStr">
        <is>
          <t>MJIL/SO/26032443</t>
        </is>
      </c>
      <c r="C85" s="26" t="inlineStr">
        <is>
          <t>PO 30072026/08 - JUMBO</t>
        </is>
      </c>
      <c r="D85" s="82" t="n">
        <v>46286</v>
      </c>
      <c r="E85" s="83">
        <f>IF(ISNUMBER($D85),EOMONTH($D85,-1)+1,"")</f>
        <v/>
      </c>
      <c r="F85" s="82" t="n">
        <v>46286</v>
      </c>
      <c r="G85" s="26" t="n">
        <v>5511</v>
      </c>
      <c r="H85" s="26">
        <f>B85&amp;I85</f>
        <v/>
      </c>
      <c r="I85" s="26" t="inlineStr">
        <is>
          <t>JUMBO EARL GREY 12/20 DC SF ENV TBGS</t>
        </is>
      </c>
      <c r="J85" s="26" t="inlineStr">
        <is>
          <t>C250</t>
        </is>
      </c>
      <c r="K85" s="26">
        <f>J85&amp;"-"&amp;TEXT(W85,"dd-mmm-yy")</f>
        <v/>
      </c>
      <c r="L85" s="26">
        <f>IFERROR(VLOOKUP($M85,'ITEM MASTER'!E:H,4,0),"")</f>
        <v/>
      </c>
      <c r="M85" s="26">
        <f>IFERROR(VLOOKUP($I85,'ITEM MASTER'!B:E,4,0),"")</f>
        <v/>
      </c>
      <c r="N85" s="26">
        <f>IFERROR(VLOOKUP($I85,'ITEM MASTER'!B:F,5,0),0)</f>
        <v/>
      </c>
      <c r="O85" s="26">
        <f>IFERROR(VLOOKUP($M85,'TBGS PER CTN'!B:C,2,0),0)</f>
        <v/>
      </c>
      <c r="P85" s="26" t="n">
        <v>720</v>
      </c>
      <c r="Q85" s="26" t="n">
        <v>0</v>
      </c>
      <c r="R85" s="26" t="n">
        <v>701</v>
      </c>
      <c r="S85" s="26">
        <f>Q85+R85</f>
        <v/>
      </c>
      <c r="T85" s="29" t="n">
        <v>19</v>
      </c>
      <c r="U85" s="29">
        <f>N85*O85*T85</f>
        <v/>
      </c>
      <c r="V85" s="82">
        <f>IF(ISNUMBER($D85),$D85-WEEKDAY($D85,3),'ORDER VS WEEK DISTRIBUTION'!$G$500)</f>
        <v/>
      </c>
      <c r="W85" s="82">
        <f>MAX($V85,'ORDER VS WEEK DISTRIBUTION'!$G$500)</f>
        <v/>
      </c>
      <c r="X85" s="26">
        <f>IFERROR(VLOOKUP($J85,'ORDER VS WEEK DISTRIBUTION'!$T:$U,2,0),"")</f>
        <v/>
      </c>
      <c r="Y85" s="26">
        <f>IFERROR($T85/IF(IFERROR(VLOOKUP($I85,'ITEM CFC PER CONTAINER'!$A:$B,2,0),0)&gt;0,VLOOKUP($I85,'ITEM CFC PER CONTAINER'!$A:$B,2,0),VLOOKUP($X85,'MC MASTER'!$A:$Q,16,0)),"")</f>
        <v/>
      </c>
    </row>
    <row r="86" ht="15" customHeight="1" s="5">
      <c r="A86" s="26" t="inlineStr">
        <is>
          <t>Saran Enterprises Ltd.</t>
        </is>
      </c>
      <c r="B86" s="26" t="inlineStr">
        <is>
          <t>MJIL/SO/26032443</t>
        </is>
      </c>
      <c r="C86" s="26" t="inlineStr">
        <is>
          <t>PO 30072026/08 - JUMBO</t>
        </is>
      </c>
      <c r="D86" s="82" t="n">
        <v>46286</v>
      </c>
      <c r="E86" s="83">
        <f>IF(ISNUMBER($D86),EOMONTH($D86,-1)+1,"")</f>
        <v/>
      </c>
      <c r="F86" s="82" t="n">
        <v>46286</v>
      </c>
      <c r="G86" s="26" t="n">
        <v>5513</v>
      </c>
      <c r="H86" s="26">
        <f>B86&amp;I86</f>
        <v/>
      </c>
      <c r="I86" s="26" t="inlineStr">
        <is>
          <t>JUMBO ENGELESE MELANGE 12/20 DC SF ENV TBGS</t>
        </is>
      </c>
      <c r="J86" s="26" t="inlineStr">
        <is>
          <t>C250</t>
        </is>
      </c>
      <c r="K86" s="26">
        <f>J86&amp;"-"&amp;TEXT(W86,"dd-mmm-yy")</f>
        <v/>
      </c>
      <c r="L86" s="26">
        <f>IFERROR(VLOOKUP($M86,'ITEM MASTER'!E:H,4,0),"")</f>
        <v/>
      </c>
      <c r="M86" s="26">
        <f>IFERROR(VLOOKUP($I86,'ITEM MASTER'!B:E,4,0),"")</f>
        <v/>
      </c>
      <c r="N86" s="26">
        <f>IFERROR(VLOOKUP($I86,'ITEM MASTER'!B:F,5,0),0)</f>
        <v/>
      </c>
      <c r="O86" s="26">
        <f>IFERROR(VLOOKUP($M86,'TBGS PER CTN'!B:C,2,0),0)</f>
        <v/>
      </c>
      <c r="P86" s="26" t="n">
        <v>840</v>
      </c>
      <c r="Q86" s="26" t="n">
        <v>0</v>
      </c>
      <c r="R86" s="26" t="n">
        <v>555</v>
      </c>
      <c r="S86" s="26">
        <f>Q86+R86</f>
        <v/>
      </c>
      <c r="T86" s="29" t="n">
        <v>285</v>
      </c>
      <c r="U86" s="29">
        <f>N86*O86*T86</f>
        <v/>
      </c>
      <c r="V86" s="82">
        <f>IF(ISNUMBER($D86),$D86-WEEKDAY($D86,3),'ORDER VS WEEK DISTRIBUTION'!$G$500)</f>
        <v/>
      </c>
      <c r="W86" s="82">
        <f>MAX($V86,'ORDER VS WEEK DISTRIBUTION'!$G$500)</f>
        <v/>
      </c>
      <c r="X86" s="26">
        <f>IFERROR(VLOOKUP($J86,'ORDER VS WEEK DISTRIBUTION'!$T:$U,2,0),"")</f>
        <v/>
      </c>
      <c r="Y86" s="26">
        <f>IFERROR($T86/IF(IFERROR(VLOOKUP($I86,'ITEM CFC PER CONTAINER'!$A:$B,2,0),0)&gt;0,VLOOKUP($I86,'ITEM CFC PER CONTAINER'!$A:$B,2,0),VLOOKUP($X86,'MC MASTER'!$A:$Q,16,0)),"")</f>
        <v/>
      </c>
    </row>
    <row r="87" ht="15" customHeight="1" s="5">
      <c r="A87" s="26" t="inlineStr">
        <is>
          <t>Saran Enterprises Ltd.</t>
        </is>
      </c>
      <c r="B87" s="26" t="inlineStr">
        <is>
          <t>MJIL/SO/26032443</t>
        </is>
      </c>
      <c r="C87" s="26" t="inlineStr">
        <is>
          <t>PO 30072026/08 - JUMBO</t>
        </is>
      </c>
      <c r="D87" s="82" t="n">
        <v>46286</v>
      </c>
      <c r="E87" s="83">
        <f>IF(ISNUMBER($D87),EOMONTH($D87,-1)+1,"")</f>
        <v/>
      </c>
      <c r="F87" s="82" t="n">
        <v>46286</v>
      </c>
      <c r="G87" s="26" t="n">
        <v>5516</v>
      </c>
      <c r="H87" s="26">
        <f>B87&amp;I87</f>
        <v/>
      </c>
      <c r="I87" s="26" t="inlineStr">
        <is>
          <t>JUMBO ENGELESE MELANGE 12/40 DC SF TAG TBGS</t>
        </is>
      </c>
      <c r="J87" s="26" t="inlineStr">
        <is>
          <t>C250F3 HS</t>
        </is>
      </c>
      <c r="K87" s="26">
        <f>J87&amp;"-"&amp;TEXT(W87,"dd-mmm-yy")</f>
        <v/>
      </c>
      <c r="L87" s="26">
        <f>IFERROR(VLOOKUP($M87,'ITEM MASTER'!E:H,4,0),"")</f>
        <v/>
      </c>
      <c r="M87" s="26">
        <f>IFERROR(VLOOKUP($I87,'ITEM MASTER'!B:E,4,0),"")</f>
        <v/>
      </c>
      <c r="N87" s="26">
        <f>IFERROR(VLOOKUP($I87,'ITEM MASTER'!B:F,5,0),0)</f>
        <v/>
      </c>
      <c r="O87" s="26">
        <f>IFERROR(VLOOKUP($M87,'TBGS PER CTN'!B:C,2,0),0)</f>
        <v/>
      </c>
      <c r="P87" s="26" t="n">
        <v>504</v>
      </c>
      <c r="Q87" s="26" t="n">
        <v>67</v>
      </c>
      <c r="R87" s="26" t="n">
        <v>345</v>
      </c>
      <c r="S87" s="26">
        <f>Q87+R87</f>
        <v/>
      </c>
      <c r="T87" s="29" t="n">
        <v>92</v>
      </c>
      <c r="U87" s="29">
        <f>N87*O87*T87</f>
        <v/>
      </c>
      <c r="V87" s="82">
        <f>IF(ISNUMBER($D87),$D87-WEEKDAY($D87,3),'ORDER VS WEEK DISTRIBUTION'!$G$500)</f>
        <v/>
      </c>
      <c r="W87" s="82">
        <f>MAX($V87,'ORDER VS WEEK DISTRIBUTION'!$G$500)</f>
        <v/>
      </c>
      <c r="X87" s="26">
        <f>IFERROR(VLOOKUP($J87,'ORDER VS WEEK DISTRIBUTION'!$T:$U,2,0),"")</f>
        <v/>
      </c>
      <c r="Y87" s="26">
        <f>IFERROR($T87/IF(IFERROR(VLOOKUP($I87,'ITEM CFC PER CONTAINER'!$A:$B,2,0),0)&gt;0,VLOOKUP($I87,'ITEM CFC PER CONTAINER'!$A:$B,2,0),VLOOKUP($X87,'MC MASTER'!$A:$Q,16,0)),"")</f>
        <v/>
      </c>
    </row>
    <row r="88" ht="15" customHeight="1" s="5">
      <c r="A88" s="26" t="inlineStr">
        <is>
          <t>Saran Enterprises Ltd.</t>
        </is>
      </c>
      <c r="B88" s="26" t="inlineStr">
        <is>
          <t>MJIL/SO/26032443</t>
        </is>
      </c>
      <c r="C88" s="26" t="inlineStr">
        <is>
          <t>PO 30072026/08 - JUMBO</t>
        </is>
      </c>
      <c r="D88" s="82" t="n">
        <v>46286</v>
      </c>
      <c r="E88" s="83">
        <f>IF(ISNUMBER($D88),EOMONTH($D88,-1)+1,"")</f>
        <v/>
      </c>
      <c r="F88" s="82" t="n">
        <v>46286</v>
      </c>
      <c r="G88" s="26" t="n">
        <v>5529</v>
      </c>
      <c r="H88" s="26">
        <f>B88&amp;I88</f>
        <v/>
      </c>
      <c r="I88" s="26" t="inlineStr">
        <is>
          <t>JUMBO ORANGE 12/20 DC SF ENV TBGS</t>
        </is>
      </c>
      <c r="J88" s="26" t="inlineStr">
        <is>
          <t>C250</t>
        </is>
      </c>
      <c r="K88" s="26">
        <f>J88&amp;"-"&amp;TEXT(W88,"dd-mmm-yy")</f>
        <v/>
      </c>
      <c r="L88" s="26">
        <f>IFERROR(VLOOKUP($M88,'ITEM MASTER'!E:H,4,0),"")</f>
        <v/>
      </c>
      <c r="M88" s="26">
        <f>IFERROR(VLOOKUP($I88,'ITEM MASTER'!B:E,4,0),"")</f>
        <v/>
      </c>
      <c r="N88" s="26">
        <f>IFERROR(VLOOKUP($I88,'ITEM MASTER'!B:F,5,0),0)</f>
        <v/>
      </c>
      <c r="O88" s="26">
        <f>IFERROR(VLOOKUP($M88,'TBGS PER CTN'!B:C,2,0),0)</f>
        <v/>
      </c>
      <c r="P88" s="26" t="n">
        <v>360</v>
      </c>
      <c r="Q88" s="26" t="n">
        <v>0</v>
      </c>
      <c r="R88" s="26" t="n">
        <v>360</v>
      </c>
      <c r="S88" s="26">
        <f>Q88+R88</f>
        <v/>
      </c>
      <c r="T88" s="29" t="n">
        <v>0</v>
      </c>
      <c r="U88" s="29">
        <f>N88*O88*T88</f>
        <v/>
      </c>
      <c r="V88" s="82">
        <f>IF(ISNUMBER($D88),$D88-WEEKDAY($D88,3),'ORDER VS WEEK DISTRIBUTION'!$G$500)</f>
        <v/>
      </c>
      <c r="W88" s="82">
        <f>MAX($V88,'ORDER VS WEEK DISTRIBUTION'!$G$500)</f>
        <v/>
      </c>
      <c r="X88" s="26">
        <f>IFERROR(VLOOKUP($J88,'ORDER VS WEEK DISTRIBUTION'!$T:$U,2,0),"")</f>
        <v/>
      </c>
      <c r="Y88" s="26">
        <f>IFERROR($T88/IF(IFERROR(VLOOKUP($I88,'ITEM CFC PER CONTAINER'!$A:$B,2,0),0)&gt;0,VLOOKUP($I88,'ITEM CFC PER CONTAINER'!$A:$B,2,0),VLOOKUP($X88,'MC MASTER'!$A:$Q,16,0)),"")</f>
        <v/>
      </c>
    </row>
    <row r="89" ht="15" customHeight="1" s="5">
      <c r="A89" s="26" t="inlineStr">
        <is>
          <t>Saran Enterprises Ltd.</t>
        </is>
      </c>
      <c r="B89" s="26" t="inlineStr">
        <is>
          <t>MJIL/SO/26032443</t>
        </is>
      </c>
      <c r="C89" s="26" t="inlineStr">
        <is>
          <t>PO 30072026/08 - JUMBO</t>
        </is>
      </c>
      <c r="D89" s="82" t="n">
        <v>46286</v>
      </c>
      <c r="E89" s="83">
        <f>IF(ISNUMBER($D89),EOMONTH($D89,-1)+1,"")</f>
        <v/>
      </c>
      <c r="F89" s="82" t="n">
        <v>46286</v>
      </c>
      <c r="G89" s="26" t="n">
        <v>5530</v>
      </c>
      <c r="H89" s="26">
        <f>B89&amp;I89</f>
        <v/>
      </c>
      <c r="I89" s="26" t="inlineStr">
        <is>
          <t>JUMBO ORANGE VARIATION 12/20 DC SF ENV TBGS</t>
        </is>
      </c>
      <c r="J89" s="26" t="inlineStr">
        <is>
          <t>C250</t>
        </is>
      </c>
      <c r="K89" s="26">
        <f>J89&amp;"-"&amp;TEXT(W89,"dd-mmm-yy")</f>
        <v/>
      </c>
      <c r="L89" s="26">
        <f>IFERROR(VLOOKUP($M89,'ITEM MASTER'!E:H,4,0),"")</f>
        <v/>
      </c>
      <c r="M89" s="26">
        <f>IFERROR(VLOOKUP($I89,'ITEM MASTER'!B:E,4,0),"")</f>
        <v/>
      </c>
      <c r="N89" s="26">
        <f>IFERROR(VLOOKUP($I89,'ITEM MASTER'!B:F,5,0),0)</f>
        <v/>
      </c>
      <c r="O89" s="26">
        <f>IFERROR(VLOOKUP($M89,'TBGS PER CTN'!B:C,2,0),0)</f>
        <v/>
      </c>
      <c r="P89" s="26" t="n">
        <v>480</v>
      </c>
      <c r="Q89" s="26" t="n">
        <v>0</v>
      </c>
      <c r="R89" s="26" t="n">
        <v>480</v>
      </c>
      <c r="S89" s="26">
        <f>Q89+R89</f>
        <v/>
      </c>
      <c r="T89" s="29" t="n">
        <v>0</v>
      </c>
      <c r="U89" s="29">
        <f>N89*O89*T89</f>
        <v/>
      </c>
      <c r="V89" s="82">
        <f>IF(ISNUMBER($D89),$D89-WEEKDAY($D89,3),'ORDER VS WEEK DISTRIBUTION'!$G$500)</f>
        <v/>
      </c>
      <c r="W89" s="82">
        <f>MAX($V89,'ORDER VS WEEK DISTRIBUTION'!$G$500)</f>
        <v/>
      </c>
      <c r="X89" s="26">
        <f>IFERROR(VLOOKUP($J89,'ORDER VS WEEK DISTRIBUTION'!$T:$U,2,0),"")</f>
        <v/>
      </c>
      <c r="Y89" s="26">
        <f>IFERROR($T89/IF(IFERROR(VLOOKUP($I89,'ITEM CFC PER CONTAINER'!$A:$B,2,0),0)&gt;0,VLOOKUP($I89,'ITEM CFC PER CONTAINER'!$A:$B,2,0),VLOOKUP($X89,'MC MASTER'!$A:$Q,16,0)),"")</f>
        <v/>
      </c>
    </row>
    <row r="90" ht="15" customHeight="1" s="5">
      <c r="A90" s="26" t="inlineStr">
        <is>
          <t>Saran Enterprises Ltd.</t>
        </is>
      </c>
      <c r="B90" s="26" t="inlineStr">
        <is>
          <t>MJIL/SO/26032443</t>
        </is>
      </c>
      <c r="C90" s="26" t="inlineStr">
        <is>
          <t>PO 30072026/08 - JUMBO</t>
        </is>
      </c>
      <c r="D90" s="82" t="n">
        <v>46286</v>
      </c>
      <c r="E90" s="83">
        <f>IF(ISNUMBER($D90),EOMONTH($D90,-1)+1,"")</f>
        <v/>
      </c>
      <c r="F90" s="82" t="n">
        <v>46286</v>
      </c>
      <c r="G90" s="26" t="n">
        <v>5531</v>
      </c>
      <c r="H90" s="26">
        <f>B90&amp;I90</f>
        <v/>
      </c>
      <c r="I90" s="26" t="inlineStr">
        <is>
          <t>JUMBO RED VARIATION 12/20 DC SF ENV TBGS</t>
        </is>
      </c>
      <c r="J90" s="26" t="inlineStr">
        <is>
          <t>MD20 ENV</t>
        </is>
      </c>
      <c r="K90" s="26">
        <f>J90&amp;"-"&amp;TEXT(W90,"dd-mmm-yy")</f>
        <v/>
      </c>
      <c r="L90" s="26">
        <f>IFERROR(VLOOKUP($M90,'ITEM MASTER'!E:H,4,0),"")</f>
        <v/>
      </c>
      <c r="M90" s="26">
        <f>IFERROR(VLOOKUP($I90,'ITEM MASTER'!B:E,4,0),"")</f>
        <v/>
      </c>
      <c r="N90" s="26">
        <f>IFERROR(VLOOKUP($I90,'ITEM MASTER'!B:F,5,0),0)</f>
        <v/>
      </c>
      <c r="O90" s="26">
        <f>IFERROR(VLOOKUP($M90,'TBGS PER CTN'!B:C,2,0),0)</f>
        <v/>
      </c>
      <c r="P90" s="26" t="n">
        <v>480</v>
      </c>
      <c r="Q90" s="26" t="n">
        <v>0</v>
      </c>
      <c r="R90" s="26" t="n">
        <v>480</v>
      </c>
      <c r="S90" s="26">
        <f>Q90+R90</f>
        <v/>
      </c>
      <c r="T90" s="29" t="n">
        <v>0</v>
      </c>
      <c r="U90" s="29">
        <f>N90*O90*T90</f>
        <v/>
      </c>
      <c r="V90" s="82">
        <f>IF(ISNUMBER($D90),$D90-WEEKDAY($D90,3),'ORDER VS WEEK DISTRIBUTION'!$G$500)</f>
        <v/>
      </c>
      <c r="W90" s="82">
        <f>MAX($V90,'ORDER VS WEEK DISTRIBUTION'!$G$500)</f>
        <v/>
      </c>
      <c r="X90" s="26">
        <f>IFERROR(VLOOKUP($J90,'ORDER VS WEEK DISTRIBUTION'!$T:$U,2,0),"")</f>
        <v/>
      </c>
      <c r="Y90" s="26">
        <f>IFERROR($T90/IF(IFERROR(VLOOKUP($I90,'ITEM CFC PER CONTAINER'!$A:$B,2,0),0)&gt;0,VLOOKUP($I90,'ITEM CFC PER CONTAINER'!$A:$B,2,0),VLOOKUP($X90,'MC MASTER'!$A:$Q,16,0)),"")</f>
        <v/>
      </c>
    </row>
    <row r="91" ht="15" customHeight="1" s="5">
      <c r="A91" s="26" t="inlineStr">
        <is>
          <t>Saran Enterprises Ltd.</t>
        </is>
      </c>
      <c r="B91" s="26" t="inlineStr">
        <is>
          <t>MJIL/SO/26043006</t>
        </is>
      </c>
      <c r="C91" s="26" t="inlineStr">
        <is>
          <t>PO 21082026/01 - ICA</t>
        </is>
      </c>
      <c r="D91" s="82" t="n">
        <v>46291</v>
      </c>
      <c r="E91" s="83">
        <f>IF(ISNUMBER($D91),EOMONTH($D91,-1)+1,"")</f>
        <v/>
      </c>
      <c r="F91" s="82" t="n">
        <v>46286</v>
      </c>
      <c r="G91" s="26" t="n">
        <v>36186</v>
      </c>
      <c r="H91" s="26">
        <f>B91&amp;I91</f>
        <v/>
      </c>
      <c r="I91" s="26" t="inlineStr">
        <is>
          <t>ICA CHAI 12/20 DC SF ENV TBGS</t>
        </is>
      </c>
      <c r="J91" s="26" t="inlineStr">
        <is>
          <t>C250</t>
        </is>
      </c>
      <c r="K91" s="26">
        <f>J91&amp;"-"&amp;TEXT(W91,"dd-mmm-yy")</f>
        <v/>
      </c>
      <c r="L91" s="26">
        <f>IFERROR(VLOOKUP($M91,'ITEM MASTER'!E:H,4,0),"")</f>
        <v/>
      </c>
      <c r="M91" s="26">
        <f>IFERROR(VLOOKUP($I91,'ITEM MASTER'!B:E,4,0),"")</f>
        <v/>
      </c>
      <c r="N91" s="26">
        <f>IFERROR(VLOOKUP($I91,'ITEM MASTER'!B:F,5,0),0)</f>
        <v/>
      </c>
      <c r="O91" s="26">
        <f>IFERROR(VLOOKUP($M91,'TBGS PER CTN'!B:C,2,0),0)</f>
        <v/>
      </c>
      <c r="P91" s="26" t="n">
        <v>1344</v>
      </c>
      <c r="Q91" s="26" t="n">
        <v>0</v>
      </c>
      <c r="R91" s="26" t="n">
        <v>21</v>
      </c>
      <c r="S91" s="26">
        <f>Q91+R91</f>
        <v/>
      </c>
      <c r="T91" s="29" t="n">
        <v>1323</v>
      </c>
      <c r="U91" s="29">
        <f>N91*O91*T91</f>
        <v/>
      </c>
      <c r="V91" s="82">
        <f>IF(ISNUMBER($D91),$D91-WEEKDAY($D91,3),'ORDER VS WEEK DISTRIBUTION'!$G$500)</f>
        <v/>
      </c>
      <c r="W91" s="82">
        <f>MAX($V91,'ORDER VS WEEK DISTRIBUTION'!$G$500)</f>
        <v/>
      </c>
      <c r="X91" s="26">
        <f>IFERROR(VLOOKUP($J91,'ORDER VS WEEK DISTRIBUTION'!$T:$U,2,0),"")</f>
        <v/>
      </c>
      <c r="Y91" s="26">
        <f>IFERROR($T91/IF(IFERROR(VLOOKUP($I91,'ITEM CFC PER CONTAINER'!$A:$B,2,0),0)&gt;0,VLOOKUP($I91,'ITEM CFC PER CONTAINER'!$A:$B,2,0),VLOOKUP($X91,'MC MASTER'!$A:$Q,16,0)),"")</f>
        <v/>
      </c>
    </row>
    <row r="92" ht="15" customHeight="1" s="5">
      <c r="A92" s="26" t="inlineStr">
        <is>
          <t>Saran Enterprises Ltd.</t>
        </is>
      </c>
      <c r="B92" s="26" t="inlineStr">
        <is>
          <t>MJIL/SO/26043006</t>
        </is>
      </c>
      <c r="C92" s="26" t="inlineStr">
        <is>
          <t>PO 21082026/01 - ICA</t>
        </is>
      </c>
      <c r="D92" s="82" t="n">
        <v>46291</v>
      </c>
      <c r="E92" s="83">
        <f>IF(ISNUMBER($D92),EOMONTH($D92,-1)+1,"")</f>
        <v/>
      </c>
      <c r="F92" s="82" t="n">
        <v>46286</v>
      </c>
      <c r="G92" s="26" t="n">
        <v>36196</v>
      </c>
      <c r="H92" s="26">
        <f>B92&amp;I92</f>
        <v/>
      </c>
      <c r="I92" s="26" t="inlineStr">
        <is>
          <t>ICA GREEN TEA ORANGE GINGER 12/20 DC SF ENV TBGS</t>
        </is>
      </c>
      <c r="J92" s="26" t="inlineStr">
        <is>
          <t>C250</t>
        </is>
      </c>
      <c r="K92" s="26">
        <f>J92&amp;"-"&amp;TEXT(W92,"dd-mmm-yy")</f>
        <v/>
      </c>
      <c r="L92" s="26">
        <f>IFERROR(VLOOKUP($M92,'ITEM MASTER'!E:H,4,0),"")</f>
        <v/>
      </c>
      <c r="M92" s="26">
        <f>IFERROR(VLOOKUP($I92,'ITEM MASTER'!B:E,4,0),"")</f>
        <v/>
      </c>
      <c r="N92" s="26">
        <f>IFERROR(VLOOKUP($I92,'ITEM MASTER'!B:F,5,0),0)</f>
        <v/>
      </c>
      <c r="O92" s="26">
        <f>IFERROR(VLOOKUP($M92,'TBGS PER CTN'!B:C,2,0),0)</f>
        <v/>
      </c>
      <c r="P92" s="26" t="n">
        <v>560</v>
      </c>
      <c r="Q92" s="26" t="n">
        <v>0</v>
      </c>
      <c r="R92" s="26" t="n">
        <v>188</v>
      </c>
      <c r="S92" s="26">
        <f>Q92+R92</f>
        <v/>
      </c>
      <c r="T92" s="29" t="n">
        <v>372</v>
      </c>
      <c r="U92" s="29">
        <f>N92*O92*T92</f>
        <v/>
      </c>
      <c r="V92" s="82">
        <f>IF(ISNUMBER($D92),$D92-WEEKDAY($D92,3),'ORDER VS WEEK DISTRIBUTION'!$G$500)</f>
        <v/>
      </c>
      <c r="W92" s="82">
        <f>MAX($V92,'ORDER VS WEEK DISTRIBUTION'!$G$500)</f>
        <v/>
      </c>
      <c r="X92" s="26">
        <f>IFERROR(VLOOKUP($J92,'ORDER VS WEEK DISTRIBUTION'!$T:$U,2,0),"")</f>
        <v/>
      </c>
      <c r="Y92" s="26">
        <f>IFERROR($T92/IF(IFERROR(VLOOKUP($I92,'ITEM CFC PER CONTAINER'!$A:$B,2,0),0)&gt;0,VLOOKUP($I92,'ITEM CFC PER CONTAINER'!$A:$B,2,0),VLOOKUP($X92,'MC MASTER'!$A:$Q,16,0)),"")</f>
        <v/>
      </c>
    </row>
    <row r="93" ht="15" customHeight="1" s="5">
      <c r="A93" s="26" t="inlineStr">
        <is>
          <t>Saran Enterprises Ltd.</t>
        </is>
      </c>
      <c r="B93" s="26" t="inlineStr">
        <is>
          <t>MJIL/SO/26043006</t>
        </is>
      </c>
      <c r="C93" s="26" t="inlineStr">
        <is>
          <t>PO 21082026/01 - ICA</t>
        </is>
      </c>
      <c r="D93" s="82" t="n">
        <v>46291</v>
      </c>
      <c r="E93" s="83">
        <f>IF(ISNUMBER($D93),EOMONTH($D93,-1)+1,"")</f>
        <v/>
      </c>
      <c r="F93" s="82" t="n">
        <v>46286</v>
      </c>
      <c r="G93" s="26" t="n">
        <v>36190</v>
      </c>
      <c r="H93" s="26">
        <f>B93&amp;I93</f>
        <v/>
      </c>
      <c r="I93" s="26" t="inlineStr">
        <is>
          <t>ICA SODERBLOM 12/20 DC SF ENV TBGS</t>
        </is>
      </c>
      <c r="J93" s="26" t="inlineStr">
        <is>
          <t>C250</t>
        </is>
      </c>
      <c r="K93" s="26">
        <f>J93&amp;"-"&amp;TEXT(W93,"dd-mmm-yy")</f>
        <v/>
      </c>
      <c r="L93" s="26">
        <f>IFERROR(VLOOKUP($M93,'ITEM MASTER'!E:H,4,0),"")</f>
        <v/>
      </c>
      <c r="M93" s="26">
        <f>IFERROR(VLOOKUP($I93,'ITEM MASTER'!B:E,4,0),"")</f>
        <v/>
      </c>
      <c r="N93" s="26">
        <f>IFERROR(VLOOKUP($I93,'ITEM MASTER'!B:F,5,0),0)</f>
        <v/>
      </c>
      <c r="O93" s="26">
        <f>IFERROR(VLOOKUP($M93,'TBGS PER CTN'!B:C,2,0),0)</f>
        <v/>
      </c>
      <c r="P93" s="26" t="n">
        <v>896</v>
      </c>
      <c r="Q93" s="26" t="n">
        <v>42</v>
      </c>
      <c r="R93" s="26" t="n">
        <v>688</v>
      </c>
      <c r="S93" s="26">
        <f>Q93+R93</f>
        <v/>
      </c>
      <c r="T93" s="29" t="n">
        <v>166</v>
      </c>
      <c r="U93" s="29">
        <f>N93*O93*T93</f>
        <v/>
      </c>
      <c r="V93" s="82">
        <f>IF(ISNUMBER($D93),$D93-WEEKDAY($D93,3),'ORDER VS WEEK DISTRIBUTION'!$G$500)</f>
        <v/>
      </c>
      <c r="W93" s="82">
        <f>MAX($V93,'ORDER VS WEEK DISTRIBUTION'!$G$500)</f>
        <v/>
      </c>
      <c r="X93" s="26">
        <f>IFERROR(VLOOKUP($J93,'ORDER VS WEEK DISTRIBUTION'!$T:$U,2,0),"")</f>
        <v/>
      </c>
      <c r="Y93" s="26">
        <f>IFERROR($T93/IF(IFERROR(VLOOKUP($I93,'ITEM CFC PER CONTAINER'!$A:$B,2,0),0)&gt;0,VLOOKUP($I93,'ITEM CFC PER CONTAINER'!$A:$B,2,0),VLOOKUP($X93,'MC MASTER'!$A:$Q,16,0)),"")</f>
        <v/>
      </c>
    </row>
    <row r="94" ht="15" customHeight="1" s="5">
      <c r="A94" s="26" t="inlineStr">
        <is>
          <t>Saran Enterprises Ltd.</t>
        </is>
      </c>
      <c r="B94" s="26" t="inlineStr">
        <is>
          <t>MJIL/SO/26043006</t>
        </is>
      </c>
      <c r="C94" s="26" t="inlineStr">
        <is>
          <t>PO 21082026/01 - ICA</t>
        </is>
      </c>
      <c r="D94" s="82" t="n">
        <v>46291</v>
      </c>
      <c r="E94" s="83">
        <f>IF(ISNUMBER($D94),EOMONTH($D94,-1)+1,"")</f>
        <v/>
      </c>
      <c r="F94" s="82" t="n">
        <v>46286</v>
      </c>
      <c r="G94" s="26" t="n">
        <v>36191</v>
      </c>
      <c r="H94" s="26">
        <f>B94&amp;I94</f>
        <v/>
      </c>
      <c r="I94" s="26" t="inlineStr">
        <is>
          <t>ICA ORTTE 12/20 DC SF ENV TBGS</t>
        </is>
      </c>
      <c r="J94" s="26" t="inlineStr">
        <is>
          <t>C250</t>
        </is>
      </c>
      <c r="K94" s="26">
        <f>J94&amp;"-"&amp;TEXT(W94,"dd-mmm-yy")</f>
        <v/>
      </c>
      <c r="L94" s="26">
        <f>IFERROR(VLOOKUP($M94,'ITEM MASTER'!E:H,4,0),"")</f>
        <v/>
      </c>
      <c r="M94" s="26">
        <f>IFERROR(VLOOKUP($I94,'ITEM MASTER'!B:E,4,0),"")</f>
        <v/>
      </c>
      <c r="N94" s="26">
        <f>IFERROR(VLOOKUP($I94,'ITEM MASTER'!B:F,5,0),0)</f>
        <v/>
      </c>
      <c r="O94" s="26">
        <f>IFERROR(VLOOKUP($M94,'TBGS PER CTN'!B:C,2,0),0)</f>
        <v/>
      </c>
      <c r="P94" s="26" t="n">
        <v>2688</v>
      </c>
      <c r="Q94" s="26" t="n">
        <v>0</v>
      </c>
      <c r="R94" s="26" t="n">
        <v>15</v>
      </c>
      <c r="S94" s="26">
        <f>Q94+R94</f>
        <v/>
      </c>
      <c r="T94" s="29" t="n">
        <v>2673</v>
      </c>
      <c r="U94" s="29">
        <f>N94*O94*T94</f>
        <v/>
      </c>
      <c r="V94" s="82">
        <f>IF(ISNUMBER($D94),$D94-WEEKDAY($D94,3),'ORDER VS WEEK DISTRIBUTION'!$G$500)</f>
        <v/>
      </c>
      <c r="W94" s="82">
        <f>MAX($V94,'ORDER VS WEEK DISTRIBUTION'!$G$500)</f>
        <v/>
      </c>
      <c r="X94" s="26">
        <f>IFERROR(VLOOKUP($J94,'ORDER VS WEEK DISTRIBUTION'!$T:$U,2,0),"")</f>
        <v/>
      </c>
      <c r="Y94" s="26">
        <f>IFERROR($T94/IF(IFERROR(VLOOKUP($I94,'ITEM CFC PER CONTAINER'!$A:$B,2,0),0)&gt;0,VLOOKUP($I94,'ITEM CFC PER CONTAINER'!$A:$B,2,0),VLOOKUP($X94,'MC MASTER'!$A:$Q,16,0)),"")</f>
        <v/>
      </c>
    </row>
    <row r="95" ht="15" customHeight="1" s="5">
      <c r="A95" s="26" t="inlineStr">
        <is>
          <t>Saran Enterprises Ltd.</t>
        </is>
      </c>
      <c r="B95" s="26" t="inlineStr">
        <is>
          <t>MJIL/SO/26043006</t>
        </is>
      </c>
      <c r="C95" s="26" t="inlineStr">
        <is>
          <t>PO 21082026/01 - ICA</t>
        </is>
      </c>
      <c r="D95" s="82" t="n">
        <v>46291</v>
      </c>
      <c r="E95" s="83">
        <f>IF(ISNUMBER($D95),EOMONTH($D95,-1)+1,"")</f>
        <v/>
      </c>
      <c r="F95" s="82" t="n">
        <v>46286</v>
      </c>
      <c r="G95" s="26" t="n">
        <v>36195</v>
      </c>
      <c r="H95" s="26">
        <f>B95&amp;I95</f>
        <v/>
      </c>
      <c r="I95" s="26" t="inlineStr">
        <is>
          <t>ICA GREEN TEA LEMON 12/20 DC SF ENV TBGS</t>
        </is>
      </c>
      <c r="J95" s="26" t="inlineStr">
        <is>
          <t>C250</t>
        </is>
      </c>
      <c r="K95" s="26">
        <f>J95&amp;"-"&amp;TEXT(W95,"dd-mmm-yy")</f>
        <v/>
      </c>
      <c r="L95" s="26">
        <f>IFERROR(VLOOKUP($M95,'ITEM MASTER'!E:H,4,0),"")</f>
        <v/>
      </c>
      <c r="M95" s="26">
        <f>IFERROR(VLOOKUP($I95,'ITEM MASTER'!B:E,4,0),"")</f>
        <v/>
      </c>
      <c r="N95" s="26">
        <f>IFERROR(VLOOKUP($I95,'ITEM MASTER'!B:F,5,0),0)</f>
        <v/>
      </c>
      <c r="O95" s="26">
        <f>IFERROR(VLOOKUP($M95,'TBGS PER CTN'!B:C,2,0),0)</f>
        <v/>
      </c>
      <c r="P95" s="26" t="n">
        <v>784</v>
      </c>
      <c r="Q95" s="26" t="n">
        <v>0</v>
      </c>
      <c r="R95" s="26" t="n">
        <v>232</v>
      </c>
      <c r="S95" s="26">
        <f>Q95+R95</f>
        <v/>
      </c>
      <c r="T95" s="29" t="n">
        <v>552</v>
      </c>
      <c r="U95" s="29">
        <f>N95*O95*T95</f>
        <v/>
      </c>
      <c r="V95" s="82">
        <f>IF(ISNUMBER($D95),$D95-WEEKDAY($D95,3),'ORDER VS WEEK DISTRIBUTION'!$G$500)</f>
        <v/>
      </c>
      <c r="W95" s="82">
        <f>MAX($V95,'ORDER VS WEEK DISTRIBUTION'!$G$500)</f>
        <v/>
      </c>
      <c r="X95" s="26">
        <f>IFERROR(VLOOKUP($J95,'ORDER VS WEEK DISTRIBUTION'!$T:$U,2,0),"")</f>
        <v/>
      </c>
      <c r="Y95" s="26">
        <f>IFERROR($T95/IF(IFERROR(VLOOKUP($I95,'ITEM CFC PER CONTAINER'!$A:$B,2,0),0)&gt;0,VLOOKUP($I95,'ITEM CFC PER CONTAINER'!$A:$B,2,0),VLOOKUP($X95,'MC MASTER'!$A:$Q,16,0)),"")</f>
        <v/>
      </c>
    </row>
    <row r="96" ht="15" customHeight="1" s="5">
      <c r="A96" s="26" t="inlineStr">
        <is>
          <t>Saran Enterprises Ltd.</t>
        </is>
      </c>
      <c r="B96" s="26" t="inlineStr">
        <is>
          <t>MJIL/SO/26043011</t>
        </is>
      </c>
      <c r="C96" s="26" t="inlineStr">
        <is>
          <t>PO 20082026/01 -ALDI</t>
        </is>
      </c>
      <c r="D96" s="82" t="n">
        <v>46291</v>
      </c>
      <c r="E96" s="83">
        <f>IF(ISNUMBER($D96),EOMONTH($D96,-1)+1,"")</f>
        <v/>
      </c>
      <c r="F96" s="82" t="n">
        <v>46286</v>
      </c>
      <c r="G96" s="26" t="n">
        <v>26909</v>
      </c>
      <c r="H96" s="26">
        <f>B96&amp;I96</f>
        <v/>
      </c>
      <c r="I96" s="26" t="inlineStr">
        <is>
          <t>ALDI VRUCHTENTHEE 24/20 DC SF ENV TBGS</t>
        </is>
      </c>
      <c r="J96" s="26" t="inlineStr">
        <is>
          <t>VARIETIES PACK</t>
        </is>
      </c>
      <c r="K96" s="26">
        <f>J96&amp;"-"&amp;TEXT(W96,"dd-mmm-yy")</f>
        <v/>
      </c>
      <c r="L96" s="26">
        <f>IFERROR(VLOOKUP($M96,'ITEM MASTER'!E:H,4,0),"")</f>
        <v/>
      </c>
      <c r="M96" s="26">
        <f>IFERROR(VLOOKUP($I96,'ITEM MASTER'!B:E,4,0),"")</f>
        <v/>
      </c>
      <c r="N96" s="26">
        <f>IFERROR(VLOOKUP($I96,'ITEM MASTER'!B:F,5,0),0)</f>
        <v/>
      </c>
      <c r="O96" s="26">
        <f>IFERROR(VLOOKUP($M96,'TBGS PER CTN'!B:C,2,0),0)</f>
        <v/>
      </c>
      <c r="P96" s="26" t="n">
        <v>3136</v>
      </c>
      <c r="Q96" s="26" t="n">
        <v>0</v>
      </c>
      <c r="R96" s="26" t="n">
        <v>0</v>
      </c>
      <c r="S96" s="26">
        <f>Q96+R96</f>
        <v/>
      </c>
      <c r="T96" s="29" t="n">
        <v>3136</v>
      </c>
      <c r="U96" s="29">
        <f>N96*O96*T96</f>
        <v/>
      </c>
      <c r="V96" s="82">
        <f>IF(ISNUMBER($D96),$D96-WEEKDAY($D96,3),'ORDER VS WEEK DISTRIBUTION'!$G$500)</f>
        <v/>
      </c>
      <c r="W96" s="82">
        <f>MAX($V96,'ORDER VS WEEK DISTRIBUTION'!$G$500)</f>
        <v/>
      </c>
      <c r="X96" s="26">
        <f>IFERROR(VLOOKUP($J96,'ORDER VS WEEK DISTRIBUTION'!$T:$U,2,0),"")</f>
        <v/>
      </c>
      <c r="Y96" s="26">
        <f>IFERROR($T96/IF(IFERROR(VLOOKUP($I96,'ITEM CFC PER CONTAINER'!$A:$B,2,0),0)&gt;0,VLOOKUP($I96,'ITEM CFC PER CONTAINER'!$A:$B,2,0),VLOOKUP($X96,'MC MASTER'!$A:$Q,16,0)),"")</f>
        <v/>
      </c>
    </row>
    <row r="97" ht="15" customHeight="1" s="5">
      <c r="A97" s="26" t="inlineStr">
        <is>
          <t>Unil As</t>
        </is>
      </c>
      <c r="B97" s="26" t="inlineStr">
        <is>
          <t>MJIL/SO/26025242</t>
        </is>
      </c>
      <c r="C97" s="26" t="n">
        <v>2045789</v>
      </c>
      <c r="D97" s="82" t="n">
        <v>46286</v>
      </c>
      <c r="E97" s="83">
        <f>IF(ISNUMBER($D97),EOMONTH($D97,-1)+1,"")</f>
        <v/>
      </c>
      <c r="F97" s="82" t="n">
        <v>46286</v>
      </c>
      <c r="G97" s="26" t="n">
        <v>1565</v>
      </c>
      <c r="H97" s="26">
        <f>B97&amp;I97</f>
        <v/>
      </c>
      <c r="I97" s="26" t="inlineStr">
        <is>
          <t>FIRST PRICE EARL GREY 12/50 DC ENV TBGS FAIRTRADE</t>
        </is>
      </c>
      <c r="J97" s="30" t="inlineStr">
        <is>
          <t>CONSTANTA ENV</t>
        </is>
      </c>
      <c r="K97" s="26">
        <f>J97&amp;"-"&amp;TEXT(W97,"dd-mmm-yy")</f>
        <v/>
      </c>
      <c r="L97" s="26">
        <f>IFERROR(VLOOKUP($M97,'ITEM MASTER'!E:H,4,0),"")</f>
        <v/>
      </c>
      <c r="M97" s="26">
        <f>IFERROR(VLOOKUP($I97,'ITEM MASTER'!B:E,4,0),"")</f>
        <v/>
      </c>
      <c r="N97" s="26">
        <f>IFERROR(VLOOKUP($I97,'ITEM MASTER'!B:F,5,0),0)</f>
        <v/>
      </c>
      <c r="O97" s="26">
        <f>IFERROR(VLOOKUP($M97,'TBGS PER CTN'!B:C,2,0),0)</f>
        <v/>
      </c>
      <c r="P97" s="26" t="n">
        <v>4260</v>
      </c>
      <c r="Q97" s="26" t="n">
        <v>14</v>
      </c>
      <c r="R97" s="26" t="n">
        <v>4103</v>
      </c>
      <c r="S97" s="26">
        <f>Q97+R97</f>
        <v/>
      </c>
      <c r="T97" s="29" t="n">
        <v>143</v>
      </c>
      <c r="U97" s="29">
        <f>N97*O97*T97</f>
        <v/>
      </c>
      <c r="V97" s="82">
        <f>IF(ISNUMBER($D97),$D97-WEEKDAY($D97,3),'ORDER VS WEEK DISTRIBUTION'!$G$500)</f>
        <v/>
      </c>
      <c r="W97" s="82">
        <f>MAX($V97,'ORDER VS WEEK DISTRIBUTION'!$G$500)</f>
        <v/>
      </c>
      <c r="X97" s="26">
        <f>IFERROR(VLOOKUP($J97,'ORDER VS WEEK DISTRIBUTION'!$T:$U,2,0),"")</f>
        <v/>
      </c>
      <c r="Y97" s="26">
        <f>IFERROR($T97/IF(IFERROR(VLOOKUP($I97,'ITEM CFC PER CONTAINER'!$A:$B,2,0),0)&gt;0,VLOOKUP($I97,'ITEM CFC PER CONTAINER'!$A:$B,2,0),VLOOKUP($X97,'MC MASTER'!$A:$Q,16,0)),"")</f>
        <v/>
      </c>
    </row>
    <row r="98" ht="15" customHeight="1" s="5">
      <c r="A98" s="26" t="inlineStr">
        <is>
          <t>Multitrade Overseas Pte. Ltd.</t>
        </is>
      </c>
      <c r="B98" s="26" t="inlineStr">
        <is>
          <t>MJIL/SO/26031713</t>
        </is>
      </c>
      <c r="C98" s="26" t="inlineStr">
        <is>
          <t>MJ-064/26-27 (DALA &amp; SONS)</t>
        </is>
      </c>
      <c r="D98" s="82" t="n">
        <v>46291</v>
      </c>
      <c r="E98" s="83">
        <f>IF(ISNUMBER($D98),EOMONTH($D98,-1)+1,"")</f>
        <v/>
      </c>
      <c r="F98" s="82" t="n">
        <v>46289</v>
      </c>
      <c r="G98" s="26" t="n">
        <v>28051</v>
      </c>
      <c r="H98" s="26">
        <f>B98&amp;I98</f>
        <v/>
      </c>
      <c r="I98" s="26" t="inlineStr">
        <is>
          <t>GV CLOVE 48/25 DC ENV TBGS</t>
        </is>
      </c>
      <c r="J98" s="30" t="inlineStr">
        <is>
          <t>CONSTANTA ENV</t>
        </is>
      </c>
      <c r="K98" s="26">
        <f>J98&amp;"-"&amp;TEXT(W98,"dd-mmm-yy")</f>
        <v/>
      </c>
      <c r="L98" s="26">
        <f>IFERROR(VLOOKUP($M98,'ITEM MASTER'!E:H,4,0),"")</f>
        <v/>
      </c>
      <c r="M98" s="26">
        <f>IFERROR(VLOOKUP($I98,'ITEM MASTER'!B:E,4,0),"")</f>
        <v/>
      </c>
      <c r="N98" s="26">
        <f>IFERROR(VLOOKUP($I98,'ITEM MASTER'!B:F,5,0),0)</f>
        <v/>
      </c>
      <c r="O98" s="26">
        <f>IFERROR(VLOOKUP($M98,'TBGS PER CTN'!B:C,2,0),0)</f>
        <v/>
      </c>
      <c r="P98" s="26" t="n">
        <v>500</v>
      </c>
      <c r="Q98" s="26" t="n">
        <v>0</v>
      </c>
      <c r="R98" s="26" t="n">
        <v>500</v>
      </c>
      <c r="S98" s="26">
        <f>Q98+R98</f>
        <v/>
      </c>
      <c r="T98" s="29" t="n">
        <v>0</v>
      </c>
      <c r="U98" s="29">
        <f>N98*O98*T98</f>
        <v/>
      </c>
      <c r="V98" s="82">
        <f>IF(ISNUMBER($D98),$D98-WEEKDAY($D98,3),'ORDER VS WEEK DISTRIBUTION'!$G$500)</f>
        <v/>
      </c>
      <c r="W98" s="82">
        <f>MAX($V98,'ORDER VS WEEK DISTRIBUTION'!$G$500)</f>
        <v/>
      </c>
      <c r="X98" s="26">
        <f>IFERROR(VLOOKUP($J98,'ORDER VS WEEK DISTRIBUTION'!$T:$U,2,0),"")</f>
        <v/>
      </c>
      <c r="Y98" s="26">
        <f>IFERROR($T98/IF(IFERROR(VLOOKUP($I98,'ITEM CFC PER CONTAINER'!$A:$B,2,0),0)&gt;0,VLOOKUP($I98,'ITEM CFC PER CONTAINER'!$A:$B,2,0),VLOOKUP($X98,'MC MASTER'!$A:$Q,16,0)),"")</f>
        <v/>
      </c>
    </row>
    <row r="99" ht="15" customHeight="1" s="5">
      <c r="A99" s="26" t="inlineStr">
        <is>
          <t>Multitrade Overseas Pte. Ltd.</t>
        </is>
      </c>
      <c r="B99" s="26" t="inlineStr">
        <is>
          <t>MJIL/SO/26031713</t>
        </is>
      </c>
      <c r="C99" s="26" t="inlineStr">
        <is>
          <t>MJ-064/26-27 (DALA &amp; SONS)</t>
        </is>
      </c>
      <c r="D99" s="82" t="n">
        <v>46291</v>
      </c>
      <c r="E99" s="83">
        <f>IF(ISNUMBER($D99),EOMONTH($D99,-1)+1,"")</f>
        <v/>
      </c>
      <c r="F99" s="82" t="n">
        <v>46289</v>
      </c>
      <c r="G99" s="26" t="n">
        <v>26086</v>
      </c>
      <c r="H99" s="26">
        <f>B99&amp;I99</f>
        <v/>
      </c>
      <c r="I99" s="26" t="inlineStr">
        <is>
          <t>GV WATERMELON 48/25 DC ENV TBGS</t>
        </is>
      </c>
      <c r="J99" s="30" t="inlineStr">
        <is>
          <t>CONSTANTA ENV</t>
        </is>
      </c>
      <c r="K99" s="26">
        <f>J99&amp;"-"&amp;TEXT(W99,"dd-mmm-yy")</f>
        <v/>
      </c>
      <c r="L99" s="26">
        <f>IFERROR(VLOOKUP($M99,'ITEM MASTER'!E:H,4,0),"")</f>
        <v/>
      </c>
      <c r="M99" s="26">
        <f>IFERROR(VLOOKUP($I99,'ITEM MASTER'!B:E,4,0),"")</f>
        <v/>
      </c>
      <c r="N99" s="26">
        <f>IFERROR(VLOOKUP($I99,'ITEM MASTER'!B:F,5,0),0)</f>
        <v/>
      </c>
      <c r="O99" s="26">
        <f>IFERROR(VLOOKUP($M99,'TBGS PER CTN'!B:C,2,0),0)</f>
        <v/>
      </c>
      <c r="P99" s="26" t="n">
        <v>500</v>
      </c>
      <c r="Q99" s="26" t="n">
        <v>0</v>
      </c>
      <c r="R99" s="26" t="n">
        <v>500</v>
      </c>
      <c r="S99" s="26">
        <f>Q99+R99</f>
        <v/>
      </c>
      <c r="T99" s="29" t="n">
        <v>0</v>
      </c>
      <c r="U99" s="29">
        <f>N99*O99*T99</f>
        <v/>
      </c>
      <c r="V99" s="82">
        <f>IF(ISNUMBER($D99),$D99-WEEKDAY($D99,3),'ORDER VS WEEK DISTRIBUTION'!$G$500)</f>
        <v/>
      </c>
      <c r="W99" s="82">
        <f>MAX($V99,'ORDER VS WEEK DISTRIBUTION'!$G$500)</f>
        <v/>
      </c>
      <c r="X99" s="26">
        <f>IFERROR(VLOOKUP($J99,'ORDER VS WEEK DISTRIBUTION'!$T:$U,2,0),"")</f>
        <v/>
      </c>
      <c r="Y99" s="26">
        <f>IFERROR($T99/IF(IFERROR(VLOOKUP($I99,'ITEM CFC PER CONTAINER'!$A:$B,2,0),0)&gt;0,VLOOKUP($I99,'ITEM CFC PER CONTAINER'!$A:$B,2,0),VLOOKUP($X99,'MC MASTER'!$A:$Q,16,0)),"")</f>
        <v/>
      </c>
    </row>
    <row r="100" ht="15" customHeight="1" s="5">
      <c r="A100" s="26" t="inlineStr">
        <is>
          <t>Multitrade Overseas Pte. Ltd.</t>
        </is>
      </c>
      <c r="B100" s="26" t="inlineStr">
        <is>
          <t>MJIL/SO/26031713</t>
        </is>
      </c>
      <c r="C100" s="26" t="inlineStr">
        <is>
          <t>MJ-064/26-27 (DALA &amp; SONS)</t>
        </is>
      </c>
      <c r="D100" s="82" t="n">
        <v>46291</v>
      </c>
      <c r="E100" s="83">
        <f>IF(ISNUMBER($D100),EOMONTH($D100,-1)+1,"")</f>
        <v/>
      </c>
      <c r="F100" s="82" t="n">
        <v>46289</v>
      </c>
      <c r="G100" s="26" t="n">
        <v>26084</v>
      </c>
      <c r="H100" s="26">
        <f>B100&amp;I100</f>
        <v/>
      </c>
      <c r="I100" s="26" t="inlineStr">
        <is>
          <t>GV COCKTAIL 48/25 DC ENV TBGS</t>
        </is>
      </c>
      <c r="J100" s="30" t="inlineStr">
        <is>
          <t>CONSTANTA ENV</t>
        </is>
      </c>
      <c r="K100" s="26">
        <f>J100&amp;"-"&amp;TEXT(W100,"dd-mmm-yy")</f>
        <v/>
      </c>
      <c r="L100" s="26">
        <f>IFERROR(VLOOKUP($M100,'ITEM MASTER'!E:H,4,0),"")</f>
        <v/>
      </c>
      <c r="M100" s="26">
        <f>IFERROR(VLOOKUP($I100,'ITEM MASTER'!B:E,4,0),"")</f>
        <v/>
      </c>
      <c r="N100" s="26">
        <f>IFERROR(VLOOKUP($I100,'ITEM MASTER'!B:F,5,0),0)</f>
        <v/>
      </c>
      <c r="O100" s="26">
        <f>IFERROR(VLOOKUP($M100,'TBGS PER CTN'!B:C,2,0),0)</f>
        <v/>
      </c>
      <c r="P100" s="26" t="n">
        <v>500</v>
      </c>
      <c r="Q100" s="26" t="n">
        <v>0</v>
      </c>
      <c r="R100" s="26" t="n">
        <v>500</v>
      </c>
      <c r="S100" s="26">
        <f>Q100+R100</f>
        <v/>
      </c>
      <c r="T100" s="29" t="n">
        <v>0</v>
      </c>
      <c r="U100" s="29">
        <f>N100*O100*T100</f>
        <v/>
      </c>
      <c r="V100" s="82">
        <f>IF(ISNUMBER($D100),$D100-WEEKDAY($D100,3),'ORDER VS WEEK DISTRIBUTION'!$G$500)</f>
        <v/>
      </c>
      <c r="W100" s="82">
        <f>MAX($V100,'ORDER VS WEEK DISTRIBUTION'!$G$500)</f>
        <v/>
      </c>
      <c r="X100" s="26">
        <f>IFERROR(VLOOKUP($J100,'ORDER VS WEEK DISTRIBUTION'!$T:$U,2,0),"")</f>
        <v/>
      </c>
      <c r="Y100" s="26">
        <f>IFERROR($T100/IF(IFERROR(VLOOKUP($I100,'ITEM CFC PER CONTAINER'!$A:$B,2,0),0)&gt;0,VLOOKUP($I100,'ITEM CFC PER CONTAINER'!$A:$B,2,0),VLOOKUP($X100,'MC MASTER'!$A:$Q,16,0)),"")</f>
        <v/>
      </c>
    </row>
    <row r="101" ht="15" customHeight="1" s="5">
      <c r="A101" s="26" t="inlineStr">
        <is>
          <t>Multitrade Overseas Pte. Ltd.</t>
        </is>
      </c>
      <c r="B101" s="26" t="inlineStr">
        <is>
          <t>MJIL/SO/26031713</t>
        </is>
      </c>
      <c r="C101" s="26" t="inlineStr">
        <is>
          <t>MJ-064/26-27 (DALA &amp; SONS)</t>
        </is>
      </c>
      <c r="D101" s="82" t="n">
        <v>46291</v>
      </c>
      <c r="E101" s="83">
        <f>IF(ISNUMBER($D101),EOMONTH($D101,-1)+1,"")</f>
        <v/>
      </c>
      <c r="F101" s="82" t="n">
        <v>46289</v>
      </c>
      <c r="G101" s="26" t="n">
        <v>22922</v>
      </c>
      <c r="H101" s="26">
        <f>B101&amp;I101</f>
        <v/>
      </c>
      <c r="I101" s="26" t="inlineStr">
        <is>
          <t>GV MINT 48/25 DC ENV TBGS</t>
        </is>
      </c>
      <c r="J101" s="30" t="inlineStr">
        <is>
          <t>CONSTANTA ENV</t>
        </is>
      </c>
      <c r="K101" s="26">
        <f>J101&amp;"-"&amp;TEXT(W101,"dd-mmm-yy")</f>
        <v/>
      </c>
      <c r="L101" s="26">
        <f>IFERROR(VLOOKUP($M101,'ITEM MASTER'!E:H,4,0),"")</f>
        <v/>
      </c>
      <c r="M101" s="26">
        <f>IFERROR(VLOOKUP($I101,'ITEM MASTER'!B:E,4,0),"")</f>
        <v/>
      </c>
      <c r="N101" s="26">
        <f>IFERROR(VLOOKUP($I101,'ITEM MASTER'!B:F,5,0),0)</f>
        <v/>
      </c>
      <c r="O101" s="26">
        <f>IFERROR(VLOOKUP($M101,'TBGS PER CTN'!B:C,2,0),0)</f>
        <v/>
      </c>
      <c r="P101" s="26" t="n">
        <v>1200</v>
      </c>
      <c r="Q101" s="26" t="n">
        <v>0</v>
      </c>
      <c r="R101" s="26" t="n">
        <v>1200</v>
      </c>
      <c r="S101" s="26">
        <f>Q101+R101</f>
        <v/>
      </c>
      <c r="T101" s="29" t="n">
        <v>0</v>
      </c>
      <c r="U101" s="29">
        <f>N101*O101*T101</f>
        <v/>
      </c>
      <c r="V101" s="82">
        <f>IF(ISNUMBER($D101),$D101-WEEKDAY($D101,3),'ORDER VS WEEK DISTRIBUTION'!$G$500)</f>
        <v/>
      </c>
      <c r="W101" s="82">
        <f>MAX($V101,'ORDER VS WEEK DISTRIBUTION'!$G$500)</f>
        <v/>
      </c>
      <c r="X101" s="26">
        <f>IFERROR(VLOOKUP($J101,'ORDER VS WEEK DISTRIBUTION'!$T:$U,2,0),"")</f>
        <v/>
      </c>
      <c r="Y101" s="26">
        <f>IFERROR($T101/IF(IFERROR(VLOOKUP($I101,'ITEM CFC PER CONTAINER'!$A:$B,2,0),0)&gt;0,VLOOKUP($I101,'ITEM CFC PER CONTAINER'!$A:$B,2,0),VLOOKUP($X101,'MC MASTER'!$A:$Q,16,0)),"")</f>
        <v/>
      </c>
    </row>
    <row r="102" ht="15" customHeight="1" s="5">
      <c r="A102" s="26" t="inlineStr">
        <is>
          <t>Multitrade Overseas Pte. Ltd.</t>
        </is>
      </c>
      <c r="B102" s="26" t="inlineStr">
        <is>
          <t>MJIL/SO/26031713</t>
        </is>
      </c>
      <c r="C102" s="26" t="inlineStr">
        <is>
          <t>MJ-064/26-27 (DALA &amp; SONS)</t>
        </is>
      </c>
      <c r="D102" s="82" t="n">
        <v>46291</v>
      </c>
      <c r="E102" s="83">
        <f>IF(ISNUMBER($D102),EOMONTH($D102,-1)+1,"")</f>
        <v/>
      </c>
      <c r="F102" s="82" t="n">
        <v>46289</v>
      </c>
      <c r="G102" s="26" t="n">
        <v>26085</v>
      </c>
      <c r="H102" s="26">
        <f>B102&amp;I102</f>
        <v/>
      </c>
      <c r="I102" s="26" t="inlineStr">
        <is>
          <t>GV SPICY GINGER 48/25 DC ENV TBGS</t>
        </is>
      </c>
      <c r="J102" s="30" t="inlineStr">
        <is>
          <t>CONSTANTA ENV</t>
        </is>
      </c>
      <c r="K102" s="26">
        <f>J102&amp;"-"&amp;TEXT(W102,"dd-mmm-yy")</f>
        <v/>
      </c>
      <c r="L102" s="26">
        <f>IFERROR(VLOOKUP($M102,'ITEM MASTER'!E:H,4,0),"")</f>
        <v/>
      </c>
      <c r="M102" s="26">
        <f>IFERROR(VLOOKUP($I102,'ITEM MASTER'!B:E,4,0),"")</f>
        <v/>
      </c>
      <c r="N102" s="26">
        <f>IFERROR(VLOOKUP($I102,'ITEM MASTER'!B:F,5,0),0)</f>
        <v/>
      </c>
      <c r="O102" s="26">
        <f>IFERROR(VLOOKUP($M102,'TBGS PER CTN'!B:C,2,0),0)</f>
        <v/>
      </c>
      <c r="P102" s="26" t="n">
        <v>300</v>
      </c>
      <c r="Q102" s="26" t="n">
        <v>0</v>
      </c>
      <c r="R102" s="26" t="n">
        <v>300</v>
      </c>
      <c r="S102" s="26">
        <f>Q102+R102</f>
        <v/>
      </c>
      <c r="T102" s="29" t="n">
        <v>0</v>
      </c>
      <c r="U102" s="29">
        <f>N102*O102*T102</f>
        <v/>
      </c>
      <c r="V102" s="82">
        <f>IF(ISNUMBER($D102),$D102-WEEKDAY($D102,3),'ORDER VS WEEK DISTRIBUTION'!$G$500)</f>
        <v/>
      </c>
      <c r="W102" s="82">
        <f>MAX($V102,'ORDER VS WEEK DISTRIBUTION'!$G$500)</f>
        <v/>
      </c>
      <c r="X102" s="26">
        <f>IFERROR(VLOOKUP($J102,'ORDER VS WEEK DISTRIBUTION'!$T:$U,2,0),"")</f>
        <v/>
      </c>
      <c r="Y102" s="26">
        <f>IFERROR($T102/IF(IFERROR(VLOOKUP($I102,'ITEM CFC PER CONTAINER'!$A:$B,2,0),0)&gt;0,VLOOKUP($I102,'ITEM CFC PER CONTAINER'!$A:$B,2,0),VLOOKUP($X102,'MC MASTER'!$A:$Q,16,0)),"")</f>
        <v/>
      </c>
    </row>
    <row r="103" ht="15" customHeight="1" s="5">
      <c r="A103" s="26" t="inlineStr">
        <is>
          <t>Multitrade Overseas Pte. Ltd.</t>
        </is>
      </c>
      <c r="B103" s="26" t="inlineStr">
        <is>
          <t>MJIL/SO/26031713</t>
        </is>
      </c>
      <c r="C103" s="26" t="inlineStr">
        <is>
          <t>MJ-064/26-27 (DALA &amp; SONS)</t>
        </is>
      </c>
      <c r="D103" s="82" t="n">
        <v>46291</v>
      </c>
      <c r="E103" s="83">
        <f>IF(ISNUMBER($D103),EOMONTH($D103,-1)+1,"")</f>
        <v/>
      </c>
      <c r="F103" s="82" t="n">
        <v>46289</v>
      </c>
      <c r="G103" s="26" t="n">
        <v>27221</v>
      </c>
      <c r="H103" s="26">
        <f>B103&amp;I103</f>
        <v/>
      </c>
      <c r="I103" s="26" t="inlineStr">
        <is>
          <t>GV PINEAPPLE 48/25 DC ENV TBGS</t>
        </is>
      </c>
      <c r="J103" s="30" t="inlineStr">
        <is>
          <t>CONSTANTA ENV</t>
        </is>
      </c>
      <c r="K103" s="26">
        <f>J103&amp;"-"&amp;TEXT(W103,"dd-mmm-yy")</f>
        <v/>
      </c>
      <c r="L103" s="26">
        <f>IFERROR(VLOOKUP($M103,'ITEM MASTER'!E:H,4,0),"")</f>
        <v/>
      </c>
      <c r="M103" s="26">
        <f>IFERROR(VLOOKUP($I103,'ITEM MASTER'!B:E,4,0),"")</f>
        <v/>
      </c>
      <c r="N103" s="26">
        <f>IFERROR(VLOOKUP($I103,'ITEM MASTER'!B:F,5,0),0)</f>
        <v/>
      </c>
      <c r="O103" s="26">
        <f>IFERROR(VLOOKUP($M103,'TBGS PER CTN'!B:C,2,0),0)</f>
        <v/>
      </c>
      <c r="P103" s="26" t="n">
        <v>100</v>
      </c>
      <c r="Q103" s="26" t="n">
        <v>0</v>
      </c>
      <c r="R103" s="26" t="n">
        <v>100</v>
      </c>
      <c r="S103" s="26">
        <f>Q103+R103</f>
        <v/>
      </c>
      <c r="T103" s="29" t="n">
        <v>0</v>
      </c>
      <c r="U103" s="29">
        <f>N103*O103*T103</f>
        <v/>
      </c>
      <c r="V103" s="82">
        <f>IF(ISNUMBER($D103),$D103-WEEKDAY($D103,3),'ORDER VS WEEK DISTRIBUTION'!$G$500)</f>
        <v/>
      </c>
      <c r="W103" s="82">
        <f>MAX($V103,'ORDER VS WEEK DISTRIBUTION'!$G$500)</f>
        <v/>
      </c>
      <c r="X103" s="26">
        <f>IFERROR(VLOOKUP($J103,'ORDER VS WEEK DISTRIBUTION'!$T:$U,2,0),"")</f>
        <v/>
      </c>
      <c r="Y103" s="26">
        <f>IFERROR($T103/IF(IFERROR(VLOOKUP($I103,'ITEM CFC PER CONTAINER'!$A:$B,2,0),0)&gt;0,VLOOKUP($I103,'ITEM CFC PER CONTAINER'!$A:$B,2,0),VLOOKUP($X103,'MC MASTER'!$A:$Q,16,0)),"")</f>
        <v/>
      </c>
    </row>
    <row r="104" ht="15" customHeight="1" s="5">
      <c r="A104" s="26" t="inlineStr">
        <is>
          <t>Saran Enterprises Ltd.</t>
        </is>
      </c>
      <c r="B104" s="26" t="inlineStr">
        <is>
          <t>MJIL/SO/26043001</t>
        </is>
      </c>
      <c r="C104" s="26" t="inlineStr">
        <is>
          <t>PO 18082026/01 - MUS</t>
        </is>
      </c>
      <c r="D104" s="82" t="n">
        <v>46295</v>
      </c>
      <c r="E104" s="83">
        <f>IF(ISNUMBER($D104),EOMONTH($D104,-1)+1,"")</f>
        <v/>
      </c>
      <c r="F104" s="82" t="n">
        <v>46293</v>
      </c>
      <c r="G104" s="26" t="n">
        <v>34184</v>
      </c>
      <c r="H104" s="26">
        <f>B104&amp;I104</f>
        <v/>
      </c>
      <c r="I104" s="26" t="inlineStr">
        <is>
          <t>SUPER VALUE GOLD TEA 12/80 TAGLESS TBGS</t>
        </is>
      </c>
      <c r="J104" s="26" t="inlineStr">
        <is>
          <t>UNIVERSAL TWIN BAG</t>
        </is>
      </c>
      <c r="K104" s="26">
        <f>J104&amp;"-"&amp;TEXT(W104,"dd-mmm-yy")</f>
        <v/>
      </c>
      <c r="L104" s="26">
        <f>IFERROR(VLOOKUP($M104,'ITEM MASTER'!E:H,4,0),"")</f>
        <v/>
      </c>
      <c r="M104" s="26">
        <f>IFERROR(VLOOKUP($I104,'ITEM MASTER'!B:E,4,0),"")</f>
        <v/>
      </c>
      <c r="N104" s="26">
        <f>IFERROR(VLOOKUP($I104,'ITEM MASTER'!B:F,5,0),0)</f>
        <v/>
      </c>
      <c r="O104" s="26">
        <f>IFERROR(VLOOKUP($M104,'TBGS PER CTN'!B:C,2,0),0)</f>
        <v/>
      </c>
      <c r="P104" s="26" t="n">
        <v>1400</v>
      </c>
      <c r="Q104" s="26" t="n">
        <v>0</v>
      </c>
      <c r="R104" s="26" t="n">
        <v>1183</v>
      </c>
      <c r="S104" s="26">
        <f>Q104+R104</f>
        <v/>
      </c>
      <c r="T104" s="29" t="n">
        <v>217</v>
      </c>
      <c r="U104" s="29">
        <f>N104*O104*T104</f>
        <v/>
      </c>
      <c r="V104" s="82">
        <f>IF(ISNUMBER($D104),$D104-WEEKDAY($D104,3),'ORDER VS WEEK DISTRIBUTION'!$G$500)</f>
        <v/>
      </c>
      <c r="W104" s="82">
        <f>MAX($V104,'ORDER VS WEEK DISTRIBUTION'!$G$500)</f>
        <v/>
      </c>
      <c r="X104" s="26">
        <f>IFERROR(VLOOKUP($J104,'ORDER VS WEEK DISTRIBUTION'!$T:$U,2,0),"")</f>
        <v/>
      </c>
      <c r="Y104" s="26">
        <f>IFERROR($T104/IF(IFERROR(VLOOKUP($I104,'ITEM CFC PER CONTAINER'!$A:$B,2,0),0)&gt;0,VLOOKUP($I104,'ITEM CFC PER CONTAINER'!$A:$B,2,0),VLOOKUP($X104,'MC MASTER'!$A:$Q,16,0)),"")</f>
        <v/>
      </c>
    </row>
    <row r="105" ht="15" customHeight="1" s="5">
      <c r="A105" s="26" t="inlineStr">
        <is>
          <t>Saran Enterprises Ltd.</t>
        </is>
      </c>
      <c r="B105" s="26" t="inlineStr">
        <is>
          <t>MJIL/SO/26043001</t>
        </is>
      </c>
      <c r="C105" s="26" t="inlineStr">
        <is>
          <t>PO 18082026/01 - MUS</t>
        </is>
      </c>
      <c r="D105" s="82" t="n">
        <v>46295</v>
      </c>
      <c r="E105" s="83">
        <f>IF(ISNUMBER($D105),EOMONTH($D105,-1)+1,"")</f>
        <v/>
      </c>
      <c r="F105" s="82" t="n">
        <v>46293</v>
      </c>
      <c r="G105" s="26" t="n">
        <v>34185</v>
      </c>
      <c r="H105" s="26">
        <f>B105&amp;I105</f>
        <v/>
      </c>
      <c r="I105" s="26" t="inlineStr">
        <is>
          <t>CENTRA GOLD BLEND TEA 12/80 TAGLESS TBGS</t>
        </is>
      </c>
      <c r="J105" s="26" t="inlineStr">
        <is>
          <t>UNIVERSAL TWIN BAG</t>
        </is>
      </c>
      <c r="K105" s="26">
        <f>J105&amp;"-"&amp;TEXT(W105,"dd-mmm-yy")</f>
        <v/>
      </c>
      <c r="L105" s="26">
        <f>IFERROR(VLOOKUP($M105,'ITEM MASTER'!E:H,4,0),"")</f>
        <v/>
      </c>
      <c r="M105" s="26">
        <f>IFERROR(VLOOKUP($I105,'ITEM MASTER'!B:E,4,0),"")</f>
        <v/>
      </c>
      <c r="N105" s="26">
        <f>IFERROR(VLOOKUP($I105,'ITEM MASTER'!B:F,5,0),0)</f>
        <v/>
      </c>
      <c r="O105" s="26">
        <f>IFERROR(VLOOKUP($M105,'TBGS PER CTN'!B:C,2,0),0)</f>
        <v/>
      </c>
      <c r="P105" s="26" t="n">
        <v>1820</v>
      </c>
      <c r="Q105" s="26" t="n">
        <v>0</v>
      </c>
      <c r="R105" s="26" t="n">
        <v>1820</v>
      </c>
      <c r="S105" s="26">
        <f>Q105+R105</f>
        <v/>
      </c>
      <c r="T105" s="29" t="n">
        <v>0</v>
      </c>
      <c r="U105" s="29">
        <f>N105*O105*T105</f>
        <v/>
      </c>
      <c r="V105" s="82">
        <f>IF(ISNUMBER($D105),$D105-WEEKDAY($D105,3),'ORDER VS WEEK DISTRIBUTION'!$G$500)</f>
        <v/>
      </c>
      <c r="W105" s="82">
        <f>MAX($V105,'ORDER VS WEEK DISTRIBUTION'!$G$500)</f>
        <v/>
      </c>
      <c r="X105" s="26">
        <f>IFERROR(VLOOKUP($J105,'ORDER VS WEEK DISTRIBUTION'!$T:$U,2,0),"")</f>
        <v/>
      </c>
      <c r="Y105" s="26">
        <f>IFERROR($T105/IF(IFERROR(VLOOKUP($I105,'ITEM CFC PER CONTAINER'!$A:$B,2,0),0)&gt;0,VLOOKUP($I105,'ITEM CFC PER CONTAINER'!$A:$B,2,0),VLOOKUP($X105,'MC MASTER'!$A:$Q,16,0)),"")</f>
        <v/>
      </c>
    </row>
    <row r="106" ht="15" customHeight="1" s="5">
      <c r="A106" s="26" t="inlineStr">
        <is>
          <t>Dagab Inkop &amp; Logistik Ab</t>
        </is>
      </c>
      <c r="B106" s="26" t="inlineStr">
        <is>
          <t>MJIL/SO/26007466</t>
        </is>
      </c>
      <c r="C106" s="26" t="inlineStr">
        <is>
          <t>F329335935</t>
        </is>
      </c>
      <c r="D106" s="82" t="n">
        <v>46295</v>
      </c>
      <c r="E106" s="83">
        <f>IF(ISNUMBER($D106),EOMONTH($D106,-1)+1,"")</f>
        <v/>
      </c>
      <c r="F106" s="82" t="n">
        <v>46295</v>
      </c>
      <c r="G106" s="26" t="n">
        <v>37746</v>
      </c>
      <c r="H106" s="26">
        <f>B106&amp;I106</f>
        <v/>
      </c>
      <c r="I106" s="26" t="inlineStr">
        <is>
          <t>GARANT EKO ENGLISH BREAKFAST 15/20 DC SF ENV TBGS</t>
        </is>
      </c>
      <c r="J106" s="26" t="inlineStr">
        <is>
          <t>MD20 ENV GARANT</t>
        </is>
      </c>
      <c r="K106" s="26">
        <f>J106&amp;"-"&amp;TEXT(W106,"dd-mmm-yy")</f>
        <v/>
      </c>
      <c r="L106" s="26">
        <f>IFERROR(VLOOKUP($M106,'ITEM MASTER'!E:H,4,0),"")</f>
        <v/>
      </c>
      <c r="M106" s="26">
        <f>IFERROR(VLOOKUP($I106,'ITEM MASTER'!B:E,4,0),"")</f>
        <v/>
      </c>
      <c r="N106" s="26">
        <f>IFERROR(VLOOKUP($I106,'ITEM MASTER'!B:F,5,0),0)</f>
        <v/>
      </c>
      <c r="O106" s="26">
        <f>IFERROR(VLOOKUP($M106,'TBGS PER CTN'!B:C,2,0),0)</f>
        <v/>
      </c>
      <c r="P106" s="26" t="n">
        <v>1676</v>
      </c>
      <c r="Q106" s="26" t="n">
        <v>0</v>
      </c>
      <c r="R106" s="26" t="n">
        <v>1676</v>
      </c>
      <c r="S106" s="26">
        <f>Q106+R106</f>
        <v/>
      </c>
      <c r="T106" s="29" t="n">
        <v>0</v>
      </c>
      <c r="U106" s="29">
        <f>N106*O106*T106</f>
        <v/>
      </c>
      <c r="V106" s="82">
        <f>IF(ISNUMBER($D106),$D106-WEEKDAY($D106,3),'ORDER VS WEEK DISTRIBUTION'!$G$500)</f>
        <v/>
      </c>
      <c r="W106" s="82">
        <f>MAX($V106,'ORDER VS WEEK DISTRIBUTION'!$G$500)</f>
        <v/>
      </c>
      <c r="X106" s="26">
        <f>IFERROR(VLOOKUP($J106,'ORDER VS WEEK DISTRIBUTION'!$T:$U,2,0),"")</f>
        <v/>
      </c>
      <c r="Y106" s="26">
        <f>IFERROR($T106/IF(IFERROR(VLOOKUP($I106,'ITEM CFC PER CONTAINER'!$A:$B,2,0),0)&gt;0,VLOOKUP($I106,'ITEM CFC PER CONTAINER'!$A:$B,2,0),VLOOKUP($X106,'MC MASTER'!$A:$Q,16,0)),"")</f>
        <v/>
      </c>
    </row>
    <row r="107" ht="15" customHeight="1" s="5">
      <c r="A107" s="26" t="inlineStr">
        <is>
          <t>Dagab Inkop &amp; Logistik Ab</t>
        </is>
      </c>
      <c r="B107" s="26" t="inlineStr">
        <is>
          <t>MJIL/SO/26007466</t>
        </is>
      </c>
      <c r="C107" s="26" t="inlineStr">
        <is>
          <t>F329335935</t>
        </is>
      </c>
      <c r="D107" s="82" t="n">
        <v>46295</v>
      </c>
      <c r="E107" s="83">
        <f>IF(ISNUMBER($D107),EOMONTH($D107,-1)+1,"")</f>
        <v/>
      </c>
      <c r="F107" s="82" t="n">
        <v>46295</v>
      </c>
      <c r="G107" s="26" t="n">
        <v>1627</v>
      </c>
      <c r="H107" s="26">
        <f>B107&amp;I107</f>
        <v/>
      </c>
      <c r="I107" s="26" t="inlineStr">
        <is>
          <t>GARANT EKO ENGLISH BREAKFAST 10/50 SF DC TBGS</t>
        </is>
      </c>
      <c r="J107" s="26" t="inlineStr">
        <is>
          <t>MD20 HS</t>
        </is>
      </c>
      <c r="K107" s="26">
        <f>J107&amp;"-"&amp;TEXT(W107,"dd-mmm-yy")</f>
        <v/>
      </c>
      <c r="L107" s="26">
        <f>IFERROR(VLOOKUP($M107,'ITEM MASTER'!E:H,4,0),"")</f>
        <v/>
      </c>
      <c r="M107" s="26">
        <f>IFERROR(VLOOKUP($I107,'ITEM MASTER'!B:E,4,0),"")</f>
        <v/>
      </c>
      <c r="N107" s="26">
        <f>IFERROR(VLOOKUP($I107,'ITEM MASTER'!B:F,5,0),0)</f>
        <v/>
      </c>
      <c r="O107" s="26">
        <f>IFERROR(VLOOKUP($M107,'TBGS PER CTN'!B:C,2,0),0)</f>
        <v/>
      </c>
      <c r="P107" s="26" t="n">
        <v>1624</v>
      </c>
      <c r="Q107" s="26" t="n">
        <v>32</v>
      </c>
      <c r="R107" s="26" t="n">
        <v>243</v>
      </c>
      <c r="S107" s="26">
        <f>Q107+R107</f>
        <v/>
      </c>
      <c r="T107" s="29" t="n">
        <v>1349</v>
      </c>
      <c r="U107" s="29">
        <f>N107*O107*T107</f>
        <v/>
      </c>
      <c r="V107" s="82">
        <f>IF(ISNUMBER($D107),$D107-WEEKDAY($D107,3),'ORDER VS WEEK DISTRIBUTION'!$G$500)</f>
        <v/>
      </c>
      <c r="W107" s="82">
        <f>MAX($V107,'ORDER VS WEEK DISTRIBUTION'!$G$500)</f>
        <v/>
      </c>
      <c r="X107" s="26">
        <f>IFERROR(VLOOKUP($J107,'ORDER VS WEEK DISTRIBUTION'!$T:$U,2,0),"")</f>
        <v/>
      </c>
      <c r="Y107" s="26">
        <f>IFERROR($T107/IF(IFERROR(VLOOKUP($I107,'ITEM CFC PER CONTAINER'!$A:$B,2,0),0)&gt;0,VLOOKUP($I107,'ITEM CFC PER CONTAINER'!$A:$B,2,0),VLOOKUP($X107,'MC MASTER'!$A:$Q,16,0)),"")</f>
        <v/>
      </c>
    </row>
    <row r="108" ht="15" customHeight="1" s="5">
      <c r="A108" s="26" t="inlineStr">
        <is>
          <t>Dagab Inkop &amp; Logistik Ab</t>
        </is>
      </c>
      <c r="B108" s="26" t="inlineStr">
        <is>
          <t>MJIL/SO/26025937</t>
        </is>
      </c>
      <c r="C108" s="26" t="n">
        <v>4600888514</v>
      </c>
      <c r="D108" s="82" t="n">
        <v>46295</v>
      </c>
      <c r="E108" s="83">
        <f>IF(ISNUMBER($D108),EOMONTH($D108,-1)+1,"")</f>
        <v/>
      </c>
      <c r="F108" s="82" t="n">
        <v>46295</v>
      </c>
      <c r="G108" s="26" t="n">
        <v>37746</v>
      </c>
      <c r="H108" s="26">
        <f>B108&amp;I108</f>
        <v/>
      </c>
      <c r="I108" s="26" t="inlineStr">
        <is>
          <t>GARANT EKO ENGLISH BREAKFAST 15/20 DC SF ENV TBGS</t>
        </is>
      </c>
      <c r="J108" s="26" t="inlineStr">
        <is>
          <t>MD20 ENV GARANT</t>
        </is>
      </c>
      <c r="K108" s="26">
        <f>J108&amp;"-"&amp;TEXT(W108,"dd-mmm-yy")</f>
        <v/>
      </c>
      <c r="L108" s="26">
        <f>IFERROR(VLOOKUP($M108,'ITEM MASTER'!E:H,4,0),"")</f>
        <v/>
      </c>
      <c r="M108" s="26">
        <f>IFERROR(VLOOKUP($I108,'ITEM MASTER'!B:E,4,0),"")</f>
        <v/>
      </c>
      <c r="N108" s="26">
        <f>IFERROR(VLOOKUP($I108,'ITEM MASTER'!B:F,5,0),0)</f>
        <v/>
      </c>
      <c r="O108" s="26">
        <f>IFERROR(VLOOKUP($M108,'TBGS PER CTN'!B:C,2,0),0)</f>
        <v/>
      </c>
      <c r="P108" s="26" t="n">
        <v>1700</v>
      </c>
      <c r="Q108" s="26" t="n">
        <v>49</v>
      </c>
      <c r="R108" s="26" t="n">
        <v>1624</v>
      </c>
      <c r="S108" s="26">
        <f>Q108+R108</f>
        <v/>
      </c>
      <c r="T108" s="29" t="n">
        <v>27</v>
      </c>
      <c r="U108" s="29">
        <f>N108*O108*T108</f>
        <v/>
      </c>
      <c r="V108" s="82">
        <f>IF(ISNUMBER($D108),$D108-WEEKDAY($D108,3),'ORDER VS WEEK DISTRIBUTION'!$G$500)</f>
        <v/>
      </c>
      <c r="W108" s="82">
        <f>MAX($V108,'ORDER VS WEEK DISTRIBUTION'!$G$500)</f>
        <v/>
      </c>
      <c r="X108" s="26">
        <f>IFERROR(VLOOKUP($J108,'ORDER VS WEEK DISTRIBUTION'!$T:$U,2,0),"")</f>
        <v/>
      </c>
      <c r="Y108" s="26">
        <f>IFERROR($T108/IF(IFERROR(VLOOKUP($I108,'ITEM CFC PER CONTAINER'!$A:$B,2,0),0)&gt;0,VLOOKUP($I108,'ITEM CFC PER CONTAINER'!$A:$B,2,0),VLOOKUP($X108,'MC MASTER'!$A:$Q,16,0)),"")</f>
        <v/>
      </c>
    </row>
    <row r="109" ht="15" customHeight="1" s="5">
      <c r="A109" s="26" t="inlineStr">
        <is>
          <t>Dagab Inkop &amp; Logistik Ab</t>
        </is>
      </c>
      <c r="B109" s="26" t="inlineStr">
        <is>
          <t>MJIL/SO/26025937</t>
        </is>
      </c>
      <c r="C109" s="26" t="n">
        <v>4600888514</v>
      </c>
      <c r="D109" s="82" t="n">
        <v>46295</v>
      </c>
      <c r="E109" s="83">
        <f>IF(ISNUMBER($D109),EOMONTH($D109,-1)+1,"")</f>
        <v/>
      </c>
      <c r="F109" s="82" t="n">
        <v>46295</v>
      </c>
      <c r="G109" s="26" t="n">
        <v>37756</v>
      </c>
      <c r="H109" s="26">
        <f>B109&amp;I109</f>
        <v/>
      </c>
      <c r="I109" s="26" t="inlineStr">
        <is>
          <t>GARANT EKO GRONT TE 15/20 DC SF ENV TBGS</t>
        </is>
      </c>
      <c r="J109" s="26" t="inlineStr">
        <is>
          <t>MD20 ENV GARANT</t>
        </is>
      </c>
      <c r="K109" s="26">
        <f>J109&amp;"-"&amp;TEXT(W109,"dd-mmm-yy")</f>
        <v/>
      </c>
      <c r="L109" s="26">
        <f>IFERROR(VLOOKUP($M109,'ITEM MASTER'!E:H,4,0),"")</f>
        <v/>
      </c>
      <c r="M109" s="26">
        <f>IFERROR(VLOOKUP($I109,'ITEM MASTER'!B:E,4,0),"")</f>
        <v/>
      </c>
      <c r="N109" s="26">
        <f>IFERROR(VLOOKUP($I109,'ITEM MASTER'!B:F,5,0),0)</f>
        <v/>
      </c>
      <c r="O109" s="26">
        <f>IFERROR(VLOOKUP($M109,'TBGS PER CTN'!B:C,2,0),0)</f>
        <v/>
      </c>
      <c r="P109" s="26" t="n">
        <v>1500</v>
      </c>
      <c r="Q109" s="26" t="n">
        <v>1500</v>
      </c>
      <c r="R109" s="26" t="n">
        <v>0</v>
      </c>
      <c r="S109" s="26">
        <f>Q109+R109</f>
        <v/>
      </c>
      <c r="T109" s="29" t="n">
        <v>0</v>
      </c>
      <c r="U109" s="29">
        <f>N109*O109*T109</f>
        <v/>
      </c>
      <c r="V109" s="82">
        <f>IF(ISNUMBER($D109),$D109-WEEKDAY($D109,3),'ORDER VS WEEK DISTRIBUTION'!$G$500)</f>
        <v/>
      </c>
      <c r="W109" s="82">
        <f>MAX($V109,'ORDER VS WEEK DISTRIBUTION'!$G$500)</f>
        <v/>
      </c>
      <c r="X109" s="26">
        <f>IFERROR(VLOOKUP($J109,'ORDER VS WEEK DISTRIBUTION'!$T:$U,2,0),"")</f>
        <v/>
      </c>
      <c r="Y109" s="26">
        <f>IFERROR($T109/IF(IFERROR(VLOOKUP($I109,'ITEM CFC PER CONTAINER'!$A:$B,2,0),0)&gt;0,VLOOKUP($I109,'ITEM CFC PER CONTAINER'!$A:$B,2,0),VLOOKUP($X109,'MC MASTER'!$A:$Q,16,0)),"")</f>
        <v/>
      </c>
    </row>
    <row r="110" ht="15" customHeight="1" s="5">
      <c r="A110" s="26" t="inlineStr">
        <is>
          <t>Harris Tea Co. -Us</t>
        </is>
      </c>
      <c r="B110" s="26" t="inlineStr">
        <is>
          <t>MJIL/SO/26040199</t>
        </is>
      </c>
      <c r="C110" s="26" t="inlineStr">
        <is>
          <t>TRSCO - PROJECTION</t>
        </is>
      </c>
      <c r="D110" s="82" t="n">
        <v>46295</v>
      </c>
      <c r="E110" s="83">
        <f>IF(ISNUMBER($D110),EOMONTH($D110,-1)+1,"")</f>
        <v/>
      </c>
      <c r="F110" s="82" t="n">
        <v>46295</v>
      </c>
      <c r="G110" s="26" t="n">
        <v>23224</v>
      </c>
      <c r="H110" s="26">
        <f>B110&amp;I110</f>
        <v/>
      </c>
      <c r="I110" s="26" t="inlineStr">
        <is>
          <t>TRSCO 32-3 OZ AB RND RFA ITBS</t>
        </is>
      </c>
      <c r="J110" s="26" t="inlineStr">
        <is>
          <t>BREW MAGIC</t>
        </is>
      </c>
      <c r="K110" s="26">
        <f>J110&amp;"-"&amp;TEXT(W110,"dd-mmm-yy")</f>
        <v/>
      </c>
      <c r="L110" s="26">
        <f>IFERROR(VLOOKUP($M110,'ITEM MASTER'!E:H,4,0),"")</f>
        <v/>
      </c>
      <c r="M110" s="26">
        <f>IFERROR(VLOOKUP($I110,'ITEM MASTER'!B:E,4,0),"")</f>
        <v/>
      </c>
      <c r="N110" s="26">
        <f>IFERROR(VLOOKUP($I110,'ITEM MASTER'!B:F,5,0),0)</f>
        <v/>
      </c>
      <c r="O110" s="26">
        <f>IFERROR(VLOOKUP($M110,'TBGS PER CTN'!B:C,2,0),0)</f>
        <v/>
      </c>
      <c r="P110" s="26" t="n">
        <v>5000</v>
      </c>
      <c r="Q110" s="26" t="n">
        <v>0</v>
      </c>
      <c r="R110" s="26" t="n">
        <v>1720</v>
      </c>
      <c r="S110" s="26">
        <f>Q110+R110</f>
        <v/>
      </c>
      <c r="T110" s="29" t="n">
        <v>3280</v>
      </c>
      <c r="U110" s="29">
        <f>N110*O110*T110</f>
        <v/>
      </c>
      <c r="V110" s="82">
        <f>IF(ISNUMBER($D110),$D110-WEEKDAY($D110,3),'ORDER VS WEEK DISTRIBUTION'!$G$500)</f>
        <v/>
      </c>
      <c r="W110" s="82">
        <f>MAX($V110,'ORDER VS WEEK DISTRIBUTION'!$G$500)</f>
        <v/>
      </c>
      <c r="X110" s="26">
        <f>IFERROR(VLOOKUP($J110,'ORDER VS WEEK DISTRIBUTION'!$T:$U,2,0),"")</f>
        <v/>
      </c>
      <c r="Y110" s="26">
        <f>IFERROR($T110/IF(IFERROR(VLOOKUP($I110,'ITEM CFC PER CONTAINER'!$A:$B,2,0),0)&gt;0,VLOOKUP($I110,'ITEM CFC PER CONTAINER'!$A:$B,2,0),VLOOKUP($X110,'MC MASTER'!$A:$Q,16,0)),"")</f>
        <v/>
      </c>
    </row>
    <row r="111" ht="15" customHeight="1" s="5">
      <c r="A111" s="26" t="inlineStr">
        <is>
          <t>Multitrade Overseas Pte. Ltd.</t>
        </is>
      </c>
      <c r="B111" s="26" t="inlineStr">
        <is>
          <t>MJIL/SO/26031714</t>
        </is>
      </c>
      <c r="C111" s="26" t="inlineStr">
        <is>
          <t>MJ-065/26-27 (DALA &amp; SONS)</t>
        </is>
      </c>
      <c r="D111" s="82" t="n">
        <v>46295</v>
      </c>
      <c r="E111" s="83">
        <f>IF(ISNUMBER($D111),EOMONTH($D111,-1)+1,"")</f>
        <v/>
      </c>
      <c r="F111" s="82" t="n">
        <v>46295</v>
      </c>
      <c r="G111" s="26" t="n">
        <v>22922</v>
      </c>
      <c r="H111" s="26">
        <f>B111&amp;I111</f>
        <v/>
      </c>
      <c r="I111" s="26" t="inlineStr">
        <is>
          <t>GV MINT 48/25 DC ENV TBGS</t>
        </is>
      </c>
      <c r="J111" s="30" t="inlineStr">
        <is>
          <t>CONSTANTA ENV</t>
        </is>
      </c>
      <c r="K111" s="26">
        <f>J111&amp;"-"&amp;TEXT(W111,"dd-mmm-yy")</f>
        <v/>
      </c>
      <c r="L111" s="26">
        <f>IFERROR(VLOOKUP($M111,'ITEM MASTER'!E:H,4,0),"")</f>
        <v/>
      </c>
      <c r="M111" s="26">
        <f>IFERROR(VLOOKUP($I111,'ITEM MASTER'!B:E,4,0),"")</f>
        <v/>
      </c>
      <c r="N111" s="26">
        <f>IFERROR(VLOOKUP($I111,'ITEM MASTER'!B:F,5,0),0)</f>
        <v/>
      </c>
      <c r="O111" s="26">
        <f>IFERROR(VLOOKUP($M111,'TBGS PER CTN'!B:C,2,0),0)</f>
        <v/>
      </c>
      <c r="P111" s="26" t="n">
        <v>1000</v>
      </c>
      <c r="Q111" s="26" t="n">
        <v>191</v>
      </c>
      <c r="R111" s="26" t="n">
        <v>809</v>
      </c>
      <c r="S111" s="26">
        <f>Q111+R111</f>
        <v/>
      </c>
      <c r="T111" s="29" t="n">
        <v>0</v>
      </c>
      <c r="U111" s="29">
        <f>N111*O111*T111</f>
        <v/>
      </c>
      <c r="V111" s="82">
        <f>IF(ISNUMBER($D111),$D111-WEEKDAY($D111,3),'ORDER VS WEEK DISTRIBUTION'!$G$500)</f>
        <v/>
      </c>
      <c r="W111" s="82">
        <f>MAX($V111,'ORDER VS WEEK DISTRIBUTION'!$G$500)</f>
        <v/>
      </c>
      <c r="X111" s="26">
        <f>IFERROR(VLOOKUP($J111,'ORDER VS WEEK DISTRIBUTION'!$T:$U,2,0),"")</f>
        <v/>
      </c>
      <c r="Y111" s="26">
        <f>IFERROR($T111/IF(IFERROR(VLOOKUP($I111,'ITEM CFC PER CONTAINER'!$A:$B,2,0),0)&gt;0,VLOOKUP($I111,'ITEM CFC PER CONTAINER'!$A:$B,2,0),VLOOKUP($X111,'MC MASTER'!$A:$Q,16,0)),"")</f>
        <v/>
      </c>
    </row>
    <row r="112" ht="15" customHeight="1" s="5">
      <c r="A112" s="26" t="inlineStr">
        <is>
          <t>Multitrade Overseas Pte. Ltd.</t>
        </is>
      </c>
      <c r="B112" s="26" t="inlineStr">
        <is>
          <t>MJIL/SO/26031714</t>
        </is>
      </c>
      <c r="C112" s="26" t="inlineStr">
        <is>
          <t>MJ-065/26-27 (DALA &amp; SONS)</t>
        </is>
      </c>
      <c r="D112" s="82" t="n">
        <v>46295</v>
      </c>
      <c r="E112" s="83">
        <f>IF(ISNUMBER($D112),EOMONTH($D112,-1)+1,"")</f>
        <v/>
      </c>
      <c r="F112" s="82" t="n">
        <v>46295</v>
      </c>
      <c r="G112" s="26" t="n">
        <v>26083</v>
      </c>
      <c r="H112" s="26">
        <f>B112&amp;I112</f>
        <v/>
      </c>
      <c r="I112" s="26" t="inlineStr">
        <is>
          <t>GV GARDEN STRAWBERRY 48/25 DC ENV TBGS</t>
        </is>
      </c>
      <c r="J112" s="30" t="inlineStr">
        <is>
          <t>CONSTANTA ENV</t>
        </is>
      </c>
      <c r="K112" s="26">
        <f>J112&amp;"-"&amp;TEXT(W112,"dd-mmm-yy")</f>
        <v/>
      </c>
      <c r="L112" s="26">
        <f>IFERROR(VLOOKUP($M112,'ITEM MASTER'!E:H,4,0),"")</f>
        <v/>
      </c>
      <c r="M112" s="26">
        <f>IFERROR(VLOOKUP($I112,'ITEM MASTER'!B:E,4,0),"")</f>
        <v/>
      </c>
      <c r="N112" s="26">
        <f>IFERROR(VLOOKUP($I112,'ITEM MASTER'!B:F,5,0),0)</f>
        <v/>
      </c>
      <c r="O112" s="26">
        <f>IFERROR(VLOOKUP($M112,'TBGS PER CTN'!B:C,2,0),0)</f>
        <v/>
      </c>
      <c r="P112" s="26" t="n">
        <v>500</v>
      </c>
      <c r="Q112" s="26" t="n">
        <v>0</v>
      </c>
      <c r="R112" s="26" t="n">
        <v>500</v>
      </c>
      <c r="S112" s="26">
        <f>Q112+R112</f>
        <v/>
      </c>
      <c r="T112" s="29" t="n">
        <v>0</v>
      </c>
      <c r="U112" s="29">
        <f>N112*O112*T112</f>
        <v/>
      </c>
      <c r="V112" s="82">
        <f>IF(ISNUMBER($D112),$D112-WEEKDAY($D112,3),'ORDER VS WEEK DISTRIBUTION'!$G$500)</f>
        <v/>
      </c>
      <c r="W112" s="82">
        <f>MAX($V112,'ORDER VS WEEK DISTRIBUTION'!$G$500)</f>
        <v/>
      </c>
      <c r="X112" s="26">
        <f>IFERROR(VLOOKUP($J112,'ORDER VS WEEK DISTRIBUTION'!$T:$U,2,0),"")</f>
        <v/>
      </c>
      <c r="Y112" s="26">
        <f>IFERROR($T112/IF(IFERROR(VLOOKUP($I112,'ITEM CFC PER CONTAINER'!$A:$B,2,0),0)&gt;0,VLOOKUP($I112,'ITEM CFC PER CONTAINER'!$A:$B,2,0),VLOOKUP($X112,'MC MASTER'!$A:$Q,16,0)),"")</f>
        <v/>
      </c>
    </row>
    <row r="113" ht="15" customHeight="1" s="5">
      <c r="A113" s="26" t="inlineStr">
        <is>
          <t>Multitrade Overseas Pte. Ltd.</t>
        </is>
      </c>
      <c r="B113" s="26" t="inlineStr">
        <is>
          <t>MJIL/SO/26031714</t>
        </is>
      </c>
      <c r="C113" s="26" t="inlineStr">
        <is>
          <t>MJ-065/26-27 (DALA &amp; SONS)</t>
        </is>
      </c>
      <c r="D113" s="82" t="n">
        <v>46295</v>
      </c>
      <c r="E113" s="83">
        <f>IF(ISNUMBER($D113),EOMONTH($D113,-1)+1,"")</f>
        <v/>
      </c>
      <c r="F113" s="82" t="n">
        <v>46295</v>
      </c>
      <c r="G113" s="26" t="n">
        <v>28051</v>
      </c>
      <c r="H113" s="26">
        <f>B113&amp;I113</f>
        <v/>
      </c>
      <c r="I113" s="26" t="inlineStr">
        <is>
          <t>GV CLOVE 48/25 DC ENV TBGS</t>
        </is>
      </c>
      <c r="J113" s="30" t="inlineStr">
        <is>
          <t>CONSTANTA ENV</t>
        </is>
      </c>
      <c r="K113" s="26">
        <f>J113&amp;"-"&amp;TEXT(W113,"dd-mmm-yy")</f>
        <v/>
      </c>
      <c r="L113" s="26">
        <f>IFERROR(VLOOKUP($M113,'ITEM MASTER'!E:H,4,0),"")</f>
        <v/>
      </c>
      <c r="M113" s="26">
        <f>IFERROR(VLOOKUP($I113,'ITEM MASTER'!B:E,4,0),"")</f>
        <v/>
      </c>
      <c r="N113" s="26">
        <f>IFERROR(VLOOKUP($I113,'ITEM MASTER'!B:F,5,0),0)</f>
        <v/>
      </c>
      <c r="O113" s="26">
        <f>IFERROR(VLOOKUP($M113,'TBGS PER CTN'!B:C,2,0),0)</f>
        <v/>
      </c>
      <c r="P113" s="26" t="n">
        <v>200</v>
      </c>
      <c r="Q113" s="26" t="n">
        <v>0</v>
      </c>
      <c r="R113" s="26" t="n">
        <v>200</v>
      </c>
      <c r="S113" s="26">
        <f>Q113+R113</f>
        <v/>
      </c>
      <c r="T113" s="29" t="n">
        <v>0</v>
      </c>
      <c r="U113" s="29">
        <f>N113*O113*T113</f>
        <v/>
      </c>
      <c r="V113" s="82">
        <f>IF(ISNUMBER($D113),$D113-WEEKDAY($D113,3),'ORDER VS WEEK DISTRIBUTION'!$G$500)</f>
        <v/>
      </c>
      <c r="W113" s="82">
        <f>MAX($V113,'ORDER VS WEEK DISTRIBUTION'!$G$500)</f>
        <v/>
      </c>
      <c r="X113" s="26">
        <f>IFERROR(VLOOKUP($J113,'ORDER VS WEEK DISTRIBUTION'!$T:$U,2,0),"")</f>
        <v/>
      </c>
      <c r="Y113" s="26">
        <f>IFERROR($T113/IF(IFERROR(VLOOKUP($I113,'ITEM CFC PER CONTAINER'!$A:$B,2,0),0)&gt;0,VLOOKUP($I113,'ITEM CFC PER CONTAINER'!$A:$B,2,0),VLOOKUP($X113,'MC MASTER'!$A:$Q,16,0)),"")</f>
        <v/>
      </c>
    </row>
    <row r="114" ht="15" customHeight="1" s="5">
      <c r="A114" s="26" t="inlineStr">
        <is>
          <t>Multitrade Overseas Pte. Ltd.</t>
        </is>
      </c>
      <c r="B114" s="26" t="inlineStr">
        <is>
          <t>MJIL/SO/26031714</t>
        </is>
      </c>
      <c r="C114" s="26" t="inlineStr">
        <is>
          <t>MJ-065/26-27 (DALA &amp; SONS)</t>
        </is>
      </c>
      <c r="D114" s="82" t="n">
        <v>46295</v>
      </c>
      <c r="E114" s="83">
        <f>IF(ISNUMBER($D114),EOMONTH($D114,-1)+1,"")</f>
        <v/>
      </c>
      <c r="F114" s="82" t="n">
        <v>46295</v>
      </c>
      <c r="G114" s="26" t="n">
        <v>26086</v>
      </c>
      <c r="H114" s="26">
        <f>B114&amp;I114</f>
        <v/>
      </c>
      <c r="I114" s="26" t="inlineStr">
        <is>
          <t>GV WATERMELON 48/25 DC ENV TBGS</t>
        </is>
      </c>
      <c r="J114" s="30" t="inlineStr">
        <is>
          <t>CONSTANTA ENV</t>
        </is>
      </c>
      <c r="K114" s="26">
        <f>J114&amp;"-"&amp;TEXT(W114,"dd-mmm-yy")</f>
        <v/>
      </c>
      <c r="L114" s="26">
        <f>IFERROR(VLOOKUP($M114,'ITEM MASTER'!E:H,4,0),"")</f>
        <v/>
      </c>
      <c r="M114" s="26">
        <f>IFERROR(VLOOKUP($I114,'ITEM MASTER'!B:E,4,0),"")</f>
        <v/>
      </c>
      <c r="N114" s="26">
        <f>IFERROR(VLOOKUP($I114,'ITEM MASTER'!B:F,5,0),0)</f>
        <v/>
      </c>
      <c r="O114" s="26">
        <f>IFERROR(VLOOKUP($M114,'TBGS PER CTN'!B:C,2,0),0)</f>
        <v/>
      </c>
      <c r="P114" s="26" t="n">
        <v>500</v>
      </c>
      <c r="Q114" s="26" t="n">
        <v>0</v>
      </c>
      <c r="R114" s="26" t="n">
        <v>500</v>
      </c>
      <c r="S114" s="26">
        <f>Q114+R114</f>
        <v/>
      </c>
      <c r="T114" s="29" t="n">
        <v>0</v>
      </c>
      <c r="U114" s="29">
        <f>N114*O114*T114</f>
        <v/>
      </c>
      <c r="V114" s="82">
        <f>IF(ISNUMBER($D114),$D114-WEEKDAY($D114,3),'ORDER VS WEEK DISTRIBUTION'!$G$500)</f>
        <v/>
      </c>
      <c r="W114" s="82">
        <f>MAX($V114,'ORDER VS WEEK DISTRIBUTION'!$G$500)</f>
        <v/>
      </c>
      <c r="X114" s="26">
        <f>IFERROR(VLOOKUP($J114,'ORDER VS WEEK DISTRIBUTION'!$T:$U,2,0),"")</f>
        <v/>
      </c>
      <c r="Y114" s="26">
        <f>IFERROR($T114/IF(IFERROR(VLOOKUP($I114,'ITEM CFC PER CONTAINER'!$A:$B,2,0),0)&gt;0,VLOOKUP($I114,'ITEM CFC PER CONTAINER'!$A:$B,2,0),VLOOKUP($X114,'MC MASTER'!$A:$Q,16,0)),"")</f>
        <v/>
      </c>
    </row>
    <row r="115" ht="15" customHeight="1" s="5">
      <c r="A115" s="26" t="inlineStr">
        <is>
          <t>Multitrade Overseas Pte. Ltd.</t>
        </is>
      </c>
      <c r="B115" s="26" t="inlineStr">
        <is>
          <t>MJIL/SO/26031714</t>
        </is>
      </c>
      <c r="C115" s="26" t="inlineStr">
        <is>
          <t>MJ-065/26-27 (DALA &amp; SONS)</t>
        </is>
      </c>
      <c r="D115" s="82" t="n">
        <v>46295</v>
      </c>
      <c r="E115" s="83">
        <f>IF(ISNUMBER($D115),EOMONTH($D115,-1)+1,"")</f>
        <v/>
      </c>
      <c r="F115" s="82" t="n">
        <v>46295</v>
      </c>
      <c r="G115" s="26" t="n">
        <v>26085</v>
      </c>
      <c r="H115" s="26">
        <f>B115&amp;I115</f>
        <v/>
      </c>
      <c r="I115" s="26" t="inlineStr">
        <is>
          <t>GV SPICY GINGER 48/25 DC ENV TBGS</t>
        </is>
      </c>
      <c r="J115" s="30" t="inlineStr">
        <is>
          <t>CONSTANTA ENV</t>
        </is>
      </c>
      <c r="K115" s="26">
        <f>J115&amp;"-"&amp;TEXT(W115,"dd-mmm-yy")</f>
        <v/>
      </c>
      <c r="L115" s="26">
        <f>IFERROR(VLOOKUP($M115,'ITEM MASTER'!E:H,4,0),"")</f>
        <v/>
      </c>
      <c r="M115" s="26">
        <f>IFERROR(VLOOKUP($I115,'ITEM MASTER'!B:E,4,0),"")</f>
        <v/>
      </c>
      <c r="N115" s="26">
        <f>IFERROR(VLOOKUP($I115,'ITEM MASTER'!B:F,5,0),0)</f>
        <v/>
      </c>
      <c r="O115" s="26">
        <f>IFERROR(VLOOKUP($M115,'TBGS PER CTN'!B:C,2,0),0)</f>
        <v/>
      </c>
      <c r="P115" s="26" t="n">
        <v>500</v>
      </c>
      <c r="Q115" s="26" t="n">
        <v>39</v>
      </c>
      <c r="R115" s="26" t="n">
        <v>431</v>
      </c>
      <c r="S115" s="26">
        <f>Q115+R115</f>
        <v/>
      </c>
      <c r="T115" s="29" t="n">
        <v>30</v>
      </c>
      <c r="U115" s="29">
        <f>N115*O115*T115</f>
        <v/>
      </c>
      <c r="V115" s="82">
        <f>IF(ISNUMBER($D115),$D115-WEEKDAY($D115,3),'ORDER VS WEEK DISTRIBUTION'!$G$500)</f>
        <v/>
      </c>
      <c r="W115" s="82">
        <f>MAX($V115,'ORDER VS WEEK DISTRIBUTION'!$G$500)</f>
        <v/>
      </c>
      <c r="X115" s="26">
        <f>IFERROR(VLOOKUP($J115,'ORDER VS WEEK DISTRIBUTION'!$T:$U,2,0),"")</f>
        <v/>
      </c>
      <c r="Y115" s="26">
        <f>IFERROR($T115/IF(IFERROR(VLOOKUP($I115,'ITEM CFC PER CONTAINER'!$A:$B,2,0),0)&gt;0,VLOOKUP($I115,'ITEM CFC PER CONTAINER'!$A:$B,2,0),VLOOKUP($X115,'MC MASTER'!$A:$Q,16,0)),"")</f>
        <v/>
      </c>
    </row>
    <row r="116" ht="15" customHeight="1" s="5">
      <c r="A116" s="26" t="inlineStr">
        <is>
          <t>Multitrade Overseas Pte. Ltd.</t>
        </is>
      </c>
      <c r="B116" s="26" t="inlineStr">
        <is>
          <t>MJIL/SO/26031714</t>
        </is>
      </c>
      <c r="C116" s="26" t="inlineStr">
        <is>
          <t>MJ-065/26-27 (DALA &amp; SONS)</t>
        </is>
      </c>
      <c r="D116" s="82" t="n">
        <v>46295</v>
      </c>
      <c r="E116" s="83">
        <f>IF(ISNUMBER($D116),EOMONTH($D116,-1)+1,"")</f>
        <v/>
      </c>
      <c r="F116" s="82" t="n">
        <v>46295</v>
      </c>
      <c r="G116" s="26" t="n">
        <v>26084</v>
      </c>
      <c r="H116" s="26">
        <f>B116&amp;I116</f>
        <v/>
      </c>
      <c r="I116" s="26" t="inlineStr">
        <is>
          <t>GV COCKTAIL 48/25 DC ENV TBGS</t>
        </is>
      </c>
      <c r="J116" s="30" t="inlineStr">
        <is>
          <t>CONSTANTA ENV</t>
        </is>
      </c>
      <c r="K116" s="26">
        <f>J116&amp;"-"&amp;TEXT(W116,"dd-mmm-yy")</f>
        <v/>
      </c>
      <c r="L116" s="26">
        <f>IFERROR(VLOOKUP($M116,'ITEM MASTER'!E:H,4,0),"")</f>
        <v/>
      </c>
      <c r="M116" s="26">
        <f>IFERROR(VLOOKUP($I116,'ITEM MASTER'!B:E,4,0),"")</f>
        <v/>
      </c>
      <c r="N116" s="26">
        <f>IFERROR(VLOOKUP($I116,'ITEM MASTER'!B:F,5,0),0)</f>
        <v/>
      </c>
      <c r="O116" s="26">
        <f>IFERROR(VLOOKUP($M116,'TBGS PER CTN'!B:C,2,0),0)</f>
        <v/>
      </c>
      <c r="P116" s="26" t="n">
        <v>300</v>
      </c>
      <c r="Q116" s="26" t="n">
        <v>0</v>
      </c>
      <c r="R116" s="26" t="n">
        <v>300</v>
      </c>
      <c r="S116" s="26">
        <f>Q116+R116</f>
        <v/>
      </c>
      <c r="T116" s="29" t="n">
        <v>0</v>
      </c>
      <c r="U116" s="29">
        <f>N116*O116*T116</f>
        <v/>
      </c>
      <c r="V116" s="82">
        <f>IF(ISNUMBER($D116),$D116-WEEKDAY($D116,3),'ORDER VS WEEK DISTRIBUTION'!$G$500)</f>
        <v/>
      </c>
      <c r="W116" s="82">
        <f>MAX($V116,'ORDER VS WEEK DISTRIBUTION'!$G$500)</f>
        <v/>
      </c>
      <c r="X116" s="26">
        <f>IFERROR(VLOOKUP($J116,'ORDER VS WEEK DISTRIBUTION'!$T:$U,2,0),"")</f>
        <v/>
      </c>
      <c r="Y116" s="26">
        <f>IFERROR($T116/IF(IFERROR(VLOOKUP($I116,'ITEM CFC PER CONTAINER'!$A:$B,2,0),0)&gt;0,VLOOKUP($I116,'ITEM CFC PER CONTAINER'!$A:$B,2,0),VLOOKUP($X116,'MC MASTER'!$A:$Q,16,0)),"")</f>
        <v/>
      </c>
    </row>
    <row r="117" ht="15" customHeight="1" s="5">
      <c r="A117" s="26" t="inlineStr">
        <is>
          <t>Multitrade Overseas Pte. Ltd.</t>
        </is>
      </c>
      <c r="B117" s="26" t="inlineStr">
        <is>
          <t>MJIL/SO/26031714</t>
        </is>
      </c>
      <c r="C117" s="26" t="inlineStr">
        <is>
          <t>MJ-065/26-27 (DALA &amp; SONS)</t>
        </is>
      </c>
      <c r="D117" s="82" t="n">
        <v>46295</v>
      </c>
      <c r="E117" s="83">
        <f>IF(ISNUMBER($D117),EOMONTH($D117,-1)+1,"")</f>
        <v/>
      </c>
      <c r="F117" s="82" t="n">
        <v>46295</v>
      </c>
      <c r="G117" s="26" t="n">
        <v>35348</v>
      </c>
      <c r="H117" s="26">
        <f>B117&amp;I117</f>
        <v/>
      </c>
      <c r="I117" s="26" t="inlineStr">
        <is>
          <t>GV BERRY DELIGHT 12/25 DC SF HS ENV TBGS (AF)</t>
        </is>
      </c>
      <c r="J117" s="26" t="inlineStr">
        <is>
          <t>MD20 HS</t>
        </is>
      </c>
      <c r="K117" s="26">
        <f>J117&amp;"-"&amp;TEXT(W117,"dd-mmm-yy")</f>
        <v/>
      </c>
      <c r="L117" s="26">
        <f>IFERROR(VLOOKUP($M117,'ITEM MASTER'!E:H,4,0),"")</f>
        <v/>
      </c>
      <c r="M117" s="26">
        <f>IFERROR(VLOOKUP($I117,'ITEM MASTER'!B:E,4,0),"")</f>
        <v/>
      </c>
      <c r="N117" s="26">
        <f>IFERROR(VLOOKUP($I117,'ITEM MASTER'!B:F,5,0),0)</f>
        <v/>
      </c>
      <c r="O117" s="26">
        <f>IFERROR(VLOOKUP($M117,'TBGS PER CTN'!B:C,2,0),0)</f>
        <v/>
      </c>
      <c r="P117" s="26" t="n">
        <v>50</v>
      </c>
      <c r="Q117" s="26" t="n">
        <v>4</v>
      </c>
      <c r="R117" s="26" t="n">
        <v>46</v>
      </c>
      <c r="S117" s="26">
        <f>Q117+R117</f>
        <v/>
      </c>
      <c r="T117" s="29" t="n">
        <v>0</v>
      </c>
      <c r="U117" s="29">
        <f>N117*O117*T117</f>
        <v/>
      </c>
      <c r="V117" s="82">
        <f>IF(ISNUMBER($D117),$D117-WEEKDAY($D117,3),'ORDER VS WEEK DISTRIBUTION'!$G$500)</f>
        <v/>
      </c>
      <c r="W117" s="82">
        <f>MAX($V117,'ORDER VS WEEK DISTRIBUTION'!$G$500)</f>
        <v/>
      </c>
      <c r="X117" s="26">
        <f>IFERROR(VLOOKUP($J117,'ORDER VS WEEK DISTRIBUTION'!$T:$U,2,0),"")</f>
        <v/>
      </c>
      <c r="Y117" s="26">
        <f>IFERROR($T117/IF(IFERROR(VLOOKUP($I117,'ITEM CFC PER CONTAINER'!$A:$B,2,0),0)&gt;0,VLOOKUP($I117,'ITEM CFC PER CONTAINER'!$A:$B,2,0),VLOOKUP($X117,'MC MASTER'!$A:$Q,16,0)),"")</f>
        <v/>
      </c>
    </row>
    <row r="118" ht="15" customHeight="1" s="5">
      <c r="A118" s="26" t="inlineStr">
        <is>
          <t>Multitrade Overseas Pte. Ltd.</t>
        </is>
      </c>
      <c r="B118" s="26" t="inlineStr">
        <is>
          <t>MJIL/SO/26031714</t>
        </is>
      </c>
      <c r="C118" s="26" t="inlineStr">
        <is>
          <t>MJ-065/26-27 (DALA &amp; SONS)</t>
        </is>
      </c>
      <c r="D118" s="82" t="n">
        <v>46295</v>
      </c>
      <c r="E118" s="83">
        <f>IF(ISNUMBER($D118),EOMONTH($D118,-1)+1,"")</f>
        <v/>
      </c>
      <c r="F118" s="82" t="n">
        <v>46295</v>
      </c>
      <c r="G118" s="26" t="n">
        <v>35359</v>
      </c>
      <c r="H118" s="26">
        <f>B118&amp;I118</f>
        <v/>
      </c>
      <c r="I118" s="26" t="inlineStr">
        <is>
          <t>GV PASSION FRUIT 12/25 DC SF HS ENV TBGS (AF)</t>
        </is>
      </c>
      <c r="J118" s="26" t="inlineStr">
        <is>
          <t>MD20 HS</t>
        </is>
      </c>
      <c r="K118" s="26">
        <f>J118&amp;"-"&amp;TEXT(W118,"dd-mmm-yy")</f>
        <v/>
      </c>
      <c r="L118" s="26">
        <f>IFERROR(VLOOKUP($M118,'ITEM MASTER'!E:H,4,0),"")</f>
        <v/>
      </c>
      <c r="M118" s="26">
        <f>IFERROR(VLOOKUP($I118,'ITEM MASTER'!B:E,4,0),"")</f>
        <v/>
      </c>
      <c r="N118" s="26">
        <f>IFERROR(VLOOKUP($I118,'ITEM MASTER'!B:F,5,0),0)</f>
        <v/>
      </c>
      <c r="O118" s="26">
        <f>IFERROR(VLOOKUP($M118,'TBGS PER CTN'!B:C,2,0),0)</f>
        <v/>
      </c>
      <c r="P118" s="26" t="n">
        <v>50</v>
      </c>
      <c r="Q118" s="26" t="n">
        <v>0</v>
      </c>
      <c r="R118" s="26" t="n">
        <v>50</v>
      </c>
      <c r="S118" s="26">
        <f>Q118+R118</f>
        <v/>
      </c>
      <c r="T118" s="29" t="n">
        <v>0</v>
      </c>
      <c r="U118" s="29">
        <f>N118*O118*T118</f>
        <v/>
      </c>
      <c r="V118" s="82">
        <f>IF(ISNUMBER($D118),$D118-WEEKDAY($D118,3),'ORDER VS WEEK DISTRIBUTION'!$G$500)</f>
        <v/>
      </c>
      <c r="W118" s="82">
        <f>MAX($V118,'ORDER VS WEEK DISTRIBUTION'!$G$500)</f>
        <v/>
      </c>
      <c r="X118" s="26">
        <f>IFERROR(VLOOKUP($J118,'ORDER VS WEEK DISTRIBUTION'!$T:$U,2,0),"")</f>
        <v/>
      </c>
      <c r="Y118" s="26">
        <f>IFERROR($T118/IF(IFERROR(VLOOKUP($I118,'ITEM CFC PER CONTAINER'!$A:$B,2,0),0)&gt;0,VLOOKUP($I118,'ITEM CFC PER CONTAINER'!$A:$B,2,0),VLOOKUP($X118,'MC MASTER'!$A:$Q,16,0)),"")</f>
        <v/>
      </c>
    </row>
    <row r="119" ht="15" customHeight="1" s="5">
      <c r="A119" s="26" t="inlineStr">
        <is>
          <t>Multitrade Overseas Pte. Ltd.</t>
        </is>
      </c>
      <c r="B119" s="26" t="inlineStr">
        <is>
          <t>MJIL/SO/26031714</t>
        </is>
      </c>
      <c r="C119" s="26" t="inlineStr">
        <is>
          <t>MJ-065/26-27 (DALA &amp; SONS)</t>
        </is>
      </c>
      <c r="D119" s="82" t="n">
        <v>46295</v>
      </c>
      <c r="E119" s="83">
        <f>IF(ISNUMBER($D119),EOMONTH($D119,-1)+1,"")</f>
        <v/>
      </c>
      <c r="F119" s="82" t="n">
        <v>46295</v>
      </c>
      <c r="G119" s="26" t="n">
        <v>35349</v>
      </c>
      <c r="H119" s="26">
        <f>B119&amp;I119</f>
        <v/>
      </c>
      <c r="I119" s="26" t="inlineStr">
        <is>
          <t>GV LEMON JAZZ 12/25 DC SF HS ENV TBGS (AF)</t>
        </is>
      </c>
      <c r="J119" s="26" t="inlineStr">
        <is>
          <t>MD20 HS</t>
        </is>
      </c>
      <c r="K119" s="26">
        <f>J119&amp;"-"&amp;TEXT(W119,"dd-mmm-yy")</f>
        <v/>
      </c>
      <c r="L119" s="26">
        <f>IFERROR(VLOOKUP($M119,'ITEM MASTER'!E:H,4,0),"")</f>
        <v/>
      </c>
      <c r="M119" s="26">
        <f>IFERROR(VLOOKUP($I119,'ITEM MASTER'!B:E,4,0),"")</f>
        <v/>
      </c>
      <c r="N119" s="26">
        <f>IFERROR(VLOOKUP($I119,'ITEM MASTER'!B:F,5,0),0)</f>
        <v/>
      </c>
      <c r="O119" s="26">
        <f>IFERROR(VLOOKUP($M119,'TBGS PER CTN'!B:C,2,0),0)</f>
        <v/>
      </c>
      <c r="P119" s="26" t="n">
        <v>50</v>
      </c>
      <c r="Q119" s="26" t="n">
        <v>12</v>
      </c>
      <c r="R119" s="26" t="n">
        <v>38</v>
      </c>
      <c r="S119" s="26">
        <f>Q119+R119</f>
        <v/>
      </c>
      <c r="T119" s="29" t="n">
        <v>0</v>
      </c>
      <c r="U119" s="29">
        <f>N119*O119*T119</f>
        <v/>
      </c>
      <c r="V119" s="82">
        <f>IF(ISNUMBER($D119),$D119-WEEKDAY($D119,3),'ORDER VS WEEK DISTRIBUTION'!$G$500)</f>
        <v/>
      </c>
      <c r="W119" s="82">
        <f>MAX($V119,'ORDER VS WEEK DISTRIBUTION'!$G$500)</f>
        <v/>
      </c>
      <c r="X119" s="26">
        <f>IFERROR(VLOOKUP($J119,'ORDER VS WEEK DISTRIBUTION'!$T:$U,2,0),"")</f>
        <v/>
      </c>
      <c r="Y119" s="26">
        <f>IFERROR($T119/IF(IFERROR(VLOOKUP($I119,'ITEM CFC PER CONTAINER'!$A:$B,2,0),0)&gt;0,VLOOKUP($I119,'ITEM CFC PER CONTAINER'!$A:$B,2,0),VLOOKUP($X119,'MC MASTER'!$A:$Q,16,0)),"")</f>
        <v/>
      </c>
    </row>
    <row r="120" ht="15" customHeight="1" s="5">
      <c r="A120" s="26" t="inlineStr">
        <is>
          <t>Multitrade Overseas Pte. Ltd.</t>
        </is>
      </c>
      <c r="B120" s="26" t="inlineStr">
        <is>
          <t>MJIL/SO/26031714</t>
        </is>
      </c>
      <c r="C120" s="26" t="inlineStr">
        <is>
          <t>MJ-065/26-27 (DALA &amp; SONS)</t>
        </is>
      </c>
      <c r="D120" s="82" t="n">
        <v>46295</v>
      </c>
      <c r="E120" s="83">
        <f>IF(ISNUMBER($D120),EOMONTH($D120,-1)+1,"")</f>
        <v/>
      </c>
      <c r="F120" s="82" t="n">
        <v>46295</v>
      </c>
      <c r="G120" s="26" t="n">
        <v>35358</v>
      </c>
      <c r="H120" s="26">
        <f>B120&amp;I120</f>
        <v/>
      </c>
      <c r="I120" s="26" t="inlineStr">
        <is>
          <t>GV RASPBERRY BLISS 12/25 DC SF HS ENV TBGS (AF)</t>
        </is>
      </c>
      <c r="J120" s="26" t="inlineStr">
        <is>
          <t>MD20 HS</t>
        </is>
      </c>
      <c r="K120" s="26">
        <f>J120&amp;"-"&amp;TEXT(W120,"dd-mmm-yy")</f>
        <v/>
      </c>
      <c r="L120" s="26">
        <f>IFERROR(VLOOKUP($M120,'ITEM MASTER'!E:H,4,0),"")</f>
        <v/>
      </c>
      <c r="M120" s="26">
        <f>IFERROR(VLOOKUP($I120,'ITEM MASTER'!B:E,4,0),"")</f>
        <v/>
      </c>
      <c r="N120" s="26">
        <f>IFERROR(VLOOKUP($I120,'ITEM MASTER'!B:F,5,0),0)</f>
        <v/>
      </c>
      <c r="O120" s="26">
        <f>IFERROR(VLOOKUP($M120,'TBGS PER CTN'!B:C,2,0),0)</f>
        <v/>
      </c>
      <c r="P120" s="26" t="n">
        <v>50</v>
      </c>
      <c r="Q120" s="26" t="n">
        <v>0</v>
      </c>
      <c r="R120" s="26" t="n">
        <v>0</v>
      </c>
      <c r="S120" s="26">
        <f>Q120+R120</f>
        <v/>
      </c>
      <c r="T120" s="29" t="n">
        <v>50</v>
      </c>
      <c r="U120" s="29">
        <f>N120*O120*T120</f>
        <v/>
      </c>
      <c r="V120" s="82">
        <f>IF(ISNUMBER($D120),$D120-WEEKDAY($D120,3),'ORDER VS WEEK DISTRIBUTION'!$G$500)</f>
        <v/>
      </c>
      <c r="W120" s="82">
        <f>MAX($V120,'ORDER VS WEEK DISTRIBUTION'!$G$500)</f>
        <v/>
      </c>
      <c r="X120" s="26">
        <f>IFERROR(VLOOKUP($J120,'ORDER VS WEEK DISTRIBUTION'!$T:$U,2,0),"")</f>
        <v/>
      </c>
      <c r="Y120" s="26">
        <f>IFERROR($T120/IF(IFERROR(VLOOKUP($I120,'ITEM CFC PER CONTAINER'!$A:$B,2,0),0)&gt;0,VLOOKUP($I120,'ITEM CFC PER CONTAINER'!$A:$B,2,0),VLOOKUP($X120,'MC MASTER'!$A:$Q,16,0)),"")</f>
        <v/>
      </c>
    </row>
    <row r="121" ht="15" customHeight="1" s="5">
      <c r="A121" s="26" t="inlineStr">
        <is>
          <t>Multitrade Overseas Pte. Ltd.</t>
        </is>
      </c>
      <c r="B121" s="26" t="inlineStr">
        <is>
          <t>MJIL/SO/26031714</t>
        </is>
      </c>
      <c r="C121" s="26" t="inlineStr">
        <is>
          <t>MJ-065/26-27 (DALA &amp; SONS)</t>
        </is>
      </c>
      <c r="D121" s="82" t="n">
        <v>46295</v>
      </c>
      <c r="E121" s="83">
        <f>IF(ISNUMBER($D121),EOMONTH($D121,-1)+1,"")</f>
        <v/>
      </c>
      <c r="F121" s="82" t="n">
        <v>46295</v>
      </c>
      <c r="G121" s="26" t="n">
        <v>35360</v>
      </c>
      <c r="H121" s="26">
        <f>B121&amp;I121</f>
        <v/>
      </c>
      <c r="I121" s="26" t="inlineStr">
        <is>
          <t>GV STRAWBERRY ZEN 12/25 DC SF HS ENV TBGS (AF)</t>
        </is>
      </c>
      <c r="J121" s="26" t="inlineStr">
        <is>
          <t>MD20 HS</t>
        </is>
      </c>
      <c r="K121" s="26">
        <f>J121&amp;"-"&amp;TEXT(W121,"dd-mmm-yy")</f>
        <v/>
      </c>
      <c r="L121" s="26">
        <f>IFERROR(VLOOKUP($M121,'ITEM MASTER'!E:H,4,0),"")</f>
        <v/>
      </c>
      <c r="M121" s="26">
        <f>IFERROR(VLOOKUP($I121,'ITEM MASTER'!B:E,4,0),"")</f>
        <v/>
      </c>
      <c r="N121" s="26">
        <f>IFERROR(VLOOKUP($I121,'ITEM MASTER'!B:F,5,0),0)</f>
        <v/>
      </c>
      <c r="O121" s="26">
        <f>IFERROR(VLOOKUP($M121,'TBGS PER CTN'!B:C,2,0),0)</f>
        <v/>
      </c>
      <c r="P121" s="26" t="n">
        <v>50</v>
      </c>
      <c r="Q121" s="26" t="n">
        <v>0</v>
      </c>
      <c r="R121" s="26" t="n">
        <v>50</v>
      </c>
      <c r="S121" s="26">
        <f>Q121+R121</f>
        <v/>
      </c>
      <c r="T121" s="29" t="n">
        <v>0</v>
      </c>
      <c r="U121" s="29">
        <f>N121*O121*T121</f>
        <v/>
      </c>
      <c r="V121" s="82">
        <f>IF(ISNUMBER($D121),$D121-WEEKDAY($D121,3),'ORDER VS WEEK DISTRIBUTION'!$G$500)</f>
        <v/>
      </c>
      <c r="W121" s="82">
        <f>MAX($V121,'ORDER VS WEEK DISTRIBUTION'!$G$500)</f>
        <v/>
      </c>
      <c r="X121" s="26">
        <f>IFERROR(VLOOKUP($J121,'ORDER VS WEEK DISTRIBUTION'!$T:$U,2,0),"")</f>
        <v/>
      </c>
      <c r="Y121" s="26">
        <f>IFERROR($T121/IF(IFERROR(VLOOKUP($I121,'ITEM CFC PER CONTAINER'!$A:$B,2,0),0)&gt;0,VLOOKUP($I121,'ITEM CFC PER CONTAINER'!$A:$B,2,0),VLOOKUP($X121,'MC MASTER'!$A:$Q,16,0)),"")</f>
        <v/>
      </c>
    </row>
    <row r="122" ht="15" customHeight="1" s="5">
      <c r="A122" s="26" t="inlineStr">
        <is>
          <t>Multitrade Overseas Pte. Ltd.</t>
        </is>
      </c>
      <c r="B122" s="26" t="inlineStr">
        <is>
          <t>MJIL/SO/26031714</t>
        </is>
      </c>
      <c r="C122" s="26" t="inlineStr">
        <is>
          <t>MJ-065/26-27 (DALA &amp; SONS)</t>
        </is>
      </c>
      <c r="D122" s="82" t="n">
        <v>46295</v>
      </c>
      <c r="E122" s="83">
        <f>IF(ISNUMBER($D122),EOMONTH($D122,-1)+1,"")</f>
        <v/>
      </c>
      <c r="F122" s="82" t="n">
        <v>46295</v>
      </c>
      <c r="G122" s="26" t="n">
        <v>35361</v>
      </c>
      <c r="H122" s="26">
        <f>B122&amp;I122</f>
        <v/>
      </c>
      <c r="I122" s="26" t="inlineStr">
        <is>
          <t>GV TROPICAL JOY 12/25 DC SF HS ENV TBGS (AF)</t>
        </is>
      </c>
      <c r="J122" s="26" t="inlineStr">
        <is>
          <t>MD20 HS</t>
        </is>
      </c>
      <c r="K122" s="26">
        <f>J122&amp;"-"&amp;TEXT(W122,"dd-mmm-yy")</f>
        <v/>
      </c>
      <c r="L122" s="26">
        <f>IFERROR(VLOOKUP($M122,'ITEM MASTER'!E:H,4,0),"")</f>
        <v/>
      </c>
      <c r="M122" s="26">
        <f>IFERROR(VLOOKUP($I122,'ITEM MASTER'!B:E,4,0),"")</f>
        <v/>
      </c>
      <c r="N122" s="26">
        <f>IFERROR(VLOOKUP($I122,'ITEM MASTER'!B:F,5,0),0)</f>
        <v/>
      </c>
      <c r="O122" s="26">
        <f>IFERROR(VLOOKUP($M122,'TBGS PER CTN'!B:C,2,0),0)</f>
        <v/>
      </c>
      <c r="P122" s="26" t="n">
        <v>50</v>
      </c>
      <c r="Q122" s="26" t="n">
        <v>0</v>
      </c>
      <c r="R122" s="26" t="n">
        <v>50</v>
      </c>
      <c r="S122" s="26">
        <f>Q122+R122</f>
        <v/>
      </c>
      <c r="T122" s="29" t="n">
        <v>0</v>
      </c>
      <c r="U122" s="29">
        <f>N122*O122*T122</f>
        <v/>
      </c>
      <c r="V122" s="82">
        <f>IF(ISNUMBER($D122),$D122-WEEKDAY($D122,3),'ORDER VS WEEK DISTRIBUTION'!$G$500)</f>
        <v/>
      </c>
      <c r="W122" s="82">
        <f>MAX($V122,'ORDER VS WEEK DISTRIBUTION'!$G$500)</f>
        <v/>
      </c>
      <c r="X122" s="26">
        <f>IFERROR(VLOOKUP($J122,'ORDER VS WEEK DISTRIBUTION'!$T:$U,2,0),"")</f>
        <v/>
      </c>
      <c r="Y122" s="26">
        <f>IFERROR($T122/IF(IFERROR(VLOOKUP($I122,'ITEM CFC PER CONTAINER'!$A:$B,2,0),0)&gt;0,VLOOKUP($I122,'ITEM CFC PER CONTAINER'!$A:$B,2,0),VLOOKUP($X122,'MC MASTER'!$A:$Q,16,0)),"")</f>
        <v/>
      </c>
    </row>
    <row r="123" ht="15" customHeight="1" s="5">
      <c r="A123" s="26" t="inlineStr">
        <is>
          <t>SUNRAJ GLOBAL FZC</t>
        </is>
      </c>
      <c r="B123" s="26" t="inlineStr">
        <is>
          <t>MJIL/SO/26042624</t>
        </is>
      </c>
      <c r="C123" s="26" t="inlineStr">
        <is>
          <t>MJ-AG-003/26-27</t>
        </is>
      </c>
      <c r="D123" s="82" t="n">
        <v>46295</v>
      </c>
      <c r="E123" s="83">
        <f>IF(ISNUMBER($D123),EOMONTH($D123,-1)+1,"")</f>
        <v/>
      </c>
      <c r="F123" s="82" t="n">
        <v>46295</v>
      </c>
      <c r="G123" s="26" t="n">
        <v>22047</v>
      </c>
      <c r="H123" s="26">
        <f>B123&amp;I123</f>
        <v/>
      </c>
      <c r="I123" s="26" t="inlineStr">
        <is>
          <t>FG THREAD FOR TEABAGS</t>
        </is>
      </c>
      <c r="J123" s="26" t="n"/>
      <c r="K123" s="26">
        <f>J123&amp;"-"&amp;TEXT(W123,"dd-mmm-yy")</f>
        <v/>
      </c>
      <c r="L123" s="26">
        <f>IFERROR(VLOOKUP($M123,'ITEM MASTER'!E:H,4,0),"")</f>
        <v/>
      </c>
      <c r="M123" s="26">
        <f>IFERROR(VLOOKUP($I123,'ITEM MASTER'!B:E,4,0),"")</f>
        <v/>
      </c>
      <c r="N123" s="26">
        <f>IFERROR(VLOOKUP($I123,'ITEM MASTER'!B:F,5,0),0)</f>
        <v/>
      </c>
      <c r="O123" s="26">
        <f>IFERROR(VLOOKUP($M123,'TBGS PER CTN'!B:C,2,0),0)</f>
        <v/>
      </c>
      <c r="P123" s="26" t="n">
        <v>21</v>
      </c>
      <c r="Q123" s="26" t="n">
        <v>0</v>
      </c>
      <c r="R123" s="26" t="n">
        <v>0</v>
      </c>
      <c r="S123" s="26">
        <f>Q123+R123</f>
        <v/>
      </c>
      <c r="T123" s="29" t="n">
        <v>21</v>
      </c>
      <c r="U123" s="29">
        <f>N123*O123*T123</f>
        <v/>
      </c>
      <c r="V123" s="82">
        <f>IF(ISNUMBER($D123),$D123-WEEKDAY($D123,3),'ORDER VS WEEK DISTRIBUTION'!$G$500)</f>
        <v/>
      </c>
      <c r="W123" s="82">
        <f>MAX($V123,'ORDER VS WEEK DISTRIBUTION'!$G$500)</f>
        <v/>
      </c>
      <c r="X123" s="26">
        <f>IFERROR(VLOOKUP($J123,'ORDER VS WEEK DISTRIBUTION'!$T:$U,2,0),"")</f>
        <v/>
      </c>
      <c r="Y123" s="26">
        <f>IFERROR($T123/IF(IFERROR(VLOOKUP($I123,'ITEM CFC PER CONTAINER'!$A:$B,2,0),0)&gt;0,VLOOKUP($I123,'ITEM CFC PER CONTAINER'!$A:$B,2,0),VLOOKUP($X123,'MC MASTER'!$A:$Q,16,0)),"")</f>
        <v/>
      </c>
    </row>
    <row r="124" ht="15" customHeight="1" s="5">
      <c r="A124" s="26" t="inlineStr">
        <is>
          <t>SUNRAJ GLOBAL FZC</t>
        </is>
      </c>
      <c r="B124" s="26" t="inlineStr">
        <is>
          <t>MJIL/SO/26042624</t>
        </is>
      </c>
      <c r="C124" s="26" t="inlineStr">
        <is>
          <t>MJ-AG-003/26-27</t>
        </is>
      </c>
      <c r="D124" s="82" t="n">
        <v>46295</v>
      </c>
      <c r="E124" s="83">
        <f>IF(ISNUMBER($D124),EOMONTH($D124,-1)+1,"")</f>
        <v/>
      </c>
      <c r="F124" s="82" t="n">
        <v>46295</v>
      </c>
      <c r="G124" s="26" t="n">
        <v>27730</v>
      </c>
      <c r="H124" s="26">
        <f>B124&amp;I124</f>
        <v/>
      </c>
      <c r="I124" s="26" t="inlineStr">
        <is>
          <t>FG BOPP FILM 270 MM (NEW)</t>
        </is>
      </c>
      <c r="J124" s="26" t="n"/>
      <c r="K124" s="26">
        <f>J124&amp;"-"&amp;TEXT(W124,"dd-mmm-yy")</f>
        <v/>
      </c>
      <c r="L124" s="26">
        <f>IFERROR(VLOOKUP($M124,'ITEM MASTER'!E:H,4,0),"")</f>
        <v/>
      </c>
      <c r="M124" s="26">
        <f>IFERROR(VLOOKUP($I124,'ITEM MASTER'!B:E,4,0),"")</f>
        <v/>
      </c>
      <c r="N124" s="26">
        <f>IFERROR(VLOOKUP($I124,'ITEM MASTER'!B:F,5,0),0)</f>
        <v/>
      </c>
      <c r="O124" s="26">
        <f>IFERROR(VLOOKUP($M124,'TBGS PER CTN'!B:C,2,0),0)</f>
        <v/>
      </c>
      <c r="P124" s="26" t="n">
        <v>4</v>
      </c>
      <c r="Q124" s="26" t="n">
        <v>0</v>
      </c>
      <c r="R124" s="26" t="n">
        <v>4</v>
      </c>
      <c r="S124" s="26">
        <f>Q124+R124</f>
        <v/>
      </c>
      <c r="T124" s="29" t="n">
        <v>0</v>
      </c>
      <c r="U124" s="29">
        <f>N124*O124*T124</f>
        <v/>
      </c>
      <c r="V124" s="82">
        <f>IF(ISNUMBER($D124),$D124-WEEKDAY($D124,3),'ORDER VS WEEK DISTRIBUTION'!$G$500)</f>
        <v/>
      </c>
      <c r="W124" s="82">
        <f>MAX($V124,'ORDER VS WEEK DISTRIBUTION'!$G$500)</f>
        <v/>
      </c>
      <c r="X124" s="26">
        <f>IFERROR(VLOOKUP($J124,'ORDER VS WEEK DISTRIBUTION'!$T:$U,2,0),"")</f>
        <v/>
      </c>
      <c r="Y124" s="26">
        <f>IFERROR($T124/IF(IFERROR(VLOOKUP($I124,'ITEM CFC PER CONTAINER'!$A:$B,2,0),0)&gt;0,VLOOKUP($I124,'ITEM CFC PER CONTAINER'!$A:$B,2,0),VLOOKUP($X124,'MC MASTER'!$A:$Q,16,0)),"")</f>
        <v/>
      </c>
    </row>
    <row r="125" ht="15" customHeight="1" s="5">
      <c r="A125" s="26" t="inlineStr">
        <is>
          <t>SUNRAJ GLOBAL FZC</t>
        </is>
      </c>
      <c r="B125" s="26" t="inlineStr">
        <is>
          <t>MJIL/SO/26042624</t>
        </is>
      </c>
      <c r="C125" s="26" t="inlineStr">
        <is>
          <t>MJ-AG-003/26-27</t>
        </is>
      </c>
      <c r="D125" s="82" t="n">
        <v>46295</v>
      </c>
      <c r="E125" s="83">
        <f>IF(ISNUMBER($D125),EOMONTH($D125,-1)+1,"")</f>
        <v/>
      </c>
      <c r="F125" s="82" t="n">
        <v>46295</v>
      </c>
      <c r="G125" s="26" t="n">
        <v>32577</v>
      </c>
      <c r="H125" s="26">
        <f>B125&amp;I125</f>
        <v/>
      </c>
      <c r="I125" s="26" t="inlineStr">
        <is>
          <t>FG GLUE BOX FORMING (25 KGS / BAG)</t>
        </is>
      </c>
      <c r="J125" s="26" t="n"/>
      <c r="K125" s="26">
        <f>J125&amp;"-"&amp;TEXT(W125,"dd-mmm-yy")</f>
        <v/>
      </c>
      <c r="L125" s="26">
        <f>IFERROR(VLOOKUP($M125,'ITEM MASTER'!E:H,4,0),"")</f>
        <v/>
      </c>
      <c r="M125" s="26">
        <f>IFERROR(VLOOKUP($I125,'ITEM MASTER'!B:E,4,0),"")</f>
        <v/>
      </c>
      <c r="N125" s="26">
        <f>IFERROR(VLOOKUP($I125,'ITEM MASTER'!B:F,5,0),0)</f>
        <v/>
      </c>
      <c r="O125" s="26">
        <f>IFERROR(VLOOKUP($M125,'TBGS PER CTN'!B:C,2,0),0)</f>
        <v/>
      </c>
      <c r="P125" s="26" t="n">
        <v>1</v>
      </c>
      <c r="Q125" s="26" t="n">
        <v>0</v>
      </c>
      <c r="R125" s="26" t="n">
        <v>0</v>
      </c>
      <c r="S125" s="26">
        <f>Q125+R125</f>
        <v/>
      </c>
      <c r="T125" s="29" t="n">
        <v>1</v>
      </c>
      <c r="U125" s="29">
        <f>N125*O125*T125</f>
        <v/>
      </c>
      <c r="V125" s="82">
        <f>IF(ISNUMBER($D125),$D125-WEEKDAY($D125,3),'ORDER VS WEEK DISTRIBUTION'!$G$500)</f>
        <v/>
      </c>
      <c r="W125" s="82">
        <f>MAX($V125,'ORDER VS WEEK DISTRIBUTION'!$G$500)</f>
        <v/>
      </c>
      <c r="X125" s="26">
        <f>IFERROR(VLOOKUP($J125,'ORDER VS WEEK DISTRIBUTION'!$T:$U,2,0),"")</f>
        <v/>
      </c>
      <c r="Y125" s="26">
        <f>IFERROR($T125/IF(IFERROR(VLOOKUP($I125,'ITEM CFC PER CONTAINER'!$A:$B,2,0),0)&gt;0,VLOOKUP($I125,'ITEM CFC PER CONTAINER'!$A:$B,2,0),VLOOKUP($X125,'MC MASTER'!$A:$Q,16,0)),"")</f>
        <v/>
      </c>
    </row>
    <row r="126" ht="15" customHeight="1" s="5">
      <c r="A126" s="26" t="inlineStr">
        <is>
          <t>SUNRAJ GLOBAL FZC</t>
        </is>
      </c>
      <c r="B126" s="26" t="inlineStr">
        <is>
          <t>MJIL/SO/26042624</t>
        </is>
      </c>
      <c r="C126" s="26" t="inlineStr">
        <is>
          <t>MJ-AG-003/26-27</t>
        </is>
      </c>
      <c r="D126" s="82" t="n">
        <v>46295</v>
      </c>
      <c r="E126" s="83">
        <f>IF(ISNUMBER($D126),EOMONTH($D126,-1)+1,"")</f>
        <v/>
      </c>
      <c r="F126" s="82" t="n">
        <v>46295</v>
      </c>
      <c r="G126" s="26" t="n">
        <v>32756</v>
      </c>
      <c r="H126" s="26">
        <f>B126&amp;I126</f>
        <v/>
      </c>
      <c r="I126" s="26" t="inlineStr">
        <is>
          <t>FG-ALUMINIUM WIRE (16 KGS)</t>
        </is>
      </c>
      <c r="J126" s="26" t="n"/>
      <c r="K126" s="26">
        <f>J126&amp;"-"&amp;TEXT(W126,"dd-mmm-yy")</f>
        <v/>
      </c>
      <c r="L126" s="26">
        <f>IFERROR(VLOOKUP($M126,'ITEM MASTER'!E:H,4,0),"")</f>
        <v/>
      </c>
      <c r="M126" s="26">
        <f>IFERROR(VLOOKUP($I126,'ITEM MASTER'!B:E,4,0),"")</f>
        <v/>
      </c>
      <c r="N126" s="26">
        <f>IFERROR(VLOOKUP($I126,'ITEM MASTER'!B:F,5,0),0)</f>
        <v/>
      </c>
      <c r="O126" s="26">
        <f>IFERROR(VLOOKUP($M126,'TBGS PER CTN'!B:C,2,0),0)</f>
        <v/>
      </c>
      <c r="P126" s="26" t="n">
        <v>16</v>
      </c>
      <c r="Q126" s="26" t="n">
        <v>0</v>
      </c>
      <c r="R126" s="26" t="n">
        <v>10</v>
      </c>
      <c r="S126" s="26">
        <f>Q126+R126</f>
        <v/>
      </c>
      <c r="T126" s="29" t="n">
        <v>6</v>
      </c>
      <c r="U126" s="29">
        <f>N126*O126*T126</f>
        <v/>
      </c>
      <c r="V126" s="82">
        <f>IF(ISNUMBER($D126),$D126-WEEKDAY($D126,3),'ORDER VS WEEK DISTRIBUTION'!$G$500)</f>
        <v/>
      </c>
      <c r="W126" s="82">
        <f>MAX($V126,'ORDER VS WEEK DISTRIBUTION'!$G$500)</f>
        <v/>
      </c>
      <c r="X126" s="26">
        <f>IFERROR(VLOOKUP($J126,'ORDER VS WEEK DISTRIBUTION'!$T:$U,2,0),"")</f>
        <v/>
      </c>
      <c r="Y126" s="26">
        <f>IFERROR($T126/IF(IFERROR(VLOOKUP($I126,'ITEM CFC PER CONTAINER'!$A:$B,2,0),0)&gt;0,VLOOKUP($I126,'ITEM CFC PER CONTAINER'!$A:$B,2,0),VLOOKUP($X126,'MC MASTER'!$A:$Q,16,0)),"")</f>
        <v/>
      </c>
    </row>
    <row r="127" ht="15" customHeight="1" s="5">
      <c r="A127" s="26" t="inlineStr">
        <is>
          <t>SUNRAJ GLOBAL FZC</t>
        </is>
      </c>
      <c r="B127" s="26" t="inlineStr">
        <is>
          <t>MJIL/SO/26042624</t>
        </is>
      </c>
      <c r="C127" s="26" t="inlineStr">
        <is>
          <t>MJ-AG-003/26-27</t>
        </is>
      </c>
      <c r="D127" s="82" t="n">
        <v>46295</v>
      </c>
      <c r="E127" s="83">
        <f>IF(ISNUMBER($D127),EOMONTH($D127,-1)+1,"")</f>
        <v/>
      </c>
      <c r="F127" s="82" t="n">
        <v>46295</v>
      </c>
      <c r="G127" s="26" t="n">
        <v>36120</v>
      </c>
      <c r="H127" s="26">
        <f>B127&amp;I127</f>
        <v/>
      </c>
      <c r="I127" s="26" t="inlineStr">
        <is>
          <t>FG CTN AL FINA 100 DC ENV TBGS (ANGOLA)</t>
        </is>
      </c>
      <c r="J127" s="26" t="n"/>
      <c r="K127" s="26">
        <f>J127&amp;"-"&amp;TEXT(W127,"dd-mmm-yy")</f>
        <v/>
      </c>
      <c r="L127" s="26">
        <f>IFERROR(VLOOKUP($M127,'ITEM MASTER'!E:H,4,0),"")</f>
        <v/>
      </c>
      <c r="M127" s="26">
        <f>IFERROR(VLOOKUP($I127,'ITEM MASTER'!B:E,4,0),"")</f>
        <v/>
      </c>
      <c r="N127" s="26">
        <f>IFERROR(VLOOKUP($I127,'ITEM MASTER'!B:F,5,0),0)</f>
        <v/>
      </c>
      <c r="O127" s="26">
        <f>IFERROR(VLOOKUP($M127,'TBGS PER CTN'!B:C,2,0),0)</f>
        <v/>
      </c>
      <c r="P127" s="26" t="n">
        <v>56</v>
      </c>
      <c r="Q127" s="26" t="n">
        <v>0</v>
      </c>
      <c r="R127" s="26" t="n">
        <v>1</v>
      </c>
      <c r="S127" s="26">
        <f>Q127+R127</f>
        <v/>
      </c>
      <c r="T127" s="29" t="n">
        <v>55</v>
      </c>
      <c r="U127" s="29">
        <f>N127*O127*T127</f>
        <v/>
      </c>
      <c r="V127" s="82">
        <f>IF(ISNUMBER($D127),$D127-WEEKDAY($D127,3),'ORDER VS WEEK DISTRIBUTION'!$G$500)</f>
        <v/>
      </c>
      <c r="W127" s="82">
        <f>MAX($V127,'ORDER VS WEEK DISTRIBUTION'!$G$500)</f>
        <v/>
      </c>
      <c r="X127" s="26">
        <f>IFERROR(VLOOKUP($J127,'ORDER VS WEEK DISTRIBUTION'!$T:$U,2,0),"")</f>
        <v/>
      </c>
      <c r="Y127" s="26">
        <f>IFERROR($T127/IF(IFERROR(VLOOKUP($I127,'ITEM CFC PER CONTAINER'!$A:$B,2,0),0)&gt;0,VLOOKUP($I127,'ITEM CFC PER CONTAINER'!$A:$B,2,0),VLOOKUP($X127,'MC MASTER'!$A:$Q,16,0)),"")</f>
        <v/>
      </c>
    </row>
    <row r="128" ht="15" customHeight="1" s="5">
      <c r="A128" s="26" t="inlineStr">
        <is>
          <t>SUNRAJ GLOBAL FZC</t>
        </is>
      </c>
      <c r="B128" s="26" t="inlineStr">
        <is>
          <t>MJIL/SO/26042624</t>
        </is>
      </c>
      <c r="C128" s="26" t="inlineStr">
        <is>
          <t>MJ-AG-003/26-27</t>
        </is>
      </c>
      <c r="D128" s="82" t="n">
        <v>46295</v>
      </c>
      <c r="E128" s="83">
        <f>IF(ISNUMBER($D128),EOMONTH($D128,-1)+1,"")</f>
        <v/>
      </c>
      <c r="F128" s="82" t="n">
        <v>46295</v>
      </c>
      <c r="G128" s="26" t="n">
        <v>36157</v>
      </c>
      <c r="H128" s="26">
        <f>B128&amp;I128</f>
        <v/>
      </c>
      <c r="I128" s="26" t="inlineStr">
        <is>
          <t>FG ENV AL FINA DC ENV TBGS (ANGOLA) (1000 KGS / PALLET)</t>
        </is>
      </c>
      <c r="J128" s="26" t="n"/>
      <c r="K128" s="26">
        <f>J128&amp;"-"&amp;TEXT(W128,"dd-mmm-yy")</f>
        <v/>
      </c>
      <c r="L128" s="26">
        <f>IFERROR(VLOOKUP($M128,'ITEM MASTER'!E:H,4,0),"")</f>
        <v/>
      </c>
      <c r="M128" s="26">
        <f>IFERROR(VLOOKUP($I128,'ITEM MASTER'!B:E,4,0),"")</f>
        <v/>
      </c>
      <c r="N128" s="26">
        <f>IFERROR(VLOOKUP($I128,'ITEM MASTER'!B:F,5,0),0)</f>
        <v/>
      </c>
      <c r="O128" s="26">
        <f>IFERROR(VLOOKUP($M128,'TBGS PER CTN'!B:C,2,0),0)</f>
        <v/>
      </c>
      <c r="P128" s="26" t="n">
        <v>14</v>
      </c>
      <c r="Q128" s="26" t="n">
        <v>0</v>
      </c>
      <c r="R128" s="26" t="n">
        <v>0</v>
      </c>
      <c r="S128" s="26">
        <f>Q128+R128</f>
        <v/>
      </c>
      <c r="T128" s="29" t="n">
        <v>14</v>
      </c>
      <c r="U128" s="29">
        <f>N128*O128*T128</f>
        <v/>
      </c>
      <c r="V128" s="82">
        <f>IF(ISNUMBER($D128),$D128-WEEKDAY($D128,3),'ORDER VS WEEK DISTRIBUTION'!$G$500)</f>
        <v/>
      </c>
      <c r="W128" s="82">
        <f>MAX($V128,'ORDER VS WEEK DISTRIBUTION'!$G$500)</f>
        <v/>
      </c>
      <c r="X128" s="26">
        <f>IFERROR(VLOOKUP($J128,'ORDER VS WEEK DISTRIBUTION'!$T:$U,2,0),"")</f>
        <v/>
      </c>
      <c r="Y128" s="26">
        <f>IFERROR($T128/IF(IFERROR(VLOOKUP($I128,'ITEM CFC PER CONTAINER'!$A:$B,2,0),0)&gt;0,VLOOKUP($I128,'ITEM CFC PER CONTAINER'!$A:$B,2,0),VLOOKUP($X128,'MC MASTER'!$A:$Q,16,0)),"")</f>
        <v/>
      </c>
    </row>
    <row r="129" ht="15" customHeight="1" s="5">
      <c r="A129" s="26" t="inlineStr">
        <is>
          <t>SUNRAJ GLOBAL FZC</t>
        </is>
      </c>
      <c r="B129" s="26" t="inlineStr">
        <is>
          <t>MJIL/SO/26042624</t>
        </is>
      </c>
      <c r="C129" s="26" t="inlineStr">
        <is>
          <t>MJ-AG-003/26-27</t>
        </is>
      </c>
      <c r="D129" s="82" t="n">
        <v>46295</v>
      </c>
      <c r="E129" s="83">
        <f>IF(ISNUMBER($D129),EOMONTH($D129,-1)+1,"")</f>
        <v/>
      </c>
      <c r="F129" s="82" t="n">
        <v>46295</v>
      </c>
      <c r="G129" s="26" t="n">
        <v>36956</v>
      </c>
      <c r="H129" s="26">
        <f>B129&amp;I129</f>
        <v/>
      </c>
      <c r="I129" s="26" t="inlineStr">
        <is>
          <t>FG CTN AL FINA 25 DC ENV TBGS (ANGOLA)</t>
        </is>
      </c>
      <c r="J129" s="26" t="n"/>
      <c r="K129" s="26">
        <f>J129&amp;"-"&amp;TEXT(W129,"dd-mmm-yy")</f>
        <v/>
      </c>
      <c r="L129" s="26">
        <f>IFERROR(VLOOKUP($M129,'ITEM MASTER'!E:H,4,0),"")</f>
        <v/>
      </c>
      <c r="M129" s="26">
        <f>IFERROR(VLOOKUP($I129,'ITEM MASTER'!B:E,4,0),"")</f>
        <v/>
      </c>
      <c r="N129" s="26">
        <f>IFERROR(VLOOKUP($I129,'ITEM MASTER'!B:F,5,0),0)</f>
        <v/>
      </c>
      <c r="O129" s="26">
        <f>IFERROR(VLOOKUP($M129,'TBGS PER CTN'!B:C,2,0),0)</f>
        <v/>
      </c>
      <c r="P129" s="26" t="n">
        <v>615</v>
      </c>
      <c r="Q129" s="26" t="n">
        <v>0</v>
      </c>
      <c r="R129" s="26" t="n">
        <v>0</v>
      </c>
      <c r="S129" s="26">
        <f>Q129+R129</f>
        <v/>
      </c>
      <c r="T129" s="29" t="n">
        <v>615</v>
      </c>
      <c r="U129" s="29">
        <f>N129*O129*T129</f>
        <v/>
      </c>
      <c r="V129" s="82">
        <f>IF(ISNUMBER($D129),$D129-WEEKDAY($D129,3),'ORDER VS WEEK DISTRIBUTION'!$G$500)</f>
        <v/>
      </c>
      <c r="W129" s="82">
        <f>MAX($V129,'ORDER VS WEEK DISTRIBUTION'!$G$500)</f>
        <v/>
      </c>
      <c r="X129" s="26">
        <f>IFERROR(VLOOKUP($J129,'ORDER VS WEEK DISTRIBUTION'!$T:$U,2,0),"")</f>
        <v/>
      </c>
      <c r="Y129" s="26">
        <f>IFERROR($T129/IF(IFERROR(VLOOKUP($I129,'ITEM CFC PER CONTAINER'!$A:$B,2,0),0)&gt;0,VLOOKUP($I129,'ITEM CFC PER CONTAINER'!$A:$B,2,0),VLOOKUP($X129,'MC MASTER'!$A:$Q,16,0)),"")</f>
        <v/>
      </c>
    </row>
    <row r="130" ht="15" customHeight="1" s="5">
      <c r="A130" s="26" t="inlineStr">
        <is>
          <t>SUNRAJ GLOBAL FZC</t>
        </is>
      </c>
      <c r="B130" s="26" t="inlineStr">
        <is>
          <t>MJIL/SO/26042624</t>
        </is>
      </c>
      <c r="C130" s="26" t="inlineStr">
        <is>
          <t>MJ-AG-003/26-27</t>
        </is>
      </c>
      <c r="D130" s="82" t="n">
        <v>46295</v>
      </c>
      <c r="E130" s="83">
        <f>IF(ISNUMBER($D130),EOMONTH($D130,-1)+1,"")</f>
        <v/>
      </c>
      <c r="F130" s="82" t="n">
        <v>46295</v>
      </c>
      <c r="G130" s="26" t="n">
        <v>37888</v>
      </c>
      <c r="H130" s="26">
        <f>B130&amp;I130</f>
        <v/>
      </c>
      <c r="I130" s="26" t="inlineStr">
        <is>
          <t>FG BOPP FILM 190MM</t>
        </is>
      </c>
      <c r="J130" s="26" t="n"/>
      <c r="K130" s="26">
        <f>J130&amp;"-"&amp;TEXT(W130,"dd-mmm-yy")</f>
        <v/>
      </c>
      <c r="L130" s="26">
        <f>IFERROR(VLOOKUP($M130,'ITEM MASTER'!E:H,4,0),"")</f>
        <v/>
      </c>
      <c r="M130" s="26">
        <f>IFERROR(VLOOKUP($I130,'ITEM MASTER'!B:E,4,0),"")</f>
        <v/>
      </c>
      <c r="N130" s="26">
        <f>IFERROR(VLOOKUP($I130,'ITEM MASTER'!B:F,5,0),0)</f>
        <v/>
      </c>
      <c r="O130" s="26">
        <f>IFERROR(VLOOKUP($M130,'TBGS PER CTN'!B:C,2,0),0)</f>
        <v/>
      </c>
      <c r="P130" s="26" t="n">
        <v>40</v>
      </c>
      <c r="Q130" s="26" t="n">
        <v>0</v>
      </c>
      <c r="R130" s="26" t="n">
        <v>1</v>
      </c>
      <c r="S130" s="26">
        <f>Q130+R130</f>
        <v/>
      </c>
      <c r="T130" s="29" t="n">
        <v>39</v>
      </c>
      <c r="U130" s="29">
        <f>N130*O130*T130</f>
        <v/>
      </c>
      <c r="V130" s="82">
        <f>IF(ISNUMBER($D130),$D130-WEEKDAY($D130,3),'ORDER VS WEEK DISTRIBUTION'!$G$500)</f>
        <v/>
      </c>
      <c r="W130" s="82">
        <f>MAX($V130,'ORDER VS WEEK DISTRIBUTION'!$G$500)</f>
        <v/>
      </c>
      <c r="X130" s="26">
        <f>IFERROR(VLOOKUP($J130,'ORDER VS WEEK DISTRIBUTION'!$T:$U,2,0),"")</f>
        <v/>
      </c>
      <c r="Y130" s="26">
        <f>IFERROR($T130/IF(IFERROR(VLOOKUP($I130,'ITEM CFC PER CONTAINER'!$A:$B,2,0),0)&gt;0,VLOOKUP($I130,'ITEM CFC PER CONTAINER'!$A:$B,2,0),VLOOKUP($X130,'MC MASTER'!$A:$Q,16,0)),"")</f>
        <v/>
      </c>
    </row>
    <row r="131" ht="15" customHeight="1" s="5">
      <c r="A131" s="26" t="inlineStr">
        <is>
          <t>SUNRAJ GLOBAL FZC</t>
        </is>
      </c>
      <c r="B131" s="26" t="inlineStr">
        <is>
          <t>MJIL/SO/26042626</t>
        </is>
      </c>
      <c r="C131" s="26" t="inlineStr">
        <is>
          <t>MJSUN/26-27/03</t>
        </is>
      </c>
      <c r="D131" s="82" t="n">
        <v>46295</v>
      </c>
      <c r="E131" s="83">
        <f>IF(ISNUMBER($D131),EOMONTH($D131,-1)+1,"")</f>
        <v/>
      </c>
      <c r="F131" s="82" t="n">
        <v>46295</v>
      </c>
      <c r="G131" s="26" t="n">
        <v>31683</v>
      </c>
      <c r="H131" s="26">
        <f>B131&amp;I131</f>
        <v/>
      </c>
      <c r="I131" s="26" t="inlineStr">
        <is>
          <t>STD:A132 BULK, 30 KGS</t>
        </is>
      </c>
      <c r="J131" s="26" t="n"/>
      <c r="K131" s="26">
        <f>J131&amp;"-"&amp;TEXT(W131,"dd-mmm-yy")</f>
        <v/>
      </c>
      <c r="L131" s="26">
        <f>IFERROR(VLOOKUP($M131,'ITEM MASTER'!E:H,4,0),"")</f>
        <v/>
      </c>
      <c r="M131" s="26">
        <f>IFERROR(VLOOKUP($I131,'ITEM MASTER'!B:E,4,0),"")</f>
        <v/>
      </c>
      <c r="N131" s="26">
        <f>IFERROR(VLOOKUP($I131,'ITEM MASTER'!B:F,5,0),0)</f>
        <v/>
      </c>
      <c r="O131" s="26">
        <f>IFERROR(VLOOKUP($M131,'TBGS PER CTN'!B:C,2,0),0)</f>
        <v/>
      </c>
      <c r="P131" s="26" t="n">
        <v>1692000</v>
      </c>
      <c r="Q131" s="26" t="n">
        <v>0</v>
      </c>
      <c r="R131" s="26" t="n">
        <v>0</v>
      </c>
      <c r="S131" s="26">
        <f>Q131+R131</f>
        <v/>
      </c>
      <c r="T131" s="29" t="n">
        <v>1692000</v>
      </c>
      <c r="U131" s="29">
        <f>N131*O131*T131</f>
        <v/>
      </c>
      <c r="V131" s="82">
        <f>IF(ISNUMBER($D131),$D131-WEEKDAY($D131,3),'ORDER VS WEEK DISTRIBUTION'!$G$500)</f>
        <v/>
      </c>
      <c r="W131" s="82">
        <f>MAX($V131,'ORDER VS WEEK DISTRIBUTION'!$G$500)</f>
        <v/>
      </c>
      <c r="X131" s="26">
        <f>IFERROR(VLOOKUP($J131,'ORDER VS WEEK DISTRIBUTION'!$T:$U,2,0),"")</f>
        <v/>
      </c>
      <c r="Y131" s="26">
        <f>IFERROR($T131/IF(IFERROR(VLOOKUP($I131,'ITEM CFC PER CONTAINER'!$A:$B,2,0),0)&gt;0,VLOOKUP($I131,'ITEM CFC PER CONTAINER'!$A:$B,2,0),VLOOKUP($X131,'MC MASTER'!$A:$Q,16,0)),"")</f>
        <v/>
      </c>
    </row>
    <row r="132" ht="15" customHeight="1" s="5">
      <c r="A132" s="26" t="inlineStr">
        <is>
          <t>MATATA TRADE FZE DMCC</t>
        </is>
      </c>
      <c r="B132" s="26" t="inlineStr">
        <is>
          <t>MJIL/SO/25046639</t>
        </is>
      </c>
      <c r="C132" s="26" t="inlineStr">
        <is>
          <t>MJ163/2526/1(MA26187)+103 (MA26188)</t>
        </is>
      </c>
      <c r="D132" s="82" t="n">
        <v>46298</v>
      </c>
      <c r="E132" s="83">
        <f>IF(ISNUMBER($D132),EOMONTH($D132,-1)+1,"")</f>
        <v/>
      </c>
      <c r="F132" s="82" t="n">
        <v>46298</v>
      </c>
      <c r="G132" s="26" t="n">
        <v>23621</v>
      </c>
      <c r="H132" s="26">
        <f>B132&amp;I132</f>
        <v/>
      </c>
      <c r="I132" s="26" t="inlineStr">
        <is>
          <t>KHAIMA CRANBERRY APPLE 45/25 DC ENV TBGS</t>
        </is>
      </c>
      <c r="J132" s="30" t="inlineStr">
        <is>
          <t>CONSTANTA ENV</t>
        </is>
      </c>
      <c r="K132" s="26">
        <f>J132&amp;"-"&amp;TEXT(W132,"dd-mmm-yy")</f>
        <v/>
      </c>
      <c r="L132" s="26">
        <f>IFERROR(VLOOKUP($M132,'ITEM MASTER'!E:H,4,0),"")</f>
        <v/>
      </c>
      <c r="M132" s="26">
        <f>IFERROR(VLOOKUP($I132,'ITEM MASTER'!B:E,4,0),"")</f>
        <v/>
      </c>
      <c r="N132" s="26">
        <f>IFERROR(VLOOKUP($I132,'ITEM MASTER'!B:F,5,0),0)</f>
        <v/>
      </c>
      <c r="O132" s="26">
        <f>IFERROR(VLOOKUP($M132,'TBGS PER CTN'!B:C,2,0),0)</f>
        <v/>
      </c>
      <c r="P132" s="26" t="n">
        <v>3330</v>
      </c>
      <c r="Q132" s="26" t="n">
        <v>69</v>
      </c>
      <c r="R132" s="26" t="n">
        <v>3132</v>
      </c>
      <c r="S132" s="26">
        <f>Q132+R132</f>
        <v/>
      </c>
      <c r="T132" s="29" t="n">
        <v>129</v>
      </c>
      <c r="U132" s="29">
        <f>N132*O132*T132</f>
        <v/>
      </c>
      <c r="V132" s="82">
        <f>IF(ISNUMBER($D132),$D132-WEEKDAY($D132,3),'ORDER VS WEEK DISTRIBUTION'!$G$500)</f>
        <v/>
      </c>
      <c r="W132" s="82">
        <f>MAX($V132,'ORDER VS WEEK DISTRIBUTION'!$G$500)</f>
        <v/>
      </c>
      <c r="X132" s="26">
        <f>IFERROR(VLOOKUP($J132,'ORDER VS WEEK DISTRIBUTION'!$T:$U,2,0),"")</f>
        <v/>
      </c>
      <c r="Y132" s="26">
        <f>IFERROR($T132/IF(IFERROR(VLOOKUP($I132,'ITEM CFC PER CONTAINER'!$A:$B,2,0),0)&gt;0,VLOOKUP($I132,'ITEM CFC PER CONTAINER'!$A:$B,2,0),VLOOKUP($X132,'MC MASTER'!$A:$Q,16,0)),"")</f>
        <v/>
      </c>
    </row>
    <row r="133" ht="15" customHeight="1" s="5">
      <c r="A133" s="26" t="inlineStr">
        <is>
          <t>MATATA TRADE FZE DMCC</t>
        </is>
      </c>
      <c r="B133" s="26" t="inlineStr">
        <is>
          <t>MJIL/SO/25046639</t>
        </is>
      </c>
      <c r="C133" s="26" t="inlineStr">
        <is>
          <t>MJ163/2526/1(MA26187)+103 (MA26188)</t>
        </is>
      </c>
      <c r="D133" s="82" t="n">
        <v>46298</v>
      </c>
      <c r="E133" s="83">
        <f>IF(ISNUMBER($D133),EOMONTH($D133,-1)+1,"")</f>
        <v/>
      </c>
      <c r="F133" s="82" t="n">
        <v>46298</v>
      </c>
      <c r="G133" s="26" t="n">
        <v>34586</v>
      </c>
      <c r="H133" s="26">
        <f>B133&amp;I133</f>
        <v/>
      </c>
      <c r="I133" s="26" t="inlineStr">
        <is>
          <t>AKOUNA COFFEE 3 IN 1 (32 GMS) 12 STRIPS X 10 SACHETS WITH HANGER</t>
        </is>
      </c>
      <c r="J133" s="26" t="inlineStr">
        <is>
          <t>Pearl Pack Premix</t>
        </is>
      </c>
      <c r="K133" s="26">
        <f>J133&amp;"-"&amp;TEXT(W133,"dd-mmm-yy")</f>
        <v/>
      </c>
      <c r="L133" s="26">
        <f>IFERROR(VLOOKUP($M133,'ITEM MASTER'!E:H,4,0),"")</f>
        <v/>
      </c>
      <c r="M133" s="26">
        <f>IFERROR(VLOOKUP($I133,'ITEM MASTER'!B:E,4,0),"")</f>
        <v/>
      </c>
      <c r="N133" s="26">
        <f>IFERROR(VLOOKUP($I133,'ITEM MASTER'!B:F,5,0),0)</f>
        <v/>
      </c>
      <c r="O133" s="26">
        <f>IFERROR(VLOOKUP($M133,'TBGS PER CTN'!B:C,2,0),0)</f>
        <v/>
      </c>
      <c r="P133" s="26" t="n">
        <v>100</v>
      </c>
      <c r="Q133" s="26" t="n">
        <v>0</v>
      </c>
      <c r="R133" s="26" t="n">
        <v>100</v>
      </c>
      <c r="S133" s="26">
        <f>Q133+R133</f>
        <v/>
      </c>
      <c r="T133" s="29" t="n">
        <v>0</v>
      </c>
      <c r="U133" s="29">
        <f>N133*O133*T133</f>
        <v/>
      </c>
      <c r="V133" s="82">
        <f>IF(ISNUMBER($D133),$D133-WEEKDAY($D133,3),'ORDER VS WEEK DISTRIBUTION'!$G$500)</f>
        <v/>
      </c>
      <c r="W133" s="82">
        <f>MAX($V133,'ORDER VS WEEK DISTRIBUTION'!$G$500)</f>
        <v/>
      </c>
      <c r="X133" s="26">
        <f>IFERROR(VLOOKUP($J133,'ORDER VS WEEK DISTRIBUTION'!$T:$U,2,0),"")</f>
        <v/>
      </c>
      <c r="Y133" s="26">
        <f>IFERROR($T133/IF(IFERROR(VLOOKUP($I133,'ITEM CFC PER CONTAINER'!$A:$B,2,0),0)&gt;0,VLOOKUP($I133,'ITEM CFC PER CONTAINER'!$A:$B,2,0),VLOOKUP($X133,'MC MASTER'!$A:$Q,16,0)),"")</f>
        <v/>
      </c>
    </row>
    <row r="134" ht="15" customHeight="1" s="5">
      <c r="A134" s="26" t="inlineStr">
        <is>
          <t>Harris Tea Co. -Us</t>
        </is>
      </c>
      <c r="B134" s="26" t="inlineStr">
        <is>
          <t>MJIL/SO/26052247</t>
        </is>
      </c>
      <c r="C134" s="26" t="inlineStr">
        <is>
          <t>P14158</t>
        </is>
      </c>
      <c r="D134" s="82" t="n">
        <v>46300</v>
      </c>
      <c r="E134" s="83">
        <f>IF(ISNUMBER($D134),EOMONTH($D134,-1)+1,"")</f>
        <v/>
      </c>
      <c r="F134" s="82" t="n">
        <v>46300</v>
      </c>
      <c r="G134" s="26" t="n">
        <v>23760</v>
      </c>
      <c r="H134" s="26">
        <f>B134&amp;I134</f>
        <v/>
      </c>
      <c r="I134" s="26" t="inlineStr">
        <is>
          <t>SPROUTS FARMERS MARKET ORGANIC GREEN TEA 12/100 SC ENV TBGS</t>
        </is>
      </c>
      <c r="J134" s="26" t="inlineStr">
        <is>
          <t>MAISA ENV</t>
        </is>
      </c>
      <c r="K134" s="26">
        <f>J134&amp;"-"&amp;TEXT(W134,"dd-mmm-yy")</f>
        <v/>
      </c>
      <c r="L134" s="26">
        <f>IFERROR(VLOOKUP($M134,'ITEM MASTER'!E:H,4,0),"")</f>
        <v/>
      </c>
      <c r="M134" s="26">
        <f>IFERROR(VLOOKUP($I134,'ITEM MASTER'!B:E,4,0),"")</f>
        <v/>
      </c>
      <c r="N134" s="26">
        <f>IFERROR(VLOOKUP($I134,'ITEM MASTER'!B:F,5,0),0)</f>
        <v/>
      </c>
      <c r="O134" s="26">
        <f>IFERROR(VLOOKUP($M134,'TBGS PER CTN'!B:C,2,0),0)</f>
        <v/>
      </c>
      <c r="P134" s="26" t="n">
        <v>1656</v>
      </c>
      <c r="Q134" s="26" t="n">
        <v>33</v>
      </c>
      <c r="R134" s="26" t="n">
        <v>1188</v>
      </c>
      <c r="S134" s="26">
        <f>Q134+R134</f>
        <v/>
      </c>
      <c r="T134" s="29" t="n">
        <v>435</v>
      </c>
      <c r="U134" s="29">
        <f>N134*O134*T134</f>
        <v/>
      </c>
      <c r="V134" s="82">
        <f>IF(ISNUMBER($D134),$D134-WEEKDAY($D134,3),'ORDER VS WEEK DISTRIBUTION'!$G$500)</f>
        <v/>
      </c>
      <c r="W134" s="82">
        <f>MAX($V134,'ORDER VS WEEK DISTRIBUTION'!$G$500)</f>
        <v/>
      </c>
      <c r="X134" s="26">
        <f>IFERROR(VLOOKUP($J134,'ORDER VS WEEK DISTRIBUTION'!$T:$U,2,0),"")</f>
        <v/>
      </c>
      <c r="Y134" s="26">
        <f>IFERROR($T134/IF(IFERROR(VLOOKUP($I134,'ITEM CFC PER CONTAINER'!$A:$B,2,0),0)&gt;0,VLOOKUP($I134,'ITEM CFC PER CONTAINER'!$A:$B,2,0),VLOOKUP($X134,'MC MASTER'!$A:$Q,16,0)),"")</f>
        <v/>
      </c>
    </row>
    <row r="135" ht="15" customHeight="1" s="5">
      <c r="A135" s="26" t="inlineStr">
        <is>
          <t>Mlm International Fzco</t>
        </is>
      </c>
      <c r="B135" s="26" t="inlineStr">
        <is>
          <t>MJIL/SO/26037903</t>
        </is>
      </c>
      <c r="C135" s="26" t="inlineStr">
        <is>
          <t>MJ-066/26-27/ 1</t>
        </is>
      </c>
      <c r="D135" s="82" t="n">
        <v>46301</v>
      </c>
      <c r="E135" s="83">
        <f>IF(ISNUMBER($D135),EOMONTH($D135,-1)+1,"")</f>
        <v/>
      </c>
      <c r="F135" s="82" t="n">
        <v>46301</v>
      </c>
      <c r="G135" s="26" t="n">
        <v>27112</v>
      </c>
      <c r="H135" s="26">
        <f>B135&amp;I135</f>
        <v/>
      </c>
      <c r="I135" s="26" t="inlineStr">
        <is>
          <t>PADI  24/100 SC TBGS TAGLESS (2 GMS)</t>
        </is>
      </c>
      <c r="J135" s="26" t="inlineStr">
        <is>
          <t>MAISA TAGLESS</t>
        </is>
      </c>
      <c r="K135" s="26">
        <f>J135&amp;"-"&amp;TEXT(W135,"dd-mmm-yy")</f>
        <v/>
      </c>
      <c r="L135" s="26">
        <f>IFERROR(VLOOKUP($M135,'ITEM MASTER'!E:H,4,0),"")</f>
        <v/>
      </c>
      <c r="M135" s="26">
        <f>IFERROR(VLOOKUP($I135,'ITEM MASTER'!B:E,4,0),"")</f>
        <v/>
      </c>
      <c r="N135" s="26">
        <f>IFERROR(VLOOKUP($I135,'ITEM MASTER'!B:F,5,0),0)</f>
        <v/>
      </c>
      <c r="O135" s="26">
        <f>IFERROR(VLOOKUP($M135,'TBGS PER CTN'!B:C,2,0),0)</f>
        <v/>
      </c>
      <c r="P135" s="26" t="n">
        <v>2800</v>
      </c>
      <c r="Q135" s="26" t="n">
        <v>8</v>
      </c>
      <c r="R135" s="26" t="n">
        <v>1234</v>
      </c>
      <c r="S135" s="26">
        <f>Q135+R135</f>
        <v/>
      </c>
      <c r="T135" s="29" t="n">
        <v>1558</v>
      </c>
      <c r="U135" s="29">
        <f>N135*O135*T135</f>
        <v/>
      </c>
      <c r="V135" s="82">
        <f>IF(ISNUMBER($D135),$D135-WEEKDAY($D135,3),'ORDER VS WEEK DISTRIBUTION'!$G$500)</f>
        <v/>
      </c>
      <c r="W135" s="82">
        <f>MAX($V135,'ORDER VS WEEK DISTRIBUTION'!$G$500)</f>
        <v/>
      </c>
      <c r="X135" s="26">
        <f>IFERROR(VLOOKUP($J135,'ORDER VS WEEK DISTRIBUTION'!$T:$U,2,0),"")</f>
        <v/>
      </c>
      <c r="Y135" s="26">
        <f>IFERROR($T135/IF(IFERROR(VLOOKUP($I135,'ITEM CFC PER CONTAINER'!$A:$B,2,0),0)&gt;0,VLOOKUP($I135,'ITEM CFC PER CONTAINER'!$A:$B,2,0),VLOOKUP($X135,'MC MASTER'!$A:$Q,16,0)),"")</f>
        <v/>
      </c>
    </row>
    <row r="136" ht="15" customHeight="1" s="5">
      <c r="A136" s="26" t="inlineStr">
        <is>
          <t>Kaysun General Trading FZCO</t>
        </is>
      </c>
      <c r="B136" s="26" t="inlineStr">
        <is>
          <t>MJIL/SO/26019329</t>
        </is>
      </c>
      <c r="C136" s="26" t="inlineStr">
        <is>
          <t>MJ-043/26-27 / 9</t>
        </is>
      </c>
      <c r="D136" s="82" t="n">
        <v>46302</v>
      </c>
      <c r="E136" s="83">
        <f>IF(ISNUMBER($D136),EOMONTH($D136,-1)+1,"")</f>
        <v/>
      </c>
      <c r="F136" s="82" t="n">
        <v>46302</v>
      </c>
      <c r="G136" s="26" t="n">
        <v>1328</v>
      </c>
      <c r="H136" s="26">
        <f>B136&amp;I136</f>
        <v/>
      </c>
      <c r="I136" s="26" t="inlineStr">
        <is>
          <t>CHAYA 12/100 DC ENV TBGS</t>
        </is>
      </c>
      <c r="J136" s="26" t="inlineStr">
        <is>
          <t>PERFECTA ENV</t>
        </is>
      </c>
      <c r="K136" s="26">
        <f>J136&amp;"-"&amp;TEXT(W136,"dd-mmm-yy")</f>
        <v/>
      </c>
      <c r="L136" s="26">
        <f>IFERROR(VLOOKUP($M136,'ITEM MASTER'!E:H,4,0),"")</f>
        <v/>
      </c>
      <c r="M136" s="26">
        <f>IFERROR(VLOOKUP($I136,'ITEM MASTER'!B:E,4,0),"")</f>
        <v/>
      </c>
      <c r="N136" s="26">
        <f>IFERROR(VLOOKUP($I136,'ITEM MASTER'!B:F,5,0),0)</f>
        <v/>
      </c>
      <c r="O136" s="26">
        <f>IFERROR(VLOOKUP($M136,'TBGS PER CTN'!B:C,2,0),0)</f>
        <v/>
      </c>
      <c r="P136" s="26" t="n">
        <v>6640</v>
      </c>
      <c r="Q136" s="26" t="n">
        <v>0</v>
      </c>
      <c r="R136" s="26" t="n">
        <v>5462</v>
      </c>
      <c r="S136" s="26">
        <f>Q136+R136</f>
        <v/>
      </c>
      <c r="T136" s="29" t="n">
        <v>1178</v>
      </c>
      <c r="U136" s="29">
        <f>N136*O136*T136</f>
        <v/>
      </c>
      <c r="V136" s="82">
        <f>IF(ISNUMBER($D136),$D136-WEEKDAY($D136,3),'ORDER VS WEEK DISTRIBUTION'!$G$500)</f>
        <v/>
      </c>
      <c r="W136" s="82">
        <f>MAX($V136,'ORDER VS WEEK DISTRIBUTION'!$G$500)</f>
        <v/>
      </c>
      <c r="X136" s="26">
        <f>IFERROR(VLOOKUP($J136,'ORDER VS WEEK DISTRIBUTION'!$T:$U,2,0),"")</f>
        <v/>
      </c>
      <c r="Y136" s="26">
        <f>IFERROR($T136/IF(IFERROR(VLOOKUP($I136,'ITEM CFC PER CONTAINER'!$A:$B,2,0),0)&gt;0,VLOOKUP($I136,'ITEM CFC PER CONTAINER'!$A:$B,2,0),VLOOKUP($X136,'MC MASTER'!$A:$Q,16,0)),"")</f>
        <v/>
      </c>
    </row>
    <row r="137" ht="15" customHeight="1" s="5">
      <c r="A137" s="26" t="inlineStr">
        <is>
          <t xml:space="preserve">Madhu Jayanti International Pvt Ltd - USA RBW SC </t>
        </is>
      </c>
      <c r="B137" s="26" t="inlineStr">
        <is>
          <t>MJIL/SO/26023802</t>
        </is>
      </c>
      <c r="C137" s="26" t="inlineStr">
        <is>
          <t>OCT SHPT - 1 - 100 BLACK</t>
        </is>
      </c>
      <c r="D137" s="82" t="n">
        <v>46302</v>
      </c>
      <c r="E137" s="83">
        <f>IF(ISNUMBER($D137),EOMONTH($D137,-1)+1,"")</f>
        <v/>
      </c>
      <c r="F137" s="82" t="n">
        <v>46302</v>
      </c>
      <c r="G137" s="26" t="n">
        <v>37685</v>
      </c>
      <c r="H137" s="26">
        <f>B137&amp;I137</f>
        <v/>
      </c>
      <c r="I137" s="26" t="inlineStr">
        <is>
          <t>BARISSIMO BLACK TEA 6/100 DC TAG TBGS</t>
        </is>
      </c>
      <c r="J137" s="26" t="inlineStr">
        <is>
          <t>PERFACTA TAG</t>
        </is>
      </c>
      <c r="K137" s="26">
        <f>J137&amp;"-"&amp;TEXT(W137,"dd-mmm-yy")</f>
        <v/>
      </c>
      <c r="L137" s="26">
        <f>IFERROR(VLOOKUP($M137,'ITEM MASTER'!E:H,4,0),"")</f>
        <v/>
      </c>
      <c r="M137" s="26">
        <f>IFERROR(VLOOKUP($I137,'ITEM MASTER'!B:E,4,0),"")</f>
        <v/>
      </c>
      <c r="N137" s="26">
        <f>IFERROR(VLOOKUP($I137,'ITEM MASTER'!B:F,5,0),0)</f>
        <v/>
      </c>
      <c r="O137" s="26">
        <f>IFERROR(VLOOKUP($M137,'TBGS PER CTN'!B:C,2,0),0)</f>
        <v/>
      </c>
      <c r="P137" s="26" t="n">
        <v>4620</v>
      </c>
      <c r="Q137" s="26" t="n">
        <v>0</v>
      </c>
      <c r="R137" s="26" t="n">
        <v>210</v>
      </c>
      <c r="S137" s="26">
        <f>Q137+R137</f>
        <v/>
      </c>
      <c r="T137" s="29" t="n">
        <v>4410</v>
      </c>
      <c r="U137" s="29">
        <f>N137*O137*T137</f>
        <v/>
      </c>
      <c r="V137" s="82">
        <f>IF(ISNUMBER($D137),$D137-WEEKDAY($D137,3),'ORDER VS WEEK DISTRIBUTION'!$G$500)</f>
        <v/>
      </c>
      <c r="W137" s="82">
        <f>MAX($V137,'ORDER VS WEEK DISTRIBUTION'!$G$500)</f>
        <v/>
      </c>
      <c r="X137" s="26">
        <f>IFERROR(VLOOKUP($J137,'ORDER VS WEEK DISTRIBUTION'!$T:$U,2,0),"")</f>
        <v/>
      </c>
      <c r="Y137" s="26">
        <f>IFERROR($T137/IF(IFERROR(VLOOKUP($I137,'ITEM CFC PER CONTAINER'!$A:$B,2,0),0)&gt;0,VLOOKUP($I137,'ITEM CFC PER CONTAINER'!$A:$B,2,0),VLOOKUP($X137,'MC MASTER'!$A:$Q,16,0)),"")</f>
        <v/>
      </c>
    </row>
    <row r="138" ht="15" customHeight="1" s="5">
      <c r="A138" s="26" t="inlineStr">
        <is>
          <t>Multitrade Overseas Pte. Ltd.</t>
        </is>
      </c>
      <c r="B138" s="26" t="inlineStr">
        <is>
          <t>MJIL/SO/26012322</t>
        </is>
      </c>
      <c r="C138" s="26" t="inlineStr">
        <is>
          <t>MJ-024/26-27 / 5 - ETKAF</t>
        </is>
      </c>
      <c r="D138" s="82" t="n">
        <v>46302</v>
      </c>
      <c r="E138" s="83">
        <f>IF(ISNUMBER($D138),EOMONTH($D138,-1)+1,"")</f>
        <v/>
      </c>
      <c r="F138" s="82" t="n">
        <v>46302</v>
      </c>
      <c r="G138" s="26" t="n">
        <v>2023</v>
      </c>
      <c r="H138" s="26">
        <f>B138&amp;I138</f>
        <v/>
      </c>
      <c r="I138" s="26" t="inlineStr">
        <is>
          <t>GV MINT 24/25 DC ENV TBGS WITH TSHIRT</t>
        </is>
      </c>
      <c r="J138" s="30" t="inlineStr">
        <is>
          <t>CONSTANTA ENV</t>
        </is>
      </c>
      <c r="K138" s="26">
        <f>J138&amp;"-"&amp;TEXT(W138,"dd-mmm-yy")</f>
        <v/>
      </c>
      <c r="L138" s="26">
        <f>IFERROR(VLOOKUP($M138,'ITEM MASTER'!E:H,4,0),"")</f>
        <v/>
      </c>
      <c r="M138" s="26">
        <f>IFERROR(VLOOKUP($I138,'ITEM MASTER'!B:E,4,0),"")</f>
        <v/>
      </c>
      <c r="N138" s="26">
        <f>IFERROR(VLOOKUP($I138,'ITEM MASTER'!B:F,5,0),0)</f>
        <v/>
      </c>
      <c r="O138" s="26">
        <f>IFERROR(VLOOKUP($M138,'TBGS PER CTN'!B:C,2,0),0)</f>
        <v/>
      </c>
      <c r="P138" s="26" t="n">
        <v>3730</v>
      </c>
      <c r="Q138" s="26" t="n">
        <v>0</v>
      </c>
      <c r="R138" s="26" t="n">
        <v>3730</v>
      </c>
      <c r="S138" s="26">
        <f>Q138+R138</f>
        <v/>
      </c>
      <c r="T138" s="29" t="n">
        <v>0</v>
      </c>
      <c r="U138" s="29">
        <f>N138*O138*T138</f>
        <v/>
      </c>
      <c r="V138" s="82">
        <f>IF(ISNUMBER($D138),$D138-WEEKDAY($D138,3),'ORDER VS WEEK DISTRIBUTION'!$G$500)</f>
        <v/>
      </c>
      <c r="W138" s="82">
        <f>MAX($V138,'ORDER VS WEEK DISTRIBUTION'!$G$500)</f>
        <v/>
      </c>
      <c r="X138" s="26">
        <f>IFERROR(VLOOKUP($J138,'ORDER VS WEEK DISTRIBUTION'!$T:$U,2,0),"")</f>
        <v/>
      </c>
      <c r="Y138" s="26">
        <f>IFERROR($T138/IF(IFERROR(VLOOKUP($I138,'ITEM CFC PER CONTAINER'!$A:$B,2,0),0)&gt;0,VLOOKUP($I138,'ITEM CFC PER CONTAINER'!$A:$B,2,0),VLOOKUP($X138,'MC MASTER'!$A:$Q,16,0)),"")</f>
        <v/>
      </c>
    </row>
    <row r="139" ht="15" customHeight="1" s="5">
      <c r="A139" s="26" t="inlineStr">
        <is>
          <t>Multitrade Overseas Pte. Ltd.</t>
        </is>
      </c>
      <c r="B139" s="26" t="inlineStr">
        <is>
          <t>MJIL/SO/26012322</t>
        </is>
      </c>
      <c r="C139" s="26" t="inlineStr">
        <is>
          <t>MJ-024/26-27 / 5 - ETKAF</t>
        </is>
      </c>
      <c r="D139" s="82" t="n">
        <v>46302</v>
      </c>
      <c r="E139" s="83">
        <f>IF(ISNUMBER($D139),EOMONTH($D139,-1)+1,"")</f>
        <v/>
      </c>
      <c r="F139" s="82" t="n">
        <v>46302</v>
      </c>
      <c r="G139" s="26" t="n">
        <v>1933</v>
      </c>
      <c r="H139" s="26">
        <f>B139&amp;I139</f>
        <v/>
      </c>
      <c r="I139" s="26" t="inlineStr">
        <is>
          <t>GV GARDEN STRAWBERRY 24/25 DC ENV TBGS WITH TSHIRT</t>
        </is>
      </c>
      <c r="J139" s="30" t="inlineStr">
        <is>
          <t>CONSTANTA ENV</t>
        </is>
      </c>
      <c r="K139" s="26">
        <f>J139&amp;"-"&amp;TEXT(W139,"dd-mmm-yy")</f>
        <v/>
      </c>
      <c r="L139" s="26">
        <f>IFERROR(VLOOKUP($M139,'ITEM MASTER'!E:H,4,0),"")</f>
        <v/>
      </c>
      <c r="M139" s="26">
        <f>IFERROR(VLOOKUP($I139,'ITEM MASTER'!B:E,4,0),"")</f>
        <v/>
      </c>
      <c r="N139" s="26">
        <f>IFERROR(VLOOKUP($I139,'ITEM MASTER'!B:F,5,0),0)</f>
        <v/>
      </c>
      <c r="O139" s="26">
        <f>IFERROR(VLOOKUP($M139,'TBGS PER CTN'!B:C,2,0),0)</f>
        <v/>
      </c>
      <c r="P139" s="26" t="n">
        <v>4888</v>
      </c>
      <c r="Q139" s="26" t="n">
        <v>208</v>
      </c>
      <c r="R139" s="26" t="n">
        <v>766</v>
      </c>
      <c r="S139" s="26">
        <f>Q139+R139</f>
        <v/>
      </c>
      <c r="T139" s="29" t="n">
        <v>3914</v>
      </c>
      <c r="U139" s="29">
        <f>N139*O139*T139</f>
        <v/>
      </c>
      <c r="V139" s="82">
        <f>IF(ISNUMBER($D139),$D139-WEEKDAY($D139,3),'ORDER VS WEEK DISTRIBUTION'!$G$500)</f>
        <v/>
      </c>
      <c r="W139" s="82">
        <f>MAX($V139,'ORDER VS WEEK DISTRIBUTION'!$G$500)</f>
        <v/>
      </c>
      <c r="X139" s="26">
        <f>IFERROR(VLOOKUP($J139,'ORDER VS WEEK DISTRIBUTION'!$T:$U,2,0),"")</f>
        <v/>
      </c>
      <c r="Y139" s="26">
        <f>IFERROR($T139/IF(IFERROR(VLOOKUP($I139,'ITEM CFC PER CONTAINER'!$A:$B,2,0),0)&gt;0,VLOOKUP($I139,'ITEM CFC PER CONTAINER'!$A:$B,2,0),VLOOKUP($X139,'MC MASTER'!$A:$Q,16,0)),"")</f>
        <v/>
      </c>
    </row>
    <row r="140" ht="15" customHeight="1" s="5">
      <c r="A140" s="26" t="inlineStr">
        <is>
          <t>Multitrade Overseas Pte. Ltd.</t>
        </is>
      </c>
      <c r="B140" s="26" t="inlineStr">
        <is>
          <t>MJIL/SO/26012322</t>
        </is>
      </c>
      <c r="C140" s="26" t="inlineStr">
        <is>
          <t>MJ-024/26-27 / 5 - ETKAF</t>
        </is>
      </c>
      <c r="D140" s="82" t="n">
        <v>46302</v>
      </c>
      <c r="E140" s="83">
        <f>IF(ISNUMBER($D140),EOMONTH($D140,-1)+1,"")</f>
        <v/>
      </c>
      <c r="F140" s="82" t="n">
        <v>46302</v>
      </c>
      <c r="G140" s="26" t="n">
        <v>2131</v>
      </c>
      <c r="H140" s="26">
        <f>B140&amp;I140</f>
        <v/>
      </c>
      <c r="I140" s="26" t="inlineStr">
        <is>
          <t>GV SPICY GINGER 24/25 DC ENV TBGS WITH TSHIRT</t>
        </is>
      </c>
      <c r="J140" s="30" t="inlineStr">
        <is>
          <t>CONSTANTA ENV</t>
        </is>
      </c>
      <c r="K140" s="26">
        <f>J140&amp;"-"&amp;TEXT(W140,"dd-mmm-yy")</f>
        <v/>
      </c>
      <c r="L140" s="26">
        <f>IFERROR(VLOOKUP($M140,'ITEM MASTER'!E:H,4,0),"")</f>
        <v/>
      </c>
      <c r="M140" s="26">
        <f>IFERROR(VLOOKUP($I140,'ITEM MASTER'!B:E,4,0),"")</f>
        <v/>
      </c>
      <c r="N140" s="26">
        <f>IFERROR(VLOOKUP($I140,'ITEM MASTER'!B:F,5,0),0)</f>
        <v/>
      </c>
      <c r="O140" s="26">
        <f>IFERROR(VLOOKUP($M140,'TBGS PER CTN'!B:C,2,0),0)</f>
        <v/>
      </c>
      <c r="P140" s="26" t="n">
        <v>2950</v>
      </c>
      <c r="Q140" s="26" t="n">
        <v>0</v>
      </c>
      <c r="R140" s="26" t="n">
        <v>2950</v>
      </c>
      <c r="S140" s="26">
        <f>Q140+R140</f>
        <v/>
      </c>
      <c r="T140" s="29" t="n">
        <v>0</v>
      </c>
      <c r="U140" s="29">
        <f>N140*O140*T140</f>
        <v/>
      </c>
      <c r="V140" s="82">
        <f>IF(ISNUMBER($D140),$D140-WEEKDAY($D140,3),'ORDER VS WEEK DISTRIBUTION'!$G$500)</f>
        <v/>
      </c>
      <c r="W140" s="82">
        <f>MAX($V140,'ORDER VS WEEK DISTRIBUTION'!$G$500)</f>
        <v/>
      </c>
      <c r="X140" s="26">
        <f>IFERROR(VLOOKUP($J140,'ORDER VS WEEK DISTRIBUTION'!$T:$U,2,0),"")</f>
        <v/>
      </c>
      <c r="Y140" s="26">
        <f>IFERROR($T140/IF(IFERROR(VLOOKUP($I140,'ITEM CFC PER CONTAINER'!$A:$B,2,0),0)&gt;0,VLOOKUP($I140,'ITEM CFC PER CONTAINER'!$A:$B,2,0),VLOOKUP($X140,'MC MASTER'!$A:$Q,16,0)),"")</f>
        <v/>
      </c>
    </row>
    <row r="141" ht="15" customHeight="1" s="5">
      <c r="A141" s="26" t="inlineStr">
        <is>
          <t>Multitrade Overseas Pte. Ltd.</t>
        </is>
      </c>
      <c r="B141" s="26" t="inlineStr">
        <is>
          <t>MJIL/SO/26012322</t>
        </is>
      </c>
      <c r="C141" s="26" t="inlineStr">
        <is>
          <t>MJ-024/26-27 / 5 - ETKAF</t>
        </is>
      </c>
      <c r="D141" s="82" t="n">
        <v>46302</v>
      </c>
      <c r="E141" s="83">
        <f>IF(ISNUMBER($D141),EOMONTH($D141,-1)+1,"")</f>
        <v/>
      </c>
      <c r="F141" s="82" t="n">
        <v>46302</v>
      </c>
      <c r="G141" s="26" t="n">
        <v>2051</v>
      </c>
      <c r="H141" s="26">
        <f>B141&amp;I141</f>
        <v/>
      </c>
      <c r="I141" s="26" t="inlineStr">
        <is>
          <t>GV ORANGE 24/25 DC ENV TBGS WITH TSHIRT</t>
        </is>
      </c>
      <c r="J141" s="30" t="inlineStr">
        <is>
          <t>CONSTANTA ENV</t>
        </is>
      </c>
      <c r="K141" s="26">
        <f>J141&amp;"-"&amp;TEXT(W141,"dd-mmm-yy")</f>
        <v/>
      </c>
      <c r="L141" s="26">
        <f>IFERROR(VLOOKUP($M141,'ITEM MASTER'!E:H,4,0),"")</f>
        <v/>
      </c>
      <c r="M141" s="26">
        <f>IFERROR(VLOOKUP($I141,'ITEM MASTER'!B:E,4,0),"")</f>
        <v/>
      </c>
      <c r="N141" s="26">
        <f>IFERROR(VLOOKUP($I141,'ITEM MASTER'!B:F,5,0),0)</f>
        <v/>
      </c>
      <c r="O141" s="26">
        <f>IFERROR(VLOOKUP($M141,'TBGS PER CTN'!B:C,2,0),0)</f>
        <v/>
      </c>
      <c r="P141" s="26" t="n">
        <v>200</v>
      </c>
      <c r="Q141" s="26" t="n">
        <v>152</v>
      </c>
      <c r="R141" s="26" t="n">
        <v>38</v>
      </c>
      <c r="S141" s="26">
        <f>Q141+R141</f>
        <v/>
      </c>
      <c r="T141" s="29" t="n">
        <v>10</v>
      </c>
      <c r="U141" s="29">
        <f>N141*O141*T141</f>
        <v/>
      </c>
      <c r="V141" s="82">
        <f>IF(ISNUMBER($D141),$D141-WEEKDAY($D141,3),'ORDER VS WEEK DISTRIBUTION'!$G$500)</f>
        <v/>
      </c>
      <c r="W141" s="82">
        <f>MAX($V141,'ORDER VS WEEK DISTRIBUTION'!$G$500)</f>
        <v/>
      </c>
      <c r="X141" s="26">
        <f>IFERROR(VLOOKUP($J141,'ORDER VS WEEK DISTRIBUTION'!$T:$U,2,0),"")</f>
        <v/>
      </c>
      <c r="Y141" s="26">
        <f>IFERROR($T141/IF(IFERROR(VLOOKUP($I141,'ITEM CFC PER CONTAINER'!$A:$B,2,0),0)&gt;0,VLOOKUP($I141,'ITEM CFC PER CONTAINER'!$A:$B,2,0),VLOOKUP($X141,'MC MASTER'!$A:$Q,16,0)),"")</f>
        <v/>
      </c>
    </row>
    <row r="142" ht="15" customHeight="1" s="5">
      <c r="A142" s="26" t="inlineStr">
        <is>
          <t>Multitrade Overseas Pte. Ltd.</t>
        </is>
      </c>
      <c r="B142" s="26" t="inlineStr">
        <is>
          <t>MJIL/SO/26012322</t>
        </is>
      </c>
      <c r="C142" s="26" t="inlineStr">
        <is>
          <t>MJ-024/26-27 / 5 - ETKAF</t>
        </is>
      </c>
      <c r="D142" s="82" t="n">
        <v>46302</v>
      </c>
      <c r="E142" s="83">
        <f>IF(ISNUMBER($D142),EOMONTH($D142,-1)+1,"")</f>
        <v/>
      </c>
      <c r="F142" s="82" t="n">
        <v>46302</v>
      </c>
      <c r="G142" s="26" t="n">
        <v>21810</v>
      </c>
      <c r="H142" s="26">
        <f>B142&amp;I142</f>
        <v/>
      </c>
      <c r="I142" s="26" t="inlineStr">
        <is>
          <t>GV CLOVE 24/25 DC ENV TBGS WITH TSHIRT</t>
        </is>
      </c>
      <c r="J142" s="30" t="inlineStr">
        <is>
          <t>CONSTANTA ENV</t>
        </is>
      </c>
      <c r="K142" s="26">
        <f>J142&amp;"-"&amp;TEXT(W142,"dd-mmm-yy")</f>
        <v/>
      </c>
      <c r="L142" s="26">
        <f>IFERROR(VLOOKUP($M142,'ITEM MASTER'!E:H,4,0),"")</f>
        <v/>
      </c>
      <c r="M142" s="26">
        <f>IFERROR(VLOOKUP($I142,'ITEM MASTER'!B:E,4,0),"")</f>
        <v/>
      </c>
      <c r="N142" s="26">
        <f>IFERROR(VLOOKUP($I142,'ITEM MASTER'!B:F,5,0),0)</f>
        <v/>
      </c>
      <c r="O142" s="26">
        <f>IFERROR(VLOOKUP($M142,'TBGS PER CTN'!B:C,2,0),0)</f>
        <v/>
      </c>
      <c r="P142" s="26" t="n">
        <v>200</v>
      </c>
      <c r="Q142" s="26" t="n">
        <v>3</v>
      </c>
      <c r="R142" s="26" t="n">
        <v>43</v>
      </c>
      <c r="S142" s="26">
        <f>Q142+R142</f>
        <v/>
      </c>
      <c r="T142" s="29" t="n">
        <v>154</v>
      </c>
      <c r="U142" s="29">
        <f>N142*O142*T142</f>
        <v/>
      </c>
      <c r="V142" s="82">
        <f>IF(ISNUMBER($D142),$D142-WEEKDAY($D142,3),'ORDER VS WEEK DISTRIBUTION'!$G$500)</f>
        <v/>
      </c>
      <c r="W142" s="82">
        <f>MAX($V142,'ORDER VS WEEK DISTRIBUTION'!$G$500)</f>
        <v/>
      </c>
      <c r="X142" s="26">
        <f>IFERROR(VLOOKUP($J142,'ORDER VS WEEK DISTRIBUTION'!$T:$U,2,0),"")</f>
        <v/>
      </c>
      <c r="Y142" s="26">
        <f>IFERROR($T142/IF(IFERROR(VLOOKUP($I142,'ITEM CFC PER CONTAINER'!$A:$B,2,0),0)&gt;0,VLOOKUP($I142,'ITEM CFC PER CONTAINER'!$A:$B,2,0),VLOOKUP($X142,'MC MASTER'!$A:$Q,16,0)),"")</f>
        <v/>
      </c>
    </row>
    <row r="143" ht="15" customHeight="1" s="5">
      <c r="A143" s="26" t="inlineStr">
        <is>
          <t>Multitrade Overseas Pte. Ltd.</t>
        </is>
      </c>
      <c r="B143" s="26" t="inlineStr">
        <is>
          <t>MJIL/SO/26012322</t>
        </is>
      </c>
      <c r="C143" s="26" t="inlineStr">
        <is>
          <t>MJ-024/26-27 / 5 - ETKAF</t>
        </is>
      </c>
      <c r="D143" s="82" t="n">
        <v>46302</v>
      </c>
      <c r="E143" s="83">
        <f>IF(ISNUMBER($D143),EOMONTH($D143,-1)+1,"")</f>
        <v/>
      </c>
      <c r="F143" s="82" t="n">
        <v>46302</v>
      </c>
      <c r="G143" s="26" t="n">
        <v>2105</v>
      </c>
      <c r="H143" s="26">
        <f>B143&amp;I143</f>
        <v/>
      </c>
      <c r="I143" s="26" t="inlineStr">
        <is>
          <t>GV ROYAL LEMON 24/25 DC ENV TBGS WITH TSHIRT</t>
        </is>
      </c>
      <c r="J143" s="30" t="inlineStr">
        <is>
          <t>CONSTANTA ENV</t>
        </is>
      </c>
      <c r="K143" s="26">
        <f>J143&amp;"-"&amp;TEXT(W143,"dd-mmm-yy")</f>
        <v/>
      </c>
      <c r="L143" s="26">
        <f>IFERROR(VLOOKUP($M143,'ITEM MASTER'!E:H,4,0),"")</f>
        <v/>
      </c>
      <c r="M143" s="26">
        <f>IFERROR(VLOOKUP($I143,'ITEM MASTER'!B:E,4,0),"")</f>
        <v/>
      </c>
      <c r="N143" s="26">
        <f>IFERROR(VLOOKUP($I143,'ITEM MASTER'!B:F,5,0),0)</f>
        <v/>
      </c>
      <c r="O143" s="26">
        <f>IFERROR(VLOOKUP($M143,'TBGS PER CTN'!B:C,2,0),0)</f>
        <v/>
      </c>
      <c r="P143" s="26" t="n">
        <v>273</v>
      </c>
      <c r="Q143" s="26" t="n">
        <v>1</v>
      </c>
      <c r="R143" s="26" t="n">
        <v>152</v>
      </c>
      <c r="S143" s="26">
        <f>Q143+R143</f>
        <v/>
      </c>
      <c r="T143" s="29" t="n">
        <v>120</v>
      </c>
      <c r="U143" s="29">
        <f>N143*O143*T143</f>
        <v/>
      </c>
      <c r="V143" s="82">
        <f>IF(ISNUMBER($D143),$D143-WEEKDAY($D143,3),'ORDER VS WEEK DISTRIBUTION'!$G$500)</f>
        <v/>
      </c>
      <c r="W143" s="82">
        <f>MAX($V143,'ORDER VS WEEK DISTRIBUTION'!$G$500)</f>
        <v/>
      </c>
      <c r="X143" s="26">
        <f>IFERROR(VLOOKUP($J143,'ORDER VS WEEK DISTRIBUTION'!$T:$U,2,0),"")</f>
        <v/>
      </c>
      <c r="Y143" s="26">
        <f>IFERROR($T143/IF(IFERROR(VLOOKUP($I143,'ITEM CFC PER CONTAINER'!$A:$B,2,0),0)&gt;0,VLOOKUP($I143,'ITEM CFC PER CONTAINER'!$A:$B,2,0),VLOOKUP($X143,'MC MASTER'!$A:$Q,16,0)),"")</f>
        <v/>
      </c>
    </row>
    <row r="144" ht="15" customHeight="1" s="5">
      <c r="A144" s="26" t="inlineStr">
        <is>
          <t>Multitrade Overseas Pte. Ltd.</t>
        </is>
      </c>
      <c r="B144" s="26" t="inlineStr">
        <is>
          <t>MJIL/SO/26012324</t>
        </is>
      </c>
      <c r="C144" s="26" t="inlineStr">
        <is>
          <t>MJ-024/26-27 / 7 - ETKAF</t>
        </is>
      </c>
      <c r="D144" s="82" t="n">
        <v>46303</v>
      </c>
      <c r="E144" s="83">
        <f>IF(ISNUMBER($D144),EOMONTH($D144,-1)+1,"")</f>
        <v/>
      </c>
      <c r="F144" s="82" t="n">
        <v>46303</v>
      </c>
      <c r="G144" s="26" t="n">
        <v>2023</v>
      </c>
      <c r="H144" s="26">
        <f>B144&amp;I144</f>
        <v/>
      </c>
      <c r="I144" s="26" t="inlineStr">
        <is>
          <t>GV MINT 24/25 DC ENV TBGS WITH TSHIRT</t>
        </is>
      </c>
      <c r="J144" s="30" t="inlineStr">
        <is>
          <t>CONSTANTA ENV</t>
        </is>
      </c>
      <c r="K144" s="26">
        <f>J144&amp;"-"&amp;TEXT(W144,"dd-mmm-yy")</f>
        <v/>
      </c>
      <c r="L144" s="26">
        <f>IFERROR(VLOOKUP($M144,'ITEM MASTER'!E:H,4,0),"")</f>
        <v/>
      </c>
      <c r="M144" s="26">
        <f>IFERROR(VLOOKUP($I144,'ITEM MASTER'!B:E,4,0),"")</f>
        <v/>
      </c>
      <c r="N144" s="26">
        <f>IFERROR(VLOOKUP($I144,'ITEM MASTER'!B:F,5,0),0)</f>
        <v/>
      </c>
      <c r="O144" s="26">
        <f>IFERROR(VLOOKUP($M144,'TBGS PER CTN'!B:C,2,0),0)</f>
        <v/>
      </c>
      <c r="P144" s="26" t="n">
        <v>2950</v>
      </c>
      <c r="Q144" s="26" t="n">
        <v>272</v>
      </c>
      <c r="R144" s="26" t="n">
        <v>375</v>
      </c>
      <c r="S144" s="26">
        <f>Q144+R144</f>
        <v/>
      </c>
      <c r="T144" s="29" t="n">
        <v>2303</v>
      </c>
      <c r="U144" s="29">
        <f>N144*O144*T144</f>
        <v/>
      </c>
      <c r="V144" s="82">
        <f>IF(ISNUMBER($D144),$D144-WEEKDAY($D144,3),'ORDER VS WEEK DISTRIBUTION'!$G$500)</f>
        <v/>
      </c>
      <c r="W144" s="82">
        <f>MAX($V144,'ORDER VS WEEK DISTRIBUTION'!$G$500)</f>
        <v/>
      </c>
      <c r="X144" s="26">
        <f>IFERROR(VLOOKUP($J144,'ORDER VS WEEK DISTRIBUTION'!$T:$U,2,0),"")</f>
        <v/>
      </c>
      <c r="Y144" s="26">
        <f>IFERROR($T144/IF(IFERROR(VLOOKUP($I144,'ITEM CFC PER CONTAINER'!$A:$B,2,0),0)&gt;0,VLOOKUP($I144,'ITEM CFC PER CONTAINER'!$A:$B,2,0),VLOOKUP($X144,'MC MASTER'!$A:$Q,16,0)),"")</f>
        <v/>
      </c>
    </row>
    <row r="145" ht="15" customHeight="1" s="5">
      <c r="A145" s="26" t="inlineStr">
        <is>
          <t>Multitrade Overseas Pte. Ltd.</t>
        </is>
      </c>
      <c r="B145" s="26" t="inlineStr">
        <is>
          <t>MJIL/SO/26012324</t>
        </is>
      </c>
      <c r="C145" s="26" t="inlineStr">
        <is>
          <t>MJ-024/26-27 / 7 - ETKAF</t>
        </is>
      </c>
      <c r="D145" s="82" t="n">
        <v>46303</v>
      </c>
      <c r="E145" s="83">
        <f>IF(ISNUMBER($D145),EOMONTH($D145,-1)+1,"")</f>
        <v/>
      </c>
      <c r="F145" s="82" t="n">
        <v>46303</v>
      </c>
      <c r="G145" s="26" t="n">
        <v>1933</v>
      </c>
      <c r="H145" s="26">
        <f>B145&amp;I145</f>
        <v/>
      </c>
      <c r="I145" s="26" t="inlineStr">
        <is>
          <t>GV GARDEN STRAWBERRY 24/25 DC ENV TBGS WITH TSHIRT</t>
        </is>
      </c>
      <c r="J145" s="30" t="inlineStr">
        <is>
          <t>CONSTANTA ENV</t>
        </is>
      </c>
      <c r="K145" s="26">
        <f>J145&amp;"-"&amp;TEXT(W145,"dd-mmm-yy")</f>
        <v/>
      </c>
      <c r="L145" s="26">
        <f>IFERROR(VLOOKUP($M145,'ITEM MASTER'!E:H,4,0),"")</f>
        <v/>
      </c>
      <c r="M145" s="26">
        <f>IFERROR(VLOOKUP($I145,'ITEM MASTER'!B:E,4,0),"")</f>
        <v/>
      </c>
      <c r="N145" s="26">
        <f>IFERROR(VLOOKUP($I145,'ITEM MASTER'!B:F,5,0),0)</f>
        <v/>
      </c>
      <c r="O145" s="26">
        <f>IFERROR(VLOOKUP($M145,'TBGS PER CTN'!B:C,2,0),0)</f>
        <v/>
      </c>
      <c r="P145" s="26" t="n">
        <v>5094</v>
      </c>
      <c r="Q145" s="26" t="n">
        <v>0</v>
      </c>
      <c r="R145" s="26" t="n">
        <v>0</v>
      </c>
      <c r="S145" s="26">
        <f>Q145+R145</f>
        <v/>
      </c>
      <c r="T145" s="29" t="n">
        <v>5094</v>
      </c>
      <c r="U145" s="29">
        <f>N145*O145*T145</f>
        <v/>
      </c>
      <c r="V145" s="82">
        <f>IF(ISNUMBER($D145),$D145-WEEKDAY($D145,3),'ORDER VS WEEK DISTRIBUTION'!$G$500)</f>
        <v/>
      </c>
      <c r="W145" s="82">
        <f>MAX($V145,'ORDER VS WEEK DISTRIBUTION'!$G$500)</f>
        <v/>
      </c>
      <c r="X145" s="26">
        <f>IFERROR(VLOOKUP($J145,'ORDER VS WEEK DISTRIBUTION'!$T:$U,2,0),"")</f>
        <v/>
      </c>
      <c r="Y145" s="26">
        <f>IFERROR($T145/IF(IFERROR(VLOOKUP($I145,'ITEM CFC PER CONTAINER'!$A:$B,2,0),0)&gt;0,VLOOKUP($I145,'ITEM CFC PER CONTAINER'!$A:$B,2,0),VLOOKUP($X145,'MC MASTER'!$A:$Q,16,0)),"")</f>
        <v/>
      </c>
    </row>
    <row r="146" ht="15" customHeight="1" s="5">
      <c r="A146" s="26" t="inlineStr">
        <is>
          <t>Multitrade Overseas Pte. Ltd.</t>
        </is>
      </c>
      <c r="B146" s="26" t="inlineStr">
        <is>
          <t>MJIL/SO/26012324</t>
        </is>
      </c>
      <c r="C146" s="26" t="inlineStr">
        <is>
          <t>MJ-024/26-27 / 7 - ETKAF</t>
        </is>
      </c>
      <c r="D146" s="82" t="n">
        <v>46303</v>
      </c>
      <c r="E146" s="83">
        <f>IF(ISNUMBER($D146),EOMONTH($D146,-1)+1,"")</f>
        <v/>
      </c>
      <c r="F146" s="82" t="n">
        <v>46303</v>
      </c>
      <c r="G146" s="26" t="n">
        <v>2131</v>
      </c>
      <c r="H146" s="26">
        <f>B146&amp;I146</f>
        <v/>
      </c>
      <c r="I146" s="26" t="inlineStr">
        <is>
          <t>GV SPICY GINGER 24/25 DC ENV TBGS WITH TSHIRT</t>
        </is>
      </c>
      <c r="J146" s="30" t="inlineStr">
        <is>
          <t>CONSTANTA ENV</t>
        </is>
      </c>
      <c r="K146" s="26">
        <f>J146&amp;"-"&amp;TEXT(W146,"dd-mmm-yy")</f>
        <v/>
      </c>
      <c r="L146" s="26">
        <f>IFERROR(VLOOKUP($M146,'ITEM MASTER'!E:H,4,0),"")</f>
        <v/>
      </c>
      <c r="M146" s="26">
        <f>IFERROR(VLOOKUP($I146,'ITEM MASTER'!B:E,4,0),"")</f>
        <v/>
      </c>
      <c r="N146" s="26">
        <f>IFERROR(VLOOKUP($I146,'ITEM MASTER'!B:F,5,0),0)</f>
        <v/>
      </c>
      <c r="O146" s="26">
        <f>IFERROR(VLOOKUP($M146,'TBGS PER CTN'!B:C,2,0),0)</f>
        <v/>
      </c>
      <c r="P146" s="26" t="n">
        <v>3225</v>
      </c>
      <c r="Q146" s="26" t="n">
        <v>1</v>
      </c>
      <c r="R146" s="26" t="n">
        <v>205</v>
      </c>
      <c r="S146" s="26">
        <f>Q146+R146</f>
        <v/>
      </c>
      <c r="T146" s="29" t="n">
        <v>3019</v>
      </c>
      <c r="U146" s="29">
        <f>N146*O146*T146</f>
        <v/>
      </c>
      <c r="V146" s="82">
        <f>IF(ISNUMBER($D146),$D146-WEEKDAY($D146,3),'ORDER VS WEEK DISTRIBUTION'!$G$500)</f>
        <v/>
      </c>
      <c r="W146" s="82">
        <f>MAX($V146,'ORDER VS WEEK DISTRIBUTION'!$G$500)</f>
        <v/>
      </c>
      <c r="X146" s="26">
        <f>IFERROR(VLOOKUP($J146,'ORDER VS WEEK DISTRIBUTION'!$T:$U,2,0),"")</f>
        <v/>
      </c>
      <c r="Y146" s="26">
        <f>IFERROR($T146/IF(IFERROR(VLOOKUP($I146,'ITEM CFC PER CONTAINER'!$A:$B,2,0),0)&gt;0,VLOOKUP($I146,'ITEM CFC PER CONTAINER'!$A:$B,2,0),VLOOKUP($X146,'MC MASTER'!$A:$Q,16,0)),"")</f>
        <v/>
      </c>
    </row>
    <row r="147" ht="15" customHeight="1" s="5">
      <c r="A147" s="26" t="inlineStr">
        <is>
          <t>Multitrade Overseas Pte. Ltd.</t>
        </is>
      </c>
      <c r="B147" s="26" t="inlineStr">
        <is>
          <t>MJIL/SO/26012324</t>
        </is>
      </c>
      <c r="C147" s="26" t="inlineStr">
        <is>
          <t>MJ-024/26-27 / 7 - ETKAF</t>
        </is>
      </c>
      <c r="D147" s="82" t="n">
        <v>46303</v>
      </c>
      <c r="E147" s="83">
        <f>IF(ISNUMBER($D147),EOMONTH($D147,-1)+1,"")</f>
        <v/>
      </c>
      <c r="F147" s="82" t="n">
        <v>46303</v>
      </c>
      <c r="G147" s="26" t="n">
        <v>2051</v>
      </c>
      <c r="H147" s="26">
        <f>B147&amp;I147</f>
        <v/>
      </c>
      <c r="I147" s="26" t="inlineStr">
        <is>
          <t>GV ORANGE 24/25 DC ENV TBGS WITH TSHIRT</t>
        </is>
      </c>
      <c r="J147" s="30" t="inlineStr">
        <is>
          <t>CONSTANTA ENV</t>
        </is>
      </c>
      <c r="K147" s="26">
        <f>J147&amp;"-"&amp;TEXT(W147,"dd-mmm-yy")</f>
        <v/>
      </c>
      <c r="L147" s="26">
        <f>IFERROR(VLOOKUP($M147,'ITEM MASTER'!E:H,4,0),"")</f>
        <v/>
      </c>
      <c r="M147" s="26">
        <f>IFERROR(VLOOKUP($I147,'ITEM MASTER'!B:E,4,0),"")</f>
        <v/>
      </c>
      <c r="N147" s="26">
        <f>IFERROR(VLOOKUP($I147,'ITEM MASTER'!B:F,5,0),0)</f>
        <v/>
      </c>
      <c r="O147" s="26">
        <f>IFERROR(VLOOKUP($M147,'TBGS PER CTN'!B:C,2,0),0)</f>
        <v/>
      </c>
      <c r="P147" s="26" t="n">
        <v>450</v>
      </c>
      <c r="Q147" s="26" t="n">
        <v>0</v>
      </c>
      <c r="R147" s="26" t="n">
        <v>0</v>
      </c>
      <c r="S147" s="26">
        <f>Q147+R147</f>
        <v/>
      </c>
      <c r="T147" s="29" t="n">
        <v>450</v>
      </c>
      <c r="U147" s="29">
        <f>N147*O147*T147</f>
        <v/>
      </c>
      <c r="V147" s="82">
        <f>IF(ISNUMBER($D147),$D147-WEEKDAY($D147,3),'ORDER VS WEEK DISTRIBUTION'!$G$500)</f>
        <v/>
      </c>
      <c r="W147" s="82">
        <f>MAX($V147,'ORDER VS WEEK DISTRIBUTION'!$G$500)</f>
        <v/>
      </c>
      <c r="X147" s="26">
        <f>IFERROR(VLOOKUP($J147,'ORDER VS WEEK DISTRIBUTION'!$T:$U,2,0),"")</f>
        <v/>
      </c>
      <c r="Y147" s="26">
        <f>IFERROR($T147/IF(IFERROR(VLOOKUP($I147,'ITEM CFC PER CONTAINER'!$A:$B,2,0),0)&gt;0,VLOOKUP($I147,'ITEM CFC PER CONTAINER'!$A:$B,2,0),VLOOKUP($X147,'MC MASTER'!$A:$Q,16,0)),"")</f>
        <v/>
      </c>
    </row>
    <row r="148" ht="15" customHeight="1" s="5">
      <c r="A148" s="26" t="inlineStr">
        <is>
          <t>Multitrade Overseas Pte. Ltd.</t>
        </is>
      </c>
      <c r="B148" s="26" t="inlineStr">
        <is>
          <t>MJIL/SO/26012324</t>
        </is>
      </c>
      <c r="C148" s="26" t="inlineStr">
        <is>
          <t>MJ-024/26-27 / 7 - ETKAF</t>
        </is>
      </c>
      <c r="D148" s="82" t="n">
        <v>46303</v>
      </c>
      <c r="E148" s="83">
        <f>IF(ISNUMBER($D148),EOMONTH($D148,-1)+1,"")</f>
        <v/>
      </c>
      <c r="F148" s="82" t="n">
        <v>46303</v>
      </c>
      <c r="G148" s="26" t="n">
        <v>21810</v>
      </c>
      <c r="H148" s="26">
        <f>B148&amp;I148</f>
        <v/>
      </c>
      <c r="I148" s="26" t="inlineStr">
        <is>
          <t>GV CLOVE 24/25 DC ENV TBGS WITH TSHIRT</t>
        </is>
      </c>
      <c r="J148" s="30" t="inlineStr">
        <is>
          <t>CONSTANTA ENV</t>
        </is>
      </c>
      <c r="K148" s="26">
        <f>J148&amp;"-"&amp;TEXT(W148,"dd-mmm-yy")</f>
        <v/>
      </c>
      <c r="L148" s="26">
        <f>IFERROR(VLOOKUP($M148,'ITEM MASTER'!E:H,4,0),"")</f>
        <v/>
      </c>
      <c r="M148" s="26">
        <f>IFERROR(VLOOKUP($I148,'ITEM MASTER'!B:E,4,0),"")</f>
        <v/>
      </c>
      <c r="N148" s="26">
        <f>IFERROR(VLOOKUP($I148,'ITEM MASTER'!B:F,5,0),0)</f>
        <v/>
      </c>
      <c r="O148" s="26">
        <f>IFERROR(VLOOKUP($M148,'TBGS PER CTN'!B:C,2,0),0)</f>
        <v/>
      </c>
      <c r="P148" s="26" t="n">
        <v>521</v>
      </c>
      <c r="Q148" s="26" t="n">
        <v>0</v>
      </c>
      <c r="R148" s="26" t="n">
        <v>0</v>
      </c>
      <c r="S148" s="26">
        <f>Q148+R148</f>
        <v/>
      </c>
      <c r="T148" s="29" t="n">
        <v>521</v>
      </c>
      <c r="U148" s="29">
        <f>N148*O148*T148</f>
        <v/>
      </c>
      <c r="V148" s="82">
        <f>IF(ISNUMBER($D148),$D148-WEEKDAY($D148,3),'ORDER VS WEEK DISTRIBUTION'!$G$500)</f>
        <v/>
      </c>
      <c r="W148" s="82">
        <f>MAX($V148,'ORDER VS WEEK DISTRIBUTION'!$G$500)</f>
        <v/>
      </c>
      <c r="X148" s="26">
        <f>IFERROR(VLOOKUP($J148,'ORDER VS WEEK DISTRIBUTION'!$T:$U,2,0),"")</f>
        <v/>
      </c>
      <c r="Y148" s="26">
        <f>IFERROR($T148/IF(IFERROR(VLOOKUP($I148,'ITEM CFC PER CONTAINER'!$A:$B,2,0),0)&gt;0,VLOOKUP($I148,'ITEM CFC PER CONTAINER'!$A:$B,2,0),VLOOKUP($X148,'MC MASTER'!$A:$Q,16,0)),"")</f>
        <v/>
      </c>
    </row>
    <row r="149" ht="15" customHeight="1" s="5">
      <c r="A149" s="26" t="inlineStr">
        <is>
          <t>Dagab Inkop &amp; Logistik Ab</t>
        </is>
      </c>
      <c r="B149" s="26" t="inlineStr">
        <is>
          <t>MJIL/SO/26035256</t>
        </is>
      </c>
      <c r="C149" s="26" t="inlineStr">
        <is>
          <t>F340739694</t>
        </is>
      </c>
      <c r="D149" s="82" t="n">
        <v>46304</v>
      </c>
      <c r="E149" s="83">
        <f>IF(ISNUMBER($D149),EOMONTH($D149,-1)+1,"")</f>
        <v/>
      </c>
      <c r="F149" s="82" t="n">
        <v>46304</v>
      </c>
      <c r="G149" s="26" t="n">
        <v>35520</v>
      </c>
      <c r="H149" s="26">
        <f>B149&amp;I149</f>
        <v/>
      </c>
      <c r="I149" s="26" t="inlineStr">
        <is>
          <t>GARANT BLACK CURRANT 15/20 DC ENV TBGS-FT</t>
        </is>
      </c>
      <c r="J149" s="26" t="inlineStr">
        <is>
          <t>MD20 ENV GARANT</t>
        </is>
      </c>
      <c r="K149" s="26">
        <f>J149&amp;"-"&amp;TEXT(W149,"dd-mmm-yy")</f>
        <v/>
      </c>
      <c r="L149" s="26">
        <f>IFERROR(VLOOKUP($M149,'ITEM MASTER'!E:H,4,0),"")</f>
        <v/>
      </c>
      <c r="M149" s="26">
        <f>IFERROR(VLOOKUP($I149,'ITEM MASTER'!B:E,4,0),"")</f>
        <v/>
      </c>
      <c r="N149" s="26">
        <f>IFERROR(VLOOKUP($I149,'ITEM MASTER'!B:F,5,0),0)</f>
        <v/>
      </c>
      <c r="O149" s="26">
        <f>IFERROR(VLOOKUP($M149,'TBGS PER CTN'!B:C,2,0),0)</f>
        <v/>
      </c>
      <c r="P149" s="26" t="n">
        <v>500</v>
      </c>
      <c r="Q149" s="26" t="n">
        <v>0</v>
      </c>
      <c r="R149" s="26" t="n">
        <v>0</v>
      </c>
      <c r="S149" s="26">
        <f>Q149+R149</f>
        <v/>
      </c>
      <c r="T149" s="29" t="n">
        <v>500</v>
      </c>
      <c r="U149" s="29">
        <f>N149*O149*T149</f>
        <v/>
      </c>
      <c r="V149" s="82">
        <f>IF(ISNUMBER($D149),$D149-WEEKDAY($D149,3),'ORDER VS WEEK DISTRIBUTION'!$G$500)</f>
        <v/>
      </c>
      <c r="W149" s="82">
        <f>MAX($V149,'ORDER VS WEEK DISTRIBUTION'!$G$500)</f>
        <v/>
      </c>
      <c r="X149" s="26">
        <f>IFERROR(VLOOKUP($J149,'ORDER VS WEEK DISTRIBUTION'!$T:$U,2,0),"")</f>
        <v/>
      </c>
      <c r="Y149" s="26">
        <f>IFERROR($T149/IF(IFERROR(VLOOKUP($I149,'ITEM CFC PER CONTAINER'!$A:$B,2,0),0)&gt;0,VLOOKUP($I149,'ITEM CFC PER CONTAINER'!$A:$B,2,0),VLOOKUP($X149,'MC MASTER'!$A:$Q,16,0)),"")</f>
        <v/>
      </c>
    </row>
    <row r="150" ht="15" customHeight="1" s="5">
      <c r="A150" s="26" t="inlineStr">
        <is>
          <t>Dagab Inkop &amp; Logistik Ab</t>
        </is>
      </c>
      <c r="B150" s="26" t="inlineStr">
        <is>
          <t>MJIL/SO/26035256</t>
        </is>
      </c>
      <c r="C150" s="26" t="inlineStr">
        <is>
          <t>F340739694</t>
        </is>
      </c>
      <c r="D150" s="82" t="n">
        <v>46304</v>
      </c>
      <c r="E150" s="83">
        <f>IF(ISNUMBER($D150),EOMONTH($D150,-1)+1,"")</f>
        <v/>
      </c>
      <c r="F150" s="82" t="n">
        <v>46304</v>
      </c>
      <c r="G150" s="26" t="n">
        <v>34989</v>
      </c>
      <c r="H150" s="26">
        <f>B150&amp;I150</f>
        <v/>
      </c>
      <c r="I150" s="26" t="inlineStr">
        <is>
          <t>ELDORADO 12/100 DC TAG TBGS</t>
        </is>
      </c>
      <c r="J150" s="26" t="inlineStr">
        <is>
          <t>PERFECTA  K 45 TAG</t>
        </is>
      </c>
      <c r="K150" s="26">
        <f>J150&amp;"-"&amp;TEXT(W150,"dd-mmm-yy")</f>
        <v/>
      </c>
      <c r="L150" s="26">
        <f>IFERROR(VLOOKUP($M150,'ITEM MASTER'!E:H,4,0),"")</f>
        <v/>
      </c>
      <c r="M150" s="26">
        <f>IFERROR(VLOOKUP($I150,'ITEM MASTER'!B:E,4,0),"")</f>
        <v/>
      </c>
      <c r="N150" s="26">
        <f>IFERROR(VLOOKUP($I150,'ITEM MASTER'!B:F,5,0),0)</f>
        <v/>
      </c>
      <c r="O150" s="26">
        <f>IFERROR(VLOOKUP($M150,'TBGS PER CTN'!B:C,2,0),0)</f>
        <v/>
      </c>
      <c r="P150" s="26" t="n">
        <v>540</v>
      </c>
      <c r="Q150" s="26" t="n">
        <v>47</v>
      </c>
      <c r="R150" s="26" t="n">
        <v>344</v>
      </c>
      <c r="S150" s="26">
        <f>Q150+R150</f>
        <v/>
      </c>
      <c r="T150" s="29" t="n">
        <v>149</v>
      </c>
      <c r="U150" s="29">
        <f>N150*O150*T150</f>
        <v/>
      </c>
      <c r="V150" s="82">
        <f>IF(ISNUMBER($D150),$D150-WEEKDAY($D150,3),'ORDER VS WEEK DISTRIBUTION'!$G$500)</f>
        <v/>
      </c>
      <c r="W150" s="82">
        <f>MAX($V150,'ORDER VS WEEK DISTRIBUTION'!$G$500)</f>
        <v/>
      </c>
      <c r="X150" s="26">
        <f>IFERROR(VLOOKUP($J150,'ORDER VS WEEK DISTRIBUTION'!$T:$U,2,0),"")</f>
        <v/>
      </c>
      <c r="Y150" s="26">
        <f>IFERROR($T150/IF(IFERROR(VLOOKUP($I150,'ITEM CFC PER CONTAINER'!$A:$B,2,0),0)&gt;0,VLOOKUP($I150,'ITEM CFC PER CONTAINER'!$A:$B,2,0),VLOOKUP($X150,'MC MASTER'!$A:$Q,16,0)),"")</f>
        <v/>
      </c>
    </row>
    <row r="151" ht="15" customHeight="1" s="5">
      <c r="A151" s="26" t="inlineStr">
        <is>
          <t>Dagab Inkop &amp; Logistik Ab</t>
        </is>
      </c>
      <c r="B151" s="26" t="inlineStr">
        <is>
          <t>MJIL/SO/26035256</t>
        </is>
      </c>
      <c r="C151" s="26" t="inlineStr">
        <is>
          <t>F340739694</t>
        </is>
      </c>
      <c r="D151" s="82" t="n">
        <v>46304</v>
      </c>
      <c r="E151" s="83">
        <f>IF(ISNUMBER($D151),EOMONTH($D151,-1)+1,"")</f>
        <v/>
      </c>
      <c r="F151" s="82" t="n">
        <v>46304</v>
      </c>
      <c r="G151" s="26" t="n">
        <v>35543</v>
      </c>
      <c r="H151" s="26">
        <f>B151&amp;I151</f>
        <v/>
      </c>
      <c r="I151" s="26" t="inlineStr">
        <is>
          <t>GARANT PEPPARMYNT TE 15/20 DC ENV TBGS (v2)</t>
        </is>
      </c>
      <c r="J151" s="26" t="inlineStr">
        <is>
          <t>MD20 ENV GARANT</t>
        </is>
      </c>
      <c r="K151" s="26">
        <f>J151&amp;"-"&amp;TEXT(W151,"dd-mmm-yy")</f>
        <v/>
      </c>
      <c r="L151" s="26">
        <f>IFERROR(VLOOKUP($M151,'ITEM MASTER'!E:H,4,0),"")</f>
        <v/>
      </c>
      <c r="M151" s="26">
        <f>IFERROR(VLOOKUP($I151,'ITEM MASTER'!B:E,4,0),"")</f>
        <v/>
      </c>
      <c r="N151" s="26">
        <f>IFERROR(VLOOKUP($I151,'ITEM MASTER'!B:F,5,0),0)</f>
        <v/>
      </c>
      <c r="O151" s="26">
        <f>IFERROR(VLOOKUP($M151,'TBGS PER CTN'!B:C,2,0),0)</f>
        <v/>
      </c>
      <c r="P151" s="26" t="n">
        <v>600</v>
      </c>
      <c r="Q151" s="26" t="n">
        <v>160</v>
      </c>
      <c r="R151" s="26" t="n">
        <v>90</v>
      </c>
      <c r="S151" s="26">
        <f>Q151+R151</f>
        <v/>
      </c>
      <c r="T151" s="29" t="n">
        <v>350</v>
      </c>
      <c r="U151" s="29">
        <f>N151*O151*T151</f>
        <v/>
      </c>
      <c r="V151" s="82">
        <f>IF(ISNUMBER($D151),$D151-WEEKDAY($D151,3),'ORDER VS WEEK DISTRIBUTION'!$G$500)</f>
        <v/>
      </c>
      <c r="W151" s="82">
        <f>MAX($V151,'ORDER VS WEEK DISTRIBUTION'!$G$500)</f>
        <v/>
      </c>
      <c r="X151" s="26">
        <f>IFERROR(VLOOKUP($J151,'ORDER VS WEEK DISTRIBUTION'!$T:$U,2,0),"")</f>
        <v/>
      </c>
      <c r="Y151" s="26">
        <f>IFERROR($T151/IF(IFERROR(VLOOKUP($I151,'ITEM CFC PER CONTAINER'!$A:$B,2,0),0)&gt;0,VLOOKUP($I151,'ITEM CFC PER CONTAINER'!$A:$B,2,0),VLOOKUP($X151,'MC MASTER'!$A:$Q,16,0)),"")</f>
        <v/>
      </c>
    </row>
    <row r="152" ht="15" customHeight="1" s="5">
      <c r="A152" s="26" t="inlineStr">
        <is>
          <t>Dagab Inkop &amp; Logistik Ab</t>
        </is>
      </c>
      <c r="B152" s="26" t="inlineStr">
        <is>
          <t>MJIL/SO/26035256</t>
        </is>
      </c>
      <c r="C152" s="26" t="inlineStr">
        <is>
          <t>F340739694</t>
        </is>
      </c>
      <c r="D152" s="82" t="n">
        <v>46304</v>
      </c>
      <c r="E152" s="83">
        <f>IF(ISNUMBER($D152),EOMONTH($D152,-1)+1,"")</f>
        <v/>
      </c>
      <c r="F152" s="82" t="n">
        <v>46304</v>
      </c>
      <c r="G152" s="26" t="n">
        <v>35542</v>
      </c>
      <c r="H152" s="26">
        <f>B152&amp;I152</f>
        <v/>
      </c>
      <c r="I152" s="26" t="inlineStr">
        <is>
          <t>GARANT KAMOMILL TE 15/20 DC ENV TBGS (V2)</t>
        </is>
      </c>
      <c r="J152" s="26" t="inlineStr">
        <is>
          <t>MD20 ENV GARANT</t>
        </is>
      </c>
      <c r="K152" s="26">
        <f>J152&amp;"-"&amp;TEXT(W152,"dd-mmm-yy")</f>
        <v/>
      </c>
      <c r="L152" s="26">
        <f>IFERROR(VLOOKUP($M152,'ITEM MASTER'!E:H,4,0),"")</f>
        <v/>
      </c>
      <c r="M152" s="26">
        <f>IFERROR(VLOOKUP($I152,'ITEM MASTER'!B:E,4,0),"")</f>
        <v/>
      </c>
      <c r="N152" s="26">
        <f>IFERROR(VLOOKUP($I152,'ITEM MASTER'!B:F,5,0),0)</f>
        <v/>
      </c>
      <c r="O152" s="26">
        <f>IFERROR(VLOOKUP($M152,'TBGS PER CTN'!B:C,2,0),0)</f>
        <v/>
      </c>
      <c r="P152" s="26" t="n">
        <v>500</v>
      </c>
      <c r="Q152" s="26" t="n">
        <v>0</v>
      </c>
      <c r="R152" s="26" t="n">
        <v>200</v>
      </c>
      <c r="S152" s="26">
        <f>Q152+R152</f>
        <v/>
      </c>
      <c r="T152" s="29" t="n">
        <v>300</v>
      </c>
      <c r="U152" s="29">
        <f>N152*O152*T152</f>
        <v/>
      </c>
      <c r="V152" s="82">
        <f>IF(ISNUMBER($D152),$D152-WEEKDAY($D152,3),'ORDER VS WEEK DISTRIBUTION'!$G$500)</f>
        <v/>
      </c>
      <c r="W152" s="82">
        <f>MAX($V152,'ORDER VS WEEK DISTRIBUTION'!$G$500)</f>
        <v/>
      </c>
      <c r="X152" s="26">
        <f>IFERROR(VLOOKUP($J152,'ORDER VS WEEK DISTRIBUTION'!$T:$U,2,0),"")</f>
        <v/>
      </c>
      <c r="Y152" s="26">
        <f>IFERROR($T152/IF(IFERROR(VLOOKUP($I152,'ITEM CFC PER CONTAINER'!$A:$B,2,0),0)&gt;0,VLOOKUP($I152,'ITEM CFC PER CONTAINER'!$A:$B,2,0),VLOOKUP($X152,'MC MASTER'!$A:$Q,16,0)),"")</f>
        <v/>
      </c>
    </row>
    <row r="153" ht="15" customHeight="1" s="5">
      <c r="A153" s="26" t="inlineStr">
        <is>
          <t>Dagab Inkop &amp; Logistik Ab</t>
        </is>
      </c>
      <c r="B153" s="26" t="inlineStr">
        <is>
          <t>MJIL/SO/26035256</t>
        </is>
      </c>
      <c r="C153" s="26" t="inlineStr">
        <is>
          <t>F340739694</t>
        </is>
      </c>
      <c r="D153" s="82" t="n">
        <v>46304</v>
      </c>
      <c r="E153" s="83">
        <f>IF(ISNUMBER($D153),EOMONTH($D153,-1)+1,"")</f>
        <v/>
      </c>
      <c r="F153" s="82" t="n">
        <v>46304</v>
      </c>
      <c r="G153" s="26" t="n">
        <v>36028</v>
      </c>
      <c r="H153" s="26">
        <f>B153&amp;I153</f>
        <v/>
      </c>
      <c r="I153" s="26" t="inlineStr">
        <is>
          <t>GARANT ENGLISH BREAKFAST 6/100 DC TAG TBGS-FT</t>
        </is>
      </c>
      <c r="J153" s="26" t="inlineStr">
        <is>
          <t>PERFECTA  K 45 TAG</t>
        </is>
      </c>
      <c r="K153" s="26">
        <f>J153&amp;"-"&amp;TEXT(W153,"dd-mmm-yy")</f>
        <v/>
      </c>
      <c r="L153" s="26">
        <f>IFERROR(VLOOKUP($M153,'ITEM MASTER'!E:H,4,0),"")</f>
        <v/>
      </c>
      <c r="M153" s="26">
        <f>IFERROR(VLOOKUP($I153,'ITEM MASTER'!B:E,4,0),"")</f>
        <v/>
      </c>
      <c r="N153" s="26">
        <f>IFERROR(VLOOKUP($I153,'ITEM MASTER'!B:F,5,0),0)</f>
        <v/>
      </c>
      <c r="O153" s="26">
        <f>IFERROR(VLOOKUP($M153,'TBGS PER CTN'!B:C,2,0),0)</f>
        <v/>
      </c>
      <c r="P153" s="26" t="n">
        <v>1848</v>
      </c>
      <c r="Q153" s="26" t="n">
        <v>4</v>
      </c>
      <c r="R153" s="26" t="n">
        <v>592</v>
      </c>
      <c r="S153" s="26">
        <f>Q153+R153</f>
        <v/>
      </c>
      <c r="T153" s="29" t="n">
        <v>1252</v>
      </c>
      <c r="U153" s="29">
        <f>N153*O153*T153</f>
        <v/>
      </c>
      <c r="V153" s="82">
        <f>IF(ISNUMBER($D153),$D153-WEEKDAY($D153,3),'ORDER VS WEEK DISTRIBUTION'!$G$500)</f>
        <v/>
      </c>
      <c r="W153" s="82">
        <f>MAX($V153,'ORDER VS WEEK DISTRIBUTION'!$G$500)</f>
        <v/>
      </c>
      <c r="X153" s="26">
        <f>IFERROR(VLOOKUP($J153,'ORDER VS WEEK DISTRIBUTION'!$T:$U,2,0),"")</f>
        <v/>
      </c>
      <c r="Y153" s="26">
        <f>IFERROR($T153/IF(IFERROR(VLOOKUP($I153,'ITEM CFC PER CONTAINER'!$A:$B,2,0),0)&gt;0,VLOOKUP($I153,'ITEM CFC PER CONTAINER'!$A:$B,2,0),VLOOKUP($X153,'MC MASTER'!$A:$Q,16,0)),"")</f>
        <v/>
      </c>
    </row>
    <row r="154" ht="15" customHeight="1" s="5">
      <c r="A154" s="26" t="inlineStr">
        <is>
          <t>Dagab Inkop &amp; Logistik Ab</t>
        </is>
      </c>
      <c r="B154" s="26" t="inlineStr">
        <is>
          <t>MJIL/SO/26035256</t>
        </is>
      </c>
      <c r="C154" s="26" t="inlineStr">
        <is>
          <t>F340739694</t>
        </is>
      </c>
      <c r="D154" s="82" t="n">
        <v>46304</v>
      </c>
      <c r="E154" s="83">
        <f>IF(ISNUMBER($D154),EOMONTH($D154,-1)+1,"")</f>
        <v/>
      </c>
      <c r="F154" s="82" t="n">
        <v>46304</v>
      </c>
      <c r="G154" s="26" t="n">
        <v>1646</v>
      </c>
      <c r="H154" s="26">
        <f>B154&amp;I154</f>
        <v/>
      </c>
      <c r="I154" s="26" t="inlineStr">
        <is>
          <t>GARANT GREEN CITRUS 12/150 GMS POUCH-100% RFA</t>
        </is>
      </c>
      <c r="J154" s="26" t="inlineStr">
        <is>
          <t>Pearl Pack-FFS POUCH</t>
        </is>
      </c>
      <c r="K154" s="26">
        <f>J154&amp;"-"&amp;TEXT(W154,"dd-mmm-yy")</f>
        <v/>
      </c>
      <c r="L154" s="26">
        <f>IFERROR(VLOOKUP($M154,'ITEM MASTER'!E:H,4,0),"")</f>
        <v/>
      </c>
      <c r="M154" s="26">
        <f>IFERROR(VLOOKUP($I154,'ITEM MASTER'!B:E,4,0),"")</f>
        <v/>
      </c>
      <c r="N154" s="26">
        <f>IFERROR(VLOOKUP($I154,'ITEM MASTER'!B:F,5,0),0)</f>
        <v/>
      </c>
      <c r="O154" s="26">
        <f>IFERROR(VLOOKUP($M154,'TBGS PER CTN'!B:C,2,0),0)</f>
        <v/>
      </c>
      <c r="P154" s="26" t="n">
        <v>525</v>
      </c>
      <c r="Q154" s="26" t="n">
        <v>0</v>
      </c>
      <c r="R154" s="26" t="n">
        <v>0</v>
      </c>
      <c r="S154" s="26">
        <f>Q154+R154</f>
        <v/>
      </c>
      <c r="T154" s="29" t="n">
        <v>525</v>
      </c>
      <c r="U154" s="29">
        <f>N154*O154*T154</f>
        <v/>
      </c>
      <c r="V154" s="82">
        <f>IF(ISNUMBER($D154),$D154-WEEKDAY($D154,3),'ORDER VS WEEK DISTRIBUTION'!$G$500)</f>
        <v/>
      </c>
      <c r="W154" s="82">
        <f>MAX($V154,'ORDER VS WEEK DISTRIBUTION'!$G$500)</f>
        <v/>
      </c>
      <c r="X154" s="26">
        <f>IFERROR(VLOOKUP($J154,'ORDER VS WEEK DISTRIBUTION'!$T:$U,2,0),"")</f>
        <v/>
      </c>
      <c r="Y154" s="26">
        <f>IFERROR($T154/IF(IFERROR(VLOOKUP($I154,'ITEM CFC PER CONTAINER'!$A:$B,2,0),0)&gt;0,VLOOKUP($I154,'ITEM CFC PER CONTAINER'!$A:$B,2,0),VLOOKUP($X154,'MC MASTER'!$A:$Q,16,0)),"")</f>
        <v/>
      </c>
    </row>
    <row r="155" ht="15" customHeight="1" s="5">
      <c r="A155" s="26" t="inlineStr">
        <is>
          <t>MATATA TRADE FZE DMCC</t>
        </is>
      </c>
      <c r="B155" s="26" t="inlineStr">
        <is>
          <t>MJIL/SO/25066830</t>
        </is>
      </c>
      <c r="C155" s="26" t="inlineStr">
        <is>
          <t>MJ-239/25-26/ 10, 11 &amp; 12 (MA26149)</t>
        </is>
      </c>
      <c r="D155" s="82" t="n">
        <v>46305</v>
      </c>
      <c r="E155" s="83">
        <f>IF(ISNUMBER($D155),EOMONTH($D155,-1)+1,"")</f>
        <v/>
      </c>
      <c r="F155" s="82" t="n">
        <v>46305</v>
      </c>
      <c r="G155" s="26" t="n">
        <v>23621</v>
      </c>
      <c r="H155" s="26">
        <f>B155&amp;I155</f>
        <v/>
      </c>
      <c r="I155" s="26" t="inlineStr">
        <is>
          <t>KHAIMA CRANBERRY APPLE 45/25 DC ENV TBGS</t>
        </is>
      </c>
      <c r="J155" s="30" t="inlineStr">
        <is>
          <t>CONSTANTA ENV</t>
        </is>
      </c>
      <c r="K155" s="26">
        <f>J155&amp;"-"&amp;TEXT(W155,"dd-mmm-yy")</f>
        <v/>
      </c>
      <c r="L155" s="26">
        <f>IFERROR(VLOOKUP($M155,'ITEM MASTER'!E:H,4,0),"")</f>
        <v/>
      </c>
      <c r="M155" s="26">
        <f>IFERROR(VLOOKUP($I155,'ITEM MASTER'!B:E,4,0),"")</f>
        <v/>
      </c>
      <c r="N155" s="26">
        <f>IFERROR(VLOOKUP($I155,'ITEM MASTER'!B:F,5,0),0)</f>
        <v/>
      </c>
      <c r="O155" s="26">
        <f>IFERROR(VLOOKUP($M155,'TBGS PER CTN'!B:C,2,0),0)</f>
        <v/>
      </c>
      <c r="P155" s="26" t="n">
        <v>9990</v>
      </c>
      <c r="Q155" s="26" t="n">
        <v>0</v>
      </c>
      <c r="R155" s="26" t="n">
        <v>0</v>
      </c>
      <c r="S155" s="26">
        <f>Q155+R155</f>
        <v/>
      </c>
      <c r="T155" s="29" t="n">
        <v>9990</v>
      </c>
      <c r="U155" s="29">
        <f>N155*O155*T155</f>
        <v/>
      </c>
      <c r="V155" s="82">
        <f>IF(ISNUMBER($D155),$D155-WEEKDAY($D155,3),'ORDER VS WEEK DISTRIBUTION'!$G$500)</f>
        <v/>
      </c>
      <c r="W155" s="82">
        <f>MAX($V155,'ORDER VS WEEK DISTRIBUTION'!$G$500)</f>
        <v/>
      </c>
      <c r="X155" s="26">
        <f>IFERROR(VLOOKUP($J155,'ORDER VS WEEK DISTRIBUTION'!$T:$U,2,0),"")</f>
        <v/>
      </c>
      <c r="Y155" s="26">
        <f>IFERROR($T155/IF(IFERROR(VLOOKUP($I155,'ITEM CFC PER CONTAINER'!$A:$B,2,0),0)&gt;0,VLOOKUP($I155,'ITEM CFC PER CONTAINER'!$A:$B,2,0),VLOOKUP($X155,'MC MASTER'!$A:$Q,16,0)),"")</f>
        <v/>
      </c>
    </row>
    <row r="156" ht="15" customHeight="1" s="5">
      <c r="A156" s="26" t="inlineStr">
        <is>
          <t>Multitrade Overseas Pte. Ltd.</t>
        </is>
      </c>
      <c r="B156" s="26" t="inlineStr">
        <is>
          <t>MJIL/SO/26037908</t>
        </is>
      </c>
      <c r="C156" s="26" t="inlineStr">
        <is>
          <t>MJ-073/26-27 (BOUBACAR ISSOU)</t>
        </is>
      </c>
      <c r="D156" s="82" t="n">
        <v>46305</v>
      </c>
      <c r="E156" s="83">
        <f>IF(ISNUMBER($D156),EOMONTH($D156,-1)+1,"")</f>
        <v/>
      </c>
      <c r="F156" s="82" t="n">
        <v>46305</v>
      </c>
      <c r="G156" s="26" t="n">
        <v>20466</v>
      </c>
      <c r="H156" s="26">
        <f>B156&amp;I156</f>
        <v/>
      </c>
      <c r="I156" s="26" t="inlineStr">
        <is>
          <t>JAY GV 12/100 DC ENV TBGS</t>
        </is>
      </c>
      <c r="J156" s="30" t="inlineStr">
        <is>
          <t>CONSTANTA ENV</t>
        </is>
      </c>
      <c r="K156" s="26">
        <f>J156&amp;"-"&amp;TEXT(W156,"dd-mmm-yy")</f>
        <v/>
      </c>
      <c r="L156" s="26">
        <f>IFERROR(VLOOKUP($M156,'ITEM MASTER'!E:H,4,0),"")</f>
        <v/>
      </c>
      <c r="M156" s="26">
        <f>IFERROR(VLOOKUP($I156,'ITEM MASTER'!B:E,4,0),"")</f>
        <v/>
      </c>
      <c r="N156" s="26">
        <f>IFERROR(VLOOKUP($I156,'ITEM MASTER'!B:F,5,0),0)</f>
        <v/>
      </c>
      <c r="O156" s="26">
        <f>IFERROR(VLOOKUP($M156,'TBGS PER CTN'!B:C,2,0),0)</f>
        <v/>
      </c>
      <c r="P156" s="26" t="n">
        <v>500</v>
      </c>
      <c r="Q156" s="26" t="n">
        <v>0</v>
      </c>
      <c r="R156" s="26" t="n">
        <v>2</v>
      </c>
      <c r="S156" s="26">
        <f>Q156+R156</f>
        <v/>
      </c>
      <c r="T156" s="29" t="n">
        <v>498</v>
      </c>
      <c r="U156" s="29">
        <f>N156*O156*T156</f>
        <v/>
      </c>
      <c r="V156" s="82">
        <f>IF(ISNUMBER($D156),$D156-WEEKDAY($D156,3),'ORDER VS WEEK DISTRIBUTION'!$G$500)</f>
        <v/>
      </c>
      <c r="W156" s="82">
        <f>MAX($V156,'ORDER VS WEEK DISTRIBUTION'!$G$500)</f>
        <v/>
      </c>
      <c r="X156" s="26">
        <f>IFERROR(VLOOKUP($J156,'ORDER VS WEEK DISTRIBUTION'!$T:$U,2,0),"")</f>
        <v/>
      </c>
      <c r="Y156" s="26">
        <f>IFERROR($T156/IF(IFERROR(VLOOKUP($I156,'ITEM CFC PER CONTAINER'!$A:$B,2,0),0)&gt;0,VLOOKUP($I156,'ITEM CFC PER CONTAINER'!$A:$B,2,0),VLOOKUP($X156,'MC MASTER'!$A:$Q,16,0)),"")</f>
        <v/>
      </c>
    </row>
    <row r="157" ht="15" customHeight="1" s="5">
      <c r="A157" s="26" t="inlineStr">
        <is>
          <t>Multitrade Overseas Pte. Ltd.</t>
        </is>
      </c>
      <c r="B157" s="26" t="inlineStr">
        <is>
          <t>MJIL/SO/26037908</t>
        </is>
      </c>
      <c r="C157" s="26" t="inlineStr">
        <is>
          <t>MJ-073/26-27 (BOUBACAR ISSOU)</t>
        </is>
      </c>
      <c r="D157" s="82" t="n">
        <v>46305</v>
      </c>
      <c r="E157" s="83">
        <f>IF(ISNUMBER($D157),EOMONTH($D157,-1)+1,"")</f>
        <v/>
      </c>
      <c r="F157" s="82" t="n">
        <v>46305</v>
      </c>
      <c r="G157" s="26" t="n">
        <v>22922</v>
      </c>
      <c r="H157" s="26">
        <f>B157&amp;I157</f>
        <v/>
      </c>
      <c r="I157" s="26" t="inlineStr">
        <is>
          <t>GV MINT 48/25 DC ENV TBGS</t>
        </is>
      </c>
      <c r="J157" s="30" t="inlineStr">
        <is>
          <t>CONSTANTA ENV</t>
        </is>
      </c>
      <c r="K157" s="26">
        <f>J157&amp;"-"&amp;TEXT(W157,"dd-mmm-yy")</f>
        <v/>
      </c>
      <c r="L157" s="26">
        <f>IFERROR(VLOOKUP($M157,'ITEM MASTER'!E:H,4,0),"")</f>
        <v/>
      </c>
      <c r="M157" s="26">
        <f>IFERROR(VLOOKUP($I157,'ITEM MASTER'!B:E,4,0),"")</f>
        <v/>
      </c>
      <c r="N157" s="26">
        <f>IFERROR(VLOOKUP($I157,'ITEM MASTER'!B:F,5,0),0)</f>
        <v/>
      </c>
      <c r="O157" s="26">
        <f>IFERROR(VLOOKUP($M157,'TBGS PER CTN'!B:C,2,0),0)</f>
        <v/>
      </c>
      <c r="P157" s="26" t="n">
        <v>300</v>
      </c>
      <c r="Q157" s="26" t="n">
        <v>0</v>
      </c>
      <c r="R157" s="26" t="n">
        <v>0</v>
      </c>
      <c r="S157" s="26">
        <f>Q157+R157</f>
        <v/>
      </c>
      <c r="T157" s="29" t="n">
        <v>300</v>
      </c>
      <c r="U157" s="29">
        <f>N157*O157*T157</f>
        <v/>
      </c>
      <c r="V157" s="82">
        <f>IF(ISNUMBER($D157),$D157-WEEKDAY($D157,3),'ORDER VS WEEK DISTRIBUTION'!$G$500)</f>
        <v/>
      </c>
      <c r="W157" s="82">
        <f>MAX($V157,'ORDER VS WEEK DISTRIBUTION'!$G$500)</f>
        <v/>
      </c>
      <c r="X157" s="26">
        <f>IFERROR(VLOOKUP($J157,'ORDER VS WEEK DISTRIBUTION'!$T:$U,2,0),"")</f>
        <v/>
      </c>
      <c r="Y157" s="26">
        <f>IFERROR($T157/IF(IFERROR(VLOOKUP($I157,'ITEM CFC PER CONTAINER'!$A:$B,2,0),0)&gt;0,VLOOKUP($I157,'ITEM CFC PER CONTAINER'!$A:$B,2,0),VLOOKUP($X157,'MC MASTER'!$A:$Q,16,0)),"")</f>
        <v/>
      </c>
    </row>
    <row r="158" ht="15" customHeight="1" s="5">
      <c r="A158" s="26" t="inlineStr">
        <is>
          <t>Multitrade Overseas Pte. Ltd.</t>
        </is>
      </c>
      <c r="B158" s="26" t="inlineStr">
        <is>
          <t>MJIL/SO/26037908</t>
        </is>
      </c>
      <c r="C158" s="26" t="inlineStr">
        <is>
          <t>MJ-073/26-27 (BOUBACAR ISSOU)</t>
        </is>
      </c>
      <c r="D158" s="82" t="n">
        <v>46305</v>
      </c>
      <c r="E158" s="83">
        <f>IF(ISNUMBER($D158),EOMONTH($D158,-1)+1,"")</f>
        <v/>
      </c>
      <c r="F158" s="82" t="n">
        <v>46305</v>
      </c>
      <c r="G158" s="26" t="n">
        <v>26083</v>
      </c>
      <c r="H158" s="26">
        <f>B158&amp;I158</f>
        <v/>
      </c>
      <c r="I158" s="26" t="inlineStr">
        <is>
          <t>GV GARDEN STRAWBERRY 48/25 DC ENV TBGS</t>
        </is>
      </c>
      <c r="J158" s="30" t="inlineStr">
        <is>
          <t>CONSTANTA ENV</t>
        </is>
      </c>
      <c r="K158" s="26">
        <f>J158&amp;"-"&amp;TEXT(W158,"dd-mmm-yy")</f>
        <v/>
      </c>
      <c r="L158" s="26">
        <f>IFERROR(VLOOKUP($M158,'ITEM MASTER'!E:H,4,0),"")</f>
        <v/>
      </c>
      <c r="M158" s="26">
        <f>IFERROR(VLOOKUP($I158,'ITEM MASTER'!B:E,4,0),"")</f>
        <v/>
      </c>
      <c r="N158" s="26">
        <f>IFERROR(VLOOKUP($I158,'ITEM MASTER'!B:F,5,0),0)</f>
        <v/>
      </c>
      <c r="O158" s="26">
        <f>IFERROR(VLOOKUP($M158,'TBGS PER CTN'!B:C,2,0),0)</f>
        <v/>
      </c>
      <c r="P158" s="26" t="n">
        <v>300</v>
      </c>
      <c r="Q158" s="26" t="n">
        <v>0</v>
      </c>
      <c r="R158" s="26" t="n">
        <v>300</v>
      </c>
      <c r="S158" s="26">
        <f>Q158+R158</f>
        <v/>
      </c>
      <c r="T158" s="29" t="n">
        <v>0</v>
      </c>
      <c r="U158" s="29">
        <f>N158*O158*T158</f>
        <v/>
      </c>
      <c r="V158" s="82">
        <f>IF(ISNUMBER($D158),$D158-WEEKDAY($D158,3),'ORDER VS WEEK DISTRIBUTION'!$G$500)</f>
        <v/>
      </c>
      <c r="W158" s="82">
        <f>MAX($V158,'ORDER VS WEEK DISTRIBUTION'!$G$500)</f>
        <v/>
      </c>
      <c r="X158" s="26">
        <f>IFERROR(VLOOKUP($J158,'ORDER VS WEEK DISTRIBUTION'!$T:$U,2,0),"")</f>
        <v/>
      </c>
      <c r="Y158" s="26">
        <f>IFERROR($T158/IF(IFERROR(VLOOKUP($I158,'ITEM CFC PER CONTAINER'!$A:$B,2,0),0)&gt;0,VLOOKUP($I158,'ITEM CFC PER CONTAINER'!$A:$B,2,0),VLOOKUP($X158,'MC MASTER'!$A:$Q,16,0)),"")</f>
        <v/>
      </c>
    </row>
    <row r="159" ht="15" customHeight="1" s="5">
      <c r="A159" s="26" t="inlineStr">
        <is>
          <t>Multitrade Overseas Pte. Ltd.</t>
        </is>
      </c>
      <c r="B159" s="26" t="inlineStr">
        <is>
          <t>MJIL/SO/26037908</t>
        </is>
      </c>
      <c r="C159" s="26" t="inlineStr">
        <is>
          <t>MJ-073/26-27 (BOUBACAR ISSOU)</t>
        </is>
      </c>
      <c r="D159" s="82" t="n">
        <v>46305</v>
      </c>
      <c r="E159" s="83">
        <f>IF(ISNUMBER($D159),EOMONTH($D159,-1)+1,"")</f>
        <v/>
      </c>
      <c r="F159" s="82" t="n">
        <v>46305</v>
      </c>
      <c r="G159" s="26" t="n">
        <v>26084</v>
      </c>
      <c r="H159" s="26">
        <f>B159&amp;I159</f>
        <v/>
      </c>
      <c r="I159" s="26" t="inlineStr">
        <is>
          <t>GV COCKTAIL 48/25 DC ENV TBGS</t>
        </is>
      </c>
      <c r="J159" s="30" t="inlineStr">
        <is>
          <t>CONSTANTA ENV</t>
        </is>
      </c>
      <c r="K159" s="26">
        <f>J159&amp;"-"&amp;TEXT(W159,"dd-mmm-yy")</f>
        <v/>
      </c>
      <c r="L159" s="26">
        <f>IFERROR(VLOOKUP($M159,'ITEM MASTER'!E:H,4,0),"")</f>
        <v/>
      </c>
      <c r="M159" s="26">
        <f>IFERROR(VLOOKUP($I159,'ITEM MASTER'!B:E,4,0),"")</f>
        <v/>
      </c>
      <c r="N159" s="26">
        <f>IFERROR(VLOOKUP($I159,'ITEM MASTER'!B:F,5,0),0)</f>
        <v/>
      </c>
      <c r="O159" s="26">
        <f>IFERROR(VLOOKUP($M159,'TBGS PER CTN'!B:C,2,0),0)</f>
        <v/>
      </c>
      <c r="P159" s="26" t="n">
        <v>300</v>
      </c>
      <c r="Q159" s="26" t="n">
        <v>87</v>
      </c>
      <c r="R159" s="26" t="n">
        <v>209</v>
      </c>
      <c r="S159" s="26">
        <f>Q159+R159</f>
        <v/>
      </c>
      <c r="T159" s="29" t="n">
        <v>4</v>
      </c>
      <c r="U159" s="29">
        <f>N159*O159*T159</f>
        <v/>
      </c>
      <c r="V159" s="82">
        <f>IF(ISNUMBER($D159),$D159-WEEKDAY($D159,3),'ORDER VS WEEK DISTRIBUTION'!$G$500)</f>
        <v/>
      </c>
      <c r="W159" s="82">
        <f>MAX($V159,'ORDER VS WEEK DISTRIBUTION'!$G$500)</f>
        <v/>
      </c>
      <c r="X159" s="26">
        <f>IFERROR(VLOOKUP($J159,'ORDER VS WEEK DISTRIBUTION'!$T:$U,2,0),"")</f>
        <v/>
      </c>
      <c r="Y159" s="26">
        <f>IFERROR($T159/IF(IFERROR(VLOOKUP($I159,'ITEM CFC PER CONTAINER'!$A:$B,2,0),0)&gt;0,VLOOKUP($I159,'ITEM CFC PER CONTAINER'!$A:$B,2,0),VLOOKUP($X159,'MC MASTER'!$A:$Q,16,0)),"")</f>
        <v/>
      </c>
    </row>
    <row r="160" ht="15" customHeight="1" s="5">
      <c r="A160" s="26" t="inlineStr">
        <is>
          <t>Multitrade Overseas Pte. Ltd.</t>
        </is>
      </c>
      <c r="B160" s="26" t="inlineStr">
        <is>
          <t>MJIL/SO/26037908</t>
        </is>
      </c>
      <c r="C160" s="26" t="inlineStr">
        <is>
          <t>MJ-073/26-27 (BOUBACAR ISSOU)</t>
        </is>
      </c>
      <c r="D160" s="82" t="n">
        <v>46305</v>
      </c>
      <c r="E160" s="83">
        <f>IF(ISNUMBER($D160),EOMONTH($D160,-1)+1,"")</f>
        <v/>
      </c>
      <c r="F160" s="82" t="n">
        <v>46305</v>
      </c>
      <c r="G160" s="26" t="n">
        <v>31223</v>
      </c>
      <c r="H160" s="26">
        <f>B160&amp;I160</f>
        <v/>
      </c>
      <c r="I160" s="26" t="inlineStr">
        <is>
          <t>GV CRANBERRY APPLE 48/25 DC ENV TBGS</t>
        </is>
      </c>
      <c r="J160" s="30" t="inlineStr">
        <is>
          <t>CONSTANTA ENV</t>
        </is>
      </c>
      <c r="K160" s="26">
        <f>J160&amp;"-"&amp;TEXT(W160,"dd-mmm-yy")</f>
        <v/>
      </c>
      <c r="L160" s="26">
        <f>IFERROR(VLOOKUP($M160,'ITEM MASTER'!E:H,4,0),"")</f>
        <v/>
      </c>
      <c r="M160" s="26">
        <f>IFERROR(VLOOKUP($I160,'ITEM MASTER'!B:E,4,0),"")</f>
        <v/>
      </c>
      <c r="N160" s="26">
        <f>IFERROR(VLOOKUP($I160,'ITEM MASTER'!B:F,5,0),0)</f>
        <v/>
      </c>
      <c r="O160" s="26">
        <f>IFERROR(VLOOKUP($M160,'TBGS PER CTN'!B:C,2,0),0)</f>
        <v/>
      </c>
      <c r="P160" s="26" t="n">
        <v>300</v>
      </c>
      <c r="Q160" s="26" t="n">
        <v>67</v>
      </c>
      <c r="R160" s="26" t="n">
        <v>2</v>
      </c>
      <c r="S160" s="26">
        <f>Q160+R160</f>
        <v/>
      </c>
      <c r="T160" s="29" t="n">
        <v>231</v>
      </c>
      <c r="U160" s="29">
        <f>N160*O160*T160</f>
        <v/>
      </c>
      <c r="V160" s="82">
        <f>IF(ISNUMBER($D160),$D160-WEEKDAY($D160,3),'ORDER VS WEEK DISTRIBUTION'!$G$500)</f>
        <v/>
      </c>
      <c r="W160" s="82">
        <f>MAX($V160,'ORDER VS WEEK DISTRIBUTION'!$G$500)</f>
        <v/>
      </c>
      <c r="X160" s="26">
        <f>IFERROR(VLOOKUP($J160,'ORDER VS WEEK DISTRIBUTION'!$T:$U,2,0),"")</f>
        <v/>
      </c>
      <c r="Y160" s="26">
        <f>IFERROR($T160/IF(IFERROR(VLOOKUP($I160,'ITEM CFC PER CONTAINER'!$A:$B,2,0),0)&gt;0,VLOOKUP($I160,'ITEM CFC PER CONTAINER'!$A:$B,2,0),VLOOKUP($X160,'MC MASTER'!$A:$Q,16,0)),"")</f>
        <v/>
      </c>
    </row>
    <row r="161" ht="15" customHeight="1" s="5">
      <c r="A161" s="26" t="inlineStr">
        <is>
          <t>Multitrade Overseas Pte. Ltd.</t>
        </is>
      </c>
      <c r="B161" s="26" t="inlineStr">
        <is>
          <t>MJIL/SO/26037908</t>
        </is>
      </c>
      <c r="C161" s="26" t="inlineStr">
        <is>
          <t>MJ-073/26-27 (BOUBACAR ISSOU)</t>
        </is>
      </c>
      <c r="D161" s="82" t="n">
        <v>46305</v>
      </c>
      <c r="E161" s="83">
        <f>IF(ISNUMBER($D161),EOMONTH($D161,-1)+1,"")</f>
        <v/>
      </c>
      <c r="F161" s="82" t="n">
        <v>46305</v>
      </c>
      <c r="G161" s="26" t="n">
        <v>32446</v>
      </c>
      <c r="H161" s="26">
        <f>B161&amp;I161</f>
        <v/>
      </c>
      <c r="I161" s="26" t="inlineStr">
        <is>
          <t>GV TAMARIND 48/25 DC ENV TBGS</t>
        </is>
      </c>
      <c r="J161" s="30" t="inlineStr">
        <is>
          <t>CONSTANTA ENV</t>
        </is>
      </c>
      <c r="K161" s="26">
        <f>J161&amp;"-"&amp;TEXT(W161,"dd-mmm-yy")</f>
        <v/>
      </c>
      <c r="L161" s="26">
        <f>IFERROR(VLOOKUP($M161,'ITEM MASTER'!E:H,4,0),"")</f>
        <v/>
      </c>
      <c r="M161" s="26">
        <f>IFERROR(VLOOKUP($I161,'ITEM MASTER'!B:E,4,0),"")</f>
        <v/>
      </c>
      <c r="N161" s="26">
        <f>IFERROR(VLOOKUP($I161,'ITEM MASTER'!B:F,5,0),0)</f>
        <v/>
      </c>
      <c r="O161" s="26">
        <f>IFERROR(VLOOKUP($M161,'TBGS PER CTN'!B:C,2,0),0)</f>
        <v/>
      </c>
      <c r="P161" s="26" t="n">
        <v>100</v>
      </c>
      <c r="Q161" s="26" t="n">
        <v>0</v>
      </c>
      <c r="R161" s="26" t="n">
        <v>100</v>
      </c>
      <c r="S161" s="26">
        <f>Q161+R161</f>
        <v/>
      </c>
      <c r="T161" s="29" t="n">
        <v>0</v>
      </c>
      <c r="U161" s="29">
        <f>N161*O161*T161</f>
        <v/>
      </c>
      <c r="V161" s="82">
        <f>IF(ISNUMBER($D161),$D161-WEEKDAY($D161,3),'ORDER VS WEEK DISTRIBUTION'!$G$500)</f>
        <v/>
      </c>
      <c r="W161" s="82">
        <f>MAX($V161,'ORDER VS WEEK DISTRIBUTION'!$G$500)</f>
        <v/>
      </c>
      <c r="X161" s="26">
        <f>IFERROR(VLOOKUP($J161,'ORDER VS WEEK DISTRIBUTION'!$T:$U,2,0),"")</f>
        <v/>
      </c>
      <c r="Y161" s="26">
        <f>IFERROR($T161/IF(IFERROR(VLOOKUP($I161,'ITEM CFC PER CONTAINER'!$A:$B,2,0),0)&gt;0,VLOOKUP($I161,'ITEM CFC PER CONTAINER'!$A:$B,2,0),VLOOKUP($X161,'MC MASTER'!$A:$Q,16,0)),"")</f>
        <v/>
      </c>
    </row>
    <row r="162" ht="15" customHeight="1" s="5">
      <c r="A162" s="26" t="inlineStr">
        <is>
          <t>Multitrade Overseas Pte. Ltd.</t>
        </is>
      </c>
      <c r="B162" s="26" t="inlineStr">
        <is>
          <t>MJIL/SO/26037908</t>
        </is>
      </c>
      <c r="C162" s="26" t="inlineStr">
        <is>
          <t>MJ-073/26-27 (BOUBACAR ISSOU)</t>
        </is>
      </c>
      <c r="D162" s="82" t="n">
        <v>46305</v>
      </c>
      <c r="E162" s="83">
        <f>IF(ISNUMBER($D162),EOMONTH($D162,-1)+1,"")</f>
        <v/>
      </c>
      <c r="F162" s="82" t="n">
        <v>46305</v>
      </c>
      <c r="G162" s="26" t="n">
        <v>35258</v>
      </c>
      <c r="H162" s="26">
        <f>B162&amp;I162</f>
        <v/>
      </c>
      <c r="I162" s="26" t="inlineStr">
        <is>
          <t>GV GINGER CLOVE 48/25 DC ENV TBGS</t>
        </is>
      </c>
      <c r="J162" s="30" t="inlineStr">
        <is>
          <t>CONSTANTA ENV</t>
        </is>
      </c>
      <c r="K162" s="26">
        <f>J162&amp;"-"&amp;TEXT(W162,"dd-mmm-yy")</f>
        <v/>
      </c>
      <c r="L162" s="26">
        <f>IFERROR(VLOOKUP($M162,'ITEM MASTER'!E:H,4,0),"")</f>
        <v/>
      </c>
      <c r="M162" s="26">
        <f>IFERROR(VLOOKUP($I162,'ITEM MASTER'!B:E,4,0),"")</f>
        <v/>
      </c>
      <c r="N162" s="26">
        <f>IFERROR(VLOOKUP($I162,'ITEM MASTER'!B:F,5,0),0)</f>
        <v/>
      </c>
      <c r="O162" s="26">
        <f>IFERROR(VLOOKUP($M162,'TBGS PER CTN'!B:C,2,0),0)</f>
        <v/>
      </c>
      <c r="P162" s="26" t="n">
        <v>300</v>
      </c>
      <c r="Q162" s="26" t="n">
        <v>3</v>
      </c>
      <c r="R162" s="26" t="n">
        <v>0</v>
      </c>
      <c r="S162" s="26">
        <f>Q162+R162</f>
        <v/>
      </c>
      <c r="T162" s="29" t="n">
        <v>297</v>
      </c>
      <c r="U162" s="29">
        <f>N162*O162*T162</f>
        <v/>
      </c>
      <c r="V162" s="82">
        <f>IF(ISNUMBER($D162),$D162-WEEKDAY($D162,3),'ORDER VS WEEK DISTRIBUTION'!$G$500)</f>
        <v/>
      </c>
      <c r="W162" s="82">
        <f>MAX($V162,'ORDER VS WEEK DISTRIBUTION'!$G$500)</f>
        <v/>
      </c>
      <c r="X162" s="26">
        <f>IFERROR(VLOOKUP($J162,'ORDER VS WEEK DISTRIBUTION'!$T:$U,2,0),"")</f>
        <v/>
      </c>
      <c r="Y162" s="26">
        <f>IFERROR($T162/IF(IFERROR(VLOOKUP($I162,'ITEM CFC PER CONTAINER'!$A:$B,2,0),0)&gt;0,VLOOKUP($I162,'ITEM CFC PER CONTAINER'!$A:$B,2,0),VLOOKUP($X162,'MC MASTER'!$A:$Q,16,0)),"")</f>
        <v/>
      </c>
    </row>
    <row r="163" ht="15" customHeight="1" s="5">
      <c r="A163" s="26" t="inlineStr">
        <is>
          <t>Multitrade Overseas Pte. Ltd.</t>
        </is>
      </c>
      <c r="B163" s="26" t="inlineStr">
        <is>
          <t>MJIL/SO/26037908</t>
        </is>
      </c>
      <c r="C163" s="26" t="inlineStr">
        <is>
          <t>MJ-073/26-27 (BOUBACAR ISSOU)</t>
        </is>
      </c>
      <c r="D163" s="82" t="n">
        <v>46305</v>
      </c>
      <c r="E163" s="83">
        <f>IF(ISNUMBER($D163),EOMONTH($D163,-1)+1,"")</f>
        <v/>
      </c>
      <c r="F163" s="82" t="n">
        <v>46305</v>
      </c>
      <c r="G163" s="26" t="n">
        <v>37183</v>
      </c>
      <c r="H163" s="26">
        <f>B163&amp;I163</f>
        <v/>
      </c>
      <c r="I163" s="26" t="inlineStr">
        <is>
          <t>TEZ CAFE INSTANT COFFEE 9/150 SACHETS (15 STRIPS X 10 SACHETS X 2 GMS) WITH HANGER</t>
        </is>
      </c>
      <c r="J163" s="26" t="inlineStr">
        <is>
          <t>INSTANT COFFEE STICK PACK</t>
        </is>
      </c>
      <c r="K163" s="26">
        <f>J163&amp;"-"&amp;TEXT(W163,"dd-mmm-yy")</f>
        <v/>
      </c>
      <c r="L163" s="26">
        <f>IFERROR(VLOOKUP($M163,'ITEM MASTER'!E:H,4,0),"")</f>
        <v/>
      </c>
      <c r="M163" s="26">
        <f>IFERROR(VLOOKUP($I163,'ITEM MASTER'!B:E,4,0),"")</f>
        <v/>
      </c>
      <c r="N163" s="26">
        <f>IFERROR(VLOOKUP($I163,'ITEM MASTER'!B:F,5,0),0)</f>
        <v/>
      </c>
      <c r="O163" s="26">
        <f>IFERROR(VLOOKUP($M163,'TBGS PER CTN'!B:C,2,0),0)</f>
        <v/>
      </c>
      <c r="P163" s="26" t="n">
        <v>100</v>
      </c>
      <c r="Q163" s="26" t="n">
        <v>0</v>
      </c>
      <c r="R163" s="26" t="n">
        <v>0</v>
      </c>
      <c r="S163" s="26">
        <f>Q163+R163</f>
        <v/>
      </c>
      <c r="T163" s="29" t="n">
        <v>100</v>
      </c>
      <c r="U163" s="29">
        <f>N163*O163*T163</f>
        <v/>
      </c>
      <c r="V163" s="82">
        <f>IF(ISNUMBER($D163),$D163-WEEKDAY($D163,3),'ORDER VS WEEK DISTRIBUTION'!$G$500)</f>
        <v/>
      </c>
      <c r="W163" s="82">
        <f>MAX($V163,'ORDER VS WEEK DISTRIBUTION'!$G$500)</f>
        <v/>
      </c>
      <c r="X163" s="26">
        <f>IFERROR(VLOOKUP($J163,'ORDER VS WEEK DISTRIBUTION'!$T:$U,2,0),"")</f>
        <v/>
      </c>
      <c r="Y163" s="26">
        <f>IFERROR($T163/IF(IFERROR(VLOOKUP($I163,'ITEM CFC PER CONTAINER'!$A:$B,2,0),0)&gt;0,VLOOKUP($I163,'ITEM CFC PER CONTAINER'!$A:$B,2,0),VLOOKUP($X163,'MC MASTER'!$A:$Q,16,0)),"")</f>
        <v/>
      </c>
    </row>
    <row r="164" ht="15" customHeight="1" s="5">
      <c r="A164" s="26" t="inlineStr">
        <is>
          <t>Multitrade Overseas Pte. Ltd.</t>
        </is>
      </c>
      <c r="B164" s="26" t="inlineStr">
        <is>
          <t>MJIL/SO/26037908</t>
        </is>
      </c>
      <c r="C164" s="26" t="inlineStr">
        <is>
          <t>MJ-073/26-27 (BOUBACAR ISSOU)</t>
        </is>
      </c>
      <c r="D164" s="82" t="n">
        <v>46305</v>
      </c>
      <c r="E164" s="83">
        <f>IF(ISNUMBER($D164),EOMONTH($D164,-1)+1,"")</f>
        <v/>
      </c>
      <c r="F164" s="82" t="n">
        <v>46305</v>
      </c>
      <c r="G164" s="26" t="n">
        <v>31222</v>
      </c>
      <c r="H164" s="26">
        <f>B164&amp;I164</f>
        <v/>
      </c>
      <c r="I164" s="26" t="inlineStr">
        <is>
          <t>GV CINNAMON 48/25 DC ENV TBGS</t>
        </is>
      </c>
      <c r="J164" s="30" t="inlineStr">
        <is>
          <t>CONSTANTA ENV</t>
        </is>
      </c>
      <c r="K164" s="26">
        <f>J164&amp;"-"&amp;TEXT(W164,"dd-mmm-yy")</f>
        <v/>
      </c>
      <c r="L164" s="26">
        <f>IFERROR(VLOOKUP($M164,'ITEM MASTER'!E:H,4,0),"")</f>
        <v/>
      </c>
      <c r="M164" s="26">
        <f>IFERROR(VLOOKUP($I164,'ITEM MASTER'!B:E,4,0),"")</f>
        <v/>
      </c>
      <c r="N164" s="26">
        <f>IFERROR(VLOOKUP($I164,'ITEM MASTER'!B:F,5,0),0)</f>
        <v/>
      </c>
      <c r="O164" s="26">
        <f>IFERROR(VLOOKUP($M164,'TBGS PER CTN'!B:C,2,0),0)</f>
        <v/>
      </c>
      <c r="P164" s="26" t="n">
        <v>100</v>
      </c>
      <c r="Q164" s="26" t="n">
        <v>0</v>
      </c>
      <c r="R164" s="26" t="n">
        <v>0</v>
      </c>
      <c r="S164" s="26">
        <f>Q164+R164</f>
        <v/>
      </c>
      <c r="T164" s="29" t="n">
        <v>100</v>
      </c>
      <c r="U164" s="29">
        <f>N164*O164*T164</f>
        <v/>
      </c>
      <c r="V164" s="82">
        <f>IF(ISNUMBER($D164),$D164-WEEKDAY($D164,3),'ORDER VS WEEK DISTRIBUTION'!$G$500)</f>
        <v/>
      </c>
      <c r="W164" s="82">
        <f>MAX($V164,'ORDER VS WEEK DISTRIBUTION'!$G$500)</f>
        <v/>
      </c>
      <c r="X164" s="26">
        <f>IFERROR(VLOOKUP($J164,'ORDER VS WEEK DISTRIBUTION'!$T:$U,2,0),"")</f>
        <v/>
      </c>
      <c r="Y164" s="26">
        <f>IFERROR($T164/IF(IFERROR(VLOOKUP($I164,'ITEM CFC PER CONTAINER'!$A:$B,2,0),0)&gt;0,VLOOKUP($I164,'ITEM CFC PER CONTAINER'!$A:$B,2,0),VLOOKUP($X164,'MC MASTER'!$A:$Q,16,0)),"")</f>
        <v/>
      </c>
    </row>
    <row r="165" ht="15" customHeight="1" s="5">
      <c r="A165" s="26" t="inlineStr">
        <is>
          <t>Multitrade Overseas Pte. Ltd.</t>
        </is>
      </c>
      <c r="B165" s="26" t="inlineStr">
        <is>
          <t>MJIL/SO/26037908</t>
        </is>
      </c>
      <c r="C165" s="26" t="inlineStr">
        <is>
          <t>MJ-073/26-27 (BOUBACAR ISSOU)</t>
        </is>
      </c>
      <c r="D165" s="82" t="n">
        <v>46305</v>
      </c>
      <c r="E165" s="83">
        <f>IF(ISNUMBER($D165),EOMONTH($D165,-1)+1,"")</f>
        <v/>
      </c>
      <c r="F165" s="82" t="n">
        <v>46305</v>
      </c>
      <c r="G165" s="26" t="n">
        <v>28051</v>
      </c>
      <c r="H165" s="26">
        <f>B165&amp;I165</f>
        <v/>
      </c>
      <c r="I165" s="26" t="inlineStr">
        <is>
          <t>GV CLOVE 48/25 DC ENV TBGS</t>
        </is>
      </c>
      <c r="J165" s="30" t="inlineStr">
        <is>
          <t>CONSTANTA ENV</t>
        </is>
      </c>
      <c r="K165" s="26">
        <f>J165&amp;"-"&amp;TEXT(W165,"dd-mmm-yy")</f>
        <v/>
      </c>
      <c r="L165" s="26">
        <f>IFERROR(VLOOKUP($M165,'ITEM MASTER'!E:H,4,0),"")</f>
        <v/>
      </c>
      <c r="M165" s="26">
        <f>IFERROR(VLOOKUP($I165,'ITEM MASTER'!B:E,4,0),"")</f>
        <v/>
      </c>
      <c r="N165" s="26">
        <f>IFERROR(VLOOKUP($I165,'ITEM MASTER'!B:F,5,0),0)</f>
        <v/>
      </c>
      <c r="O165" s="26">
        <f>IFERROR(VLOOKUP($M165,'TBGS PER CTN'!B:C,2,0),0)</f>
        <v/>
      </c>
      <c r="P165" s="26" t="n">
        <v>300</v>
      </c>
      <c r="Q165" s="26" t="n">
        <v>0</v>
      </c>
      <c r="R165" s="26" t="n">
        <v>1</v>
      </c>
      <c r="S165" s="26">
        <f>Q165+R165</f>
        <v/>
      </c>
      <c r="T165" s="29" t="n">
        <v>299</v>
      </c>
      <c r="U165" s="29">
        <f>N165*O165*T165</f>
        <v/>
      </c>
      <c r="V165" s="82">
        <f>IF(ISNUMBER($D165),$D165-WEEKDAY($D165,3),'ORDER VS WEEK DISTRIBUTION'!$G$500)</f>
        <v/>
      </c>
      <c r="W165" s="82">
        <f>MAX($V165,'ORDER VS WEEK DISTRIBUTION'!$G$500)</f>
        <v/>
      </c>
      <c r="X165" s="26">
        <f>IFERROR(VLOOKUP($J165,'ORDER VS WEEK DISTRIBUTION'!$T:$U,2,0),"")</f>
        <v/>
      </c>
      <c r="Y165" s="26">
        <f>IFERROR($T165/IF(IFERROR(VLOOKUP($I165,'ITEM CFC PER CONTAINER'!$A:$B,2,0),0)&gt;0,VLOOKUP($I165,'ITEM CFC PER CONTAINER'!$A:$B,2,0),VLOOKUP($X165,'MC MASTER'!$A:$Q,16,0)),"")</f>
        <v/>
      </c>
    </row>
    <row r="166" ht="15" customHeight="1" s="5">
      <c r="A166" s="26" t="inlineStr">
        <is>
          <t>Multitrade Overseas Pte. Ltd.</t>
        </is>
      </c>
      <c r="B166" s="26" t="inlineStr">
        <is>
          <t>MJIL/SO/26037908</t>
        </is>
      </c>
      <c r="C166" s="26" t="inlineStr">
        <is>
          <t>MJ-073/26-27 (BOUBACAR ISSOU)</t>
        </is>
      </c>
      <c r="D166" s="82" t="n">
        <v>46305</v>
      </c>
      <c r="E166" s="83">
        <f>IF(ISNUMBER($D166),EOMONTH($D166,-1)+1,"")</f>
        <v/>
      </c>
      <c r="F166" s="82" t="n">
        <v>46305</v>
      </c>
      <c r="G166" s="26" t="n">
        <v>26085</v>
      </c>
      <c r="H166" s="26">
        <f>B166&amp;I166</f>
        <v/>
      </c>
      <c r="I166" s="26" t="inlineStr">
        <is>
          <t>GV SPICY GINGER 48/25 DC ENV TBGS</t>
        </is>
      </c>
      <c r="J166" s="30" t="inlineStr">
        <is>
          <t>CONSTANTA ENV</t>
        </is>
      </c>
      <c r="K166" s="26">
        <f>J166&amp;"-"&amp;TEXT(W166,"dd-mmm-yy")</f>
        <v/>
      </c>
      <c r="L166" s="26">
        <f>IFERROR(VLOOKUP($M166,'ITEM MASTER'!E:H,4,0),"")</f>
        <v/>
      </c>
      <c r="M166" s="26">
        <f>IFERROR(VLOOKUP($I166,'ITEM MASTER'!B:E,4,0),"")</f>
        <v/>
      </c>
      <c r="N166" s="26">
        <f>IFERROR(VLOOKUP($I166,'ITEM MASTER'!B:F,5,0),0)</f>
        <v/>
      </c>
      <c r="O166" s="26">
        <f>IFERROR(VLOOKUP($M166,'TBGS PER CTN'!B:C,2,0),0)</f>
        <v/>
      </c>
      <c r="P166" s="26" t="n">
        <v>300</v>
      </c>
      <c r="Q166" s="26" t="n">
        <v>0</v>
      </c>
      <c r="R166" s="26" t="n">
        <v>0</v>
      </c>
      <c r="S166" s="26">
        <f>Q166+R166</f>
        <v/>
      </c>
      <c r="T166" s="29" t="n">
        <v>300</v>
      </c>
      <c r="U166" s="29">
        <f>N166*O166*T166</f>
        <v/>
      </c>
      <c r="V166" s="82">
        <f>IF(ISNUMBER($D166),$D166-WEEKDAY($D166,3),'ORDER VS WEEK DISTRIBUTION'!$G$500)</f>
        <v/>
      </c>
      <c r="W166" s="82">
        <f>MAX($V166,'ORDER VS WEEK DISTRIBUTION'!$G$500)</f>
        <v/>
      </c>
      <c r="X166" s="26">
        <f>IFERROR(VLOOKUP($J166,'ORDER VS WEEK DISTRIBUTION'!$T:$U,2,0),"")</f>
        <v/>
      </c>
      <c r="Y166" s="26">
        <f>IFERROR($T166/IF(IFERROR(VLOOKUP($I166,'ITEM CFC PER CONTAINER'!$A:$B,2,0),0)&gt;0,VLOOKUP($I166,'ITEM CFC PER CONTAINER'!$A:$B,2,0),VLOOKUP($X166,'MC MASTER'!$A:$Q,16,0)),"")</f>
        <v/>
      </c>
    </row>
    <row r="167" ht="15" customHeight="1" s="5">
      <c r="A167" s="26" t="inlineStr">
        <is>
          <t>Multitrade Overseas Pte. Ltd.</t>
        </is>
      </c>
      <c r="B167" s="26" t="inlineStr">
        <is>
          <t>MJIL/SO/26037908</t>
        </is>
      </c>
      <c r="C167" s="26" t="inlineStr">
        <is>
          <t>MJ-073/26-27 (BOUBACAR ISSOU)</t>
        </is>
      </c>
      <c r="D167" s="82" t="n">
        <v>46305</v>
      </c>
      <c r="E167" s="83">
        <f>IF(ISNUMBER($D167),EOMONTH($D167,-1)+1,"")</f>
        <v/>
      </c>
      <c r="F167" s="82" t="n">
        <v>46305</v>
      </c>
      <c r="G167" s="26" t="n">
        <v>26086</v>
      </c>
      <c r="H167" s="26">
        <f>B167&amp;I167</f>
        <v/>
      </c>
      <c r="I167" s="26" t="inlineStr">
        <is>
          <t>GV WATERMELON 48/25 DC ENV TBGS</t>
        </is>
      </c>
      <c r="J167" s="30" t="inlineStr">
        <is>
          <t>CONSTANTA ENV</t>
        </is>
      </c>
      <c r="K167" s="26">
        <f>J167&amp;"-"&amp;TEXT(W167,"dd-mmm-yy")</f>
        <v/>
      </c>
      <c r="L167" s="26">
        <f>IFERROR(VLOOKUP($M167,'ITEM MASTER'!E:H,4,0),"")</f>
        <v/>
      </c>
      <c r="M167" s="26">
        <f>IFERROR(VLOOKUP($I167,'ITEM MASTER'!B:E,4,0),"")</f>
        <v/>
      </c>
      <c r="N167" s="26">
        <f>IFERROR(VLOOKUP($I167,'ITEM MASTER'!B:F,5,0),0)</f>
        <v/>
      </c>
      <c r="O167" s="26">
        <f>IFERROR(VLOOKUP($M167,'TBGS PER CTN'!B:C,2,0),0)</f>
        <v/>
      </c>
      <c r="P167" s="26" t="n">
        <v>150</v>
      </c>
      <c r="Q167" s="26" t="n">
        <v>0</v>
      </c>
      <c r="R167" s="26" t="n">
        <v>150</v>
      </c>
      <c r="S167" s="26">
        <f>Q167+R167</f>
        <v/>
      </c>
      <c r="T167" s="29" t="n">
        <v>0</v>
      </c>
      <c r="U167" s="29">
        <f>N167*O167*T167</f>
        <v/>
      </c>
      <c r="V167" s="82">
        <f>IF(ISNUMBER($D167),$D167-WEEKDAY($D167,3),'ORDER VS WEEK DISTRIBUTION'!$G$500)</f>
        <v/>
      </c>
      <c r="W167" s="82">
        <f>MAX($V167,'ORDER VS WEEK DISTRIBUTION'!$G$500)</f>
        <v/>
      </c>
      <c r="X167" s="26">
        <f>IFERROR(VLOOKUP($J167,'ORDER VS WEEK DISTRIBUTION'!$T:$U,2,0),"")</f>
        <v/>
      </c>
      <c r="Y167" s="26">
        <f>IFERROR($T167/IF(IFERROR(VLOOKUP($I167,'ITEM CFC PER CONTAINER'!$A:$B,2,0),0)&gt;0,VLOOKUP($I167,'ITEM CFC PER CONTAINER'!$A:$B,2,0),VLOOKUP($X167,'MC MASTER'!$A:$Q,16,0)),"")</f>
        <v/>
      </c>
    </row>
    <row r="168" ht="15" customHeight="1" s="5">
      <c r="A168" s="26" t="inlineStr">
        <is>
          <t>Multitrade Overseas Pte. Ltd.</t>
        </is>
      </c>
      <c r="B168" s="26" t="inlineStr">
        <is>
          <t>MJIL/SO/26037908</t>
        </is>
      </c>
      <c r="C168" s="26" t="inlineStr">
        <is>
          <t>MJ-073/26-27 (BOUBACAR ISSOU)</t>
        </is>
      </c>
      <c r="D168" s="82" t="n">
        <v>46305</v>
      </c>
      <c r="E168" s="83">
        <f>IF(ISNUMBER($D168),EOMONTH($D168,-1)+1,"")</f>
        <v/>
      </c>
      <c r="F168" s="82" t="n">
        <v>46305</v>
      </c>
      <c r="G168" s="26" t="n">
        <v>27221</v>
      </c>
      <c r="H168" s="26">
        <f>B168&amp;I168</f>
        <v/>
      </c>
      <c r="I168" s="26" t="inlineStr">
        <is>
          <t>GV PINEAPPLE 48/25 DC ENV TBGS</t>
        </is>
      </c>
      <c r="J168" s="30" t="inlineStr">
        <is>
          <t>CONSTANTA ENV</t>
        </is>
      </c>
      <c r="K168" s="26">
        <f>J168&amp;"-"&amp;TEXT(W168,"dd-mmm-yy")</f>
        <v/>
      </c>
      <c r="L168" s="26">
        <f>IFERROR(VLOOKUP($M168,'ITEM MASTER'!E:H,4,0),"")</f>
        <v/>
      </c>
      <c r="M168" s="26">
        <f>IFERROR(VLOOKUP($I168,'ITEM MASTER'!B:E,4,0),"")</f>
        <v/>
      </c>
      <c r="N168" s="26">
        <f>IFERROR(VLOOKUP($I168,'ITEM MASTER'!B:F,5,0),0)</f>
        <v/>
      </c>
      <c r="O168" s="26">
        <f>IFERROR(VLOOKUP($M168,'TBGS PER CTN'!B:C,2,0),0)</f>
        <v/>
      </c>
      <c r="P168" s="26" t="n">
        <v>150</v>
      </c>
      <c r="Q168" s="26" t="n">
        <v>5</v>
      </c>
      <c r="R168" s="26" t="n">
        <v>60</v>
      </c>
      <c r="S168" s="26">
        <f>Q168+R168</f>
        <v/>
      </c>
      <c r="T168" s="29" t="n">
        <v>85</v>
      </c>
      <c r="U168" s="29">
        <f>N168*O168*T168</f>
        <v/>
      </c>
      <c r="V168" s="82">
        <f>IF(ISNUMBER($D168),$D168-WEEKDAY($D168,3),'ORDER VS WEEK DISTRIBUTION'!$G$500)</f>
        <v/>
      </c>
      <c r="W168" s="82">
        <f>MAX($V168,'ORDER VS WEEK DISTRIBUTION'!$G$500)</f>
        <v/>
      </c>
      <c r="X168" s="26">
        <f>IFERROR(VLOOKUP($J168,'ORDER VS WEEK DISTRIBUTION'!$T:$U,2,0),"")</f>
        <v/>
      </c>
      <c r="Y168" s="26">
        <f>IFERROR($T168/IF(IFERROR(VLOOKUP($I168,'ITEM CFC PER CONTAINER'!$A:$B,2,0),0)&gt;0,VLOOKUP($I168,'ITEM CFC PER CONTAINER'!$A:$B,2,0),VLOOKUP($X168,'MC MASTER'!$A:$Q,16,0)),"")</f>
        <v/>
      </c>
    </row>
    <row r="169" ht="15" customHeight="1" s="5">
      <c r="A169" s="26" t="inlineStr">
        <is>
          <t xml:space="preserve">Madhu Jayanti International Pvt Ltd - USA RBW SC </t>
        </is>
      </c>
      <c r="B169" s="26" t="inlineStr">
        <is>
          <t>MJIL/SO/26023803</t>
        </is>
      </c>
      <c r="C169" s="26" t="inlineStr">
        <is>
          <t>OCT SHPT - 2 - 100 BLACK</t>
        </is>
      </c>
      <c r="D169" s="82" t="n">
        <v>46304</v>
      </c>
      <c r="E169" s="83">
        <f>IF(ISNUMBER($D169),EOMONTH($D169,-1)+1,"")</f>
        <v/>
      </c>
      <c r="F169" s="82" t="n">
        <v>46307</v>
      </c>
      <c r="G169" s="26" t="n">
        <v>37685</v>
      </c>
      <c r="H169" s="26">
        <f>B169&amp;I169</f>
        <v/>
      </c>
      <c r="I169" s="26" t="inlineStr">
        <is>
          <t>BARISSIMO BLACK TEA 6/100 DC TAG TBGS</t>
        </is>
      </c>
      <c r="J169" s="26" t="inlineStr">
        <is>
          <t>PERFACTA TAG</t>
        </is>
      </c>
      <c r="K169" s="26">
        <f>J169&amp;"-"&amp;TEXT(W169,"dd-mmm-yy")</f>
        <v/>
      </c>
      <c r="L169" s="26">
        <f>IFERROR(VLOOKUP($M169,'ITEM MASTER'!E:H,4,0),"")</f>
        <v/>
      </c>
      <c r="M169" s="26">
        <f>IFERROR(VLOOKUP($I169,'ITEM MASTER'!B:E,4,0),"")</f>
        <v/>
      </c>
      <c r="N169" s="26">
        <f>IFERROR(VLOOKUP($I169,'ITEM MASTER'!B:F,5,0),0)</f>
        <v/>
      </c>
      <c r="O169" s="26">
        <f>IFERROR(VLOOKUP($M169,'TBGS PER CTN'!B:C,2,0),0)</f>
        <v/>
      </c>
      <c r="P169" s="26" t="n">
        <v>4620</v>
      </c>
      <c r="Q169" s="26" t="n">
        <v>0</v>
      </c>
      <c r="R169" s="26" t="n">
        <v>0</v>
      </c>
      <c r="S169" s="26">
        <f>Q169+R169</f>
        <v/>
      </c>
      <c r="T169" s="29" t="n">
        <v>4620</v>
      </c>
      <c r="U169" s="29">
        <f>N169*O169*T169</f>
        <v/>
      </c>
      <c r="V169" s="82">
        <f>IF(ISNUMBER($D169),$D169-WEEKDAY($D169,3),'ORDER VS WEEK DISTRIBUTION'!$G$500)</f>
        <v/>
      </c>
      <c r="W169" s="82">
        <f>MAX($V169,'ORDER VS WEEK DISTRIBUTION'!$G$500)</f>
        <v/>
      </c>
      <c r="X169" s="26">
        <f>IFERROR(VLOOKUP($J169,'ORDER VS WEEK DISTRIBUTION'!$T:$U,2,0),"")</f>
        <v/>
      </c>
      <c r="Y169" s="26">
        <f>IFERROR($T169/IF(IFERROR(VLOOKUP($I169,'ITEM CFC PER CONTAINER'!$A:$B,2,0),0)&gt;0,VLOOKUP($I169,'ITEM CFC PER CONTAINER'!$A:$B,2,0),VLOOKUP($X169,'MC MASTER'!$A:$Q,16,0)),"")</f>
        <v/>
      </c>
    </row>
    <row r="170" ht="15" customHeight="1" s="5">
      <c r="A170" s="26" t="inlineStr">
        <is>
          <t>MATATA TRADE FZE DMCC</t>
        </is>
      </c>
      <c r="B170" s="26" t="inlineStr">
        <is>
          <t>MJIL/SO/26046208</t>
        </is>
      </c>
      <c r="C170" s="26" t="inlineStr">
        <is>
          <t>MJ163/2526/2(MA26189)+104(MA26190)</t>
        </is>
      </c>
      <c r="D170" s="82" t="n">
        <v>46307</v>
      </c>
      <c r="E170" s="83">
        <f>IF(ISNUMBER($D170),EOMONTH($D170,-1)+1,"")</f>
        <v/>
      </c>
      <c r="F170" s="82" t="n">
        <v>46307</v>
      </c>
      <c r="G170" s="26" t="n">
        <v>23621</v>
      </c>
      <c r="H170" s="26">
        <f>B170&amp;I170</f>
        <v/>
      </c>
      <c r="I170" s="26" t="inlineStr">
        <is>
          <t>KHAIMA CRANBERRY APPLE 45/25 DC ENV TBGS</t>
        </is>
      </c>
      <c r="J170" s="30" t="inlineStr">
        <is>
          <t>CONSTANTA ENV</t>
        </is>
      </c>
      <c r="K170" s="26">
        <f>J170&amp;"-"&amp;TEXT(W170,"dd-mmm-yy")</f>
        <v/>
      </c>
      <c r="L170" s="26">
        <f>IFERROR(VLOOKUP($M170,'ITEM MASTER'!E:H,4,0),"")</f>
        <v/>
      </c>
      <c r="M170" s="26">
        <f>IFERROR(VLOOKUP($I170,'ITEM MASTER'!B:E,4,0),"")</f>
        <v/>
      </c>
      <c r="N170" s="26">
        <f>IFERROR(VLOOKUP($I170,'ITEM MASTER'!B:F,5,0),0)</f>
        <v/>
      </c>
      <c r="O170" s="26">
        <f>IFERROR(VLOOKUP($M170,'TBGS PER CTN'!B:C,2,0),0)</f>
        <v/>
      </c>
      <c r="P170" s="26" t="n">
        <v>3330</v>
      </c>
      <c r="Q170" s="26" t="n">
        <v>0</v>
      </c>
      <c r="R170" s="26" t="n">
        <v>0</v>
      </c>
      <c r="S170" s="26">
        <f>Q170+R170</f>
        <v/>
      </c>
      <c r="T170" s="29" t="n">
        <v>3330</v>
      </c>
      <c r="U170" s="29">
        <f>N170*O170*T170</f>
        <v/>
      </c>
      <c r="V170" s="82">
        <f>IF(ISNUMBER($D170),$D170-WEEKDAY($D170,3),'ORDER VS WEEK DISTRIBUTION'!$G$500)</f>
        <v/>
      </c>
      <c r="W170" s="82">
        <f>MAX($V170,'ORDER VS WEEK DISTRIBUTION'!$G$500)</f>
        <v/>
      </c>
      <c r="X170" s="26">
        <f>IFERROR(VLOOKUP($J170,'ORDER VS WEEK DISTRIBUTION'!$T:$U,2,0),"")</f>
        <v/>
      </c>
      <c r="Y170" s="26">
        <f>IFERROR($T170/IF(IFERROR(VLOOKUP($I170,'ITEM CFC PER CONTAINER'!$A:$B,2,0),0)&gt;0,VLOOKUP($I170,'ITEM CFC PER CONTAINER'!$A:$B,2,0),VLOOKUP($X170,'MC MASTER'!$A:$Q,16,0)),"")</f>
        <v/>
      </c>
    </row>
    <row r="171" ht="15" customHeight="1" s="5">
      <c r="A171" s="26" t="inlineStr">
        <is>
          <t>MATATA TRADE FZE DMCC</t>
        </is>
      </c>
      <c r="B171" s="26" t="inlineStr">
        <is>
          <t>MJIL/SO/26046208</t>
        </is>
      </c>
      <c r="C171" s="26" t="inlineStr">
        <is>
          <t>MJ163/2526/2(MA26189)+104(MA26190)</t>
        </is>
      </c>
      <c r="D171" s="82" t="n">
        <v>46307</v>
      </c>
      <c r="E171" s="83">
        <f>IF(ISNUMBER($D171),EOMONTH($D171,-1)+1,"")</f>
        <v/>
      </c>
      <c r="F171" s="82" t="n">
        <v>46307</v>
      </c>
      <c r="G171" s="26" t="n">
        <v>34586</v>
      </c>
      <c r="H171" s="26">
        <f>B171&amp;I171</f>
        <v/>
      </c>
      <c r="I171" s="26" t="inlineStr">
        <is>
          <t>AKOUNA COFFEE 3 IN 1 (32 GMS) 12 STRIPS X 10 SACHETS WITH HANGER</t>
        </is>
      </c>
      <c r="J171" s="26" t="inlineStr">
        <is>
          <t>Pearl Pack Premix</t>
        </is>
      </c>
      <c r="K171" s="26">
        <f>J171&amp;"-"&amp;TEXT(W171,"dd-mmm-yy")</f>
        <v/>
      </c>
      <c r="L171" s="26">
        <f>IFERROR(VLOOKUP($M171,'ITEM MASTER'!E:H,4,0),"")</f>
        <v/>
      </c>
      <c r="M171" s="26">
        <f>IFERROR(VLOOKUP($I171,'ITEM MASTER'!B:E,4,0),"")</f>
        <v/>
      </c>
      <c r="N171" s="26">
        <f>IFERROR(VLOOKUP($I171,'ITEM MASTER'!B:F,5,0),0)</f>
        <v/>
      </c>
      <c r="O171" s="26">
        <f>IFERROR(VLOOKUP($M171,'TBGS PER CTN'!B:C,2,0),0)</f>
        <v/>
      </c>
      <c r="P171" s="26" t="n">
        <v>100</v>
      </c>
      <c r="Q171" s="26" t="n">
        <v>0</v>
      </c>
      <c r="R171" s="26" t="n">
        <v>100</v>
      </c>
      <c r="S171" s="26">
        <f>Q171+R171</f>
        <v/>
      </c>
      <c r="T171" s="29" t="n">
        <v>0</v>
      </c>
      <c r="U171" s="29">
        <f>N171*O171*T171</f>
        <v/>
      </c>
      <c r="V171" s="82">
        <f>IF(ISNUMBER($D171),$D171-WEEKDAY($D171,3),'ORDER VS WEEK DISTRIBUTION'!$G$500)</f>
        <v/>
      </c>
      <c r="W171" s="82">
        <f>MAX($V171,'ORDER VS WEEK DISTRIBUTION'!$G$500)</f>
        <v/>
      </c>
      <c r="X171" s="26">
        <f>IFERROR(VLOOKUP($J171,'ORDER VS WEEK DISTRIBUTION'!$T:$U,2,0),"")</f>
        <v/>
      </c>
      <c r="Y171" s="26">
        <f>IFERROR($T171/IF(IFERROR(VLOOKUP($I171,'ITEM CFC PER CONTAINER'!$A:$B,2,0),0)&gt;0,VLOOKUP($I171,'ITEM CFC PER CONTAINER'!$A:$B,2,0),VLOOKUP($X171,'MC MASTER'!$A:$Q,16,0)),"")</f>
        <v/>
      </c>
    </row>
    <row r="172" ht="15" customHeight="1" s="5">
      <c r="A172" s="26" t="inlineStr">
        <is>
          <t>Multitrade Overseas Pte. Ltd.</t>
        </is>
      </c>
      <c r="B172" s="26" t="inlineStr">
        <is>
          <t>MJIL/SO/26035606</t>
        </is>
      </c>
      <c r="C172" s="26" t="inlineStr">
        <is>
          <t>MJ-032/26-27 (OUSMANE)</t>
        </is>
      </c>
      <c r="D172" s="82" t="n">
        <v>46307</v>
      </c>
      <c r="E172" s="83">
        <f>IF(ISNUMBER($D172),EOMONTH($D172,-1)+1,"")</f>
        <v/>
      </c>
      <c r="F172" s="82" t="n">
        <v>46307</v>
      </c>
      <c r="G172" s="26" t="n">
        <v>33933</v>
      </c>
      <c r="H172" s="26">
        <f>B172&amp;I172</f>
        <v/>
      </c>
      <c r="I172" s="26" t="inlineStr">
        <is>
          <t>TEZ CAFE COFFEE 3 IN 1 (25GMS) 12 STRIPS X 10 SACHETS WITH HANGER</t>
        </is>
      </c>
      <c r="J172" s="30" t="inlineStr">
        <is>
          <t>CONSTANTA ENV</t>
        </is>
      </c>
      <c r="K172" s="26">
        <f>J172&amp;"-"&amp;TEXT(W172,"dd-mmm-yy")</f>
        <v/>
      </c>
      <c r="L172" s="26">
        <f>IFERROR(VLOOKUP($M172,'ITEM MASTER'!E:H,4,0),"")</f>
        <v/>
      </c>
      <c r="M172" s="26">
        <f>IFERROR(VLOOKUP($I172,'ITEM MASTER'!B:E,4,0),"")</f>
        <v/>
      </c>
      <c r="N172" s="26">
        <f>IFERROR(VLOOKUP($I172,'ITEM MASTER'!B:F,5,0),0)</f>
        <v/>
      </c>
      <c r="O172" s="26">
        <f>IFERROR(VLOOKUP($M172,'TBGS PER CTN'!B:C,2,0),0)</f>
        <v/>
      </c>
      <c r="P172" s="26" t="n">
        <v>50</v>
      </c>
      <c r="Q172" s="26" t="n">
        <v>0</v>
      </c>
      <c r="R172" s="26" t="n">
        <v>50</v>
      </c>
      <c r="S172" s="26">
        <f>Q172+R172</f>
        <v/>
      </c>
      <c r="T172" s="29" t="n">
        <v>0</v>
      </c>
      <c r="U172" s="29">
        <f>N172*O172*T172</f>
        <v/>
      </c>
      <c r="V172" s="82">
        <f>IF(ISNUMBER($D172),$D172-WEEKDAY($D172,3),'ORDER VS WEEK DISTRIBUTION'!$G$500)</f>
        <v/>
      </c>
      <c r="W172" s="82">
        <f>MAX($V172,'ORDER VS WEEK DISTRIBUTION'!$G$500)</f>
        <v/>
      </c>
      <c r="X172" s="26">
        <f>IFERROR(VLOOKUP($J172,'ORDER VS WEEK DISTRIBUTION'!$T:$U,2,0),"")</f>
        <v/>
      </c>
      <c r="Y172" s="26">
        <f>IFERROR($T172/IF(IFERROR(VLOOKUP($I172,'ITEM CFC PER CONTAINER'!$A:$B,2,0),0)&gt;0,VLOOKUP($I172,'ITEM CFC PER CONTAINER'!$A:$B,2,0),VLOOKUP($X172,'MC MASTER'!$A:$Q,16,0)),"")</f>
        <v/>
      </c>
    </row>
    <row r="173" ht="15" customHeight="1" s="5">
      <c r="A173" s="26" t="inlineStr">
        <is>
          <t>Multitrade Overseas Pte. Ltd.</t>
        </is>
      </c>
      <c r="B173" s="26" t="inlineStr">
        <is>
          <t>MJIL/SO/26035606</t>
        </is>
      </c>
      <c r="C173" s="26" t="inlineStr">
        <is>
          <t>MJ-032/26-27 (OUSMANE)</t>
        </is>
      </c>
      <c r="D173" s="82" t="n">
        <v>46307</v>
      </c>
      <c r="E173" s="83">
        <f>IF(ISNUMBER($D173),EOMONTH($D173,-1)+1,"")</f>
        <v/>
      </c>
      <c r="F173" s="82" t="n">
        <v>46307</v>
      </c>
      <c r="G173" s="26" t="n">
        <v>37183</v>
      </c>
      <c r="H173" s="26">
        <f>B173&amp;I173</f>
        <v/>
      </c>
      <c r="I173" s="26" t="inlineStr">
        <is>
          <t>TEZ CAFE INSTANT COFFEE 9/150 SACHETS (15 STRIPS X 10 SACHETS X 2 GMS) WITH HANGER</t>
        </is>
      </c>
      <c r="J173" s="26" t="inlineStr">
        <is>
          <t>INSTANT COFFEE STICK PACK</t>
        </is>
      </c>
      <c r="K173" s="26">
        <f>J173&amp;"-"&amp;TEXT(W173,"dd-mmm-yy")</f>
        <v/>
      </c>
      <c r="L173" s="26">
        <f>IFERROR(VLOOKUP($M173,'ITEM MASTER'!E:H,4,0),"")</f>
        <v/>
      </c>
      <c r="M173" s="26">
        <f>IFERROR(VLOOKUP($I173,'ITEM MASTER'!B:E,4,0),"")</f>
        <v/>
      </c>
      <c r="N173" s="26">
        <f>IFERROR(VLOOKUP($I173,'ITEM MASTER'!B:F,5,0),0)</f>
        <v/>
      </c>
      <c r="O173" s="26">
        <f>IFERROR(VLOOKUP($M173,'TBGS PER CTN'!B:C,2,0),0)</f>
        <v/>
      </c>
      <c r="P173" s="26" t="n">
        <v>150</v>
      </c>
      <c r="Q173" s="26" t="n">
        <v>0</v>
      </c>
      <c r="R173" s="26" t="n">
        <v>0</v>
      </c>
      <c r="S173" s="26">
        <f>Q173+R173</f>
        <v/>
      </c>
      <c r="T173" s="29" t="n">
        <v>150</v>
      </c>
      <c r="U173" s="29">
        <f>N173*O173*T173</f>
        <v/>
      </c>
      <c r="V173" s="82">
        <f>IF(ISNUMBER($D173),$D173-WEEKDAY($D173,3),'ORDER VS WEEK DISTRIBUTION'!$G$500)</f>
        <v/>
      </c>
      <c r="W173" s="82">
        <f>MAX($V173,'ORDER VS WEEK DISTRIBUTION'!$G$500)</f>
        <v/>
      </c>
      <c r="X173" s="26">
        <f>IFERROR(VLOOKUP($J173,'ORDER VS WEEK DISTRIBUTION'!$T:$U,2,0),"")</f>
        <v/>
      </c>
      <c r="Y173" s="26">
        <f>IFERROR($T173/IF(IFERROR(VLOOKUP($I173,'ITEM CFC PER CONTAINER'!$A:$B,2,0),0)&gt;0,VLOOKUP($I173,'ITEM CFC PER CONTAINER'!$A:$B,2,0),VLOOKUP($X173,'MC MASTER'!$A:$Q,16,0)),"")</f>
        <v/>
      </c>
    </row>
    <row r="174" ht="15" customHeight="1" s="5">
      <c r="A174" s="26" t="inlineStr">
        <is>
          <t>Multitrade Overseas Pte. Ltd.</t>
        </is>
      </c>
      <c r="B174" s="26" t="inlineStr">
        <is>
          <t>MJIL/SO/26035606</t>
        </is>
      </c>
      <c r="C174" s="26" t="inlineStr">
        <is>
          <t>MJ-032/26-27 (OUSMANE)</t>
        </is>
      </c>
      <c r="D174" s="82" t="n">
        <v>46307</v>
      </c>
      <c r="E174" s="83">
        <f>IF(ISNUMBER($D174),EOMONTH($D174,-1)+1,"")</f>
        <v/>
      </c>
      <c r="F174" s="82" t="n">
        <v>46307</v>
      </c>
      <c r="G174" s="26" t="n">
        <v>31669</v>
      </c>
      <c r="H174" s="26">
        <f>B174&amp;I174</f>
        <v/>
      </c>
      <c r="I174" s="26" t="inlineStr">
        <is>
          <t>PREMIER WATERMELON 24/25 DC ENV TBGS</t>
        </is>
      </c>
      <c r="J174" s="30" t="inlineStr">
        <is>
          <t>CONSTANTA ENV</t>
        </is>
      </c>
      <c r="K174" s="26">
        <f>J174&amp;"-"&amp;TEXT(W174,"dd-mmm-yy")</f>
        <v/>
      </c>
      <c r="L174" s="26">
        <f>IFERROR(VLOOKUP($M174,'ITEM MASTER'!E:H,4,0),"")</f>
        <v/>
      </c>
      <c r="M174" s="26">
        <f>IFERROR(VLOOKUP($I174,'ITEM MASTER'!B:E,4,0),"")</f>
        <v/>
      </c>
      <c r="N174" s="26">
        <f>IFERROR(VLOOKUP($I174,'ITEM MASTER'!B:F,5,0),0)</f>
        <v/>
      </c>
      <c r="O174" s="26">
        <f>IFERROR(VLOOKUP($M174,'TBGS PER CTN'!B:C,2,0),0)</f>
        <v/>
      </c>
      <c r="P174" s="26" t="n">
        <v>300</v>
      </c>
      <c r="Q174" s="26" t="n">
        <v>0</v>
      </c>
      <c r="R174" s="26" t="n">
        <v>230</v>
      </c>
      <c r="S174" s="26">
        <f>Q174+R174</f>
        <v/>
      </c>
      <c r="T174" s="29" t="n">
        <v>70</v>
      </c>
      <c r="U174" s="29">
        <f>N174*O174*T174</f>
        <v/>
      </c>
      <c r="V174" s="82">
        <f>IF(ISNUMBER($D174),$D174-WEEKDAY($D174,3),'ORDER VS WEEK DISTRIBUTION'!$G$500)</f>
        <v/>
      </c>
      <c r="W174" s="82">
        <f>MAX($V174,'ORDER VS WEEK DISTRIBUTION'!$G$500)</f>
        <v/>
      </c>
      <c r="X174" s="26">
        <f>IFERROR(VLOOKUP($J174,'ORDER VS WEEK DISTRIBUTION'!$T:$U,2,0),"")</f>
        <v/>
      </c>
      <c r="Y174" s="26">
        <f>IFERROR($T174/IF(IFERROR(VLOOKUP($I174,'ITEM CFC PER CONTAINER'!$A:$B,2,0),0)&gt;0,VLOOKUP($I174,'ITEM CFC PER CONTAINER'!$A:$B,2,0),VLOOKUP($X174,'MC MASTER'!$A:$Q,16,0)),"")</f>
        <v/>
      </c>
    </row>
    <row r="175" ht="15" customHeight="1" s="5">
      <c r="A175" s="26" t="inlineStr">
        <is>
          <t>Multitrade Overseas Pte. Ltd.</t>
        </is>
      </c>
      <c r="B175" s="26" t="inlineStr">
        <is>
          <t>MJIL/SO/26035606</t>
        </is>
      </c>
      <c r="C175" s="26" t="inlineStr">
        <is>
          <t>MJ-032/26-27 (OUSMANE)</t>
        </is>
      </c>
      <c r="D175" s="82" t="n">
        <v>46307</v>
      </c>
      <c r="E175" s="83">
        <f>IF(ISNUMBER($D175),EOMONTH($D175,-1)+1,"")</f>
        <v/>
      </c>
      <c r="F175" s="82" t="n">
        <v>46307</v>
      </c>
      <c r="G175" s="26" t="n">
        <v>31668</v>
      </c>
      <c r="H175" s="26">
        <f>B175&amp;I175</f>
        <v/>
      </c>
      <c r="I175" s="26" t="inlineStr">
        <is>
          <t>PREMIER LEMON 24/25 DC ENV TBGS</t>
        </is>
      </c>
      <c r="J175" s="30" t="inlineStr">
        <is>
          <t>CONSTANTA ENV</t>
        </is>
      </c>
      <c r="K175" s="26">
        <f>J175&amp;"-"&amp;TEXT(W175,"dd-mmm-yy")</f>
        <v/>
      </c>
      <c r="L175" s="26">
        <f>IFERROR(VLOOKUP($M175,'ITEM MASTER'!E:H,4,0),"")</f>
        <v/>
      </c>
      <c r="M175" s="26">
        <f>IFERROR(VLOOKUP($I175,'ITEM MASTER'!B:E,4,0),"")</f>
        <v/>
      </c>
      <c r="N175" s="26">
        <f>IFERROR(VLOOKUP($I175,'ITEM MASTER'!B:F,5,0),0)</f>
        <v/>
      </c>
      <c r="O175" s="26">
        <f>IFERROR(VLOOKUP($M175,'TBGS PER CTN'!B:C,2,0),0)</f>
        <v/>
      </c>
      <c r="P175" s="26" t="n">
        <v>300</v>
      </c>
      <c r="Q175" s="26" t="n">
        <v>0</v>
      </c>
      <c r="R175" s="26" t="n">
        <v>241</v>
      </c>
      <c r="S175" s="26">
        <f>Q175+R175</f>
        <v/>
      </c>
      <c r="T175" s="29" t="n">
        <v>59</v>
      </c>
      <c r="U175" s="29">
        <f>N175*O175*T175</f>
        <v/>
      </c>
      <c r="V175" s="82">
        <f>IF(ISNUMBER($D175),$D175-WEEKDAY($D175,3),'ORDER VS WEEK DISTRIBUTION'!$G$500)</f>
        <v/>
      </c>
      <c r="W175" s="82">
        <f>MAX($V175,'ORDER VS WEEK DISTRIBUTION'!$G$500)</f>
        <v/>
      </c>
      <c r="X175" s="26">
        <f>IFERROR(VLOOKUP($J175,'ORDER VS WEEK DISTRIBUTION'!$T:$U,2,0),"")</f>
        <v/>
      </c>
      <c r="Y175" s="26">
        <f>IFERROR($T175/IF(IFERROR(VLOOKUP($I175,'ITEM CFC PER CONTAINER'!$A:$B,2,0),0)&gt;0,VLOOKUP($I175,'ITEM CFC PER CONTAINER'!$A:$B,2,0),VLOOKUP($X175,'MC MASTER'!$A:$Q,16,0)),"")</f>
        <v/>
      </c>
    </row>
    <row r="176" ht="15" customHeight="1" s="5">
      <c r="A176" s="26" t="inlineStr">
        <is>
          <t>Multitrade Overseas Pte. Ltd.</t>
        </is>
      </c>
      <c r="B176" s="26" t="inlineStr">
        <is>
          <t>MJIL/SO/26035606</t>
        </is>
      </c>
      <c r="C176" s="26" t="inlineStr">
        <is>
          <t>MJ-032/26-27 (OUSMANE)</t>
        </is>
      </c>
      <c r="D176" s="82" t="n">
        <v>46307</v>
      </c>
      <c r="E176" s="83">
        <f>IF(ISNUMBER($D176),EOMONTH($D176,-1)+1,"")</f>
        <v/>
      </c>
      <c r="F176" s="82" t="n">
        <v>46307</v>
      </c>
      <c r="G176" s="26" t="n">
        <v>31663</v>
      </c>
      <c r="H176" s="26">
        <f>B176&amp;I176</f>
        <v/>
      </c>
      <c r="I176" s="26" t="inlineStr">
        <is>
          <t>PREMIER GINGER 24/25 DC ENV TBGS</t>
        </is>
      </c>
      <c r="J176" s="30" t="inlineStr">
        <is>
          <t>CONSTANTA ENV</t>
        </is>
      </c>
      <c r="K176" s="26">
        <f>J176&amp;"-"&amp;TEXT(W176,"dd-mmm-yy")</f>
        <v/>
      </c>
      <c r="L176" s="26">
        <f>IFERROR(VLOOKUP($M176,'ITEM MASTER'!E:H,4,0),"")</f>
        <v/>
      </c>
      <c r="M176" s="26">
        <f>IFERROR(VLOOKUP($I176,'ITEM MASTER'!B:E,4,0),"")</f>
        <v/>
      </c>
      <c r="N176" s="26">
        <f>IFERROR(VLOOKUP($I176,'ITEM MASTER'!B:F,5,0),0)</f>
        <v/>
      </c>
      <c r="O176" s="26">
        <f>IFERROR(VLOOKUP($M176,'TBGS PER CTN'!B:C,2,0),0)</f>
        <v/>
      </c>
      <c r="P176" s="26" t="n">
        <v>300</v>
      </c>
      <c r="Q176" s="26" t="n">
        <v>0</v>
      </c>
      <c r="R176" s="26" t="n">
        <v>57</v>
      </c>
      <c r="S176" s="26">
        <f>Q176+R176</f>
        <v/>
      </c>
      <c r="T176" s="29" t="n">
        <v>243</v>
      </c>
      <c r="U176" s="29">
        <f>N176*O176*T176</f>
        <v/>
      </c>
      <c r="V176" s="82">
        <f>IF(ISNUMBER($D176),$D176-WEEKDAY($D176,3),'ORDER VS WEEK DISTRIBUTION'!$G$500)</f>
        <v/>
      </c>
      <c r="W176" s="82">
        <f>MAX($V176,'ORDER VS WEEK DISTRIBUTION'!$G$500)</f>
        <v/>
      </c>
      <c r="X176" s="26">
        <f>IFERROR(VLOOKUP($J176,'ORDER VS WEEK DISTRIBUTION'!$T:$U,2,0),"")</f>
        <v/>
      </c>
      <c r="Y176" s="26">
        <f>IFERROR($T176/IF(IFERROR(VLOOKUP($I176,'ITEM CFC PER CONTAINER'!$A:$B,2,0),0)&gt;0,VLOOKUP($I176,'ITEM CFC PER CONTAINER'!$A:$B,2,0),VLOOKUP($X176,'MC MASTER'!$A:$Q,16,0)),"")</f>
        <v/>
      </c>
    </row>
    <row r="177" ht="15" customHeight="1" s="5">
      <c r="A177" s="26" t="inlineStr">
        <is>
          <t>Multitrade Overseas Pte. Ltd.</t>
        </is>
      </c>
      <c r="B177" s="26" t="inlineStr">
        <is>
          <t>MJIL/SO/26035606</t>
        </is>
      </c>
      <c r="C177" s="26" t="inlineStr">
        <is>
          <t>MJ-032/26-27 (OUSMANE)</t>
        </is>
      </c>
      <c r="D177" s="82" t="n">
        <v>46307</v>
      </c>
      <c r="E177" s="83">
        <f>IF(ISNUMBER($D177),EOMONTH($D177,-1)+1,"")</f>
        <v/>
      </c>
      <c r="F177" s="82" t="n">
        <v>46307</v>
      </c>
      <c r="G177" s="26" t="n">
        <v>32843</v>
      </c>
      <c r="H177" s="26">
        <f>B177&amp;I177</f>
        <v/>
      </c>
      <c r="I177" s="26" t="inlineStr">
        <is>
          <t>PREMIER ORANGE PEACH 24/25 DC ENV TBGS</t>
        </is>
      </c>
      <c r="J177" s="30" t="inlineStr">
        <is>
          <t>CONSTANTA ENV</t>
        </is>
      </c>
      <c r="K177" s="26">
        <f>J177&amp;"-"&amp;TEXT(W177,"dd-mmm-yy")</f>
        <v/>
      </c>
      <c r="L177" s="26">
        <f>IFERROR(VLOOKUP($M177,'ITEM MASTER'!E:H,4,0),"")</f>
        <v/>
      </c>
      <c r="M177" s="26">
        <f>IFERROR(VLOOKUP($I177,'ITEM MASTER'!B:E,4,0),"")</f>
        <v/>
      </c>
      <c r="N177" s="26">
        <f>IFERROR(VLOOKUP($I177,'ITEM MASTER'!B:F,5,0),0)</f>
        <v/>
      </c>
      <c r="O177" s="26">
        <f>IFERROR(VLOOKUP($M177,'TBGS PER CTN'!B:C,2,0),0)</f>
        <v/>
      </c>
      <c r="P177" s="26" t="n">
        <v>300</v>
      </c>
      <c r="Q177" s="26" t="n">
        <v>0</v>
      </c>
      <c r="R177" s="26" t="n">
        <v>94</v>
      </c>
      <c r="S177" s="26">
        <f>Q177+R177</f>
        <v/>
      </c>
      <c r="T177" s="29" t="n">
        <v>206</v>
      </c>
      <c r="U177" s="29">
        <f>N177*O177*T177</f>
        <v/>
      </c>
      <c r="V177" s="82">
        <f>IF(ISNUMBER($D177),$D177-WEEKDAY($D177,3),'ORDER VS WEEK DISTRIBUTION'!$G$500)</f>
        <v/>
      </c>
      <c r="W177" s="82">
        <f>MAX($V177,'ORDER VS WEEK DISTRIBUTION'!$G$500)</f>
        <v/>
      </c>
      <c r="X177" s="26">
        <f>IFERROR(VLOOKUP($J177,'ORDER VS WEEK DISTRIBUTION'!$T:$U,2,0),"")</f>
        <v/>
      </c>
      <c r="Y177" s="26">
        <f>IFERROR($T177/IF(IFERROR(VLOOKUP($I177,'ITEM CFC PER CONTAINER'!$A:$B,2,0),0)&gt;0,VLOOKUP($I177,'ITEM CFC PER CONTAINER'!$A:$B,2,0),VLOOKUP($X177,'MC MASTER'!$A:$Q,16,0)),"")</f>
        <v/>
      </c>
    </row>
    <row r="178" ht="15" customHeight="1" s="5">
      <c r="A178" s="26" t="inlineStr">
        <is>
          <t>Multitrade Overseas Pte. Ltd.</t>
        </is>
      </c>
      <c r="B178" s="26" t="inlineStr">
        <is>
          <t>MJIL/SO/26035606</t>
        </is>
      </c>
      <c r="C178" s="26" t="inlineStr">
        <is>
          <t>MJ-032/26-27 (OUSMANE)</t>
        </is>
      </c>
      <c r="D178" s="82" t="n">
        <v>46307</v>
      </c>
      <c r="E178" s="83">
        <f>IF(ISNUMBER($D178),EOMONTH($D178,-1)+1,"")</f>
        <v/>
      </c>
      <c r="F178" s="82" t="n">
        <v>46307</v>
      </c>
      <c r="G178" s="26" t="n">
        <v>32842</v>
      </c>
      <c r="H178" s="26">
        <f>B178&amp;I178</f>
        <v/>
      </c>
      <c r="I178" s="26" t="inlineStr">
        <is>
          <t>PREMIER PINEAPPLE COCONUT 24/25 DC ENV TBGS</t>
        </is>
      </c>
      <c r="J178" s="30" t="inlineStr">
        <is>
          <t>CONSTANTA ENV</t>
        </is>
      </c>
      <c r="K178" s="26">
        <f>J178&amp;"-"&amp;TEXT(W178,"dd-mmm-yy")</f>
        <v/>
      </c>
      <c r="L178" s="26">
        <f>IFERROR(VLOOKUP($M178,'ITEM MASTER'!E:H,4,0),"")</f>
        <v/>
      </c>
      <c r="M178" s="26">
        <f>IFERROR(VLOOKUP($I178,'ITEM MASTER'!B:E,4,0),"")</f>
        <v/>
      </c>
      <c r="N178" s="26">
        <f>IFERROR(VLOOKUP($I178,'ITEM MASTER'!B:F,5,0),0)</f>
        <v/>
      </c>
      <c r="O178" s="26">
        <f>IFERROR(VLOOKUP($M178,'TBGS PER CTN'!B:C,2,0),0)</f>
        <v/>
      </c>
      <c r="P178" s="26" t="n">
        <v>300</v>
      </c>
      <c r="Q178" s="26" t="n">
        <v>0</v>
      </c>
      <c r="R178" s="26" t="n">
        <v>253</v>
      </c>
      <c r="S178" s="26">
        <f>Q178+R178</f>
        <v/>
      </c>
      <c r="T178" s="29" t="n">
        <v>47</v>
      </c>
      <c r="U178" s="29">
        <f>N178*O178*T178</f>
        <v/>
      </c>
      <c r="V178" s="82">
        <f>IF(ISNUMBER($D178),$D178-WEEKDAY($D178,3),'ORDER VS WEEK DISTRIBUTION'!$G$500)</f>
        <v/>
      </c>
      <c r="W178" s="82">
        <f>MAX($V178,'ORDER VS WEEK DISTRIBUTION'!$G$500)</f>
        <v/>
      </c>
      <c r="X178" s="26">
        <f>IFERROR(VLOOKUP($J178,'ORDER VS WEEK DISTRIBUTION'!$T:$U,2,0),"")</f>
        <v/>
      </c>
      <c r="Y178" s="26">
        <f>IFERROR($T178/IF(IFERROR(VLOOKUP($I178,'ITEM CFC PER CONTAINER'!$A:$B,2,0),0)&gt;0,VLOOKUP($I178,'ITEM CFC PER CONTAINER'!$A:$B,2,0),VLOOKUP($X178,'MC MASTER'!$A:$Q,16,0)),"")</f>
        <v/>
      </c>
    </row>
    <row r="179" ht="15" customHeight="1" s="5">
      <c r="A179" s="26" t="inlineStr">
        <is>
          <t>Multitrade Overseas Pte. Ltd.</t>
        </is>
      </c>
      <c r="B179" s="26" t="inlineStr">
        <is>
          <t>MJIL/SO/26035606</t>
        </is>
      </c>
      <c r="C179" s="26" t="inlineStr">
        <is>
          <t>MJ-032/26-27 (OUSMANE)</t>
        </is>
      </c>
      <c r="D179" s="82" t="n">
        <v>46307</v>
      </c>
      <c r="E179" s="83">
        <f>IF(ISNUMBER($D179),EOMONTH($D179,-1)+1,"")</f>
        <v/>
      </c>
      <c r="F179" s="82" t="n">
        <v>46307</v>
      </c>
      <c r="G179" s="26" t="n">
        <v>33869</v>
      </c>
      <c r="H179" s="26">
        <f>B179&amp;I179</f>
        <v/>
      </c>
      <c r="I179" s="26" t="inlineStr">
        <is>
          <t>PREMIER PINEAPPLE 24/25 DC ENV TBGS</t>
        </is>
      </c>
      <c r="J179" s="30" t="inlineStr">
        <is>
          <t>CONSTANTA ENV</t>
        </is>
      </c>
      <c r="K179" s="26">
        <f>J179&amp;"-"&amp;TEXT(W179,"dd-mmm-yy")</f>
        <v/>
      </c>
      <c r="L179" s="26">
        <f>IFERROR(VLOOKUP($M179,'ITEM MASTER'!E:H,4,0),"")</f>
        <v/>
      </c>
      <c r="M179" s="26">
        <f>IFERROR(VLOOKUP($I179,'ITEM MASTER'!B:E,4,0),"")</f>
        <v/>
      </c>
      <c r="N179" s="26">
        <f>IFERROR(VLOOKUP($I179,'ITEM MASTER'!B:F,5,0),0)</f>
        <v/>
      </c>
      <c r="O179" s="26">
        <f>IFERROR(VLOOKUP($M179,'TBGS PER CTN'!B:C,2,0),0)</f>
        <v/>
      </c>
      <c r="P179" s="26" t="n">
        <v>300</v>
      </c>
      <c r="Q179" s="26" t="n">
        <v>2</v>
      </c>
      <c r="R179" s="26" t="n">
        <v>217</v>
      </c>
      <c r="S179" s="26">
        <f>Q179+R179</f>
        <v/>
      </c>
      <c r="T179" s="29" t="n">
        <v>81</v>
      </c>
      <c r="U179" s="29">
        <f>N179*O179*T179</f>
        <v/>
      </c>
      <c r="V179" s="82">
        <f>IF(ISNUMBER($D179),$D179-WEEKDAY($D179,3),'ORDER VS WEEK DISTRIBUTION'!$G$500)</f>
        <v/>
      </c>
      <c r="W179" s="82">
        <f>MAX($V179,'ORDER VS WEEK DISTRIBUTION'!$G$500)</f>
        <v/>
      </c>
      <c r="X179" s="26">
        <f>IFERROR(VLOOKUP($J179,'ORDER VS WEEK DISTRIBUTION'!$T:$U,2,0),"")</f>
        <v/>
      </c>
      <c r="Y179" s="26">
        <f>IFERROR($T179/IF(IFERROR(VLOOKUP($I179,'ITEM CFC PER CONTAINER'!$A:$B,2,0),0)&gt;0,VLOOKUP($I179,'ITEM CFC PER CONTAINER'!$A:$B,2,0),VLOOKUP($X179,'MC MASTER'!$A:$Q,16,0)),"")</f>
        <v/>
      </c>
    </row>
    <row r="180" ht="15" customHeight="1" s="5">
      <c r="A180" s="26" t="inlineStr">
        <is>
          <t>Multitrade Overseas Pte. Ltd.</t>
        </is>
      </c>
      <c r="B180" s="26" t="inlineStr">
        <is>
          <t>MJIL/SO/26035606</t>
        </is>
      </c>
      <c r="C180" s="26" t="inlineStr">
        <is>
          <t>MJ-032/26-27 (OUSMANE)</t>
        </is>
      </c>
      <c r="D180" s="82" t="n">
        <v>46307</v>
      </c>
      <c r="E180" s="83">
        <f>IF(ISNUMBER($D180),EOMONTH($D180,-1)+1,"")</f>
        <v/>
      </c>
      <c r="F180" s="82" t="n">
        <v>46307</v>
      </c>
      <c r="G180" s="26" t="n">
        <v>31667</v>
      </c>
      <c r="H180" s="26">
        <f>B180&amp;I180</f>
        <v/>
      </c>
      <c r="I180" s="26" t="inlineStr">
        <is>
          <t>PREMIER TAMARIND 24/25 DC ENV TBGS</t>
        </is>
      </c>
      <c r="J180" s="30" t="inlineStr">
        <is>
          <t>CONSTANTA ENV</t>
        </is>
      </c>
      <c r="K180" s="26">
        <f>J180&amp;"-"&amp;TEXT(W180,"dd-mmm-yy")</f>
        <v/>
      </c>
      <c r="L180" s="26">
        <f>IFERROR(VLOOKUP($M180,'ITEM MASTER'!E:H,4,0),"")</f>
        <v/>
      </c>
      <c r="M180" s="26">
        <f>IFERROR(VLOOKUP($I180,'ITEM MASTER'!B:E,4,0),"")</f>
        <v/>
      </c>
      <c r="N180" s="26">
        <f>IFERROR(VLOOKUP($I180,'ITEM MASTER'!B:F,5,0),0)</f>
        <v/>
      </c>
      <c r="O180" s="26">
        <f>IFERROR(VLOOKUP($M180,'TBGS PER CTN'!B:C,2,0),0)</f>
        <v/>
      </c>
      <c r="P180" s="26" t="n">
        <v>300</v>
      </c>
      <c r="Q180" s="26" t="n">
        <v>0</v>
      </c>
      <c r="R180" s="26" t="n">
        <v>275</v>
      </c>
      <c r="S180" s="26">
        <f>Q180+R180</f>
        <v/>
      </c>
      <c r="T180" s="29" t="n">
        <v>25</v>
      </c>
      <c r="U180" s="29">
        <f>N180*O180*T180</f>
        <v/>
      </c>
      <c r="V180" s="82">
        <f>IF(ISNUMBER($D180),$D180-WEEKDAY($D180,3),'ORDER VS WEEK DISTRIBUTION'!$G$500)</f>
        <v/>
      </c>
      <c r="W180" s="82">
        <f>MAX($V180,'ORDER VS WEEK DISTRIBUTION'!$G$500)</f>
        <v/>
      </c>
      <c r="X180" s="26">
        <f>IFERROR(VLOOKUP($J180,'ORDER VS WEEK DISTRIBUTION'!$T:$U,2,0),"")</f>
        <v/>
      </c>
      <c r="Y180" s="26">
        <f>IFERROR($T180/IF(IFERROR(VLOOKUP($I180,'ITEM CFC PER CONTAINER'!$A:$B,2,0),0)&gt;0,VLOOKUP($I180,'ITEM CFC PER CONTAINER'!$A:$B,2,0),VLOOKUP($X180,'MC MASTER'!$A:$Q,16,0)),"")</f>
        <v/>
      </c>
    </row>
    <row r="181" ht="15" customHeight="1" s="5">
      <c r="A181" s="26" t="inlineStr">
        <is>
          <t>Multitrade Overseas Pte. Ltd.</t>
        </is>
      </c>
      <c r="B181" s="26" t="inlineStr">
        <is>
          <t>MJIL/SO/26035606</t>
        </is>
      </c>
      <c r="C181" s="26" t="inlineStr">
        <is>
          <t>MJ-032/26-27 (OUSMANE)</t>
        </is>
      </c>
      <c r="D181" s="82" t="n">
        <v>46307</v>
      </c>
      <c r="E181" s="83">
        <f>IF(ISNUMBER($D181),EOMONTH($D181,-1)+1,"")</f>
        <v/>
      </c>
      <c r="F181" s="82" t="n">
        <v>46307</v>
      </c>
      <c r="G181" s="26" t="n">
        <v>31662</v>
      </c>
      <c r="H181" s="26">
        <f>B181&amp;I181</f>
        <v/>
      </c>
      <c r="I181" s="26" t="inlineStr">
        <is>
          <t>PREMIER ORANGE 24/25 DC ENV TBGS</t>
        </is>
      </c>
      <c r="J181" s="30" t="inlineStr">
        <is>
          <t>CONSTANTA ENV</t>
        </is>
      </c>
      <c r="K181" s="26">
        <f>J181&amp;"-"&amp;TEXT(W181,"dd-mmm-yy")</f>
        <v/>
      </c>
      <c r="L181" s="26">
        <f>IFERROR(VLOOKUP($M181,'ITEM MASTER'!E:H,4,0),"")</f>
        <v/>
      </c>
      <c r="M181" s="26">
        <f>IFERROR(VLOOKUP($I181,'ITEM MASTER'!B:E,4,0),"")</f>
        <v/>
      </c>
      <c r="N181" s="26">
        <f>IFERROR(VLOOKUP($I181,'ITEM MASTER'!B:F,5,0),0)</f>
        <v/>
      </c>
      <c r="O181" s="26">
        <f>IFERROR(VLOOKUP($M181,'TBGS PER CTN'!B:C,2,0),0)</f>
        <v/>
      </c>
      <c r="P181" s="26" t="n">
        <v>300</v>
      </c>
      <c r="Q181" s="26" t="n">
        <v>0</v>
      </c>
      <c r="R181" s="26" t="n">
        <v>0</v>
      </c>
      <c r="S181" s="26">
        <f>Q181+R181</f>
        <v/>
      </c>
      <c r="T181" s="29" t="n">
        <v>300</v>
      </c>
      <c r="U181" s="29">
        <f>N181*O181*T181</f>
        <v/>
      </c>
      <c r="V181" s="82">
        <f>IF(ISNUMBER($D181),$D181-WEEKDAY($D181,3),'ORDER VS WEEK DISTRIBUTION'!$G$500)</f>
        <v/>
      </c>
      <c r="W181" s="82">
        <f>MAX($V181,'ORDER VS WEEK DISTRIBUTION'!$G$500)</f>
        <v/>
      </c>
      <c r="X181" s="26">
        <f>IFERROR(VLOOKUP($J181,'ORDER VS WEEK DISTRIBUTION'!$T:$U,2,0),"")</f>
        <v/>
      </c>
      <c r="Y181" s="26">
        <f>IFERROR($T181/IF(IFERROR(VLOOKUP($I181,'ITEM CFC PER CONTAINER'!$A:$B,2,0),0)&gt;0,VLOOKUP($I181,'ITEM CFC PER CONTAINER'!$A:$B,2,0),VLOOKUP($X181,'MC MASTER'!$A:$Q,16,0)),"")</f>
        <v/>
      </c>
    </row>
    <row r="182" ht="15" customHeight="1" s="5">
      <c r="A182" s="26" t="inlineStr">
        <is>
          <t>Multitrade Overseas Pte. Ltd.</t>
        </is>
      </c>
      <c r="B182" s="26" t="inlineStr">
        <is>
          <t>MJIL/SO/26035606</t>
        </is>
      </c>
      <c r="C182" s="26" t="inlineStr">
        <is>
          <t>MJ-032/26-27 (OUSMANE)</t>
        </is>
      </c>
      <c r="D182" s="82" t="n">
        <v>46307</v>
      </c>
      <c r="E182" s="83">
        <f>IF(ISNUMBER($D182),EOMONTH($D182,-1)+1,"")</f>
        <v/>
      </c>
      <c r="F182" s="82" t="n">
        <v>46307</v>
      </c>
      <c r="G182" s="26" t="n">
        <v>38256</v>
      </c>
      <c r="H182" s="26">
        <f>B182&amp;I182</f>
        <v/>
      </c>
      <c r="I182" s="26" t="inlineStr">
        <is>
          <t>PREMIER HIBISCUS 24/25 DC ENV TBGS</t>
        </is>
      </c>
      <c r="J182" s="30" t="inlineStr">
        <is>
          <t>CONSTANTA ENV</t>
        </is>
      </c>
      <c r="K182" s="26">
        <f>J182&amp;"-"&amp;TEXT(W182,"dd-mmm-yy")</f>
        <v/>
      </c>
      <c r="L182" s="26">
        <f>IFERROR(VLOOKUP($M182,'ITEM MASTER'!E:H,4,0),"")</f>
        <v/>
      </c>
      <c r="M182" s="26">
        <f>IFERROR(VLOOKUP($I182,'ITEM MASTER'!B:E,4,0),"")</f>
        <v/>
      </c>
      <c r="N182" s="26">
        <f>IFERROR(VLOOKUP($I182,'ITEM MASTER'!B:F,5,0),0)</f>
        <v/>
      </c>
      <c r="O182" s="26">
        <f>IFERROR(VLOOKUP($M182,'TBGS PER CTN'!B:C,2,0),0)</f>
        <v/>
      </c>
      <c r="P182" s="26" t="n">
        <v>600</v>
      </c>
      <c r="Q182" s="26" t="n">
        <v>0</v>
      </c>
      <c r="R182" s="26" t="n">
        <v>0</v>
      </c>
      <c r="S182" s="26">
        <f>Q182+R182</f>
        <v/>
      </c>
      <c r="T182" s="29" t="n">
        <v>600</v>
      </c>
      <c r="U182" s="29">
        <f>N182*O182*T182</f>
        <v/>
      </c>
      <c r="V182" s="82">
        <f>IF(ISNUMBER($D182),$D182-WEEKDAY($D182,3),'ORDER VS WEEK DISTRIBUTION'!$G$500)</f>
        <v/>
      </c>
      <c r="W182" s="82">
        <f>MAX($V182,'ORDER VS WEEK DISTRIBUTION'!$G$500)</f>
        <v/>
      </c>
      <c r="X182" s="26">
        <f>IFERROR(VLOOKUP($J182,'ORDER VS WEEK DISTRIBUTION'!$T:$U,2,0),"")</f>
        <v/>
      </c>
      <c r="Y182" s="26">
        <f>IFERROR($T182/IF(IFERROR(VLOOKUP($I182,'ITEM CFC PER CONTAINER'!$A:$B,2,0),0)&gt;0,VLOOKUP($I182,'ITEM CFC PER CONTAINER'!$A:$B,2,0),VLOOKUP($X182,'MC MASTER'!$A:$Q,16,0)),"")</f>
        <v/>
      </c>
    </row>
    <row r="183" ht="15" customHeight="1" s="5">
      <c r="A183" s="26" t="inlineStr">
        <is>
          <t>Multitrade Overseas Pte. Ltd.</t>
        </is>
      </c>
      <c r="B183" s="26" t="inlineStr">
        <is>
          <t>MJIL/SO/26035606</t>
        </is>
      </c>
      <c r="C183" s="26" t="inlineStr">
        <is>
          <t>MJ-032/26-27 (OUSMANE)</t>
        </is>
      </c>
      <c r="D183" s="82" t="n">
        <v>46307</v>
      </c>
      <c r="E183" s="83">
        <f>IF(ISNUMBER($D183),EOMONTH($D183,-1)+1,"")</f>
        <v/>
      </c>
      <c r="F183" s="82" t="n">
        <v>46307</v>
      </c>
      <c r="G183" s="26" t="n">
        <v>31664</v>
      </c>
      <c r="H183" s="26">
        <f>B183&amp;I183</f>
        <v/>
      </c>
      <c r="I183" s="26" t="inlineStr">
        <is>
          <t>PREMIER MINT 24/25 DC ENV TBGS</t>
        </is>
      </c>
      <c r="J183" s="30" t="inlineStr">
        <is>
          <t>CONSTANTA ENV</t>
        </is>
      </c>
      <c r="K183" s="26">
        <f>J183&amp;"-"&amp;TEXT(W183,"dd-mmm-yy")</f>
        <v/>
      </c>
      <c r="L183" s="26">
        <f>IFERROR(VLOOKUP($M183,'ITEM MASTER'!E:H,4,0),"")</f>
        <v/>
      </c>
      <c r="M183" s="26">
        <f>IFERROR(VLOOKUP($I183,'ITEM MASTER'!B:E,4,0),"")</f>
        <v/>
      </c>
      <c r="N183" s="26">
        <f>IFERROR(VLOOKUP($I183,'ITEM MASTER'!B:F,5,0),0)</f>
        <v/>
      </c>
      <c r="O183" s="26">
        <f>IFERROR(VLOOKUP($M183,'TBGS PER CTN'!B:C,2,0),0)</f>
        <v/>
      </c>
      <c r="P183" s="26" t="n">
        <v>800</v>
      </c>
      <c r="Q183" s="26" t="n">
        <v>2</v>
      </c>
      <c r="R183" s="26" t="n">
        <v>778</v>
      </c>
      <c r="S183" s="26">
        <f>Q183+R183</f>
        <v/>
      </c>
      <c r="T183" s="29" t="n">
        <v>20</v>
      </c>
      <c r="U183" s="29">
        <f>N183*O183*T183</f>
        <v/>
      </c>
      <c r="V183" s="82">
        <f>IF(ISNUMBER($D183),$D183-WEEKDAY($D183,3),'ORDER VS WEEK DISTRIBUTION'!$G$500)</f>
        <v/>
      </c>
      <c r="W183" s="82">
        <f>MAX($V183,'ORDER VS WEEK DISTRIBUTION'!$G$500)</f>
        <v/>
      </c>
      <c r="X183" s="26">
        <f>IFERROR(VLOOKUP($J183,'ORDER VS WEEK DISTRIBUTION'!$T:$U,2,0),"")</f>
        <v/>
      </c>
      <c r="Y183" s="26">
        <f>IFERROR($T183/IF(IFERROR(VLOOKUP($I183,'ITEM CFC PER CONTAINER'!$A:$B,2,0),0)&gt;0,VLOOKUP($I183,'ITEM CFC PER CONTAINER'!$A:$B,2,0),VLOOKUP($X183,'MC MASTER'!$A:$Q,16,0)),"")</f>
        <v/>
      </c>
    </row>
    <row r="184" ht="15" customHeight="1" s="5">
      <c r="A184" s="26" t="inlineStr">
        <is>
          <t>Multitrade Overseas Pte. Ltd.</t>
        </is>
      </c>
      <c r="B184" s="26" t="inlineStr">
        <is>
          <t>MJIL/SO/26035606</t>
        </is>
      </c>
      <c r="C184" s="26" t="inlineStr">
        <is>
          <t>MJ-032/26-27 (OUSMANE)</t>
        </is>
      </c>
      <c r="D184" s="82" t="n">
        <v>46307</v>
      </c>
      <c r="E184" s="83">
        <f>IF(ISNUMBER($D184),EOMONTH($D184,-1)+1,"")</f>
        <v/>
      </c>
      <c r="F184" s="82" t="n">
        <v>46307</v>
      </c>
      <c r="G184" s="26" t="n">
        <v>31661</v>
      </c>
      <c r="H184" s="26">
        <f>B184&amp;I184</f>
        <v/>
      </c>
      <c r="I184" s="26" t="inlineStr">
        <is>
          <t>PREMIER STRAWBERRY 24/25 DC ENV TBGS</t>
        </is>
      </c>
      <c r="J184" s="30" t="inlineStr">
        <is>
          <t>CONSTANTA ENV</t>
        </is>
      </c>
      <c r="K184" s="26">
        <f>J184&amp;"-"&amp;TEXT(W184,"dd-mmm-yy")</f>
        <v/>
      </c>
      <c r="L184" s="26">
        <f>IFERROR(VLOOKUP($M184,'ITEM MASTER'!E:H,4,0),"")</f>
        <v/>
      </c>
      <c r="M184" s="26">
        <f>IFERROR(VLOOKUP($I184,'ITEM MASTER'!B:E,4,0),"")</f>
        <v/>
      </c>
      <c r="N184" s="26">
        <f>IFERROR(VLOOKUP($I184,'ITEM MASTER'!B:F,5,0),0)</f>
        <v/>
      </c>
      <c r="O184" s="26">
        <f>IFERROR(VLOOKUP($M184,'TBGS PER CTN'!B:C,2,0),0)</f>
        <v/>
      </c>
      <c r="P184" s="26" t="n">
        <v>800</v>
      </c>
      <c r="Q184" s="26" t="n">
        <v>0</v>
      </c>
      <c r="R184" s="26" t="n">
        <v>278</v>
      </c>
      <c r="S184" s="26">
        <f>Q184+R184</f>
        <v/>
      </c>
      <c r="T184" s="29" t="n">
        <v>522</v>
      </c>
      <c r="U184" s="29">
        <f>N184*O184*T184</f>
        <v/>
      </c>
      <c r="V184" s="82">
        <f>IF(ISNUMBER($D184),$D184-WEEKDAY($D184,3),'ORDER VS WEEK DISTRIBUTION'!$G$500)</f>
        <v/>
      </c>
      <c r="W184" s="82">
        <f>MAX($V184,'ORDER VS WEEK DISTRIBUTION'!$G$500)</f>
        <v/>
      </c>
      <c r="X184" s="26">
        <f>IFERROR(VLOOKUP($J184,'ORDER VS WEEK DISTRIBUTION'!$T:$U,2,0),"")</f>
        <v/>
      </c>
      <c r="Y184" s="26">
        <f>IFERROR($T184/IF(IFERROR(VLOOKUP($I184,'ITEM CFC PER CONTAINER'!$A:$B,2,0),0)&gt;0,VLOOKUP($I184,'ITEM CFC PER CONTAINER'!$A:$B,2,0),VLOOKUP($X184,'MC MASTER'!$A:$Q,16,0)),"")</f>
        <v/>
      </c>
    </row>
    <row r="185" ht="15" customHeight="1" s="5">
      <c r="A185" s="26" t="inlineStr">
        <is>
          <t>Multitrade Overseas Pte. Ltd.</t>
        </is>
      </c>
      <c r="B185" s="26" t="inlineStr">
        <is>
          <t>MJIL/SO/26035606</t>
        </is>
      </c>
      <c r="C185" s="26" t="inlineStr">
        <is>
          <t>MJ-032/26-27 (OUSMANE)</t>
        </is>
      </c>
      <c r="D185" s="82" t="n">
        <v>46307</v>
      </c>
      <c r="E185" s="83">
        <f>IF(ISNUMBER($D185),EOMONTH($D185,-1)+1,"")</f>
        <v/>
      </c>
      <c r="F185" s="82" t="n">
        <v>46307</v>
      </c>
      <c r="G185" s="26" t="n">
        <v>26246</v>
      </c>
      <c r="H185" s="26">
        <f>B185&amp;I185</f>
        <v/>
      </c>
      <c r="I185" s="26" t="inlineStr">
        <is>
          <t>PREMIER COCKTAIL 24/25 DC ENV TBGS</t>
        </is>
      </c>
      <c r="J185" s="30" t="inlineStr">
        <is>
          <t>CONSTANTA ENV</t>
        </is>
      </c>
      <c r="K185" s="26">
        <f>J185&amp;"-"&amp;TEXT(W185,"dd-mmm-yy")</f>
        <v/>
      </c>
      <c r="L185" s="26">
        <f>IFERROR(VLOOKUP($M185,'ITEM MASTER'!E:H,4,0),"")</f>
        <v/>
      </c>
      <c r="M185" s="26">
        <f>IFERROR(VLOOKUP($I185,'ITEM MASTER'!B:E,4,0),"")</f>
        <v/>
      </c>
      <c r="N185" s="26">
        <f>IFERROR(VLOOKUP($I185,'ITEM MASTER'!B:F,5,0),0)</f>
        <v/>
      </c>
      <c r="O185" s="26">
        <f>IFERROR(VLOOKUP($M185,'TBGS PER CTN'!B:C,2,0),0)</f>
        <v/>
      </c>
      <c r="P185" s="26" t="n">
        <v>800</v>
      </c>
      <c r="Q185" s="26" t="n">
        <v>0</v>
      </c>
      <c r="R185" s="26" t="n">
        <v>0</v>
      </c>
      <c r="S185" s="26">
        <f>Q185+R185</f>
        <v/>
      </c>
      <c r="T185" s="29" t="n">
        <v>800</v>
      </c>
      <c r="U185" s="29">
        <f>N185*O185*T185</f>
        <v/>
      </c>
      <c r="V185" s="82">
        <f>IF(ISNUMBER($D185),$D185-WEEKDAY($D185,3),'ORDER VS WEEK DISTRIBUTION'!$G$500)</f>
        <v/>
      </c>
      <c r="W185" s="82">
        <f>MAX($V185,'ORDER VS WEEK DISTRIBUTION'!$G$500)</f>
        <v/>
      </c>
      <c r="X185" s="26">
        <f>IFERROR(VLOOKUP($J185,'ORDER VS WEEK DISTRIBUTION'!$T:$U,2,0),"")</f>
        <v/>
      </c>
      <c r="Y185" s="26">
        <f>IFERROR($T185/IF(IFERROR(VLOOKUP($I185,'ITEM CFC PER CONTAINER'!$A:$B,2,0),0)&gt;0,VLOOKUP($I185,'ITEM CFC PER CONTAINER'!$A:$B,2,0),VLOOKUP($X185,'MC MASTER'!$A:$Q,16,0)),"")</f>
        <v/>
      </c>
    </row>
    <row r="186" ht="15" customHeight="1" s="5">
      <c r="A186" s="26" t="inlineStr">
        <is>
          <t>Multitrade Overseas Pte. Ltd.</t>
        </is>
      </c>
      <c r="B186" s="26" t="inlineStr">
        <is>
          <t>MJIL/SO/26037909</t>
        </is>
      </c>
      <c r="C186" s="26" t="inlineStr">
        <is>
          <t>MJ-070/26-27 (DALA &amp; SONS)</t>
        </is>
      </c>
      <c r="D186" s="82" t="n">
        <v>46307</v>
      </c>
      <c r="E186" s="83">
        <f>IF(ISNUMBER($D186),EOMONTH($D186,-1)+1,"")</f>
        <v/>
      </c>
      <c r="F186" s="82" t="n">
        <v>46307</v>
      </c>
      <c r="G186" s="26" t="n">
        <v>33093</v>
      </c>
      <c r="H186" s="26">
        <f>B186&amp;I186</f>
        <v/>
      </c>
      <c r="I186" s="26" t="inlineStr">
        <is>
          <t>INDUS STRAWBERRY 48/25 DC ENV TBGS</t>
        </is>
      </c>
      <c r="J186" s="30" t="inlineStr">
        <is>
          <t>CONSTANTA ENV</t>
        </is>
      </c>
      <c r="K186" s="26">
        <f>J186&amp;"-"&amp;TEXT(W186,"dd-mmm-yy")</f>
        <v/>
      </c>
      <c r="L186" s="26">
        <f>IFERROR(VLOOKUP($M186,'ITEM MASTER'!E:H,4,0),"")</f>
        <v/>
      </c>
      <c r="M186" s="26">
        <f>IFERROR(VLOOKUP($I186,'ITEM MASTER'!B:E,4,0),"")</f>
        <v/>
      </c>
      <c r="N186" s="26">
        <f>IFERROR(VLOOKUP($I186,'ITEM MASTER'!B:F,5,0),0)</f>
        <v/>
      </c>
      <c r="O186" s="26">
        <f>IFERROR(VLOOKUP($M186,'TBGS PER CTN'!B:C,2,0),0)</f>
        <v/>
      </c>
      <c r="P186" s="26" t="n">
        <v>900</v>
      </c>
      <c r="Q186" s="26" t="n">
        <v>0</v>
      </c>
      <c r="R186" s="26" t="n">
        <v>66</v>
      </c>
      <c r="S186" s="26">
        <f>Q186+R186</f>
        <v/>
      </c>
      <c r="T186" s="29" t="n">
        <v>834</v>
      </c>
      <c r="U186" s="29">
        <f>N186*O186*T186</f>
        <v/>
      </c>
      <c r="V186" s="82">
        <f>IF(ISNUMBER($D186),$D186-WEEKDAY($D186,3),'ORDER VS WEEK DISTRIBUTION'!$G$500)</f>
        <v/>
      </c>
      <c r="W186" s="82">
        <f>MAX($V186,'ORDER VS WEEK DISTRIBUTION'!$G$500)</f>
        <v/>
      </c>
      <c r="X186" s="26">
        <f>IFERROR(VLOOKUP($J186,'ORDER VS WEEK DISTRIBUTION'!$T:$U,2,0),"")</f>
        <v/>
      </c>
      <c r="Y186" s="26">
        <f>IFERROR($T186/IF(IFERROR(VLOOKUP($I186,'ITEM CFC PER CONTAINER'!$A:$B,2,0),0)&gt;0,VLOOKUP($I186,'ITEM CFC PER CONTAINER'!$A:$B,2,0),VLOOKUP($X186,'MC MASTER'!$A:$Q,16,0)),"")</f>
        <v/>
      </c>
    </row>
    <row r="187" ht="15" customHeight="1" s="5">
      <c r="A187" s="26" t="inlineStr">
        <is>
          <t>Multitrade Overseas Pte. Ltd.</t>
        </is>
      </c>
      <c r="B187" s="26" t="inlineStr">
        <is>
          <t>MJIL/SO/26037909</t>
        </is>
      </c>
      <c r="C187" s="26" t="inlineStr">
        <is>
          <t>MJ-070/26-27 (DALA &amp; SONS)</t>
        </is>
      </c>
      <c r="D187" s="82" t="n">
        <v>46307</v>
      </c>
      <c r="E187" s="83">
        <f>IF(ISNUMBER($D187),EOMONTH($D187,-1)+1,"")</f>
        <v/>
      </c>
      <c r="F187" s="82" t="n">
        <v>46307</v>
      </c>
      <c r="G187" s="26" t="n">
        <v>33095</v>
      </c>
      <c r="H187" s="26">
        <f>B187&amp;I187</f>
        <v/>
      </c>
      <c r="I187" s="26" t="inlineStr">
        <is>
          <t>INDUS WATERMELON 48/25 DC ENV TBGS</t>
        </is>
      </c>
      <c r="J187" s="30" t="inlineStr">
        <is>
          <t>CONSTANTA ENV</t>
        </is>
      </c>
      <c r="K187" s="26">
        <f>J187&amp;"-"&amp;TEXT(W187,"dd-mmm-yy")</f>
        <v/>
      </c>
      <c r="L187" s="26">
        <f>IFERROR(VLOOKUP($M187,'ITEM MASTER'!E:H,4,0),"")</f>
        <v/>
      </c>
      <c r="M187" s="26">
        <f>IFERROR(VLOOKUP($I187,'ITEM MASTER'!B:E,4,0),"")</f>
        <v/>
      </c>
      <c r="N187" s="26">
        <f>IFERROR(VLOOKUP($I187,'ITEM MASTER'!B:F,5,0),0)</f>
        <v/>
      </c>
      <c r="O187" s="26">
        <f>IFERROR(VLOOKUP($M187,'TBGS PER CTN'!B:C,2,0),0)</f>
        <v/>
      </c>
      <c r="P187" s="26" t="n">
        <v>900</v>
      </c>
      <c r="Q187" s="26" t="n">
        <v>0</v>
      </c>
      <c r="R187" s="26" t="n">
        <v>4</v>
      </c>
      <c r="S187" s="26">
        <f>Q187+R187</f>
        <v/>
      </c>
      <c r="T187" s="29" t="n">
        <v>896</v>
      </c>
      <c r="U187" s="29">
        <f>N187*O187*T187</f>
        <v/>
      </c>
      <c r="V187" s="82">
        <f>IF(ISNUMBER($D187),$D187-WEEKDAY($D187,3),'ORDER VS WEEK DISTRIBUTION'!$G$500)</f>
        <v/>
      </c>
      <c r="W187" s="82">
        <f>MAX($V187,'ORDER VS WEEK DISTRIBUTION'!$G$500)</f>
        <v/>
      </c>
      <c r="X187" s="26">
        <f>IFERROR(VLOOKUP($J187,'ORDER VS WEEK DISTRIBUTION'!$T:$U,2,0),"")</f>
        <v/>
      </c>
      <c r="Y187" s="26">
        <f>IFERROR($T187/IF(IFERROR(VLOOKUP($I187,'ITEM CFC PER CONTAINER'!$A:$B,2,0),0)&gt;0,VLOOKUP($I187,'ITEM CFC PER CONTAINER'!$A:$B,2,0),VLOOKUP($X187,'MC MASTER'!$A:$Q,16,0)),"")</f>
        <v/>
      </c>
    </row>
    <row r="188" ht="15" customHeight="1" s="5">
      <c r="A188" s="26" t="inlineStr">
        <is>
          <t>Multitrade Overseas Pte. Ltd.</t>
        </is>
      </c>
      <c r="B188" s="26" t="inlineStr">
        <is>
          <t>MJIL/SO/26037909</t>
        </is>
      </c>
      <c r="C188" s="26" t="inlineStr">
        <is>
          <t>MJ-070/26-27 (DALA &amp; SONS)</t>
        </is>
      </c>
      <c r="D188" s="82" t="n">
        <v>46307</v>
      </c>
      <c r="E188" s="83">
        <f>IF(ISNUMBER($D188),EOMONTH($D188,-1)+1,"")</f>
        <v/>
      </c>
      <c r="F188" s="82" t="n">
        <v>46307</v>
      </c>
      <c r="G188" s="26" t="n">
        <v>33106</v>
      </c>
      <c r="H188" s="26">
        <f>B188&amp;I188</f>
        <v/>
      </c>
      <c r="I188" s="26" t="inlineStr">
        <is>
          <t>INDUS CRANBERRY APPLE HERBAL 48/25 DC ENV TBGS</t>
        </is>
      </c>
      <c r="J188" s="30" t="inlineStr">
        <is>
          <t>CONSTANTA ENV</t>
        </is>
      </c>
      <c r="K188" s="26">
        <f>J188&amp;"-"&amp;TEXT(W188,"dd-mmm-yy")</f>
        <v/>
      </c>
      <c r="L188" s="26">
        <f>IFERROR(VLOOKUP($M188,'ITEM MASTER'!E:H,4,0),"")</f>
        <v/>
      </c>
      <c r="M188" s="26">
        <f>IFERROR(VLOOKUP($I188,'ITEM MASTER'!B:E,4,0),"")</f>
        <v/>
      </c>
      <c r="N188" s="26">
        <f>IFERROR(VLOOKUP($I188,'ITEM MASTER'!B:F,5,0),0)</f>
        <v/>
      </c>
      <c r="O188" s="26">
        <f>IFERROR(VLOOKUP($M188,'TBGS PER CTN'!B:C,2,0),0)</f>
        <v/>
      </c>
      <c r="P188" s="26" t="n">
        <v>400</v>
      </c>
      <c r="Q188" s="26" t="n">
        <v>0</v>
      </c>
      <c r="R188" s="26" t="n">
        <v>0</v>
      </c>
      <c r="S188" s="26">
        <f>Q188+R188</f>
        <v/>
      </c>
      <c r="T188" s="29" t="n">
        <v>400</v>
      </c>
      <c r="U188" s="29">
        <f>N188*O188*T188</f>
        <v/>
      </c>
      <c r="V188" s="82">
        <f>IF(ISNUMBER($D188),$D188-WEEKDAY($D188,3),'ORDER VS WEEK DISTRIBUTION'!$G$500)</f>
        <v/>
      </c>
      <c r="W188" s="82">
        <f>MAX($V188,'ORDER VS WEEK DISTRIBUTION'!$G$500)</f>
        <v/>
      </c>
      <c r="X188" s="26">
        <f>IFERROR(VLOOKUP($J188,'ORDER VS WEEK DISTRIBUTION'!$T:$U,2,0),"")</f>
        <v/>
      </c>
      <c r="Y188" s="26">
        <f>IFERROR($T188/IF(IFERROR(VLOOKUP($I188,'ITEM CFC PER CONTAINER'!$A:$B,2,0),0)&gt;0,VLOOKUP($I188,'ITEM CFC PER CONTAINER'!$A:$B,2,0),VLOOKUP($X188,'MC MASTER'!$A:$Q,16,0)),"")</f>
        <v/>
      </c>
    </row>
    <row r="189" ht="15" customHeight="1" s="5">
      <c r="A189" s="26" t="inlineStr">
        <is>
          <t>Multitrade Overseas Pte. Ltd.</t>
        </is>
      </c>
      <c r="B189" s="26" t="inlineStr">
        <is>
          <t>MJIL/SO/26037909</t>
        </is>
      </c>
      <c r="C189" s="26" t="inlineStr">
        <is>
          <t>MJ-070/26-27 (DALA &amp; SONS)</t>
        </is>
      </c>
      <c r="D189" s="82" t="n">
        <v>46307</v>
      </c>
      <c r="E189" s="83">
        <f>IF(ISNUMBER($D189),EOMONTH($D189,-1)+1,"")</f>
        <v/>
      </c>
      <c r="F189" s="82" t="n">
        <v>46307</v>
      </c>
      <c r="G189" s="26" t="n">
        <v>35873</v>
      </c>
      <c r="H189" s="26">
        <f>B189&amp;I189</f>
        <v/>
      </c>
      <c r="I189" s="26" t="inlineStr">
        <is>
          <t>INDUS CLOVE 48/25 DC ENV TBGS</t>
        </is>
      </c>
      <c r="J189" s="30" t="inlineStr">
        <is>
          <t>CONSTANTA ENV</t>
        </is>
      </c>
      <c r="K189" s="26">
        <f>J189&amp;"-"&amp;TEXT(W189,"dd-mmm-yy")</f>
        <v/>
      </c>
      <c r="L189" s="26">
        <f>IFERROR(VLOOKUP($M189,'ITEM MASTER'!E:H,4,0),"")</f>
        <v/>
      </c>
      <c r="M189" s="26">
        <f>IFERROR(VLOOKUP($I189,'ITEM MASTER'!B:E,4,0),"")</f>
        <v/>
      </c>
      <c r="N189" s="26">
        <f>IFERROR(VLOOKUP($I189,'ITEM MASTER'!B:F,5,0),0)</f>
        <v/>
      </c>
      <c r="O189" s="26">
        <f>IFERROR(VLOOKUP($M189,'TBGS PER CTN'!B:C,2,0),0)</f>
        <v/>
      </c>
      <c r="P189" s="26" t="n">
        <v>300</v>
      </c>
      <c r="Q189" s="26" t="n">
        <v>0</v>
      </c>
      <c r="R189" s="26" t="n">
        <v>6</v>
      </c>
      <c r="S189" s="26">
        <f>Q189+R189</f>
        <v/>
      </c>
      <c r="T189" s="29" t="n">
        <v>294</v>
      </c>
      <c r="U189" s="29">
        <f>N189*O189*T189</f>
        <v/>
      </c>
      <c r="V189" s="82">
        <f>IF(ISNUMBER($D189),$D189-WEEKDAY($D189,3),'ORDER VS WEEK DISTRIBUTION'!$G$500)</f>
        <v/>
      </c>
      <c r="W189" s="82">
        <f>MAX($V189,'ORDER VS WEEK DISTRIBUTION'!$G$500)</f>
        <v/>
      </c>
      <c r="X189" s="26">
        <f>IFERROR(VLOOKUP($J189,'ORDER VS WEEK DISTRIBUTION'!$T:$U,2,0),"")</f>
        <v/>
      </c>
      <c r="Y189" s="26">
        <f>IFERROR($T189/IF(IFERROR(VLOOKUP($I189,'ITEM CFC PER CONTAINER'!$A:$B,2,0),0)&gt;0,VLOOKUP($I189,'ITEM CFC PER CONTAINER'!$A:$B,2,0),VLOOKUP($X189,'MC MASTER'!$A:$Q,16,0)),"")</f>
        <v/>
      </c>
    </row>
    <row r="190" ht="15" customHeight="1" s="5">
      <c r="A190" s="26" t="inlineStr">
        <is>
          <t>Multitrade Overseas Pte. Ltd.</t>
        </is>
      </c>
      <c r="B190" s="26" t="inlineStr">
        <is>
          <t>MJIL/SO/26037909</t>
        </is>
      </c>
      <c r="C190" s="26" t="inlineStr">
        <is>
          <t>MJ-070/26-27 (DALA &amp; SONS)</t>
        </is>
      </c>
      <c r="D190" s="82" t="n">
        <v>46307</v>
      </c>
      <c r="E190" s="83">
        <f>IF(ISNUMBER($D190),EOMONTH($D190,-1)+1,"")</f>
        <v/>
      </c>
      <c r="F190" s="82" t="n">
        <v>46307</v>
      </c>
      <c r="G190" s="26" t="n">
        <v>35874</v>
      </c>
      <c r="H190" s="26">
        <f>B190&amp;I190</f>
        <v/>
      </c>
      <c r="I190" s="26" t="inlineStr">
        <is>
          <t>INDUS COCKTAIL 48/25 DC ENV TBGS</t>
        </is>
      </c>
      <c r="J190" s="30" t="inlineStr">
        <is>
          <t>CONSTANTA ENV</t>
        </is>
      </c>
      <c r="K190" s="26">
        <f>J190&amp;"-"&amp;TEXT(W190,"dd-mmm-yy")</f>
        <v/>
      </c>
      <c r="L190" s="26">
        <f>IFERROR(VLOOKUP($M190,'ITEM MASTER'!E:H,4,0),"")</f>
        <v/>
      </c>
      <c r="M190" s="26">
        <f>IFERROR(VLOOKUP($I190,'ITEM MASTER'!B:E,4,0),"")</f>
        <v/>
      </c>
      <c r="N190" s="26">
        <f>IFERROR(VLOOKUP($I190,'ITEM MASTER'!B:F,5,0),0)</f>
        <v/>
      </c>
      <c r="O190" s="26">
        <f>IFERROR(VLOOKUP($M190,'TBGS PER CTN'!B:C,2,0),0)</f>
        <v/>
      </c>
      <c r="P190" s="26" t="n">
        <v>300</v>
      </c>
      <c r="Q190" s="26" t="n">
        <v>0</v>
      </c>
      <c r="R190" s="26" t="n">
        <v>0</v>
      </c>
      <c r="S190" s="26">
        <f>Q190+R190</f>
        <v/>
      </c>
      <c r="T190" s="29" t="n">
        <v>300</v>
      </c>
      <c r="U190" s="29">
        <f>N190*O190*T190</f>
        <v/>
      </c>
      <c r="V190" s="82">
        <f>IF(ISNUMBER($D190),$D190-WEEKDAY($D190,3),'ORDER VS WEEK DISTRIBUTION'!$G$500)</f>
        <v/>
      </c>
      <c r="W190" s="82">
        <f>MAX($V190,'ORDER VS WEEK DISTRIBUTION'!$G$500)</f>
        <v/>
      </c>
      <c r="X190" s="26">
        <f>IFERROR(VLOOKUP($J190,'ORDER VS WEEK DISTRIBUTION'!$T:$U,2,0),"")</f>
        <v/>
      </c>
      <c r="Y190" s="26">
        <f>IFERROR($T190/IF(IFERROR(VLOOKUP($I190,'ITEM CFC PER CONTAINER'!$A:$B,2,0),0)&gt;0,VLOOKUP($I190,'ITEM CFC PER CONTAINER'!$A:$B,2,0),VLOOKUP($X190,'MC MASTER'!$A:$Q,16,0)),"")</f>
        <v/>
      </c>
    </row>
    <row r="191" ht="15" customHeight="1" s="5">
      <c r="A191" s="26" t="inlineStr">
        <is>
          <t>Multitrade Overseas Pte. Ltd.</t>
        </is>
      </c>
      <c r="B191" s="26" t="inlineStr">
        <is>
          <t>MJIL/SO/26037909</t>
        </is>
      </c>
      <c r="C191" s="26" t="inlineStr">
        <is>
          <t>MJ-070/26-27 (DALA &amp; SONS)</t>
        </is>
      </c>
      <c r="D191" s="82" t="n">
        <v>46307</v>
      </c>
      <c r="E191" s="83">
        <f>IF(ISNUMBER($D191),EOMONTH($D191,-1)+1,"")</f>
        <v/>
      </c>
      <c r="F191" s="82" t="n">
        <v>46307</v>
      </c>
      <c r="G191" s="26" t="n">
        <v>38099</v>
      </c>
      <c r="H191" s="26">
        <f>B191&amp;I191</f>
        <v/>
      </c>
      <c r="I191" s="26" t="inlineStr">
        <is>
          <t>INDUS VANILLA 48/25 DC ENV TBGS</t>
        </is>
      </c>
      <c r="J191" s="30" t="inlineStr">
        <is>
          <t>CONSTANTA ENV</t>
        </is>
      </c>
      <c r="K191" s="26">
        <f>J191&amp;"-"&amp;TEXT(W191,"dd-mmm-yy")</f>
        <v/>
      </c>
      <c r="L191" s="26">
        <f>IFERROR(VLOOKUP($M191,'ITEM MASTER'!E:H,4,0),"")</f>
        <v/>
      </c>
      <c r="M191" s="26">
        <f>IFERROR(VLOOKUP($I191,'ITEM MASTER'!B:E,4,0),"")</f>
        <v/>
      </c>
      <c r="N191" s="26">
        <f>IFERROR(VLOOKUP($I191,'ITEM MASTER'!B:F,5,0),0)</f>
        <v/>
      </c>
      <c r="O191" s="26">
        <f>IFERROR(VLOOKUP($M191,'TBGS PER CTN'!B:C,2,0),0)</f>
        <v/>
      </c>
      <c r="P191" s="26" t="n">
        <v>300</v>
      </c>
      <c r="Q191" s="26" t="n">
        <v>0</v>
      </c>
      <c r="R191" s="26" t="n">
        <v>2</v>
      </c>
      <c r="S191" s="26">
        <f>Q191+R191</f>
        <v/>
      </c>
      <c r="T191" s="29" t="n">
        <v>298</v>
      </c>
      <c r="U191" s="29">
        <f>N191*O191*T191</f>
        <v/>
      </c>
      <c r="V191" s="82">
        <f>IF(ISNUMBER($D191),$D191-WEEKDAY($D191,3),'ORDER VS WEEK DISTRIBUTION'!$G$500)</f>
        <v/>
      </c>
      <c r="W191" s="82">
        <f>MAX($V191,'ORDER VS WEEK DISTRIBUTION'!$G$500)</f>
        <v/>
      </c>
      <c r="X191" s="26">
        <f>IFERROR(VLOOKUP($J191,'ORDER VS WEEK DISTRIBUTION'!$T:$U,2,0),"")</f>
        <v/>
      </c>
      <c r="Y191" s="26">
        <f>IFERROR($T191/IF(IFERROR(VLOOKUP($I191,'ITEM CFC PER CONTAINER'!$A:$B,2,0),0)&gt;0,VLOOKUP($I191,'ITEM CFC PER CONTAINER'!$A:$B,2,0),VLOOKUP($X191,'MC MASTER'!$A:$Q,16,0)),"")</f>
        <v/>
      </c>
    </row>
    <row r="192" ht="15" customHeight="1" s="5">
      <c r="A192" s="26" t="inlineStr">
        <is>
          <t>Vindemia Logistique</t>
        </is>
      </c>
      <c r="B192" s="26" t="inlineStr">
        <is>
          <t>MJIL/SO/26034861</t>
        </is>
      </c>
      <c r="C192" s="26" t="inlineStr">
        <is>
          <t>MJ-071/26-27 (130715)</t>
        </is>
      </c>
      <c r="D192" s="82" t="n">
        <v>46307</v>
      </c>
      <c r="E192" s="83">
        <f>IF(ISNUMBER($D192),EOMONTH($D192,-1)+1,"")</f>
        <v/>
      </c>
      <c r="F192" s="82" t="n">
        <v>46307</v>
      </c>
      <c r="G192" s="26" t="n">
        <v>38212</v>
      </c>
      <c r="H192" s="26">
        <f>B192&amp;I192</f>
        <v/>
      </c>
      <c r="I192" s="26" t="inlineStr">
        <is>
          <t>GV LEMON 24/25 DC SF ENV TBGS (VINDEMIA)</t>
        </is>
      </c>
      <c r="J192" s="26" t="inlineStr">
        <is>
          <t>C250 AF</t>
        </is>
      </c>
      <c r="K192" s="26">
        <f>J192&amp;"-"&amp;TEXT(W192,"dd-mmm-yy")</f>
        <v/>
      </c>
      <c r="L192" s="26">
        <f>IFERROR(VLOOKUP($M192,'ITEM MASTER'!E:H,4,0),"")</f>
        <v/>
      </c>
      <c r="M192" s="26">
        <f>IFERROR(VLOOKUP($I192,'ITEM MASTER'!B:E,4,0),"")</f>
        <v/>
      </c>
      <c r="N192" s="26">
        <f>IFERROR(VLOOKUP($I192,'ITEM MASTER'!B:F,5,0),0)</f>
        <v/>
      </c>
      <c r="O192" s="26">
        <f>IFERROR(VLOOKUP($M192,'TBGS PER CTN'!B:C,2,0),0)</f>
        <v/>
      </c>
      <c r="P192" s="26" t="n">
        <v>620</v>
      </c>
      <c r="Q192" s="26" t="n">
        <v>0</v>
      </c>
      <c r="R192" s="26" t="n">
        <v>0</v>
      </c>
      <c r="S192" s="26">
        <f>Q192+R192</f>
        <v/>
      </c>
      <c r="T192" s="29" t="n">
        <v>620</v>
      </c>
      <c r="U192" s="29">
        <f>N192*O192*T192</f>
        <v/>
      </c>
      <c r="V192" s="82">
        <f>IF(ISNUMBER($D192),$D192-WEEKDAY($D192,3),'ORDER VS WEEK DISTRIBUTION'!$G$500)</f>
        <v/>
      </c>
      <c r="W192" s="82">
        <f>MAX($V192,'ORDER VS WEEK DISTRIBUTION'!$G$500)</f>
        <v/>
      </c>
      <c r="X192" s="26">
        <f>IFERROR(VLOOKUP($J192,'ORDER VS WEEK DISTRIBUTION'!$T:$U,2,0),"")</f>
        <v/>
      </c>
      <c r="Y192" s="26">
        <f>IFERROR($T192/IF(IFERROR(VLOOKUP($I192,'ITEM CFC PER CONTAINER'!$A:$B,2,0),0)&gt;0,VLOOKUP($I192,'ITEM CFC PER CONTAINER'!$A:$B,2,0),VLOOKUP($X192,'MC MASTER'!$A:$Q,16,0)),"")</f>
        <v/>
      </c>
    </row>
    <row r="193" ht="15" customHeight="1" s="5">
      <c r="A193" s="26" t="inlineStr">
        <is>
          <t>Vindemia Logistique</t>
        </is>
      </c>
      <c r="B193" s="26" t="inlineStr">
        <is>
          <t>MJIL/SO/26034861</t>
        </is>
      </c>
      <c r="C193" s="26" t="inlineStr">
        <is>
          <t>MJ-071/26-27 (130715)</t>
        </is>
      </c>
      <c r="D193" s="82" t="n">
        <v>46307</v>
      </c>
      <c r="E193" s="83">
        <f>IF(ISNUMBER($D193),EOMONTH($D193,-1)+1,"")</f>
        <v/>
      </c>
      <c r="F193" s="82" t="n">
        <v>46307</v>
      </c>
      <c r="G193" s="26" t="n">
        <v>36990</v>
      </c>
      <c r="H193" s="26">
        <f>B193&amp;I193</f>
        <v/>
      </c>
      <c r="I193" s="26" t="inlineStr">
        <is>
          <t>GV WATERMELON 24/25 DC SF ENV TBGS (VINDEMIA)</t>
        </is>
      </c>
      <c r="J193" s="26" t="inlineStr">
        <is>
          <t>C250 AF</t>
        </is>
      </c>
      <c r="K193" s="26">
        <f>J193&amp;"-"&amp;TEXT(W193,"dd-mmm-yy")</f>
        <v/>
      </c>
      <c r="L193" s="26">
        <f>IFERROR(VLOOKUP($M193,'ITEM MASTER'!E:H,4,0),"")</f>
        <v/>
      </c>
      <c r="M193" s="26">
        <f>IFERROR(VLOOKUP($I193,'ITEM MASTER'!B:E,4,0),"")</f>
        <v/>
      </c>
      <c r="N193" s="26">
        <f>IFERROR(VLOOKUP($I193,'ITEM MASTER'!B:F,5,0),0)</f>
        <v/>
      </c>
      <c r="O193" s="26">
        <f>IFERROR(VLOOKUP($M193,'TBGS PER CTN'!B:C,2,0),0)</f>
        <v/>
      </c>
      <c r="P193" s="26" t="n">
        <v>450</v>
      </c>
      <c r="Q193" s="26" t="n">
        <v>0</v>
      </c>
      <c r="R193" s="26" t="n">
        <v>0</v>
      </c>
      <c r="S193" s="26">
        <f>Q193+R193</f>
        <v/>
      </c>
      <c r="T193" s="29" t="n">
        <v>450</v>
      </c>
      <c r="U193" s="29">
        <f>N193*O193*T193</f>
        <v/>
      </c>
      <c r="V193" s="82">
        <f>IF(ISNUMBER($D193),$D193-WEEKDAY($D193,3),'ORDER VS WEEK DISTRIBUTION'!$G$500)</f>
        <v/>
      </c>
      <c r="W193" s="82">
        <f>MAX($V193,'ORDER VS WEEK DISTRIBUTION'!$G$500)</f>
        <v/>
      </c>
      <c r="X193" s="26">
        <f>IFERROR(VLOOKUP($J193,'ORDER VS WEEK DISTRIBUTION'!$T:$U,2,0),"")</f>
        <v/>
      </c>
      <c r="Y193" s="26">
        <f>IFERROR($T193/IF(IFERROR(VLOOKUP($I193,'ITEM CFC PER CONTAINER'!$A:$B,2,0),0)&gt;0,VLOOKUP($I193,'ITEM CFC PER CONTAINER'!$A:$B,2,0),VLOOKUP($X193,'MC MASTER'!$A:$Q,16,0)),"")</f>
        <v/>
      </c>
    </row>
    <row r="194" ht="15" customHeight="1" s="5">
      <c r="A194" s="26" t="inlineStr">
        <is>
          <t>Vindemia Logistique</t>
        </is>
      </c>
      <c r="B194" s="26" t="inlineStr">
        <is>
          <t>MJIL/SO/26034861</t>
        </is>
      </c>
      <c r="C194" s="26" t="inlineStr">
        <is>
          <t>MJ-071/26-27 (130715)</t>
        </is>
      </c>
      <c r="D194" s="82" t="n">
        <v>46307</v>
      </c>
      <c r="E194" s="83">
        <f>IF(ISNUMBER($D194),EOMONTH($D194,-1)+1,"")</f>
        <v/>
      </c>
      <c r="F194" s="82" t="n">
        <v>46307</v>
      </c>
      <c r="G194" s="26" t="n">
        <v>38217</v>
      </c>
      <c r="H194" s="26">
        <f>B194&amp;I194</f>
        <v/>
      </c>
      <c r="I194" s="26" t="inlineStr">
        <is>
          <t>GV CINNAMON 24/25 DC SF ENV TBGS (VINDEMIA)</t>
        </is>
      </c>
      <c r="J194" s="26" t="inlineStr">
        <is>
          <t>C250 AF</t>
        </is>
      </c>
      <c r="K194" s="26">
        <f>J194&amp;"-"&amp;TEXT(W194,"dd-mmm-yy")</f>
        <v/>
      </c>
      <c r="L194" s="26">
        <f>IFERROR(VLOOKUP($M194,'ITEM MASTER'!E:H,4,0),"")</f>
        <v/>
      </c>
      <c r="M194" s="26">
        <f>IFERROR(VLOOKUP($I194,'ITEM MASTER'!B:E,4,0),"")</f>
        <v/>
      </c>
      <c r="N194" s="26">
        <f>IFERROR(VLOOKUP($I194,'ITEM MASTER'!B:F,5,0),0)</f>
        <v/>
      </c>
      <c r="O194" s="26">
        <f>IFERROR(VLOOKUP($M194,'TBGS PER CTN'!B:C,2,0),0)</f>
        <v/>
      </c>
      <c r="P194" s="26" t="n">
        <v>525</v>
      </c>
      <c r="Q194" s="26" t="n">
        <v>0</v>
      </c>
      <c r="R194" s="26" t="n">
        <v>0</v>
      </c>
      <c r="S194" s="26">
        <f>Q194+R194</f>
        <v/>
      </c>
      <c r="T194" s="29" t="n">
        <v>525</v>
      </c>
      <c r="U194" s="29">
        <f>N194*O194*T194</f>
        <v/>
      </c>
      <c r="V194" s="82">
        <f>IF(ISNUMBER($D194),$D194-WEEKDAY($D194,3),'ORDER VS WEEK DISTRIBUTION'!$G$500)</f>
        <v/>
      </c>
      <c r="W194" s="82">
        <f>MAX($V194,'ORDER VS WEEK DISTRIBUTION'!$G$500)</f>
        <v/>
      </c>
      <c r="X194" s="26">
        <f>IFERROR(VLOOKUP($J194,'ORDER VS WEEK DISTRIBUTION'!$T:$U,2,0),"")</f>
        <v/>
      </c>
      <c r="Y194" s="26">
        <f>IFERROR($T194/IF(IFERROR(VLOOKUP($I194,'ITEM CFC PER CONTAINER'!$A:$B,2,0),0)&gt;0,VLOOKUP($I194,'ITEM CFC PER CONTAINER'!$A:$B,2,0),VLOOKUP($X194,'MC MASTER'!$A:$Q,16,0)),"")</f>
        <v/>
      </c>
    </row>
    <row r="195" ht="15" customHeight="1" s="5">
      <c r="A195" s="26" t="inlineStr">
        <is>
          <t>Vindemia Logistique</t>
        </is>
      </c>
      <c r="B195" s="26" t="inlineStr">
        <is>
          <t>MJIL/SO/26034861</t>
        </is>
      </c>
      <c r="C195" s="26" t="inlineStr">
        <is>
          <t>MJ-071/26-27 (130715)</t>
        </is>
      </c>
      <c r="D195" s="82" t="n">
        <v>46307</v>
      </c>
      <c r="E195" s="83">
        <f>IF(ISNUMBER($D195),EOMONTH($D195,-1)+1,"")</f>
        <v/>
      </c>
      <c r="F195" s="82" t="n">
        <v>46307</v>
      </c>
      <c r="G195" s="26" t="n">
        <v>37003</v>
      </c>
      <c r="H195" s="26">
        <f>B195&amp;I195</f>
        <v/>
      </c>
      <c r="I195" s="26" t="inlineStr">
        <is>
          <t>GV GREEN TEA MORINGA 24/25 DC SF ENV TBGS (VINDEMIA)</t>
        </is>
      </c>
      <c r="J195" s="26" t="inlineStr">
        <is>
          <t>C250 AF</t>
        </is>
      </c>
      <c r="K195" s="26">
        <f>J195&amp;"-"&amp;TEXT(W195,"dd-mmm-yy")</f>
        <v/>
      </c>
      <c r="L195" s="26">
        <f>IFERROR(VLOOKUP($M195,'ITEM MASTER'!E:H,4,0),"")</f>
        <v/>
      </c>
      <c r="M195" s="26">
        <f>IFERROR(VLOOKUP($I195,'ITEM MASTER'!B:E,4,0),"")</f>
        <v/>
      </c>
      <c r="N195" s="26">
        <f>IFERROR(VLOOKUP($I195,'ITEM MASTER'!B:F,5,0),0)</f>
        <v/>
      </c>
      <c r="O195" s="26">
        <f>IFERROR(VLOOKUP($M195,'TBGS PER CTN'!B:C,2,0),0)</f>
        <v/>
      </c>
      <c r="P195" s="26" t="n">
        <v>361</v>
      </c>
      <c r="Q195" s="26" t="n">
        <v>0</v>
      </c>
      <c r="R195" s="26" t="n">
        <v>0</v>
      </c>
      <c r="S195" s="26">
        <f>Q195+R195</f>
        <v/>
      </c>
      <c r="T195" s="29" t="n">
        <v>361</v>
      </c>
      <c r="U195" s="29">
        <f>N195*O195*T195</f>
        <v/>
      </c>
      <c r="V195" s="82">
        <f>IF(ISNUMBER($D195),$D195-WEEKDAY($D195,3),'ORDER VS WEEK DISTRIBUTION'!$G$500)</f>
        <v/>
      </c>
      <c r="W195" s="82">
        <f>MAX($V195,'ORDER VS WEEK DISTRIBUTION'!$G$500)</f>
        <v/>
      </c>
      <c r="X195" s="26">
        <f>IFERROR(VLOOKUP($J195,'ORDER VS WEEK DISTRIBUTION'!$T:$U,2,0),"")</f>
        <v/>
      </c>
      <c r="Y195" s="26">
        <f>IFERROR($T195/IF(IFERROR(VLOOKUP($I195,'ITEM CFC PER CONTAINER'!$A:$B,2,0),0)&gt;0,VLOOKUP($I195,'ITEM CFC PER CONTAINER'!$A:$B,2,0),VLOOKUP($X195,'MC MASTER'!$A:$Q,16,0)),"")</f>
        <v/>
      </c>
    </row>
    <row r="196" ht="15" customHeight="1" s="5">
      <c r="A196" s="26" t="inlineStr">
        <is>
          <t>Vindemia Logistique</t>
        </is>
      </c>
      <c r="B196" s="26" t="inlineStr">
        <is>
          <t>MJIL/SO/26034861</t>
        </is>
      </c>
      <c r="C196" s="26" t="inlineStr">
        <is>
          <t>MJ-071/26-27 (130715)</t>
        </is>
      </c>
      <c r="D196" s="82" t="n">
        <v>46307</v>
      </c>
      <c r="E196" s="83">
        <f>IF(ISNUMBER($D196),EOMONTH($D196,-1)+1,"")</f>
        <v/>
      </c>
      <c r="F196" s="82" t="n">
        <v>46307</v>
      </c>
      <c r="G196" s="26" t="n">
        <v>38213</v>
      </c>
      <c r="H196" s="26">
        <f>B196&amp;I196</f>
        <v/>
      </c>
      <c r="I196" s="26" t="inlineStr">
        <is>
          <t>GV COCKTAIL 24/25 DC SF ENV TBGS (VINDEMIA)</t>
        </is>
      </c>
      <c r="J196" s="26" t="inlineStr">
        <is>
          <t>C250 AF</t>
        </is>
      </c>
      <c r="K196" s="26">
        <f>J196&amp;"-"&amp;TEXT(W196,"dd-mmm-yy")</f>
        <v/>
      </c>
      <c r="L196" s="26">
        <f>IFERROR(VLOOKUP($M196,'ITEM MASTER'!E:H,4,0),"")</f>
        <v/>
      </c>
      <c r="M196" s="26">
        <f>IFERROR(VLOOKUP($I196,'ITEM MASTER'!B:E,4,0),"")</f>
        <v/>
      </c>
      <c r="N196" s="26">
        <f>IFERROR(VLOOKUP($I196,'ITEM MASTER'!B:F,5,0),0)</f>
        <v/>
      </c>
      <c r="O196" s="26">
        <f>IFERROR(VLOOKUP($M196,'TBGS PER CTN'!B:C,2,0),0)</f>
        <v/>
      </c>
      <c r="P196" s="26" t="n">
        <v>450</v>
      </c>
      <c r="Q196" s="26" t="n">
        <v>0</v>
      </c>
      <c r="R196" s="26" t="n">
        <v>0</v>
      </c>
      <c r="S196" s="26">
        <f>Q196+R196</f>
        <v/>
      </c>
      <c r="T196" s="29" t="n">
        <v>450</v>
      </c>
      <c r="U196" s="29">
        <f>N196*O196*T196</f>
        <v/>
      </c>
      <c r="V196" s="82">
        <f>IF(ISNUMBER($D196),$D196-WEEKDAY($D196,3),'ORDER VS WEEK DISTRIBUTION'!$G$500)</f>
        <v/>
      </c>
      <c r="W196" s="82">
        <f>MAX($V196,'ORDER VS WEEK DISTRIBUTION'!$G$500)</f>
        <v/>
      </c>
      <c r="X196" s="26">
        <f>IFERROR(VLOOKUP($J196,'ORDER VS WEEK DISTRIBUTION'!$T:$U,2,0),"")</f>
        <v/>
      </c>
      <c r="Y196" s="26">
        <f>IFERROR($T196/IF(IFERROR(VLOOKUP($I196,'ITEM CFC PER CONTAINER'!$A:$B,2,0),0)&gt;0,VLOOKUP($I196,'ITEM CFC PER CONTAINER'!$A:$B,2,0),VLOOKUP($X196,'MC MASTER'!$A:$Q,16,0)),"")</f>
        <v/>
      </c>
    </row>
    <row r="197" ht="15" customHeight="1" s="5">
      <c r="A197" s="26" t="inlineStr">
        <is>
          <t>Vindemia Logistique</t>
        </is>
      </c>
      <c r="B197" s="26" t="inlineStr">
        <is>
          <t>MJIL/SO/26034861</t>
        </is>
      </c>
      <c r="C197" s="26" t="inlineStr">
        <is>
          <t>MJ-071/26-27 (130715)</t>
        </is>
      </c>
      <c r="D197" s="82" t="n">
        <v>46307</v>
      </c>
      <c r="E197" s="83">
        <f>IF(ISNUMBER($D197),EOMONTH($D197,-1)+1,"")</f>
        <v/>
      </c>
      <c r="F197" s="82" t="n">
        <v>46307</v>
      </c>
      <c r="G197" s="26" t="n">
        <v>36989</v>
      </c>
      <c r="H197" s="26">
        <f>B197&amp;I197</f>
        <v/>
      </c>
      <c r="I197" s="26" t="inlineStr">
        <is>
          <t>GV CLOVE 24/25 DC SF ENV TBGS (VINDEMIA)</t>
        </is>
      </c>
      <c r="J197" s="26" t="inlineStr">
        <is>
          <t>C250 AF</t>
        </is>
      </c>
      <c r="K197" s="26">
        <f>J197&amp;"-"&amp;TEXT(W197,"dd-mmm-yy")</f>
        <v/>
      </c>
      <c r="L197" s="26">
        <f>IFERROR(VLOOKUP($M197,'ITEM MASTER'!E:H,4,0),"")</f>
        <v/>
      </c>
      <c r="M197" s="26">
        <f>IFERROR(VLOOKUP($I197,'ITEM MASTER'!B:E,4,0),"")</f>
        <v/>
      </c>
      <c r="N197" s="26">
        <f>IFERROR(VLOOKUP($I197,'ITEM MASTER'!B:F,5,0),0)</f>
        <v/>
      </c>
      <c r="O197" s="26">
        <f>IFERROR(VLOOKUP($M197,'TBGS PER CTN'!B:C,2,0),0)</f>
        <v/>
      </c>
      <c r="P197" s="26" t="n">
        <v>420</v>
      </c>
      <c r="Q197" s="26" t="n">
        <v>0</v>
      </c>
      <c r="R197" s="26" t="n">
        <v>0</v>
      </c>
      <c r="S197" s="26">
        <f>Q197+R197</f>
        <v/>
      </c>
      <c r="T197" s="29" t="n">
        <v>420</v>
      </c>
      <c r="U197" s="29">
        <f>N197*O197*T197</f>
        <v/>
      </c>
      <c r="V197" s="82">
        <f>IF(ISNUMBER($D197),$D197-WEEKDAY($D197,3),'ORDER VS WEEK DISTRIBUTION'!$G$500)</f>
        <v/>
      </c>
      <c r="W197" s="82">
        <f>MAX($V197,'ORDER VS WEEK DISTRIBUTION'!$G$500)</f>
        <v/>
      </c>
      <c r="X197" s="26">
        <f>IFERROR(VLOOKUP($J197,'ORDER VS WEEK DISTRIBUTION'!$T:$U,2,0),"")</f>
        <v/>
      </c>
      <c r="Y197" s="26">
        <f>IFERROR($T197/IF(IFERROR(VLOOKUP($I197,'ITEM CFC PER CONTAINER'!$A:$B,2,0),0)&gt;0,VLOOKUP($I197,'ITEM CFC PER CONTAINER'!$A:$B,2,0),VLOOKUP($X197,'MC MASTER'!$A:$Q,16,0)),"")</f>
        <v/>
      </c>
    </row>
    <row r="198" ht="15" customHeight="1" s="5">
      <c r="A198" s="26" t="inlineStr">
        <is>
          <t>Vindemia Logistique</t>
        </is>
      </c>
      <c r="B198" s="26" t="inlineStr">
        <is>
          <t>MJIL/SO/26034861</t>
        </is>
      </c>
      <c r="C198" s="26" t="inlineStr">
        <is>
          <t>MJ-071/26-27 (130715)</t>
        </is>
      </c>
      <c r="D198" s="82" t="n">
        <v>46307</v>
      </c>
      <c r="E198" s="83">
        <f>IF(ISNUMBER($D198),EOMONTH($D198,-1)+1,"")</f>
        <v/>
      </c>
      <c r="F198" s="82" t="n">
        <v>46307</v>
      </c>
      <c r="G198" s="26" t="n">
        <v>37002</v>
      </c>
      <c r="H198" s="26">
        <f>B198&amp;I198</f>
        <v/>
      </c>
      <c r="I198" s="26" t="inlineStr">
        <is>
          <t>GV GREEN TEA 24/25 DC SF ENV TBGS (VINDEMIA)</t>
        </is>
      </c>
      <c r="J198" s="26" t="inlineStr">
        <is>
          <t>C250 AF</t>
        </is>
      </c>
      <c r="K198" s="26">
        <f>J198&amp;"-"&amp;TEXT(W198,"dd-mmm-yy")</f>
        <v/>
      </c>
      <c r="L198" s="26">
        <f>IFERROR(VLOOKUP($M198,'ITEM MASTER'!E:H,4,0),"")</f>
        <v/>
      </c>
      <c r="M198" s="26">
        <f>IFERROR(VLOOKUP($I198,'ITEM MASTER'!B:E,4,0),"")</f>
        <v/>
      </c>
      <c r="N198" s="26">
        <f>IFERROR(VLOOKUP($I198,'ITEM MASTER'!B:F,5,0),0)</f>
        <v/>
      </c>
      <c r="O198" s="26">
        <f>IFERROR(VLOOKUP($M198,'TBGS PER CTN'!B:C,2,0),0)</f>
        <v/>
      </c>
      <c r="P198" s="26" t="n">
        <v>600</v>
      </c>
      <c r="Q198" s="26" t="n">
        <v>0</v>
      </c>
      <c r="R198" s="26" t="n">
        <v>0</v>
      </c>
      <c r="S198" s="26">
        <f>Q198+R198</f>
        <v/>
      </c>
      <c r="T198" s="29" t="n">
        <v>600</v>
      </c>
      <c r="U198" s="29">
        <f>N198*O198*T198</f>
        <v/>
      </c>
      <c r="V198" s="82">
        <f>IF(ISNUMBER($D198),$D198-WEEKDAY($D198,3),'ORDER VS WEEK DISTRIBUTION'!$G$500)</f>
        <v/>
      </c>
      <c r="W198" s="82">
        <f>MAX($V198,'ORDER VS WEEK DISTRIBUTION'!$G$500)</f>
        <v/>
      </c>
      <c r="X198" s="26">
        <f>IFERROR(VLOOKUP($J198,'ORDER VS WEEK DISTRIBUTION'!$T:$U,2,0),"")</f>
        <v/>
      </c>
      <c r="Y198" s="26">
        <f>IFERROR($T198/IF(IFERROR(VLOOKUP($I198,'ITEM CFC PER CONTAINER'!$A:$B,2,0),0)&gt;0,VLOOKUP($I198,'ITEM CFC PER CONTAINER'!$A:$B,2,0),VLOOKUP($X198,'MC MASTER'!$A:$Q,16,0)),"")</f>
        <v/>
      </c>
    </row>
    <row r="199" ht="15" customHeight="1" s="5">
      <c r="A199" s="26" t="inlineStr">
        <is>
          <t>Vindemia Logistique</t>
        </is>
      </c>
      <c r="B199" s="26" t="inlineStr">
        <is>
          <t>MJIL/SO/26034861</t>
        </is>
      </c>
      <c r="C199" s="26" t="inlineStr">
        <is>
          <t>MJ-071/26-27 (130715)</t>
        </is>
      </c>
      <c r="D199" s="82" t="n">
        <v>46307</v>
      </c>
      <c r="E199" s="83">
        <f>IF(ISNUMBER($D199),EOMONTH($D199,-1)+1,"")</f>
        <v/>
      </c>
      <c r="F199" s="82" t="n">
        <v>46307</v>
      </c>
      <c r="G199" s="26" t="n">
        <v>37001</v>
      </c>
      <c r="H199" s="26">
        <f>B199&amp;I199</f>
        <v/>
      </c>
      <c r="I199" s="26" t="inlineStr">
        <is>
          <t>GV GREEN LEMON 24/25 DC SF ENV TBGS (VINDEMIA)</t>
        </is>
      </c>
      <c r="J199" s="26" t="inlineStr">
        <is>
          <t>C250 AF</t>
        </is>
      </c>
      <c r="K199" s="26">
        <f>J199&amp;"-"&amp;TEXT(W199,"dd-mmm-yy")</f>
        <v/>
      </c>
      <c r="L199" s="26">
        <f>IFERROR(VLOOKUP($M199,'ITEM MASTER'!E:H,4,0),"")</f>
        <v/>
      </c>
      <c r="M199" s="26">
        <f>IFERROR(VLOOKUP($I199,'ITEM MASTER'!B:E,4,0),"")</f>
        <v/>
      </c>
      <c r="N199" s="26">
        <f>IFERROR(VLOOKUP($I199,'ITEM MASTER'!B:F,5,0),0)</f>
        <v/>
      </c>
      <c r="O199" s="26">
        <f>IFERROR(VLOOKUP($M199,'TBGS PER CTN'!B:C,2,0),0)</f>
        <v/>
      </c>
      <c r="P199" s="26" t="n">
        <v>361</v>
      </c>
      <c r="Q199" s="26" t="n">
        <v>0</v>
      </c>
      <c r="R199" s="26" t="n">
        <v>0</v>
      </c>
      <c r="S199" s="26">
        <f>Q199+R199</f>
        <v/>
      </c>
      <c r="T199" s="29" t="n">
        <v>361</v>
      </c>
      <c r="U199" s="29">
        <f>N199*O199*T199</f>
        <v/>
      </c>
      <c r="V199" s="82">
        <f>IF(ISNUMBER($D199),$D199-WEEKDAY($D199,3),'ORDER VS WEEK DISTRIBUTION'!$G$500)</f>
        <v/>
      </c>
      <c r="W199" s="82">
        <f>MAX($V199,'ORDER VS WEEK DISTRIBUTION'!$G$500)</f>
        <v/>
      </c>
      <c r="X199" s="26">
        <f>IFERROR(VLOOKUP($J199,'ORDER VS WEEK DISTRIBUTION'!$T:$U,2,0),"")</f>
        <v/>
      </c>
      <c r="Y199" s="26">
        <f>IFERROR($T199/IF(IFERROR(VLOOKUP($I199,'ITEM CFC PER CONTAINER'!$A:$B,2,0),0)&gt;0,VLOOKUP($I199,'ITEM CFC PER CONTAINER'!$A:$B,2,0),VLOOKUP($X199,'MC MASTER'!$A:$Q,16,0)),"")</f>
        <v/>
      </c>
    </row>
    <row r="200" ht="15" customHeight="1" s="5">
      <c r="A200" s="26" t="inlineStr">
        <is>
          <t>Vindemia Logistique</t>
        </is>
      </c>
      <c r="B200" s="26" t="inlineStr">
        <is>
          <t>MJIL/SO/26034861</t>
        </is>
      </c>
      <c r="C200" s="26" t="inlineStr">
        <is>
          <t>MJ-071/26-27 (130715)</t>
        </is>
      </c>
      <c r="D200" s="82" t="n">
        <v>46307</v>
      </c>
      <c r="E200" s="83">
        <f>IF(ISNUMBER($D200),EOMONTH($D200,-1)+1,"")</f>
        <v/>
      </c>
      <c r="F200" s="82" t="n">
        <v>46307</v>
      </c>
      <c r="G200" s="26" t="n">
        <v>36987</v>
      </c>
      <c r="H200" s="26">
        <f>B200&amp;I200</f>
        <v/>
      </c>
      <c r="I200" s="26" t="inlineStr">
        <is>
          <t>GV PINEAPPLE 24/25 DC SF ENV TBGS (VINDEMIA)</t>
        </is>
      </c>
      <c r="J200" s="26" t="inlineStr">
        <is>
          <t>C250 AF</t>
        </is>
      </c>
      <c r="K200" s="26">
        <f>J200&amp;"-"&amp;TEXT(W200,"dd-mmm-yy")</f>
        <v/>
      </c>
      <c r="L200" s="26">
        <f>IFERROR(VLOOKUP($M200,'ITEM MASTER'!E:H,4,0),"")</f>
        <v/>
      </c>
      <c r="M200" s="26">
        <f>IFERROR(VLOOKUP($I200,'ITEM MASTER'!B:E,4,0),"")</f>
        <v/>
      </c>
      <c r="N200" s="26">
        <f>IFERROR(VLOOKUP($I200,'ITEM MASTER'!B:F,5,0),0)</f>
        <v/>
      </c>
      <c r="O200" s="26">
        <f>IFERROR(VLOOKUP($M200,'TBGS PER CTN'!B:C,2,0),0)</f>
        <v/>
      </c>
      <c r="P200" s="26" t="n">
        <v>303</v>
      </c>
      <c r="Q200" s="26" t="n">
        <v>0</v>
      </c>
      <c r="R200" s="26" t="n">
        <v>0</v>
      </c>
      <c r="S200" s="26">
        <f>Q200+R200</f>
        <v/>
      </c>
      <c r="T200" s="29" t="n">
        <v>303</v>
      </c>
      <c r="U200" s="29">
        <f>N200*O200*T200</f>
        <v/>
      </c>
      <c r="V200" s="82">
        <f>IF(ISNUMBER($D200),$D200-WEEKDAY($D200,3),'ORDER VS WEEK DISTRIBUTION'!$G$500)</f>
        <v/>
      </c>
      <c r="W200" s="82">
        <f>MAX($V200,'ORDER VS WEEK DISTRIBUTION'!$G$500)</f>
        <v/>
      </c>
      <c r="X200" s="26">
        <f>IFERROR(VLOOKUP($J200,'ORDER VS WEEK DISTRIBUTION'!$T:$U,2,0),"")</f>
        <v/>
      </c>
      <c r="Y200" s="26">
        <f>IFERROR($T200/IF(IFERROR(VLOOKUP($I200,'ITEM CFC PER CONTAINER'!$A:$B,2,0),0)&gt;0,VLOOKUP($I200,'ITEM CFC PER CONTAINER'!$A:$B,2,0),VLOOKUP($X200,'MC MASTER'!$A:$Q,16,0)),"")</f>
        <v/>
      </c>
    </row>
    <row r="201" ht="15" customHeight="1" s="5">
      <c r="A201" s="26" t="inlineStr">
        <is>
          <t>Vindemia Logistique</t>
        </is>
      </c>
      <c r="B201" s="26" t="inlineStr">
        <is>
          <t>MJIL/SO/26034861</t>
        </is>
      </c>
      <c r="C201" s="26" t="inlineStr">
        <is>
          <t>MJ-071/26-27 (130715)</t>
        </is>
      </c>
      <c r="D201" s="82" t="n">
        <v>46307</v>
      </c>
      <c r="E201" s="83">
        <f>IF(ISNUMBER($D201),EOMONTH($D201,-1)+1,"")</f>
        <v/>
      </c>
      <c r="F201" s="82" t="n">
        <v>46307</v>
      </c>
      <c r="G201" s="26" t="n">
        <v>36985</v>
      </c>
      <c r="H201" s="26">
        <f>B201&amp;I201</f>
        <v/>
      </c>
      <c r="I201" s="26" t="inlineStr">
        <is>
          <t>GV TAMARIND 24/25 DC SF ENV TBGS (VINDEMIA)</t>
        </is>
      </c>
      <c r="J201" s="26" t="inlineStr">
        <is>
          <t>C250 AF</t>
        </is>
      </c>
      <c r="K201" s="26">
        <f>J201&amp;"-"&amp;TEXT(W201,"dd-mmm-yy")</f>
        <v/>
      </c>
      <c r="L201" s="26">
        <f>IFERROR(VLOOKUP($M201,'ITEM MASTER'!E:H,4,0),"")</f>
        <v/>
      </c>
      <c r="M201" s="26">
        <f>IFERROR(VLOOKUP($I201,'ITEM MASTER'!B:E,4,0),"")</f>
        <v/>
      </c>
      <c r="N201" s="26">
        <f>IFERROR(VLOOKUP($I201,'ITEM MASTER'!B:F,5,0),0)</f>
        <v/>
      </c>
      <c r="O201" s="26">
        <f>IFERROR(VLOOKUP($M201,'TBGS PER CTN'!B:C,2,0),0)</f>
        <v/>
      </c>
      <c r="P201" s="26" t="n">
        <v>345</v>
      </c>
      <c r="Q201" s="26" t="n">
        <v>0</v>
      </c>
      <c r="R201" s="26" t="n">
        <v>0</v>
      </c>
      <c r="S201" s="26">
        <f>Q201+R201</f>
        <v/>
      </c>
      <c r="T201" s="29" t="n">
        <v>345</v>
      </c>
      <c r="U201" s="29">
        <f>N201*O201*T201</f>
        <v/>
      </c>
      <c r="V201" s="82">
        <f>IF(ISNUMBER($D201),$D201-WEEKDAY($D201,3),'ORDER VS WEEK DISTRIBUTION'!$G$500)</f>
        <v/>
      </c>
      <c r="W201" s="82">
        <f>MAX($V201,'ORDER VS WEEK DISTRIBUTION'!$G$500)</f>
        <v/>
      </c>
      <c r="X201" s="26">
        <f>IFERROR(VLOOKUP($J201,'ORDER VS WEEK DISTRIBUTION'!$T:$U,2,0),"")</f>
        <v/>
      </c>
      <c r="Y201" s="26">
        <f>IFERROR($T201/IF(IFERROR(VLOOKUP($I201,'ITEM CFC PER CONTAINER'!$A:$B,2,0),0)&gt;0,VLOOKUP($I201,'ITEM CFC PER CONTAINER'!$A:$B,2,0),VLOOKUP($X201,'MC MASTER'!$A:$Q,16,0)),"")</f>
        <v/>
      </c>
    </row>
    <row r="202" ht="15" customHeight="1" s="5">
      <c r="A202" s="26" t="inlineStr">
        <is>
          <t>Vindemia Logistique</t>
        </is>
      </c>
      <c r="B202" s="26" t="inlineStr">
        <is>
          <t>MJIL/SO/26034861</t>
        </is>
      </c>
      <c r="C202" s="26" t="inlineStr">
        <is>
          <t>MJ-071/26-27 (130715)</t>
        </is>
      </c>
      <c r="D202" s="82" t="n">
        <v>46307</v>
      </c>
      <c r="E202" s="83">
        <f>IF(ISNUMBER($D202),EOMONTH($D202,-1)+1,"")</f>
        <v/>
      </c>
      <c r="F202" s="82" t="n">
        <v>46307</v>
      </c>
      <c r="G202" s="26" t="n">
        <v>36984</v>
      </c>
      <c r="H202" s="26">
        <f>B202&amp;I202</f>
        <v/>
      </c>
      <c r="I202" s="26" t="inlineStr">
        <is>
          <t>GV SPICY GINGER 24/25 DC SF ENV TBGS (VINDEMIA)</t>
        </is>
      </c>
      <c r="J202" s="26" t="inlineStr">
        <is>
          <t>C250 AF</t>
        </is>
      </c>
      <c r="K202" s="26">
        <f>J202&amp;"-"&amp;TEXT(W202,"dd-mmm-yy")</f>
        <v/>
      </c>
      <c r="L202" s="26">
        <f>IFERROR(VLOOKUP($M202,'ITEM MASTER'!E:H,4,0),"")</f>
        <v/>
      </c>
      <c r="M202" s="26">
        <f>IFERROR(VLOOKUP($I202,'ITEM MASTER'!B:E,4,0),"")</f>
        <v/>
      </c>
      <c r="N202" s="26">
        <f>IFERROR(VLOOKUP($I202,'ITEM MASTER'!B:F,5,0),0)</f>
        <v/>
      </c>
      <c r="O202" s="26">
        <f>IFERROR(VLOOKUP($M202,'TBGS PER CTN'!B:C,2,0),0)</f>
        <v/>
      </c>
      <c r="P202" s="26" t="n">
        <v>610</v>
      </c>
      <c r="Q202" s="26" t="n">
        <v>0</v>
      </c>
      <c r="R202" s="26" t="n">
        <v>0</v>
      </c>
      <c r="S202" s="26">
        <f>Q202+R202</f>
        <v/>
      </c>
      <c r="T202" s="29" t="n">
        <v>610</v>
      </c>
      <c r="U202" s="29">
        <f>N202*O202*T202</f>
        <v/>
      </c>
      <c r="V202" s="82">
        <f>IF(ISNUMBER($D202),$D202-WEEKDAY($D202,3),'ORDER VS WEEK DISTRIBUTION'!$G$500)</f>
        <v/>
      </c>
      <c r="W202" s="82">
        <f>MAX($V202,'ORDER VS WEEK DISTRIBUTION'!$G$500)</f>
        <v/>
      </c>
      <c r="X202" s="26">
        <f>IFERROR(VLOOKUP($J202,'ORDER VS WEEK DISTRIBUTION'!$T:$U,2,0),"")</f>
        <v/>
      </c>
      <c r="Y202" s="26">
        <f>IFERROR($T202/IF(IFERROR(VLOOKUP($I202,'ITEM CFC PER CONTAINER'!$A:$B,2,0),0)&gt;0,VLOOKUP($I202,'ITEM CFC PER CONTAINER'!$A:$B,2,0),VLOOKUP($X202,'MC MASTER'!$A:$Q,16,0)),"")</f>
        <v/>
      </c>
    </row>
    <row r="203" ht="15" customHeight="1" s="5">
      <c r="A203" s="26" t="inlineStr">
        <is>
          <t>Vindemia Logistique</t>
        </is>
      </c>
      <c r="B203" s="26" t="inlineStr">
        <is>
          <t>MJIL/SO/26034861</t>
        </is>
      </c>
      <c r="C203" s="26" t="inlineStr">
        <is>
          <t>MJ-071/26-27 (130715)</t>
        </is>
      </c>
      <c r="D203" s="82" t="n">
        <v>46307</v>
      </c>
      <c r="E203" s="83">
        <f>IF(ISNUMBER($D203),EOMONTH($D203,-1)+1,"")</f>
        <v/>
      </c>
      <c r="F203" s="82" t="n">
        <v>46307</v>
      </c>
      <c r="G203" s="26" t="n">
        <v>36983</v>
      </c>
      <c r="H203" s="26">
        <f>B203&amp;I203</f>
        <v/>
      </c>
      <c r="I203" s="26" t="inlineStr">
        <is>
          <t>GV ORANGE 24/25 DC SF ENV TBGS (VINDEMIA)</t>
        </is>
      </c>
      <c r="J203" s="26" t="inlineStr">
        <is>
          <t>C250 AF</t>
        </is>
      </c>
      <c r="K203" s="26">
        <f>J203&amp;"-"&amp;TEXT(W203,"dd-mmm-yy")</f>
        <v/>
      </c>
      <c r="L203" s="26">
        <f>IFERROR(VLOOKUP($M203,'ITEM MASTER'!E:H,4,0),"")</f>
        <v/>
      </c>
      <c r="M203" s="26">
        <f>IFERROR(VLOOKUP($I203,'ITEM MASTER'!B:E,4,0),"")</f>
        <v/>
      </c>
      <c r="N203" s="26">
        <f>IFERROR(VLOOKUP($I203,'ITEM MASTER'!B:F,5,0),0)</f>
        <v/>
      </c>
      <c r="O203" s="26">
        <f>IFERROR(VLOOKUP($M203,'TBGS PER CTN'!B:C,2,0),0)</f>
        <v/>
      </c>
      <c r="P203" s="26" t="n">
        <v>195</v>
      </c>
      <c r="Q203" s="26" t="n">
        <v>0</v>
      </c>
      <c r="R203" s="26" t="n">
        <v>0</v>
      </c>
      <c r="S203" s="26">
        <f>Q203+R203</f>
        <v/>
      </c>
      <c r="T203" s="29" t="n">
        <v>195</v>
      </c>
      <c r="U203" s="29">
        <f>N203*O203*T203</f>
        <v/>
      </c>
      <c r="V203" s="82">
        <f>IF(ISNUMBER($D203),$D203-WEEKDAY($D203,3),'ORDER VS WEEK DISTRIBUTION'!$G$500)</f>
        <v/>
      </c>
      <c r="W203" s="82">
        <f>MAX($V203,'ORDER VS WEEK DISTRIBUTION'!$G$500)</f>
        <v/>
      </c>
      <c r="X203" s="26">
        <f>IFERROR(VLOOKUP($J203,'ORDER VS WEEK DISTRIBUTION'!$T:$U,2,0),"")</f>
        <v/>
      </c>
      <c r="Y203" s="26">
        <f>IFERROR($T203/IF(IFERROR(VLOOKUP($I203,'ITEM CFC PER CONTAINER'!$A:$B,2,0),0)&gt;0,VLOOKUP($I203,'ITEM CFC PER CONTAINER'!$A:$B,2,0),VLOOKUP($X203,'MC MASTER'!$A:$Q,16,0)),"")</f>
        <v/>
      </c>
    </row>
    <row r="204" ht="15" customHeight="1" s="5">
      <c r="A204" s="26" t="inlineStr">
        <is>
          <t>Vindemia Logistique</t>
        </is>
      </c>
      <c r="B204" s="26" t="inlineStr">
        <is>
          <t>MJIL/SO/26034861</t>
        </is>
      </c>
      <c r="C204" s="26" t="inlineStr">
        <is>
          <t>MJ-071/26-27 (130715)</t>
        </is>
      </c>
      <c r="D204" s="82" t="n">
        <v>46307</v>
      </c>
      <c r="E204" s="83">
        <f>IF(ISNUMBER($D204),EOMONTH($D204,-1)+1,"")</f>
        <v/>
      </c>
      <c r="F204" s="82" t="n">
        <v>46307</v>
      </c>
      <c r="G204" s="26" t="n">
        <v>36982</v>
      </c>
      <c r="H204" s="26">
        <f>B204&amp;I204</f>
        <v/>
      </c>
      <c r="I204" s="26" t="inlineStr">
        <is>
          <t>GV MINT 24/25 DC SF ENV TBGS (VINDEMIA)</t>
        </is>
      </c>
      <c r="J204" s="26" t="inlineStr">
        <is>
          <t>C250 AF</t>
        </is>
      </c>
      <c r="K204" s="26">
        <f>J204&amp;"-"&amp;TEXT(W204,"dd-mmm-yy")</f>
        <v/>
      </c>
      <c r="L204" s="26">
        <f>IFERROR(VLOOKUP($M204,'ITEM MASTER'!E:H,4,0),"")</f>
        <v/>
      </c>
      <c r="M204" s="26">
        <f>IFERROR(VLOOKUP($I204,'ITEM MASTER'!B:E,4,0),"")</f>
        <v/>
      </c>
      <c r="N204" s="26">
        <f>IFERROR(VLOOKUP($I204,'ITEM MASTER'!B:F,5,0),0)</f>
        <v/>
      </c>
      <c r="O204" s="26">
        <f>IFERROR(VLOOKUP($M204,'TBGS PER CTN'!B:C,2,0),0)</f>
        <v/>
      </c>
      <c r="P204" s="26" t="n">
        <v>610</v>
      </c>
      <c r="Q204" s="26" t="n">
        <v>0</v>
      </c>
      <c r="R204" s="26" t="n">
        <v>0</v>
      </c>
      <c r="S204" s="26">
        <f>Q204+R204</f>
        <v/>
      </c>
      <c r="T204" s="29" t="n">
        <v>610</v>
      </c>
      <c r="U204" s="29">
        <f>N204*O204*T204</f>
        <v/>
      </c>
      <c r="V204" s="82">
        <f>IF(ISNUMBER($D204),$D204-WEEKDAY($D204,3),'ORDER VS WEEK DISTRIBUTION'!$G$500)</f>
        <v/>
      </c>
      <c r="W204" s="82">
        <f>MAX($V204,'ORDER VS WEEK DISTRIBUTION'!$G$500)</f>
        <v/>
      </c>
      <c r="X204" s="26">
        <f>IFERROR(VLOOKUP($J204,'ORDER VS WEEK DISTRIBUTION'!$T:$U,2,0),"")</f>
        <v/>
      </c>
      <c r="Y204" s="26">
        <f>IFERROR($T204/IF(IFERROR(VLOOKUP($I204,'ITEM CFC PER CONTAINER'!$A:$B,2,0),0)&gt;0,VLOOKUP($I204,'ITEM CFC PER CONTAINER'!$A:$B,2,0),VLOOKUP($X204,'MC MASTER'!$A:$Q,16,0)),"")</f>
        <v/>
      </c>
    </row>
    <row r="205" ht="15" customHeight="1" s="5">
      <c r="A205" s="26" t="inlineStr">
        <is>
          <t>Vindemia Logistique</t>
        </is>
      </c>
      <c r="B205" s="26" t="inlineStr">
        <is>
          <t>MJIL/SO/26034861</t>
        </is>
      </c>
      <c r="C205" s="26" t="inlineStr">
        <is>
          <t>MJ-071/26-27 (130715)</t>
        </is>
      </c>
      <c r="D205" s="82" t="n">
        <v>46307</v>
      </c>
      <c r="E205" s="83">
        <f>IF(ISNUMBER($D205),EOMONTH($D205,-1)+1,"")</f>
        <v/>
      </c>
      <c r="F205" s="82" t="n">
        <v>46307</v>
      </c>
      <c r="G205" s="26" t="n">
        <v>36980</v>
      </c>
      <c r="H205" s="26">
        <f>B205&amp;I205</f>
        <v/>
      </c>
      <c r="I205" s="26" t="inlineStr">
        <is>
          <t>GV GARDEN STRAWBERRY 24/25 DC SF ENV TBGS (VINDEMIA)</t>
        </is>
      </c>
      <c r="J205" s="26" t="inlineStr">
        <is>
          <t>C250 AF</t>
        </is>
      </c>
      <c r="K205" s="26">
        <f>J205&amp;"-"&amp;TEXT(W205,"dd-mmm-yy")</f>
        <v/>
      </c>
      <c r="L205" s="26">
        <f>IFERROR(VLOOKUP($M205,'ITEM MASTER'!E:H,4,0),"")</f>
        <v/>
      </c>
      <c r="M205" s="26">
        <f>IFERROR(VLOOKUP($I205,'ITEM MASTER'!B:E,4,0),"")</f>
        <v/>
      </c>
      <c r="N205" s="26">
        <f>IFERROR(VLOOKUP($I205,'ITEM MASTER'!B:F,5,0),0)</f>
        <v/>
      </c>
      <c r="O205" s="26">
        <f>IFERROR(VLOOKUP($M205,'TBGS PER CTN'!B:C,2,0),0)</f>
        <v/>
      </c>
      <c r="P205" s="26" t="n">
        <v>450</v>
      </c>
      <c r="Q205" s="26" t="n">
        <v>0</v>
      </c>
      <c r="R205" s="26" t="n">
        <v>0</v>
      </c>
      <c r="S205" s="26">
        <f>Q205+R205</f>
        <v/>
      </c>
      <c r="T205" s="29" t="n">
        <v>450</v>
      </c>
      <c r="U205" s="29">
        <f>N205*O205*T205</f>
        <v/>
      </c>
      <c r="V205" s="82">
        <f>IF(ISNUMBER($D205),$D205-WEEKDAY($D205,3),'ORDER VS WEEK DISTRIBUTION'!$G$500)</f>
        <v/>
      </c>
      <c r="W205" s="82">
        <f>MAX($V205,'ORDER VS WEEK DISTRIBUTION'!$G$500)</f>
        <v/>
      </c>
      <c r="X205" s="26">
        <f>IFERROR(VLOOKUP($J205,'ORDER VS WEEK DISTRIBUTION'!$T:$U,2,0),"")</f>
        <v/>
      </c>
      <c r="Y205" s="26">
        <f>IFERROR($T205/IF(IFERROR(VLOOKUP($I205,'ITEM CFC PER CONTAINER'!$A:$B,2,0),0)&gt;0,VLOOKUP($I205,'ITEM CFC PER CONTAINER'!$A:$B,2,0),VLOOKUP($X205,'MC MASTER'!$A:$Q,16,0)),"")</f>
        <v/>
      </c>
    </row>
    <row r="206" ht="15" customHeight="1" s="5">
      <c r="A206" s="26" t="inlineStr">
        <is>
          <t>Mlm International Fzco</t>
        </is>
      </c>
      <c r="B206" s="26" t="inlineStr">
        <is>
          <t>MJIL/SO/26037902</t>
        </is>
      </c>
      <c r="C206" s="26" t="inlineStr">
        <is>
          <t>MJ-067/26-27</t>
        </is>
      </c>
      <c r="D206" s="82" t="n">
        <v>46308</v>
      </c>
      <c r="E206" s="83">
        <f>IF(ISNUMBER($D206),EOMONTH($D206,-1)+1,"")</f>
        <v/>
      </c>
      <c r="F206" s="82" t="n">
        <v>46308</v>
      </c>
      <c r="G206" s="26" t="n">
        <v>27700</v>
      </c>
      <c r="H206" s="26">
        <f>B206&amp;I206</f>
        <v/>
      </c>
      <c r="I206" s="26" t="inlineStr">
        <is>
          <t>PADI 12/100 DC ENV TBGS</t>
        </is>
      </c>
      <c r="J206" s="30" t="inlineStr">
        <is>
          <t>CONSTANTA ENV</t>
        </is>
      </c>
      <c r="K206" s="26">
        <f>J206&amp;"-"&amp;TEXT(W206,"dd-mmm-yy")</f>
        <v/>
      </c>
      <c r="L206" s="26">
        <f>IFERROR(VLOOKUP($M206,'ITEM MASTER'!E:H,4,0),"")</f>
        <v/>
      </c>
      <c r="M206" s="26">
        <f>IFERROR(VLOOKUP($I206,'ITEM MASTER'!B:E,4,0),"")</f>
        <v/>
      </c>
      <c r="N206" s="26">
        <f>IFERROR(VLOOKUP($I206,'ITEM MASTER'!B:F,5,0),0)</f>
        <v/>
      </c>
      <c r="O206" s="26">
        <f>IFERROR(VLOOKUP($M206,'TBGS PER CTN'!B:C,2,0),0)</f>
        <v/>
      </c>
      <c r="P206" s="26" t="n">
        <v>1200</v>
      </c>
      <c r="Q206" s="26" t="n">
        <v>0</v>
      </c>
      <c r="R206" s="26" t="n">
        <v>0</v>
      </c>
      <c r="S206" s="26">
        <f>Q206+R206</f>
        <v/>
      </c>
      <c r="T206" s="29" t="n">
        <v>1200</v>
      </c>
      <c r="U206" s="29">
        <f>N206*O206*T206</f>
        <v/>
      </c>
      <c r="V206" s="82">
        <f>IF(ISNUMBER($D206),$D206-WEEKDAY($D206,3),'ORDER VS WEEK DISTRIBUTION'!$G$500)</f>
        <v/>
      </c>
      <c r="W206" s="82">
        <f>MAX($V206,'ORDER VS WEEK DISTRIBUTION'!$G$500)</f>
        <v/>
      </c>
      <c r="X206" s="26">
        <f>IFERROR(VLOOKUP($J206,'ORDER VS WEEK DISTRIBUTION'!$T:$U,2,0),"")</f>
        <v/>
      </c>
      <c r="Y206" s="26">
        <f>IFERROR($T206/IF(IFERROR(VLOOKUP($I206,'ITEM CFC PER CONTAINER'!$A:$B,2,0),0)&gt;0,VLOOKUP($I206,'ITEM CFC PER CONTAINER'!$A:$B,2,0),VLOOKUP($X206,'MC MASTER'!$A:$Q,16,0)),"")</f>
        <v/>
      </c>
    </row>
    <row r="207" ht="15" customHeight="1" s="5">
      <c r="A207" s="26" t="inlineStr">
        <is>
          <t>Mlm International Fzco</t>
        </is>
      </c>
      <c r="B207" s="26" t="inlineStr">
        <is>
          <t>MJIL/SO/26037902</t>
        </is>
      </c>
      <c r="C207" s="26" t="inlineStr">
        <is>
          <t>MJ-067/26-27</t>
        </is>
      </c>
      <c r="D207" s="82" t="n">
        <v>46308</v>
      </c>
      <c r="E207" s="83">
        <f>IF(ISNUMBER($D207),EOMONTH($D207,-1)+1,"")</f>
        <v/>
      </c>
      <c r="F207" s="82" t="n">
        <v>46308</v>
      </c>
      <c r="G207" s="26" t="n">
        <v>27705</v>
      </c>
      <c r="H207" s="26">
        <f>B207&amp;I207</f>
        <v/>
      </c>
      <c r="I207" s="26" t="inlineStr">
        <is>
          <t>PADI 24/50 DC ENV TBGS</t>
        </is>
      </c>
      <c r="J207" s="30" t="inlineStr">
        <is>
          <t>CONSTANTA ENV</t>
        </is>
      </c>
      <c r="K207" s="26">
        <f>J207&amp;"-"&amp;TEXT(W207,"dd-mmm-yy")</f>
        <v/>
      </c>
      <c r="L207" s="26">
        <f>IFERROR(VLOOKUP($M207,'ITEM MASTER'!E:H,4,0),"")</f>
        <v/>
      </c>
      <c r="M207" s="26">
        <f>IFERROR(VLOOKUP($I207,'ITEM MASTER'!B:E,4,0),"")</f>
        <v/>
      </c>
      <c r="N207" s="26">
        <f>IFERROR(VLOOKUP($I207,'ITEM MASTER'!B:F,5,0),0)</f>
        <v/>
      </c>
      <c r="O207" s="26">
        <f>IFERROR(VLOOKUP($M207,'TBGS PER CTN'!B:C,2,0),0)</f>
        <v/>
      </c>
      <c r="P207" s="26" t="n">
        <v>5000</v>
      </c>
      <c r="Q207" s="26" t="n">
        <v>0</v>
      </c>
      <c r="R207" s="26" t="n">
        <v>0</v>
      </c>
      <c r="S207" s="26">
        <f>Q207+R207</f>
        <v/>
      </c>
      <c r="T207" s="29" t="n">
        <v>5000</v>
      </c>
      <c r="U207" s="29">
        <f>N207*O207*T207</f>
        <v/>
      </c>
      <c r="V207" s="82">
        <f>IF(ISNUMBER($D207),$D207-WEEKDAY($D207,3),'ORDER VS WEEK DISTRIBUTION'!$G$500)</f>
        <v/>
      </c>
      <c r="W207" s="82">
        <f>MAX($V207,'ORDER VS WEEK DISTRIBUTION'!$G$500)</f>
        <v/>
      </c>
      <c r="X207" s="26">
        <f>IFERROR(VLOOKUP($J207,'ORDER VS WEEK DISTRIBUTION'!$T:$U,2,0),"")</f>
        <v/>
      </c>
      <c r="Y207" s="26">
        <f>IFERROR($T207/IF(IFERROR(VLOOKUP($I207,'ITEM CFC PER CONTAINER'!$A:$B,2,0),0)&gt;0,VLOOKUP($I207,'ITEM CFC PER CONTAINER'!$A:$B,2,0),VLOOKUP($X207,'MC MASTER'!$A:$Q,16,0)),"")</f>
        <v/>
      </c>
    </row>
    <row r="208" ht="15" customHeight="1" s="5">
      <c r="A208" s="26" t="inlineStr">
        <is>
          <t>Multitrade Overseas Pte. Ltd.</t>
        </is>
      </c>
      <c r="B208" s="26" t="inlineStr">
        <is>
          <t>MJIL/SO/25072890</t>
        </is>
      </c>
      <c r="C208" s="26" t="inlineStr">
        <is>
          <t xml:space="preserve">MJ-264/25-26 /5-5 (OUSMANE) </t>
        </is>
      </c>
      <c r="D208" s="82" t="n">
        <v>46309</v>
      </c>
      <c r="E208" s="83">
        <f>IF(ISNUMBER($D208),EOMONTH($D208,-1)+1,"")</f>
        <v/>
      </c>
      <c r="F208" s="82" t="n">
        <v>46309</v>
      </c>
      <c r="G208" s="26" t="n">
        <v>759</v>
      </c>
      <c r="H208" s="26">
        <f>B208&amp;I208</f>
        <v/>
      </c>
      <c r="I208" s="26" t="inlineStr">
        <is>
          <t>PREMIER 12/100 DC ENV TBGS</t>
        </is>
      </c>
      <c r="J208" s="26" t="inlineStr">
        <is>
          <t>MD20 ENV</t>
        </is>
      </c>
      <c r="K208" s="26">
        <f>J208&amp;"-"&amp;TEXT(W208,"dd-mmm-yy")</f>
        <v/>
      </c>
      <c r="L208" s="26">
        <f>IFERROR(VLOOKUP($M208,'ITEM MASTER'!E:H,4,0),"")</f>
        <v/>
      </c>
      <c r="M208" s="26">
        <f>IFERROR(VLOOKUP($I208,'ITEM MASTER'!B:E,4,0),"")</f>
        <v/>
      </c>
      <c r="N208" s="26">
        <f>IFERROR(VLOOKUP($I208,'ITEM MASTER'!B:F,5,0),0)</f>
        <v/>
      </c>
      <c r="O208" s="26">
        <f>IFERROR(VLOOKUP($M208,'TBGS PER CTN'!B:C,2,0),0)</f>
        <v/>
      </c>
      <c r="P208" s="26" t="n">
        <v>6680</v>
      </c>
      <c r="Q208" s="26" t="n">
        <v>113</v>
      </c>
      <c r="R208" s="26" t="n">
        <v>5849</v>
      </c>
      <c r="S208" s="26">
        <f>Q208+R208</f>
        <v/>
      </c>
      <c r="T208" s="29" t="n">
        <v>718</v>
      </c>
      <c r="U208" s="29">
        <f>N208*O208*T208</f>
        <v/>
      </c>
      <c r="V208" s="82">
        <f>IF(ISNUMBER($D208),$D208-WEEKDAY($D208,3),'ORDER VS WEEK DISTRIBUTION'!$G$500)</f>
        <v/>
      </c>
      <c r="W208" s="82">
        <f>MAX($V208,'ORDER VS WEEK DISTRIBUTION'!$G$500)</f>
        <v/>
      </c>
      <c r="X208" s="26">
        <f>IFERROR(VLOOKUP($J208,'ORDER VS WEEK DISTRIBUTION'!$T:$U,2,0),"")</f>
        <v/>
      </c>
      <c r="Y208" s="26">
        <f>IFERROR($T208/IF(IFERROR(VLOOKUP($I208,'ITEM CFC PER CONTAINER'!$A:$B,2,0),0)&gt;0,VLOOKUP($I208,'ITEM CFC PER CONTAINER'!$A:$B,2,0),VLOOKUP($X208,'MC MASTER'!$A:$Q,16,0)),"")</f>
        <v/>
      </c>
    </row>
    <row r="209" ht="15" customHeight="1" s="5">
      <c r="A209" s="26" t="inlineStr">
        <is>
          <t>Multitrade Overseas Pte. Ltd.</t>
        </is>
      </c>
      <c r="B209" s="26" t="inlineStr">
        <is>
          <t>MJIL/SO/26012323</t>
        </is>
      </c>
      <c r="C209" s="26" t="inlineStr">
        <is>
          <t>MJ-024/26-27 / 6 - ETKAF</t>
        </is>
      </c>
      <c r="D209" s="82" t="n">
        <v>46309</v>
      </c>
      <c r="E209" s="83">
        <f>IF(ISNUMBER($D209),EOMONTH($D209,-1)+1,"")</f>
        <v/>
      </c>
      <c r="F209" s="82" t="n">
        <v>46309</v>
      </c>
      <c r="G209" s="26" t="n">
        <v>2023</v>
      </c>
      <c r="H209" s="26">
        <f>B209&amp;I209</f>
        <v/>
      </c>
      <c r="I209" s="26" t="inlineStr">
        <is>
          <t>GV MINT 24/25 DC ENV TBGS WITH TSHIRT</t>
        </is>
      </c>
      <c r="J209" s="30" t="inlineStr">
        <is>
          <t>CONSTANTA ENV</t>
        </is>
      </c>
      <c r="K209" s="26">
        <f>J209&amp;"-"&amp;TEXT(W209,"dd-mmm-yy")</f>
        <v/>
      </c>
      <c r="L209" s="26">
        <f>IFERROR(VLOOKUP($M209,'ITEM MASTER'!E:H,4,0),"")</f>
        <v/>
      </c>
      <c r="M209" s="26">
        <f>IFERROR(VLOOKUP($I209,'ITEM MASTER'!B:E,4,0),"")</f>
        <v/>
      </c>
      <c r="N209" s="26">
        <f>IFERROR(VLOOKUP($I209,'ITEM MASTER'!B:F,5,0),0)</f>
        <v/>
      </c>
      <c r="O209" s="26">
        <f>IFERROR(VLOOKUP($M209,'TBGS PER CTN'!B:C,2,0),0)</f>
        <v/>
      </c>
      <c r="P209" s="26" t="n">
        <v>3730</v>
      </c>
      <c r="Q209" s="26" t="n">
        <v>0</v>
      </c>
      <c r="R209" s="26" t="n">
        <v>0</v>
      </c>
      <c r="S209" s="26">
        <f>Q209+R209</f>
        <v/>
      </c>
      <c r="T209" s="29" t="n">
        <v>3730</v>
      </c>
      <c r="U209" s="29">
        <f>N209*O209*T209</f>
        <v/>
      </c>
      <c r="V209" s="82">
        <f>IF(ISNUMBER($D209),$D209-WEEKDAY($D209,3),'ORDER VS WEEK DISTRIBUTION'!$G$500)</f>
        <v/>
      </c>
      <c r="W209" s="82">
        <f>MAX($V209,'ORDER VS WEEK DISTRIBUTION'!$G$500)</f>
        <v/>
      </c>
      <c r="X209" s="26">
        <f>IFERROR(VLOOKUP($J209,'ORDER VS WEEK DISTRIBUTION'!$T:$U,2,0),"")</f>
        <v/>
      </c>
      <c r="Y209" s="26">
        <f>IFERROR($T209/IF(IFERROR(VLOOKUP($I209,'ITEM CFC PER CONTAINER'!$A:$B,2,0),0)&gt;0,VLOOKUP($I209,'ITEM CFC PER CONTAINER'!$A:$B,2,0),VLOOKUP($X209,'MC MASTER'!$A:$Q,16,0)),"")</f>
        <v/>
      </c>
    </row>
    <row r="210" ht="15" customHeight="1" s="5">
      <c r="A210" s="26" t="inlineStr">
        <is>
          <t>Multitrade Overseas Pte. Ltd.</t>
        </is>
      </c>
      <c r="B210" s="26" t="inlineStr">
        <is>
          <t>MJIL/SO/26012323</t>
        </is>
      </c>
      <c r="C210" s="26" t="inlineStr">
        <is>
          <t>MJ-024/26-27 / 6 - ETKAF</t>
        </is>
      </c>
      <c r="D210" s="82" t="n">
        <v>46309</v>
      </c>
      <c r="E210" s="83">
        <f>IF(ISNUMBER($D210),EOMONTH($D210,-1)+1,"")</f>
        <v/>
      </c>
      <c r="F210" s="82" t="n">
        <v>46309</v>
      </c>
      <c r="G210" s="26" t="n">
        <v>1933</v>
      </c>
      <c r="H210" s="26">
        <f>B210&amp;I210</f>
        <v/>
      </c>
      <c r="I210" s="26" t="inlineStr">
        <is>
          <t>GV GARDEN STRAWBERRY 24/25 DC ENV TBGS WITH TSHIRT</t>
        </is>
      </c>
      <c r="J210" s="30" t="inlineStr">
        <is>
          <t>CONSTANTA ENV</t>
        </is>
      </c>
      <c r="K210" s="26">
        <f>J210&amp;"-"&amp;TEXT(W210,"dd-mmm-yy")</f>
        <v/>
      </c>
      <c r="L210" s="26">
        <f>IFERROR(VLOOKUP($M210,'ITEM MASTER'!E:H,4,0),"")</f>
        <v/>
      </c>
      <c r="M210" s="26">
        <f>IFERROR(VLOOKUP($I210,'ITEM MASTER'!B:E,4,0),"")</f>
        <v/>
      </c>
      <c r="N210" s="26">
        <f>IFERROR(VLOOKUP($I210,'ITEM MASTER'!B:F,5,0),0)</f>
        <v/>
      </c>
      <c r="O210" s="26">
        <f>IFERROR(VLOOKUP($M210,'TBGS PER CTN'!B:C,2,0),0)</f>
        <v/>
      </c>
      <c r="P210" s="26" t="n">
        <v>4888</v>
      </c>
      <c r="Q210" s="26" t="n">
        <v>0</v>
      </c>
      <c r="R210" s="26" t="n">
        <v>0</v>
      </c>
      <c r="S210" s="26">
        <f>Q210+R210</f>
        <v/>
      </c>
      <c r="T210" s="29" t="n">
        <v>4888</v>
      </c>
      <c r="U210" s="29">
        <f>N210*O210*T210</f>
        <v/>
      </c>
      <c r="V210" s="82">
        <f>IF(ISNUMBER($D210),$D210-WEEKDAY($D210,3),'ORDER VS WEEK DISTRIBUTION'!$G$500)</f>
        <v/>
      </c>
      <c r="W210" s="82">
        <f>MAX($V210,'ORDER VS WEEK DISTRIBUTION'!$G$500)</f>
        <v/>
      </c>
      <c r="X210" s="26">
        <f>IFERROR(VLOOKUP($J210,'ORDER VS WEEK DISTRIBUTION'!$T:$U,2,0),"")</f>
        <v/>
      </c>
      <c r="Y210" s="26">
        <f>IFERROR($T210/IF(IFERROR(VLOOKUP($I210,'ITEM CFC PER CONTAINER'!$A:$B,2,0),0)&gt;0,VLOOKUP($I210,'ITEM CFC PER CONTAINER'!$A:$B,2,0),VLOOKUP($X210,'MC MASTER'!$A:$Q,16,0)),"")</f>
        <v/>
      </c>
    </row>
    <row r="211" ht="15" customHeight="1" s="5">
      <c r="A211" s="26" t="inlineStr">
        <is>
          <t>Multitrade Overseas Pte. Ltd.</t>
        </is>
      </c>
      <c r="B211" s="26" t="inlineStr">
        <is>
          <t>MJIL/SO/26012323</t>
        </is>
      </c>
      <c r="C211" s="26" t="inlineStr">
        <is>
          <t>MJ-024/26-27 / 6 - ETKAF</t>
        </is>
      </c>
      <c r="D211" s="82" t="n">
        <v>46309</v>
      </c>
      <c r="E211" s="83">
        <f>IF(ISNUMBER($D211),EOMONTH($D211,-1)+1,"")</f>
        <v/>
      </c>
      <c r="F211" s="82" t="n">
        <v>46309</v>
      </c>
      <c r="G211" s="26" t="n">
        <v>2131</v>
      </c>
      <c r="H211" s="26">
        <f>B211&amp;I211</f>
        <v/>
      </c>
      <c r="I211" s="26" t="inlineStr">
        <is>
          <t>GV SPICY GINGER 24/25 DC ENV TBGS WITH TSHIRT</t>
        </is>
      </c>
      <c r="J211" s="30" t="inlineStr">
        <is>
          <t>CONSTANTA ENV</t>
        </is>
      </c>
      <c r="K211" s="26">
        <f>J211&amp;"-"&amp;TEXT(W211,"dd-mmm-yy")</f>
        <v/>
      </c>
      <c r="L211" s="26">
        <f>IFERROR(VLOOKUP($M211,'ITEM MASTER'!E:H,4,0),"")</f>
        <v/>
      </c>
      <c r="M211" s="26">
        <f>IFERROR(VLOOKUP($I211,'ITEM MASTER'!B:E,4,0),"")</f>
        <v/>
      </c>
      <c r="N211" s="26">
        <f>IFERROR(VLOOKUP($I211,'ITEM MASTER'!B:F,5,0),0)</f>
        <v/>
      </c>
      <c r="O211" s="26">
        <f>IFERROR(VLOOKUP($M211,'TBGS PER CTN'!B:C,2,0),0)</f>
        <v/>
      </c>
      <c r="P211" s="26" t="n">
        <v>2950</v>
      </c>
      <c r="Q211" s="26" t="n">
        <v>0</v>
      </c>
      <c r="R211" s="26" t="n">
        <v>0</v>
      </c>
      <c r="S211" s="26">
        <f>Q211+R211</f>
        <v/>
      </c>
      <c r="T211" s="29" t="n">
        <v>2950</v>
      </c>
      <c r="U211" s="29">
        <f>N211*O211*T211</f>
        <v/>
      </c>
      <c r="V211" s="82">
        <f>IF(ISNUMBER($D211),$D211-WEEKDAY($D211,3),'ORDER VS WEEK DISTRIBUTION'!$G$500)</f>
        <v/>
      </c>
      <c r="W211" s="82">
        <f>MAX($V211,'ORDER VS WEEK DISTRIBUTION'!$G$500)</f>
        <v/>
      </c>
      <c r="X211" s="26">
        <f>IFERROR(VLOOKUP($J211,'ORDER VS WEEK DISTRIBUTION'!$T:$U,2,0),"")</f>
        <v/>
      </c>
      <c r="Y211" s="26">
        <f>IFERROR($T211/IF(IFERROR(VLOOKUP($I211,'ITEM CFC PER CONTAINER'!$A:$B,2,0),0)&gt;0,VLOOKUP($I211,'ITEM CFC PER CONTAINER'!$A:$B,2,0),VLOOKUP($X211,'MC MASTER'!$A:$Q,16,0)),"")</f>
        <v/>
      </c>
    </row>
    <row r="212" ht="15" customHeight="1" s="5">
      <c r="A212" s="26" t="inlineStr">
        <is>
          <t>Multitrade Overseas Pte. Ltd.</t>
        </is>
      </c>
      <c r="B212" s="26" t="inlineStr">
        <is>
          <t>MJIL/SO/26012323</t>
        </is>
      </c>
      <c r="C212" s="26" t="inlineStr">
        <is>
          <t>MJ-024/26-27 / 6 - ETKAF</t>
        </is>
      </c>
      <c r="D212" s="82" t="n">
        <v>46309</v>
      </c>
      <c r="E212" s="83">
        <f>IF(ISNUMBER($D212),EOMONTH($D212,-1)+1,"")</f>
        <v/>
      </c>
      <c r="F212" s="82" t="n">
        <v>46309</v>
      </c>
      <c r="G212" s="26" t="n">
        <v>2051</v>
      </c>
      <c r="H212" s="26">
        <f>B212&amp;I212</f>
        <v/>
      </c>
      <c r="I212" s="26" t="inlineStr">
        <is>
          <t>GV ORANGE 24/25 DC ENV TBGS WITH TSHIRT</t>
        </is>
      </c>
      <c r="J212" s="30" t="inlineStr">
        <is>
          <t>CONSTANTA ENV</t>
        </is>
      </c>
      <c r="K212" s="26">
        <f>J212&amp;"-"&amp;TEXT(W212,"dd-mmm-yy")</f>
        <v/>
      </c>
      <c r="L212" s="26">
        <f>IFERROR(VLOOKUP($M212,'ITEM MASTER'!E:H,4,0),"")</f>
        <v/>
      </c>
      <c r="M212" s="26">
        <f>IFERROR(VLOOKUP($I212,'ITEM MASTER'!B:E,4,0),"")</f>
        <v/>
      </c>
      <c r="N212" s="26">
        <f>IFERROR(VLOOKUP($I212,'ITEM MASTER'!B:F,5,0),0)</f>
        <v/>
      </c>
      <c r="O212" s="26">
        <f>IFERROR(VLOOKUP($M212,'TBGS PER CTN'!B:C,2,0),0)</f>
        <v/>
      </c>
      <c r="P212" s="26" t="n">
        <v>200</v>
      </c>
      <c r="Q212" s="26" t="n">
        <v>0</v>
      </c>
      <c r="R212" s="26" t="n">
        <v>0</v>
      </c>
      <c r="S212" s="26">
        <f>Q212+R212</f>
        <v/>
      </c>
      <c r="T212" s="29" t="n">
        <v>200</v>
      </c>
      <c r="U212" s="29">
        <f>N212*O212*T212</f>
        <v/>
      </c>
      <c r="V212" s="82">
        <f>IF(ISNUMBER($D212),$D212-WEEKDAY($D212,3),'ORDER VS WEEK DISTRIBUTION'!$G$500)</f>
        <v/>
      </c>
      <c r="W212" s="82">
        <f>MAX($V212,'ORDER VS WEEK DISTRIBUTION'!$G$500)</f>
        <v/>
      </c>
      <c r="X212" s="26">
        <f>IFERROR(VLOOKUP($J212,'ORDER VS WEEK DISTRIBUTION'!$T:$U,2,0),"")</f>
        <v/>
      </c>
      <c r="Y212" s="26">
        <f>IFERROR($T212/IF(IFERROR(VLOOKUP($I212,'ITEM CFC PER CONTAINER'!$A:$B,2,0),0)&gt;0,VLOOKUP($I212,'ITEM CFC PER CONTAINER'!$A:$B,2,0),VLOOKUP($X212,'MC MASTER'!$A:$Q,16,0)),"")</f>
        <v/>
      </c>
    </row>
    <row r="213" ht="15" customHeight="1" s="5">
      <c r="A213" s="26" t="inlineStr">
        <is>
          <t>Multitrade Overseas Pte. Ltd.</t>
        </is>
      </c>
      <c r="B213" s="26" t="inlineStr">
        <is>
          <t>MJIL/SO/26012323</t>
        </is>
      </c>
      <c r="C213" s="26" t="inlineStr">
        <is>
          <t>MJ-024/26-27 / 6 - ETKAF</t>
        </is>
      </c>
      <c r="D213" s="82" t="n">
        <v>46309</v>
      </c>
      <c r="E213" s="83">
        <f>IF(ISNUMBER($D213),EOMONTH($D213,-1)+1,"")</f>
        <v/>
      </c>
      <c r="F213" s="82" t="n">
        <v>46309</v>
      </c>
      <c r="G213" s="26" t="n">
        <v>21810</v>
      </c>
      <c r="H213" s="26">
        <f>B213&amp;I213</f>
        <v/>
      </c>
      <c r="I213" s="26" t="inlineStr">
        <is>
          <t>GV CLOVE 24/25 DC ENV TBGS WITH TSHIRT</t>
        </is>
      </c>
      <c r="J213" s="30" t="inlineStr">
        <is>
          <t>CONSTANTA ENV</t>
        </is>
      </c>
      <c r="K213" s="26">
        <f>J213&amp;"-"&amp;TEXT(W213,"dd-mmm-yy")</f>
        <v/>
      </c>
      <c r="L213" s="26">
        <f>IFERROR(VLOOKUP($M213,'ITEM MASTER'!E:H,4,0),"")</f>
        <v/>
      </c>
      <c r="M213" s="26">
        <f>IFERROR(VLOOKUP($I213,'ITEM MASTER'!B:E,4,0),"")</f>
        <v/>
      </c>
      <c r="N213" s="26">
        <f>IFERROR(VLOOKUP($I213,'ITEM MASTER'!B:F,5,0),0)</f>
        <v/>
      </c>
      <c r="O213" s="26">
        <f>IFERROR(VLOOKUP($M213,'TBGS PER CTN'!B:C,2,0),0)</f>
        <v/>
      </c>
      <c r="P213" s="26" t="n">
        <v>200</v>
      </c>
      <c r="Q213" s="26" t="n">
        <v>0</v>
      </c>
      <c r="R213" s="26" t="n">
        <v>0</v>
      </c>
      <c r="S213" s="26">
        <f>Q213+R213</f>
        <v/>
      </c>
      <c r="T213" s="29" t="n">
        <v>200</v>
      </c>
      <c r="U213" s="29">
        <f>N213*O213*T213</f>
        <v/>
      </c>
      <c r="V213" s="82">
        <f>IF(ISNUMBER($D213),$D213-WEEKDAY($D213,3),'ORDER VS WEEK DISTRIBUTION'!$G$500)</f>
        <v/>
      </c>
      <c r="W213" s="82">
        <f>MAX($V213,'ORDER VS WEEK DISTRIBUTION'!$G$500)</f>
        <v/>
      </c>
      <c r="X213" s="26">
        <f>IFERROR(VLOOKUP($J213,'ORDER VS WEEK DISTRIBUTION'!$T:$U,2,0),"")</f>
        <v/>
      </c>
      <c r="Y213" s="26">
        <f>IFERROR($T213/IF(IFERROR(VLOOKUP($I213,'ITEM CFC PER CONTAINER'!$A:$B,2,0),0)&gt;0,VLOOKUP($I213,'ITEM CFC PER CONTAINER'!$A:$B,2,0),VLOOKUP($X213,'MC MASTER'!$A:$Q,16,0)),"")</f>
        <v/>
      </c>
    </row>
    <row r="214" ht="15" customHeight="1" s="5">
      <c r="A214" s="26" t="inlineStr">
        <is>
          <t>Multitrade Overseas Pte. Ltd.</t>
        </is>
      </c>
      <c r="B214" s="26" t="inlineStr">
        <is>
          <t>MJIL/SO/26012323</t>
        </is>
      </c>
      <c r="C214" s="26" t="inlineStr">
        <is>
          <t>MJ-024/26-27 / 6 - ETKAF</t>
        </is>
      </c>
      <c r="D214" s="82" t="n">
        <v>46309</v>
      </c>
      <c r="E214" s="83">
        <f>IF(ISNUMBER($D214),EOMONTH($D214,-1)+1,"")</f>
        <v/>
      </c>
      <c r="F214" s="82" t="n">
        <v>46309</v>
      </c>
      <c r="G214" s="26" t="n">
        <v>2105</v>
      </c>
      <c r="H214" s="26">
        <f>B214&amp;I214</f>
        <v/>
      </c>
      <c r="I214" s="26" t="inlineStr">
        <is>
          <t>GV ROYAL LEMON 24/25 DC ENV TBGS WITH TSHIRT</t>
        </is>
      </c>
      <c r="J214" s="30" t="inlineStr">
        <is>
          <t>CONSTANTA ENV</t>
        </is>
      </c>
      <c r="K214" s="26">
        <f>J214&amp;"-"&amp;TEXT(W214,"dd-mmm-yy")</f>
        <v/>
      </c>
      <c r="L214" s="26">
        <f>IFERROR(VLOOKUP($M214,'ITEM MASTER'!E:H,4,0),"")</f>
        <v/>
      </c>
      <c r="M214" s="26">
        <f>IFERROR(VLOOKUP($I214,'ITEM MASTER'!B:E,4,0),"")</f>
        <v/>
      </c>
      <c r="N214" s="26">
        <f>IFERROR(VLOOKUP($I214,'ITEM MASTER'!B:F,5,0),0)</f>
        <v/>
      </c>
      <c r="O214" s="26">
        <f>IFERROR(VLOOKUP($M214,'TBGS PER CTN'!B:C,2,0),0)</f>
        <v/>
      </c>
      <c r="P214" s="26" t="n">
        <v>273</v>
      </c>
      <c r="Q214" s="26" t="n">
        <v>0</v>
      </c>
      <c r="R214" s="26" t="n">
        <v>0</v>
      </c>
      <c r="S214" s="26">
        <f>Q214+R214</f>
        <v/>
      </c>
      <c r="T214" s="29" t="n">
        <v>273</v>
      </c>
      <c r="U214" s="29">
        <f>N214*O214*T214</f>
        <v/>
      </c>
      <c r="V214" s="82">
        <f>IF(ISNUMBER($D214),$D214-WEEKDAY($D214,3),'ORDER VS WEEK DISTRIBUTION'!$G$500)</f>
        <v/>
      </c>
      <c r="W214" s="82">
        <f>MAX($V214,'ORDER VS WEEK DISTRIBUTION'!$G$500)</f>
        <v/>
      </c>
      <c r="X214" s="26">
        <f>IFERROR(VLOOKUP($J214,'ORDER VS WEEK DISTRIBUTION'!$T:$U,2,0),"")</f>
        <v/>
      </c>
      <c r="Y214" s="26">
        <f>IFERROR($T214/IF(IFERROR(VLOOKUP($I214,'ITEM CFC PER CONTAINER'!$A:$B,2,0),0)&gt;0,VLOOKUP($I214,'ITEM CFC PER CONTAINER'!$A:$B,2,0),VLOOKUP($X214,'MC MASTER'!$A:$Q,16,0)),"")</f>
        <v/>
      </c>
    </row>
    <row r="215" ht="15" customHeight="1" s="5">
      <c r="A215" s="26" t="inlineStr">
        <is>
          <t>Bamappro Somaudex Logistics</t>
        </is>
      </c>
      <c r="B215" s="26" t="inlineStr">
        <is>
          <t>MJIL/SO/26053348</t>
        </is>
      </c>
      <c r="C215" s="26" t="inlineStr">
        <is>
          <t>MJ-094/26-27</t>
        </is>
      </c>
      <c r="D215" s="82" t="n">
        <v>46310</v>
      </c>
      <c r="E215" s="83">
        <f>IF(ISNUMBER($D215),EOMONTH($D215,-1)+1,"")</f>
        <v/>
      </c>
      <c r="F215" s="82" t="n">
        <v>46310</v>
      </c>
      <c r="G215" s="26" t="n">
        <v>36532</v>
      </c>
      <c r="H215" s="26">
        <f>B215&amp;I215</f>
        <v/>
      </c>
      <c r="I215" s="26" t="inlineStr">
        <is>
          <t>GV GREEN TEA 24/25 DC SF ENV TBGS</t>
        </is>
      </c>
      <c r="J215" s="26" t="inlineStr">
        <is>
          <t>C250 AF</t>
        </is>
      </c>
      <c r="K215" s="26">
        <f>J215&amp;"-"&amp;TEXT(W215,"dd-mmm-yy")</f>
        <v/>
      </c>
      <c r="L215" s="26">
        <f>IFERROR(VLOOKUP($M215,'ITEM MASTER'!E:H,4,0),"")</f>
        <v/>
      </c>
      <c r="M215" s="26">
        <f>IFERROR(VLOOKUP($I215,'ITEM MASTER'!B:E,4,0),"")</f>
        <v/>
      </c>
      <c r="N215" s="26">
        <f>IFERROR(VLOOKUP($I215,'ITEM MASTER'!B:F,5,0),0)</f>
        <v/>
      </c>
      <c r="O215" s="26">
        <f>IFERROR(VLOOKUP($M215,'TBGS PER CTN'!B:C,2,0),0)</f>
        <v/>
      </c>
      <c r="P215" s="26" t="n">
        <v>126</v>
      </c>
      <c r="Q215" s="26" t="n">
        <v>0</v>
      </c>
      <c r="R215" s="26" t="n">
        <v>0</v>
      </c>
      <c r="S215" s="26">
        <f>Q215+R215</f>
        <v/>
      </c>
      <c r="T215" s="29" t="n">
        <v>126</v>
      </c>
      <c r="U215" s="29">
        <f>N215*O215*T215</f>
        <v/>
      </c>
      <c r="V215" s="82">
        <f>IF(ISNUMBER($D215),$D215-WEEKDAY($D215,3),'ORDER VS WEEK DISTRIBUTION'!$G$500)</f>
        <v/>
      </c>
      <c r="W215" s="82">
        <f>MAX($V215,'ORDER VS WEEK DISTRIBUTION'!$G$500)</f>
        <v/>
      </c>
      <c r="X215" s="26">
        <f>IFERROR(VLOOKUP($J215,'ORDER VS WEEK DISTRIBUTION'!$T:$U,2,0),"")</f>
        <v/>
      </c>
      <c r="Y215" s="26">
        <f>IFERROR($T215/IF(IFERROR(VLOOKUP($I215,'ITEM CFC PER CONTAINER'!$A:$B,2,0),0)&gt;0,VLOOKUP($I215,'ITEM CFC PER CONTAINER'!$A:$B,2,0),VLOOKUP($X215,'MC MASTER'!$A:$Q,16,0)),"")</f>
        <v/>
      </c>
    </row>
    <row r="216" ht="15" customHeight="1" s="5">
      <c r="A216" s="26" t="inlineStr">
        <is>
          <t>Bamappro Somaudex Logistics</t>
        </is>
      </c>
      <c r="B216" s="26" t="inlineStr">
        <is>
          <t>MJIL/SO/26053348</t>
        </is>
      </c>
      <c r="C216" s="26" t="inlineStr">
        <is>
          <t>MJ-094/26-27</t>
        </is>
      </c>
      <c r="D216" s="82" t="n">
        <v>46310</v>
      </c>
      <c r="E216" s="83">
        <f>IF(ISNUMBER($D216),EOMONTH($D216,-1)+1,"")</f>
        <v/>
      </c>
      <c r="F216" s="82" t="n">
        <v>46310</v>
      </c>
      <c r="G216" s="26" t="n">
        <v>36527</v>
      </c>
      <c r="H216" s="26">
        <f>B216&amp;I216</f>
        <v/>
      </c>
      <c r="I216" s="26" t="inlineStr">
        <is>
          <t>GV TAMARIND 24/25 DC SF ENV TBGS (v2)</t>
        </is>
      </c>
      <c r="J216" s="26" t="inlineStr">
        <is>
          <t>C250 AF</t>
        </is>
      </c>
      <c r="K216" s="26">
        <f>J216&amp;"-"&amp;TEXT(W216,"dd-mmm-yy")</f>
        <v/>
      </c>
      <c r="L216" s="26">
        <f>IFERROR(VLOOKUP($M216,'ITEM MASTER'!E:H,4,0),"")</f>
        <v/>
      </c>
      <c r="M216" s="26">
        <f>IFERROR(VLOOKUP($I216,'ITEM MASTER'!B:E,4,0),"")</f>
        <v/>
      </c>
      <c r="N216" s="26">
        <f>IFERROR(VLOOKUP($I216,'ITEM MASTER'!B:F,5,0),0)</f>
        <v/>
      </c>
      <c r="O216" s="26">
        <f>IFERROR(VLOOKUP($M216,'TBGS PER CTN'!B:C,2,0),0)</f>
        <v/>
      </c>
      <c r="P216" s="26" t="n">
        <v>132</v>
      </c>
      <c r="Q216" s="26" t="n">
        <v>0</v>
      </c>
      <c r="R216" s="26" t="n">
        <v>0</v>
      </c>
      <c r="S216" s="26">
        <f>Q216+R216</f>
        <v/>
      </c>
      <c r="T216" s="29" t="n">
        <v>132</v>
      </c>
      <c r="U216" s="29">
        <f>N216*O216*T216</f>
        <v/>
      </c>
      <c r="V216" s="82">
        <f>IF(ISNUMBER($D216),$D216-WEEKDAY($D216,3),'ORDER VS WEEK DISTRIBUTION'!$G$500)</f>
        <v/>
      </c>
      <c r="W216" s="82">
        <f>MAX($V216,'ORDER VS WEEK DISTRIBUTION'!$G$500)</f>
        <v/>
      </c>
      <c r="X216" s="26">
        <f>IFERROR(VLOOKUP($J216,'ORDER VS WEEK DISTRIBUTION'!$T:$U,2,0),"")</f>
        <v/>
      </c>
      <c r="Y216" s="26">
        <f>IFERROR($T216/IF(IFERROR(VLOOKUP($I216,'ITEM CFC PER CONTAINER'!$A:$B,2,0),0)&gt;0,VLOOKUP($I216,'ITEM CFC PER CONTAINER'!$A:$B,2,0),VLOOKUP($X216,'MC MASTER'!$A:$Q,16,0)),"")</f>
        <v/>
      </c>
    </row>
    <row r="217" ht="15" customHeight="1" s="5">
      <c r="A217" s="26" t="inlineStr">
        <is>
          <t>Bamappro Somaudex Logistics</t>
        </is>
      </c>
      <c r="B217" s="26" t="inlineStr">
        <is>
          <t>MJIL/SO/26053348</t>
        </is>
      </c>
      <c r="C217" s="26" t="inlineStr">
        <is>
          <t>MJ-094/26-27</t>
        </is>
      </c>
      <c r="D217" s="82" t="n">
        <v>46310</v>
      </c>
      <c r="E217" s="83">
        <f>IF(ISNUMBER($D217),EOMONTH($D217,-1)+1,"")</f>
        <v/>
      </c>
      <c r="F217" s="82" t="n">
        <v>46310</v>
      </c>
      <c r="G217" s="26" t="n">
        <v>36526</v>
      </c>
      <c r="H217" s="26">
        <f>B217&amp;I217</f>
        <v/>
      </c>
      <c r="I217" s="26" t="inlineStr">
        <is>
          <t>GV SPICY GINGER 24/25 DC SF ENV TBGS (v2)</t>
        </is>
      </c>
      <c r="J217" s="26" t="inlineStr">
        <is>
          <t>C250 AF</t>
        </is>
      </c>
      <c r="K217" s="26">
        <f>J217&amp;"-"&amp;TEXT(W217,"dd-mmm-yy")</f>
        <v/>
      </c>
      <c r="L217" s="26">
        <f>IFERROR(VLOOKUP($M217,'ITEM MASTER'!E:H,4,0),"")</f>
        <v/>
      </c>
      <c r="M217" s="26">
        <f>IFERROR(VLOOKUP($I217,'ITEM MASTER'!B:E,4,0),"")</f>
        <v/>
      </c>
      <c r="N217" s="26">
        <f>IFERROR(VLOOKUP($I217,'ITEM MASTER'!B:F,5,0),0)</f>
        <v/>
      </c>
      <c r="O217" s="26">
        <f>IFERROR(VLOOKUP($M217,'TBGS PER CTN'!B:C,2,0),0)</f>
        <v/>
      </c>
      <c r="P217" s="26" t="n">
        <v>261</v>
      </c>
      <c r="Q217" s="26" t="n">
        <v>0</v>
      </c>
      <c r="R217" s="26" t="n">
        <v>0</v>
      </c>
      <c r="S217" s="26">
        <f>Q217+R217</f>
        <v/>
      </c>
      <c r="T217" s="29" t="n">
        <v>261</v>
      </c>
      <c r="U217" s="29">
        <f>N217*O217*T217</f>
        <v/>
      </c>
      <c r="V217" s="82">
        <f>IF(ISNUMBER($D217),$D217-WEEKDAY($D217,3),'ORDER VS WEEK DISTRIBUTION'!$G$500)</f>
        <v/>
      </c>
      <c r="W217" s="82">
        <f>MAX($V217,'ORDER VS WEEK DISTRIBUTION'!$G$500)</f>
        <v/>
      </c>
      <c r="X217" s="26">
        <f>IFERROR(VLOOKUP($J217,'ORDER VS WEEK DISTRIBUTION'!$T:$U,2,0),"")</f>
        <v/>
      </c>
      <c r="Y217" s="26">
        <f>IFERROR($T217/IF(IFERROR(VLOOKUP($I217,'ITEM CFC PER CONTAINER'!$A:$B,2,0),0)&gt;0,VLOOKUP($I217,'ITEM CFC PER CONTAINER'!$A:$B,2,0),VLOOKUP($X217,'MC MASTER'!$A:$Q,16,0)),"")</f>
        <v/>
      </c>
    </row>
    <row r="218" ht="15" customHeight="1" s="5">
      <c r="A218" s="26" t="inlineStr">
        <is>
          <t>Bamappro Somaudex Logistics</t>
        </is>
      </c>
      <c r="B218" s="26" t="inlineStr">
        <is>
          <t>MJIL/SO/26053348</t>
        </is>
      </c>
      <c r="C218" s="26" t="inlineStr">
        <is>
          <t>MJ-094/26-27</t>
        </is>
      </c>
      <c r="D218" s="82" t="n">
        <v>46310</v>
      </c>
      <c r="E218" s="83">
        <f>IF(ISNUMBER($D218),EOMONTH($D218,-1)+1,"")</f>
        <v/>
      </c>
      <c r="F218" s="82" t="n">
        <v>46310</v>
      </c>
      <c r="G218" s="26" t="n">
        <v>36523</v>
      </c>
      <c r="H218" s="26">
        <f>B218&amp;I218</f>
        <v/>
      </c>
      <c r="I218" s="26" t="inlineStr">
        <is>
          <t>GV MINT 24/25 DC SF ENV TBGS (v2)</t>
        </is>
      </c>
      <c r="J218" s="26" t="inlineStr">
        <is>
          <t>C250 AF</t>
        </is>
      </c>
      <c r="K218" s="26">
        <f>J218&amp;"-"&amp;TEXT(W218,"dd-mmm-yy")</f>
        <v/>
      </c>
      <c r="L218" s="26">
        <f>IFERROR(VLOOKUP($M218,'ITEM MASTER'!E:H,4,0),"")</f>
        <v/>
      </c>
      <c r="M218" s="26">
        <f>IFERROR(VLOOKUP($I218,'ITEM MASTER'!B:E,4,0),"")</f>
        <v/>
      </c>
      <c r="N218" s="26">
        <f>IFERROR(VLOOKUP($I218,'ITEM MASTER'!B:F,5,0),0)</f>
        <v/>
      </c>
      <c r="O218" s="26">
        <f>IFERROR(VLOOKUP($M218,'TBGS PER CTN'!B:C,2,0),0)</f>
        <v/>
      </c>
      <c r="P218" s="26" t="n">
        <v>261</v>
      </c>
      <c r="Q218" s="26" t="n">
        <v>0</v>
      </c>
      <c r="R218" s="26" t="n">
        <v>0</v>
      </c>
      <c r="S218" s="26">
        <f>Q218+R218</f>
        <v/>
      </c>
      <c r="T218" s="29" t="n">
        <v>261</v>
      </c>
      <c r="U218" s="29">
        <f>N218*O218*T218</f>
        <v/>
      </c>
      <c r="V218" s="82">
        <f>IF(ISNUMBER($D218),$D218-WEEKDAY($D218,3),'ORDER VS WEEK DISTRIBUTION'!$G$500)</f>
        <v/>
      </c>
      <c r="W218" s="82">
        <f>MAX($V218,'ORDER VS WEEK DISTRIBUTION'!$G$500)</f>
        <v/>
      </c>
      <c r="X218" s="26">
        <f>IFERROR(VLOOKUP($J218,'ORDER VS WEEK DISTRIBUTION'!$T:$U,2,0),"")</f>
        <v/>
      </c>
      <c r="Y218" s="26">
        <f>IFERROR($T218/IF(IFERROR(VLOOKUP($I218,'ITEM CFC PER CONTAINER'!$A:$B,2,0),0)&gt;0,VLOOKUP($I218,'ITEM CFC PER CONTAINER'!$A:$B,2,0),VLOOKUP($X218,'MC MASTER'!$A:$Q,16,0)),"")</f>
        <v/>
      </c>
    </row>
    <row r="219" ht="15" customHeight="1" s="5">
      <c r="A219" s="26" t="inlineStr">
        <is>
          <t>Bamappro Somaudex Logistics</t>
        </is>
      </c>
      <c r="B219" s="26" t="inlineStr">
        <is>
          <t>MJIL/SO/26053348</t>
        </is>
      </c>
      <c r="C219" s="26" t="inlineStr">
        <is>
          <t>MJ-094/26-27</t>
        </is>
      </c>
      <c r="D219" s="82" t="n">
        <v>46310</v>
      </c>
      <c r="E219" s="83">
        <f>IF(ISNUMBER($D219),EOMONTH($D219,-1)+1,"")</f>
        <v/>
      </c>
      <c r="F219" s="82" t="n">
        <v>46310</v>
      </c>
      <c r="G219" s="26" t="n">
        <v>36522</v>
      </c>
      <c r="H219" s="26">
        <f>B219&amp;I219</f>
        <v/>
      </c>
      <c r="I219" s="26" t="inlineStr">
        <is>
          <t>GV GARDEN STRAWBERRY 24/25 DC SF ENV TBGS (v2)</t>
        </is>
      </c>
      <c r="J219" s="26" t="inlineStr">
        <is>
          <t>C250 AF</t>
        </is>
      </c>
      <c r="K219" s="26">
        <f>J219&amp;"-"&amp;TEXT(W219,"dd-mmm-yy")</f>
        <v/>
      </c>
      <c r="L219" s="26">
        <f>IFERROR(VLOOKUP($M219,'ITEM MASTER'!E:H,4,0),"")</f>
        <v/>
      </c>
      <c r="M219" s="26">
        <f>IFERROR(VLOOKUP($I219,'ITEM MASTER'!B:E,4,0),"")</f>
        <v/>
      </c>
      <c r="N219" s="26">
        <f>IFERROR(VLOOKUP($I219,'ITEM MASTER'!B:F,5,0),0)</f>
        <v/>
      </c>
      <c r="O219" s="26">
        <f>IFERROR(VLOOKUP($M219,'TBGS PER CTN'!B:C,2,0),0)</f>
        <v/>
      </c>
      <c r="P219" s="26" t="n">
        <v>132</v>
      </c>
      <c r="Q219" s="26" t="n">
        <v>0</v>
      </c>
      <c r="R219" s="26" t="n">
        <v>0</v>
      </c>
      <c r="S219" s="26">
        <f>Q219+R219</f>
        <v/>
      </c>
      <c r="T219" s="29" t="n">
        <v>132</v>
      </c>
      <c r="U219" s="29">
        <f>N219*O219*T219</f>
        <v/>
      </c>
      <c r="V219" s="82">
        <f>IF(ISNUMBER($D219),$D219-WEEKDAY($D219,3),'ORDER VS WEEK DISTRIBUTION'!$G$500)</f>
        <v/>
      </c>
      <c r="W219" s="82">
        <f>MAX($V219,'ORDER VS WEEK DISTRIBUTION'!$G$500)</f>
        <v/>
      </c>
      <c r="X219" s="26">
        <f>IFERROR(VLOOKUP($J219,'ORDER VS WEEK DISTRIBUTION'!$T:$U,2,0),"")</f>
        <v/>
      </c>
      <c r="Y219" s="26">
        <f>IFERROR($T219/IF(IFERROR(VLOOKUP($I219,'ITEM CFC PER CONTAINER'!$A:$B,2,0),0)&gt;0,VLOOKUP($I219,'ITEM CFC PER CONTAINER'!$A:$B,2,0),VLOOKUP($X219,'MC MASTER'!$A:$Q,16,0)),"")</f>
        <v/>
      </c>
    </row>
    <row r="220" ht="15" customHeight="1" s="5">
      <c r="A220" s="26" t="inlineStr">
        <is>
          <t>Bamappro Somaudex Logistics</t>
        </is>
      </c>
      <c r="B220" s="26" t="inlineStr">
        <is>
          <t>MJIL/SO/26053348</t>
        </is>
      </c>
      <c r="C220" s="26" t="inlineStr">
        <is>
          <t>MJ-094/26-27</t>
        </is>
      </c>
      <c r="D220" s="82" t="n">
        <v>46310</v>
      </c>
      <c r="E220" s="83">
        <f>IF(ISNUMBER($D220),EOMONTH($D220,-1)+1,"")</f>
        <v/>
      </c>
      <c r="F220" s="82" t="n">
        <v>46310</v>
      </c>
      <c r="G220" s="26" t="n">
        <v>36525</v>
      </c>
      <c r="H220" s="26">
        <f>B220&amp;I220</f>
        <v/>
      </c>
      <c r="I220" s="26" t="inlineStr">
        <is>
          <t>GV ORANGE 24/25 DC SF ENV TBGS (v2)</t>
        </is>
      </c>
      <c r="J220" s="26" t="inlineStr">
        <is>
          <t>C250 AF</t>
        </is>
      </c>
      <c r="K220" s="26">
        <f>J220&amp;"-"&amp;TEXT(W220,"dd-mmm-yy")</f>
        <v/>
      </c>
      <c r="L220" s="26">
        <f>IFERROR(VLOOKUP($M220,'ITEM MASTER'!E:H,4,0),"")</f>
        <v/>
      </c>
      <c r="M220" s="26">
        <f>IFERROR(VLOOKUP($I220,'ITEM MASTER'!B:E,4,0),"")</f>
        <v/>
      </c>
      <c r="N220" s="26">
        <f>IFERROR(VLOOKUP($I220,'ITEM MASTER'!B:F,5,0),0)</f>
        <v/>
      </c>
      <c r="O220" s="26">
        <f>IFERROR(VLOOKUP($M220,'TBGS PER CTN'!B:C,2,0),0)</f>
        <v/>
      </c>
      <c r="P220" s="26" t="n">
        <v>132</v>
      </c>
      <c r="Q220" s="26" t="n">
        <v>0</v>
      </c>
      <c r="R220" s="26" t="n">
        <v>0</v>
      </c>
      <c r="S220" s="26">
        <f>Q220+R220</f>
        <v/>
      </c>
      <c r="T220" s="29" t="n">
        <v>132</v>
      </c>
      <c r="U220" s="29">
        <f>N220*O220*T220</f>
        <v/>
      </c>
      <c r="V220" s="82">
        <f>IF(ISNUMBER($D220),$D220-WEEKDAY($D220,3),'ORDER VS WEEK DISTRIBUTION'!$G$500)</f>
        <v/>
      </c>
      <c r="W220" s="82">
        <f>MAX($V220,'ORDER VS WEEK DISTRIBUTION'!$G$500)</f>
        <v/>
      </c>
      <c r="X220" s="26">
        <f>IFERROR(VLOOKUP($J220,'ORDER VS WEEK DISTRIBUTION'!$T:$U,2,0),"")</f>
        <v/>
      </c>
      <c r="Y220" s="26">
        <f>IFERROR($T220/IF(IFERROR(VLOOKUP($I220,'ITEM CFC PER CONTAINER'!$A:$B,2,0),0)&gt;0,VLOOKUP($I220,'ITEM CFC PER CONTAINER'!$A:$B,2,0),VLOOKUP($X220,'MC MASTER'!$A:$Q,16,0)),"")</f>
        <v/>
      </c>
    </row>
    <row r="221" ht="15" customHeight="1" s="5">
      <c r="A221" s="26" t="inlineStr">
        <is>
          <t>Bamappro Somaudex Logistics</t>
        </is>
      </c>
      <c r="B221" s="26" t="inlineStr">
        <is>
          <t>MJIL/SO/26053348</t>
        </is>
      </c>
      <c r="C221" s="26" t="inlineStr">
        <is>
          <t>MJ-094/26-27</t>
        </is>
      </c>
      <c r="D221" s="82" t="n">
        <v>46310</v>
      </c>
      <c r="E221" s="83">
        <f>IF(ISNUMBER($D221),EOMONTH($D221,-1)+1,"")</f>
        <v/>
      </c>
      <c r="F221" s="82" t="n">
        <v>46310</v>
      </c>
      <c r="G221" s="26" t="n">
        <v>36533</v>
      </c>
      <c r="H221" s="26">
        <f>B221&amp;I221</f>
        <v/>
      </c>
      <c r="I221" s="26" t="inlineStr">
        <is>
          <t>GV GREEN TEA MORINGA 24/25 DC SF ENV TBGS</t>
        </is>
      </c>
      <c r="J221" s="26" t="inlineStr">
        <is>
          <t>C250 AF</t>
        </is>
      </c>
      <c r="K221" s="26">
        <f>J221&amp;"-"&amp;TEXT(W221,"dd-mmm-yy")</f>
        <v/>
      </c>
      <c r="L221" s="26">
        <f>IFERROR(VLOOKUP($M221,'ITEM MASTER'!E:H,4,0),"")</f>
        <v/>
      </c>
      <c r="M221" s="26">
        <f>IFERROR(VLOOKUP($I221,'ITEM MASTER'!B:E,4,0),"")</f>
        <v/>
      </c>
      <c r="N221" s="26">
        <f>IFERROR(VLOOKUP($I221,'ITEM MASTER'!B:F,5,0),0)</f>
        <v/>
      </c>
      <c r="O221" s="26">
        <f>IFERROR(VLOOKUP($M221,'TBGS PER CTN'!B:C,2,0),0)</f>
        <v/>
      </c>
      <c r="P221" s="26" t="n">
        <v>261</v>
      </c>
      <c r="Q221" s="26" t="n">
        <v>0</v>
      </c>
      <c r="R221" s="26" t="n">
        <v>0</v>
      </c>
      <c r="S221" s="26">
        <f>Q221+R221</f>
        <v/>
      </c>
      <c r="T221" s="29" t="n">
        <v>261</v>
      </c>
      <c r="U221" s="29">
        <f>N221*O221*T221</f>
        <v/>
      </c>
      <c r="V221" s="82">
        <f>IF(ISNUMBER($D221),$D221-WEEKDAY($D221,3),'ORDER VS WEEK DISTRIBUTION'!$G$500)</f>
        <v/>
      </c>
      <c r="W221" s="82">
        <f>MAX($V221,'ORDER VS WEEK DISTRIBUTION'!$G$500)</f>
        <v/>
      </c>
      <c r="X221" s="26">
        <f>IFERROR(VLOOKUP($J221,'ORDER VS WEEK DISTRIBUTION'!$T:$U,2,0),"")</f>
        <v/>
      </c>
      <c r="Y221" s="26">
        <f>IFERROR($T221/IF(IFERROR(VLOOKUP($I221,'ITEM CFC PER CONTAINER'!$A:$B,2,0),0)&gt;0,VLOOKUP($I221,'ITEM CFC PER CONTAINER'!$A:$B,2,0),VLOOKUP($X221,'MC MASTER'!$A:$Q,16,0)),"")</f>
        <v/>
      </c>
    </row>
    <row r="222" ht="15" customHeight="1" s="5">
      <c r="A222" s="26" t="inlineStr">
        <is>
          <t>Bamappro Somaudex Logistics</t>
        </is>
      </c>
      <c r="B222" s="26" t="inlineStr">
        <is>
          <t>MJIL/SO/26053348</t>
        </is>
      </c>
      <c r="C222" s="26" t="inlineStr">
        <is>
          <t>MJ-094/26-27</t>
        </is>
      </c>
      <c r="D222" s="82" t="n">
        <v>46310</v>
      </c>
      <c r="E222" s="83">
        <f>IF(ISNUMBER($D222),EOMONTH($D222,-1)+1,"")</f>
        <v/>
      </c>
      <c r="F222" s="82" t="n">
        <v>46310</v>
      </c>
      <c r="G222" s="26" t="n">
        <v>36528</v>
      </c>
      <c r="H222" s="26">
        <f>B222&amp;I222</f>
        <v/>
      </c>
      <c r="I222" s="26" t="inlineStr">
        <is>
          <t>GV PINEAPPLE 24/25 DC SF ENV TBGS</t>
        </is>
      </c>
      <c r="J222" s="26" t="inlineStr">
        <is>
          <t>C250 AF</t>
        </is>
      </c>
      <c r="K222" s="26">
        <f>J222&amp;"-"&amp;TEXT(W222,"dd-mmm-yy")</f>
        <v/>
      </c>
      <c r="L222" s="26">
        <f>IFERROR(VLOOKUP($M222,'ITEM MASTER'!E:H,4,0),"")</f>
        <v/>
      </c>
      <c r="M222" s="26">
        <f>IFERROR(VLOOKUP($I222,'ITEM MASTER'!B:E,4,0),"")</f>
        <v/>
      </c>
      <c r="N222" s="26">
        <f>IFERROR(VLOOKUP($I222,'ITEM MASTER'!B:F,5,0),0)</f>
        <v/>
      </c>
      <c r="O222" s="26">
        <f>IFERROR(VLOOKUP($M222,'TBGS PER CTN'!B:C,2,0),0)</f>
        <v/>
      </c>
      <c r="P222" s="26" t="n">
        <v>212</v>
      </c>
      <c r="Q222" s="26" t="n">
        <v>0</v>
      </c>
      <c r="R222" s="26" t="n">
        <v>0</v>
      </c>
      <c r="S222" s="26">
        <f>Q222+R222</f>
        <v/>
      </c>
      <c r="T222" s="29" t="n">
        <v>212</v>
      </c>
      <c r="U222" s="29">
        <f>N222*O222*T222</f>
        <v/>
      </c>
      <c r="V222" s="82">
        <f>IF(ISNUMBER($D222),$D222-WEEKDAY($D222,3),'ORDER VS WEEK DISTRIBUTION'!$G$500)</f>
        <v/>
      </c>
      <c r="W222" s="82">
        <f>MAX($V222,'ORDER VS WEEK DISTRIBUTION'!$G$500)</f>
        <v/>
      </c>
      <c r="X222" s="26">
        <f>IFERROR(VLOOKUP($J222,'ORDER VS WEEK DISTRIBUTION'!$T:$U,2,0),"")</f>
        <v/>
      </c>
      <c r="Y222" s="26">
        <f>IFERROR($T222/IF(IFERROR(VLOOKUP($I222,'ITEM CFC PER CONTAINER'!$A:$B,2,0),0)&gt;0,VLOOKUP($I222,'ITEM CFC PER CONTAINER'!$A:$B,2,0),VLOOKUP($X222,'MC MASTER'!$A:$Q,16,0)),"")</f>
        <v/>
      </c>
    </row>
    <row r="223" ht="15" customHeight="1" s="5">
      <c r="A223" s="26" t="inlineStr">
        <is>
          <t>Bamappro Somaudex Logistics</t>
        </is>
      </c>
      <c r="B223" s="26" t="inlineStr">
        <is>
          <t>MJIL/SO/26053348</t>
        </is>
      </c>
      <c r="C223" s="26" t="inlineStr">
        <is>
          <t>MJ-094/26-27</t>
        </is>
      </c>
      <c r="D223" s="82" t="n">
        <v>46310</v>
      </c>
      <c r="E223" s="83">
        <f>IF(ISNUMBER($D223),EOMONTH($D223,-1)+1,"")</f>
        <v/>
      </c>
      <c r="F223" s="82" t="n">
        <v>46310</v>
      </c>
      <c r="G223" s="26" t="n">
        <v>36529</v>
      </c>
      <c r="H223" s="26">
        <f>B223&amp;I223</f>
        <v/>
      </c>
      <c r="I223" s="26" t="inlineStr">
        <is>
          <t>GV CLOVE 24/25 DC SF ENV TBGS</t>
        </is>
      </c>
      <c r="J223" s="30" t="inlineStr">
        <is>
          <t>CONSTANTA ENV</t>
        </is>
      </c>
      <c r="K223" s="26">
        <f>J223&amp;"-"&amp;TEXT(W223,"dd-mmm-yy")</f>
        <v/>
      </c>
      <c r="L223" s="26">
        <f>IFERROR(VLOOKUP($M223,'ITEM MASTER'!E:H,4,0),"")</f>
        <v/>
      </c>
      <c r="M223" s="26">
        <f>IFERROR(VLOOKUP($I223,'ITEM MASTER'!B:E,4,0),"")</f>
        <v/>
      </c>
      <c r="N223" s="26">
        <f>IFERROR(VLOOKUP($I223,'ITEM MASTER'!B:F,5,0),0)</f>
        <v/>
      </c>
      <c r="O223" s="26">
        <f>IFERROR(VLOOKUP($M223,'TBGS PER CTN'!B:C,2,0),0)</f>
        <v/>
      </c>
      <c r="P223" s="26" t="n">
        <v>133</v>
      </c>
      <c r="Q223" s="26" t="n">
        <v>0</v>
      </c>
      <c r="R223" s="26" t="n">
        <v>0</v>
      </c>
      <c r="S223" s="26">
        <f>Q223+R223</f>
        <v/>
      </c>
      <c r="T223" s="29" t="n">
        <v>133</v>
      </c>
      <c r="U223" s="29">
        <f>N223*O223*T223</f>
        <v/>
      </c>
      <c r="V223" s="82">
        <f>IF(ISNUMBER($D223),$D223-WEEKDAY($D223,3),'ORDER VS WEEK DISTRIBUTION'!$G$500)</f>
        <v/>
      </c>
      <c r="W223" s="82">
        <f>MAX($V223,'ORDER VS WEEK DISTRIBUTION'!$G$500)</f>
        <v/>
      </c>
      <c r="X223" s="26">
        <f>IFERROR(VLOOKUP($J223,'ORDER VS WEEK DISTRIBUTION'!$T:$U,2,0),"")</f>
        <v/>
      </c>
      <c r="Y223" s="26">
        <f>IFERROR($T223/IF(IFERROR(VLOOKUP($I223,'ITEM CFC PER CONTAINER'!$A:$B,2,0),0)&gt;0,VLOOKUP($I223,'ITEM CFC PER CONTAINER'!$A:$B,2,0),VLOOKUP($X223,'MC MASTER'!$A:$Q,16,0)),"")</f>
        <v/>
      </c>
    </row>
    <row r="224" ht="15" customHeight="1" s="5">
      <c r="A224" s="26" t="inlineStr">
        <is>
          <t>Bamappro Somaudex Logistics</t>
        </is>
      </c>
      <c r="B224" s="26" t="inlineStr">
        <is>
          <t>MJIL/SO/26053348</t>
        </is>
      </c>
      <c r="C224" s="26" t="inlineStr">
        <is>
          <t>MJ-094/26-27</t>
        </is>
      </c>
      <c r="D224" s="82" t="n">
        <v>46310</v>
      </c>
      <c r="E224" s="83">
        <f>IF(ISNUMBER($D224),EOMONTH($D224,-1)+1,"")</f>
        <v/>
      </c>
      <c r="F224" s="82" t="n">
        <v>46310</v>
      </c>
      <c r="G224" s="26" t="n">
        <v>36530</v>
      </c>
      <c r="H224" s="26">
        <f>B224&amp;I224</f>
        <v/>
      </c>
      <c r="I224" s="26" t="inlineStr">
        <is>
          <t>GV WATERMELON 24/25 DC SF ENV TBGS</t>
        </is>
      </c>
      <c r="J224" s="26" t="inlineStr">
        <is>
          <t>C250 AF</t>
        </is>
      </c>
      <c r="K224" s="26">
        <f>J224&amp;"-"&amp;TEXT(W224,"dd-mmm-yy")</f>
        <v/>
      </c>
      <c r="L224" s="26">
        <f>IFERROR(VLOOKUP($M224,'ITEM MASTER'!E:H,4,0),"")</f>
        <v/>
      </c>
      <c r="M224" s="26">
        <f>IFERROR(VLOOKUP($I224,'ITEM MASTER'!B:E,4,0),"")</f>
        <v/>
      </c>
      <c r="N224" s="26">
        <f>IFERROR(VLOOKUP($I224,'ITEM MASTER'!B:F,5,0),0)</f>
        <v/>
      </c>
      <c r="O224" s="26">
        <f>IFERROR(VLOOKUP($M224,'TBGS PER CTN'!B:C,2,0),0)</f>
        <v/>
      </c>
      <c r="P224" s="26" t="n">
        <v>261</v>
      </c>
      <c r="Q224" s="26" t="n">
        <v>0</v>
      </c>
      <c r="R224" s="26" t="n">
        <v>0</v>
      </c>
      <c r="S224" s="26">
        <f>Q224+R224</f>
        <v/>
      </c>
      <c r="T224" s="29" t="n">
        <v>261</v>
      </c>
      <c r="U224" s="29">
        <f>N224*O224*T224</f>
        <v/>
      </c>
      <c r="V224" s="82">
        <f>IF(ISNUMBER($D224),$D224-WEEKDAY($D224,3),'ORDER VS WEEK DISTRIBUTION'!$G$500)</f>
        <v/>
      </c>
      <c r="W224" s="82">
        <f>MAX($V224,'ORDER VS WEEK DISTRIBUTION'!$G$500)</f>
        <v/>
      </c>
      <c r="X224" s="26">
        <f>IFERROR(VLOOKUP($J224,'ORDER VS WEEK DISTRIBUTION'!$T:$U,2,0),"")</f>
        <v/>
      </c>
      <c r="Y224" s="26">
        <f>IFERROR($T224/IF(IFERROR(VLOOKUP($I224,'ITEM CFC PER CONTAINER'!$A:$B,2,0),0)&gt;0,VLOOKUP($I224,'ITEM CFC PER CONTAINER'!$A:$B,2,0),VLOOKUP($X224,'MC MASTER'!$A:$Q,16,0)),"")</f>
        <v/>
      </c>
    </row>
    <row r="225" ht="15" customHeight="1" s="5">
      <c r="A225" s="26" t="inlineStr">
        <is>
          <t>Bamappro Somaudex Logistics</t>
        </is>
      </c>
      <c r="B225" s="26" t="inlineStr">
        <is>
          <t>MJIL/SO/26053372</t>
        </is>
      </c>
      <c r="C225" s="26" t="inlineStr">
        <is>
          <t>MJ-095/26-27</t>
        </is>
      </c>
      <c r="D225" s="82" t="n">
        <v>46310</v>
      </c>
      <c r="E225" s="83">
        <f>IF(ISNUMBER($D225),EOMONTH($D225,-1)+1,"")</f>
        <v/>
      </c>
      <c r="F225" s="82" t="n">
        <v>46310</v>
      </c>
      <c r="G225" s="26" t="n">
        <v>36530</v>
      </c>
      <c r="H225" s="26">
        <f>B225&amp;I225</f>
        <v/>
      </c>
      <c r="I225" s="26" t="inlineStr">
        <is>
          <t>GV WATERMELON 24/25 DC SF ENV TBGS</t>
        </is>
      </c>
      <c r="J225" s="26" t="inlineStr">
        <is>
          <t>C250 AF</t>
        </is>
      </c>
      <c r="K225" s="26">
        <f>J225&amp;"-"&amp;TEXT(W225,"dd-mmm-yy")</f>
        <v/>
      </c>
      <c r="L225" s="26">
        <f>IFERROR(VLOOKUP($M225,'ITEM MASTER'!E:H,4,0),"")</f>
        <v/>
      </c>
      <c r="M225" s="26">
        <f>IFERROR(VLOOKUP($I225,'ITEM MASTER'!B:E,4,0),"")</f>
        <v/>
      </c>
      <c r="N225" s="26">
        <f>IFERROR(VLOOKUP($I225,'ITEM MASTER'!B:F,5,0),0)</f>
        <v/>
      </c>
      <c r="O225" s="26">
        <f>IFERROR(VLOOKUP($M225,'TBGS PER CTN'!B:C,2,0),0)</f>
        <v/>
      </c>
      <c r="P225" s="26" t="n">
        <v>261</v>
      </c>
      <c r="Q225" s="26" t="n">
        <v>0</v>
      </c>
      <c r="R225" s="26" t="n">
        <v>0</v>
      </c>
      <c r="S225" s="26">
        <f>Q225+R225</f>
        <v/>
      </c>
      <c r="T225" s="29" t="n">
        <v>261</v>
      </c>
      <c r="U225" s="29">
        <f>N225*O225*T225</f>
        <v/>
      </c>
      <c r="V225" s="82">
        <f>IF(ISNUMBER($D225),$D225-WEEKDAY($D225,3),'ORDER VS WEEK DISTRIBUTION'!$G$500)</f>
        <v/>
      </c>
      <c r="W225" s="82">
        <f>MAX($V225,'ORDER VS WEEK DISTRIBUTION'!$G$500)</f>
        <v/>
      </c>
      <c r="X225" s="26">
        <f>IFERROR(VLOOKUP($J225,'ORDER VS WEEK DISTRIBUTION'!$T:$U,2,0),"")</f>
        <v/>
      </c>
      <c r="Y225" s="26">
        <f>IFERROR($T225/IF(IFERROR(VLOOKUP($I225,'ITEM CFC PER CONTAINER'!$A:$B,2,0),0)&gt;0,VLOOKUP($I225,'ITEM CFC PER CONTAINER'!$A:$B,2,0),VLOOKUP($X225,'MC MASTER'!$A:$Q,16,0)),"")</f>
        <v/>
      </c>
    </row>
    <row r="226" ht="15" customHeight="1" s="5">
      <c r="A226" s="26" t="inlineStr">
        <is>
          <t>Bamappro Somaudex Logistics</t>
        </is>
      </c>
      <c r="B226" s="26" t="inlineStr">
        <is>
          <t>MJIL/SO/26053372</t>
        </is>
      </c>
      <c r="C226" s="26" t="inlineStr">
        <is>
          <t>MJ-095/26-27</t>
        </is>
      </c>
      <c r="D226" s="82" t="n">
        <v>46310</v>
      </c>
      <c r="E226" s="83">
        <f>IF(ISNUMBER($D226),EOMONTH($D226,-1)+1,"")</f>
        <v/>
      </c>
      <c r="F226" s="82" t="n">
        <v>46310</v>
      </c>
      <c r="G226" s="26" t="n">
        <v>36529</v>
      </c>
      <c r="H226" s="26">
        <f>B226&amp;I226</f>
        <v/>
      </c>
      <c r="I226" s="26" t="inlineStr">
        <is>
          <t>GV CLOVE 24/25 DC SF ENV TBGS</t>
        </is>
      </c>
      <c r="J226" s="30" t="inlineStr">
        <is>
          <t>CONSTANTA ENV</t>
        </is>
      </c>
      <c r="K226" s="26">
        <f>J226&amp;"-"&amp;TEXT(W226,"dd-mmm-yy")</f>
        <v/>
      </c>
      <c r="L226" s="26">
        <f>IFERROR(VLOOKUP($M226,'ITEM MASTER'!E:H,4,0),"")</f>
        <v/>
      </c>
      <c r="M226" s="26">
        <f>IFERROR(VLOOKUP($I226,'ITEM MASTER'!B:E,4,0),"")</f>
        <v/>
      </c>
      <c r="N226" s="26">
        <f>IFERROR(VLOOKUP($I226,'ITEM MASTER'!B:F,5,0),0)</f>
        <v/>
      </c>
      <c r="O226" s="26">
        <f>IFERROR(VLOOKUP($M226,'TBGS PER CTN'!B:C,2,0),0)</f>
        <v/>
      </c>
      <c r="P226" s="26" t="n">
        <v>133</v>
      </c>
      <c r="Q226" s="26" t="n">
        <v>0</v>
      </c>
      <c r="R226" s="26" t="n">
        <v>0</v>
      </c>
      <c r="S226" s="26">
        <f>Q226+R226</f>
        <v/>
      </c>
      <c r="T226" s="29" t="n">
        <v>133</v>
      </c>
      <c r="U226" s="29">
        <f>N226*O226*T226</f>
        <v/>
      </c>
      <c r="V226" s="82">
        <f>IF(ISNUMBER($D226),$D226-WEEKDAY($D226,3),'ORDER VS WEEK DISTRIBUTION'!$G$500)</f>
        <v/>
      </c>
      <c r="W226" s="82">
        <f>MAX($V226,'ORDER VS WEEK DISTRIBUTION'!$G$500)</f>
        <v/>
      </c>
      <c r="X226" s="26">
        <f>IFERROR(VLOOKUP($J226,'ORDER VS WEEK DISTRIBUTION'!$T:$U,2,0),"")</f>
        <v/>
      </c>
      <c r="Y226" s="26">
        <f>IFERROR($T226/IF(IFERROR(VLOOKUP($I226,'ITEM CFC PER CONTAINER'!$A:$B,2,0),0)&gt;0,VLOOKUP($I226,'ITEM CFC PER CONTAINER'!$A:$B,2,0),VLOOKUP($X226,'MC MASTER'!$A:$Q,16,0)),"")</f>
        <v/>
      </c>
    </row>
    <row r="227" ht="15" customHeight="1" s="5">
      <c r="A227" s="26" t="inlineStr">
        <is>
          <t>Bamappro Somaudex Logistics</t>
        </is>
      </c>
      <c r="B227" s="26" t="inlineStr">
        <is>
          <t>MJIL/SO/26053372</t>
        </is>
      </c>
      <c r="C227" s="26" t="inlineStr">
        <is>
          <t>MJ-095/26-27</t>
        </is>
      </c>
      <c r="D227" s="82" t="n">
        <v>46310</v>
      </c>
      <c r="E227" s="83">
        <f>IF(ISNUMBER($D227),EOMONTH($D227,-1)+1,"")</f>
        <v/>
      </c>
      <c r="F227" s="82" t="n">
        <v>46310</v>
      </c>
      <c r="G227" s="26" t="n">
        <v>36528</v>
      </c>
      <c r="H227" s="26">
        <f>B227&amp;I227</f>
        <v/>
      </c>
      <c r="I227" s="26" t="inlineStr">
        <is>
          <t>GV PINEAPPLE 24/25 DC SF ENV TBGS</t>
        </is>
      </c>
      <c r="J227" s="26" t="inlineStr">
        <is>
          <t>C250 AF</t>
        </is>
      </c>
      <c r="K227" s="26">
        <f>J227&amp;"-"&amp;TEXT(W227,"dd-mmm-yy")</f>
        <v/>
      </c>
      <c r="L227" s="26">
        <f>IFERROR(VLOOKUP($M227,'ITEM MASTER'!E:H,4,0),"")</f>
        <v/>
      </c>
      <c r="M227" s="26">
        <f>IFERROR(VLOOKUP($I227,'ITEM MASTER'!B:E,4,0),"")</f>
        <v/>
      </c>
      <c r="N227" s="26">
        <f>IFERROR(VLOOKUP($I227,'ITEM MASTER'!B:F,5,0),0)</f>
        <v/>
      </c>
      <c r="O227" s="26">
        <f>IFERROR(VLOOKUP($M227,'TBGS PER CTN'!B:C,2,0),0)</f>
        <v/>
      </c>
      <c r="P227" s="26" t="n">
        <v>212</v>
      </c>
      <c r="Q227" s="26" t="n">
        <v>0</v>
      </c>
      <c r="R227" s="26" t="n">
        <v>0</v>
      </c>
      <c r="S227" s="26">
        <f>Q227+R227</f>
        <v/>
      </c>
      <c r="T227" s="29" t="n">
        <v>212</v>
      </c>
      <c r="U227" s="29">
        <f>N227*O227*T227</f>
        <v/>
      </c>
      <c r="V227" s="82">
        <f>IF(ISNUMBER($D227),$D227-WEEKDAY($D227,3),'ORDER VS WEEK DISTRIBUTION'!$G$500)</f>
        <v/>
      </c>
      <c r="W227" s="82">
        <f>MAX($V227,'ORDER VS WEEK DISTRIBUTION'!$G$500)</f>
        <v/>
      </c>
      <c r="X227" s="26">
        <f>IFERROR(VLOOKUP($J227,'ORDER VS WEEK DISTRIBUTION'!$T:$U,2,0),"")</f>
        <v/>
      </c>
      <c r="Y227" s="26">
        <f>IFERROR($T227/IF(IFERROR(VLOOKUP($I227,'ITEM CFC PER CONTAINER'!$A:$B,2,0),0)&gt;0,VLOOKUP($I227,'ITEM CFC PER CONTAINER'!$A:$B,2,0),VLOOKUP($X227,'MC MASTER'!$A:$Q,16,0)),"")</f>
        <v/>
      </c>
    </row>
    <row r="228" ht="15" customHeight="1" s="5">
      <c r="A228" s="26" t="inlineStr">
        <is>
          <t>Bamappro Somaudex Logistics</t>
        </is>
      </c>
      <c r="B228" s="26" t="inlineStr">
        <is>
          <t>MJIL/SO/26053372</t>
        </is>
      </c>
      <c r="C228" s="26" t="inlineStr">
        <is>
          <t>MJ-095/26-27</t>
        </is>
      </c>
      <c r="D228" s="82" t="n">
        <v>46310</v>
      </c>
      <c r="E228" s="83">
        <f>IF(ISNUMBER($D228),EOMONTH($D228,-1)+1,"")</f>
        <v/>
      </c>
      <c r="F228" s="82" t="n">
        <v>46310</v>
      </c>
      <c r="G228" s="26" t="n">
        <v>36533</v>
      </c>
      <c r="H228" s="26">
        <f>B228&amp;I228</f>
        <v/>
      </c>
      <c r="I228" s="26" t="inlineStr">
        <is>
          <t>GV GREEN TEA MORINGA 24/25 DC SF ENV TBGS</t>
        </is>
      </c>
      <c r="J228" s="26" t="inlineStr">
        <is>
          <t>C250 AF</t>
        </is>
      </c>
      <c r="K228" s="26">
        <f>J228&amp;"-"&amp;TEXT(W228,"dd-mmm-yy")</f>
        <v/>
      </c>
      <c r="L228" s="26">
        <f>IFERROR(VLOOKUP($M228,'ITEM MASTER'!E:H,4,0),"")</f>
        <v/>
      </c>
      <c r="M228" s="26">
        <f>IFERROR(VLOOKUP($I228,'ITEM MASTER'!B:E,4,0),"")</f>
        <v/>
      </c>
      <c r="N228" s="26">
        <f>IFERROR(VLOOKUP($I228,'ITEM MASTER'!B:F,5,0),0)</f>
        <v/>
      </c>
      <c r="O228" s="26">
        <f>IFERROR(VLOOKUP($M228,'TBGS PER CTN'!B:C,2,0),0)</f>
        <v/>
      </c>
      <c r="P228" s="26" t="n">
        <v>261</v>
      </c>
      <c r="Q228" s="26" t="n">
        <v>0</v>
      </c>
      <c r="R228" s="26" t="n">
        <v>0</v>
      </c>
      <c r="S228" s="26">
        <f>Q228+R228</f>
        <v/>
      </c>
      <c r="T228" s="29" t="n">
        <v>261</v>
      </c>
      <c r="U228" s="29">
        <f>N228*O228*T228</f>
        <v/>
      </c>
      <c r="V228" s="82">
        <f>IF(ISNUMBER($D228),$D228-WEEKDAY($D228,3),'ORDER VS WEEK DISTRIBUTION'!$G$500)</f>
        <v/>
      </c>
      <c r="W228" s="82">
        <f>MAX($V228,'ORDER VS WEEK DISTRIBUTION'!$G$500)</f>
        <v/>
      </c>
      <c r="X228" s="26">
        <f>IFERROR(VLOOKUP($J228,'ORDER VS WEEK DISTRIBUTION'!$T:$U,2,0),"")</f>
        <v/>
      </c>
      <c r="Y228" s="26">
        <f>IFERROR($T228/IF(IFERROR(VLOOKUP($I228,'ITEM CFC PER CONTAINER'!$A:$B,2,0),0)&gt;0,VLOOKUP($I228,'ITEM CFC PER CONTAINER'!$A:$B,2,0),VLOOKUP($X228,'MC MASTER'!$A:$Q,16,0)),"")</f>
        <v/>
      </c>
    </row>
    <row r="229" ht="15" customHeight="1" s="5">
      <c r="A229" s="26" t="inlineStr">
        <is>
          <t>Bamappro Somaudex Logistics</t>
        </is>
      </c>
      <c r="B229" s="26" t="inlineStr">
        <is>
          <t>MJIL/SO/26053372</t>
        </is>
      </c>
      <c r="C229" s="26" t="inlineStr">
        <is>
          <t>MJ-095/26-27</t>
        </is>
      </c>
      <c r="D229" s="82" t="n">
        <v>46310</v>
      </c>
      <c r="E229" s="83">
        <f>IF(ISNUMBER($D229),EOMONTH($D229,-1)+1,"")</f>
        <v/>
      </c>
      <c r="F229" s="82" t="n">
        <v>46310</v>
      </c>
      <c r="G229" s="26" t="n">
        <v>36525</v>
      </c>
      <c r="H229" s="26">
        <f>B229&amp;I229</f>
        <v/>
      </c>
      <c r="I229" s="26" t="inlineStr">
        <is>
          <t>GV ORANGE 24/25 DC SF ENV TBGS (v2)</t>
        </is>
      </c>
      <c r="J229" s="26" t="inlineStr">
        <is>
          <t>C250 AF</t>
        </is>
      </c>
      <c r="K229" s="26">
        <f>J229&amp;"-"&amp;TEXT(W229,"dd-mmm-yy")</f>
        <v/>
      </c>
      <c r="L229" s="26">
        <f>IFERROR(VLOOKUP($M229,'ITEM MASTER'!E:H,4,0),"")</f>
        <v/>
      </c>
      <c r="M229" s="26">
        <f>IFERROR(VLOOKUP($I229,'ITEM MASTER'!B:E,4,0),"")</f>
        <v/>
      </c>
      <c r="N229" s="26">
        <f>IFERROR(VLOOKUP($I229,'ITEM MASTER'!B:F,5,0),0)</f>
        <v/>
      </c>
      <c r="O229" s="26">
        <f>IFERROR(VLOOKUP($M229,'TBGS PER CTN'!B:C,2,0),0)</f>
        <v/>
      </c>
      <c r="P229" s="26" t="n">
        <v>132</v>
      </c>
      <c r="Q229" s="26" t="n">
        <v>0</v>
      </c>
      <c r="R229" s="26" t="n">
        <v>0</v>
      </c>
      <c r="S229" s="26">
        <f>Q229+R229</f>
        <v/>
      </c>
      <c r="T229" s="29" t="n">
        <v>132</v>
      </c>
      <c r="U229" s="29">
        <f>N229*O229*T229</f>
        <v/>
      </c>
      <c r="V229" s="82">
        <f>IF(ISNUMBER($D229),$D229-WEEKDAY($D229,3),'ORDER VS WEEK DISTRIBUTION'!$G$500)</f>
        <v/>
      </c>
      <c r="W229" s="82">
        <f>MAX($V229,'ORDER VS WEEK DISTRIBUTION'!$G$500)</f>
        <v/>
      </c>
      <c r="X229" s="26">
        <f>IFERROR(VLOOKUP($J229,'ORDER VS WEEK DISTRIBUTION'!$T:$U,2,0),"")</f>
        <v/>
      </c>
      <c r="Y229" s="26">
        <f>IFERROR($T229/IF(IFERROR(VLOOKUP($I229,'ITEM CFC PER CONTAINER'!$A:$B,2,0),0)&gt;0,VLOOKUP($I229,'ITEM CFC PER CONTAINER'!$A:$B,2,0),VLOOKUP($X229,'MC MASTER'!$A:$Q,16,0)),"")</f>
        <v/>
      </c>
    </row>
    <row r="230" ht="15" customHeight="1" s="5">
      <c r="A230" s="26" t="inlineStr">
        <is>
          <t>Bamappro Somaudex Logistics</t>
        </is>
      </c>
      <c r="B230" s="26" t="inlineStr">
        <is>
          <t>MJIL/SO/26053372</t>
        </is>
      </c>
      <c r="C230" s="26" t="inlineStr">
        <is>
          <t>MJ-095/26-27</t>
        </is>
      </c>
      <c r="D230" s="82" t="n">
        <v>46310</v>
      </c>
      <c r="E230" s="83">
        <f>IF(ISNUMBER($D230),EOMONTH($D230,-1)+1,"")</f>
        <v/>
      </c>
      <c r="F230" s="82" t="n">
        <v>46310</v>
      </c>
      <c r="G230" s="26" t="n">
        <v>36522</v>
      </c>
      <c r="H230" s="26">
        <f>B230&amp;I230</f>
        <v/>
      </c>
      <c r="I230" s="26" t="inlineStr">
        <is>
          <t>GV GARDEN STRAWBERRY 24/25 DC SF ENV TBGS (v2)</t>
        </is>
      </c>
      <c r="J230" s="26" t="inlineStr">
        <is>
          <t>C250 AF</t>
        </is>
      </c>
      <c r="K230" s="26">
        <f>J230&amp;"-"&amp;TEXT(W230,"dd-mmm-yy")</f>
        <v/>
      </c>
      <c r="L230" s="26">
        <f>IFERROR(VLOOKUP($M230,'ITEM MASTER'!E:H,4,0),"")</f>
        <v/>
      </c>
      <c r="M230" s="26">
        <f>IFERROR(VLOOKUP($I230,'ITEM MASTER'!B:E,4,0),"")</f>
        <v/>
      </c>
      <c r="N230" s="26">
        <f>IFERROR(VLOOKUP($I230,'ITEM MASTER'!B:F,5,0),0)</f>
        <v/>
      </c>
      <c r="O230" s="26">
        <f>IFERROR(VLOOKUP($M230,'TBGS PER CTN'!B:C,2,0),0)</f>
        <v/>
      </c>
      <c r="P230" s="26" t="n">
        <v>132</v>
      </c>
      <c r="Q230" s="26" t="n">
        <v>0</v>
      </c>
      <c r="R230" s="26" t="n">
        <v>0</v>
      </c>
      <c r="S230" s="26">
        <f>Q230+R230</f>
        <v/>
      </c>
      <c r="T230" s="29" t="n">
        <v>132</v>
      </c>
      <c r="U230" s="29">
        <f>N230*O230*T230</f>
        <v/>
      </c>
      <c r="V230" s="82">
        <f>IF(ISNUMBER($D230),$D230-WEEKDAY($D230,3),'ORDER VS WEEK DISTRIBUTION'!$G$500)</f>
        <v/>
      </c>
      <c r="W230" s="82">
        <f>MAX($V230,'ORDER VS WEEK DISTRIBUTION'!$G$500)</f>
        <v/>
      </c>
      <c r="X230" s="26">
        <f>IFERROR(VLOOKUP($J230,'ORDER VS WEEK DISTRIBUTION'!$T:$U,2,0),"")</f>
        <v/>
      </c>
      <c r="Y230" s="26">
        <f>IFERROR($T230/IF(IFERROR(VLOOKUP($I230,'ITEM CFC PER CONTAINER'!$A:$B,2,0),0)&gt;0,VLOOKUP($I230,'ITEM CFC PER CONTAINER'!$A:$B,2,0),VLOOKUP($X230,'MC MASTER'!$A:$Q,16,0)),"")</f>
        <v/>
      </c>
    </row>
    <row r="231" ht="15" customHeight="1" s="5">
      <c r="A231" s="26" t="inlineStr">
        <is>
          <t>Bamappro Somaudex Logistics</t>
        </is>
      </c>
      <c r="B231" s="26" t="inlineStr">
        <is>
          <t>MJIL/SO/26053372</t>
        </is>
      </c>
      <c r="C231" s="26" t="inlineStr">
        <is>
          <t>MJ-095/26-27</t>
        </is>
      </c>
      <c r="D231" s="82" t="n">
        <v>46310</v>
      </c>
      <c r="E231" s="83">
        <f>IF(ISNUMBER($D231),EOMONTH($D231,-1)+1,"")</f>
        <v/>
      </c>
      <c r="F231" s="82" t="n">
        <v>46310</v>
      </c>
      <c r="G231" s="26" t="n">
        <v>36523</v>
      </c>
      <c r="H231" s="26">
        <f>B231&amp;I231</f>
        <v/>
      </c>
      <c r="I231" s="26" t="inlineStr">
        <is>
          <t>GV MINT 24/25 DC SF ENV TBGS (v2)</t>
        </is>
      </c>
      <c r="J231" s="26" t="inlineStr">
        <is>
          <t>C250 AF</t>
        </is>
      </c>
      <c r="K231" s="26">
        <f>J231&amp;"-"&amp;TEXT(W231,"dd-mmm-yy")</f>
        <v/>
      </c>
      <c r="L231" s="26">
        <f>IFERROR(VLOOKUP($M231,'ITEM MASTER'!E:H,4,0),"")</f>
        <v/>
      </c>
      <c r="M231" s="26">
        <f>IFERROR(VLOOKUP($I231,'ITEM MASTER'!B:E,4,0),"")</f>
        <v/>
      </c>
      <c r="N231" s="26">
        <f>IFERROR(VLOOKUP($I231,'ITEM MASTER'!B:F,5,0),0)</f>
        <v/>
      </c>
      <c r="O231" s="26">
        <f>IFERROR(VLOOKUP($M231,'TBGS PER CTN'!B:C,2,0),0)</f>
        <v/>
      </c>
      <c r="P231" s="26" t="n">
        <v>261</v>
      </c>
      <c r="Q231" s="26" t="n">
        <v>0</v>
      </c>
      <c r="R231" s="26" t="n">
        <v>0</v>
      </c>
      <c r="S231" s="26">
        <f>Q231+R231</f>
        <v/>
      </c>
      <c r="T231" s="29" t="n">
        <v>261</v>
      </c>
      <c r="U231" s="29">
        <f>N231*O231*T231</f>
        <v/>
      </c>
      <c r="V231" s="82">
        <f>IF(ISNUMBER($D231),$D231-WEEKDAY($D231,3),'ORDER VS WEEK DISTRIBUTION'!$G$500)</f>
        <v/>
      </c>
      <c r="W231" s="82">
        <f>MAX($V231,'ORDER VS WEEK DISTRIBUTION'!$G$500)</f>
        <v/>
      </c>
      <c r="X231" s="26">
        <f>IFERROR(VLOOKUP($J231,'ORDER VS WEEK DISTRIBUTION'!$T:$U,2,0),"")</f>
        <v/>
      </c>
      <c r="Y231" s="26">
        <f>IFERROR($T231/IF(IFERROR(VLOOKUP($I231,'ITEM CFC PER CONTAINER'!$A:$B,2,0),0)&gt;0,VLOOKUP($I231,'ITEM CFC PER CONTAINER'!$A:$B,2,0),VLOOKUP($X231,'MC MASTER'!$A:$Q,16,0)),"")</f>
        <v/>
      </c>
    </row>
    <row r="232" ht="15" customHeight="1" s="5">
      <c r="A232" s="26" t="inlineStr">
        <is>
          <t>Bamappro Somaudex Logistics</t>
        </is>
      </c>
      <c r="B232" s="26" t="inlineStr">
        <is>
          <t>MJIL/SO/26053372</t>
        </is>
      </c>
      <c r="C232" s="26" t="inlineStr">
        <is>
          <t>MJ-095/26-27</t>
        </is>
      </c>
      <c r="D232" s="82" t="n">
        <v>46310</v>
      </c>
      <c r="E232" s="83">
        <f>IF(ISNUMBER($D232),EOMONTH($D232,-1)+1,"")</f>
        <v/>
      </c>
      <c r="F232" s="82" t="n">
        <v>46310</v>
      </c>
      <c r="G232" s="26" t="n">
        <v>36526</v>
      </c>
      <c r="H232" s="26">
        <f>B232&amp;I232</f>
        <v/>
      </c>
      <c r="I232" s="26" t="inlineStr">
        <is>
          <t>GV SPICY GINGER 24/25 DC SF ENV TBGS (v2)</t>
        </is>
      </c>
      <c r="J232" s="26" t="inlineStr">
        <is>
          <t>C250 AF</t>
        </is>
      </c>
      <c r="K232" s="26">
        <f>J232&amp;"-"&amp;TEXT(W232,"dd-mmm-yy")</f>
        <v/>
      </c>
      <c r="L232" s="26">
        <f>IFERROR(VLOOKUP($M232,'ITEM MASTER'!E:H,4,0),"")</f>
        <v/>
      </c>
      <c r="M232" s="26">
        <f>IFERROR(VLOOKUP($I232,'ITEM MASTER'!B:E,4,0),"")</f>
        <v/>
      </c>
      <c r="N232" s="26">
        <f>IFERROR(VLOOKUP($I232,'ITEM MASTER'!B:F,5,0),0)</f>
        <v/>
      </c>
      <c r="O232" s="26">
        <f>IFERROR(VLOOKUP($M232,'TBGS PER CTN'!B:C,2,0),0)</f>
        <v/>
      </c>
      <c r="P232" s="26" t="n">
        <v>261</v>
      </c>
      <c r="Q232" s="26" t="n">
        <v>0</v>
      </c>
      <c r="R232" s="26" t="n">
        <v>0</v>
      </c>
      <c r="S232" s="26">
        <f>Q232+R232</f>
        <v/>
      </c>
      <c r="T232" s="29" t="n">
        <v>261</v>
      </c>
      <c r="U232" s="29">
        <f>N232*O232*T232</f>
        <v/>
      </c>
      <c r="V232" s="82">
        <f>IF(ISNUMBER($D232),$D232-WEEKDAY($D232,3),'ORDER VS WEEK DISTRIBUTION'!$G$500)</f>
        <v/>
      </c>
      <c r="W232" s="82">
        <f>MAX($V232,'ORDER VS WEEK DISTRIBUTION'!$G$500)</f>
        <v/>
      </c>
      <c r="X232" s="26">
        <f>IFERROR(VLOOKUP($J232,'ORDER VS WEEK DISTRIBUTION'!$T:$U,2,0),"")</f>
        <v/>
      </c>
      <c r="Y232" s="26">
        <f>IFERROR($T232/IF(IFERROR(VLOOKUP($I232,'ITEM CFC PER CONTAINER'!$A:$B,2,0),0)&gt;0,VLOOKUP($I232,'ITEM CFC PER CONTAINER'!$A:$B,2,0),VLOOKUP($X232,'MC MASTER'!$A:$Q,16,0)),"")</f>
        <v/>
      </c>
    </row>
    <row r="233" ht="15" customHeight="1" s="5">
      <c r="A233" s="26" t="inlineStr">
        <is>
          <t>Bamappro Somaudex Logistics</t>
        </is>
      </c>
      <c r="B233" s="26" t="inlineStr">
        <is>
          <t>MJIL/SO/26053372</t>
        </is>
      </c>
      <c r="C233" s="26" t="inlineStr">
        <is>
          <t>MJ-095/26-27</t>
        </is>
      </c>
      <c r="D233" s="82" t="n">
        <v>46310</v>
      </c>
      <c r="E233" s="83">
        <f>IF(ISNUMBER($D233),EOMONTH($D233,-1)+1,"")</f>
        <v/>
      </c>
      <c r="F233" s="82" t="n">
        <v>46310</v>
      </c>
      <c r="G233" s="26" t="n">
        <v>36527</v>
      </c>
      <c r="H233" s="26">
        <f>B233&amp;I233</f>
        <v/>
      </c>
      <c r="I233" s="26" t="inlineStr">
        <is>
          <t>GV TAMARIND 24/25 DC SF ENV TBGS (v2)</t>
        </is>
      </c>
      <c r="J233" s="26" t="inlineStr">
        <is>
          <t>C250 AF</t>
        </is>
      </c>
      <c r="K233" s="26">
        <f>J233&amp;"-"&amp;TEXT(W233,"dd-mmm-yy")</f>
        <v/>
      </c>
      <c r="L233" s="26">
        <f>IFERROR(VLOOKUP($M233,'ITEM MASTER'!E:H,4,0),"")</f>
        <v/>
      </c>
      <c r="M233" s="26">
        <f>IFERROR(VLOOKUP($I233,'ITEM MASTER'!B:E,4,0),"")</f>
        <v/>
      </c>
      <c r="N233" s="26">
        <f>IFERROR(VLOOKUP($I233,'ITEM MASTER'!B:F,5,0),0)</f>
        <v/>
      </c>
      <c r="O233" s="26">
        <f>IFERROR(VLOOKUP($M233,'TBGS PER CTN'!B:C,2,0),0)</f>
        <v/>
      </c>
      <c r="P233" s="26" t="n">
        <v>132</v>
      </c>
      <c r="Q233" s="26" t="n">
        <v>0</v>
      </c>
      <c r="R233" s="26" t="n">
        <v>0</v>
      </c>
      <c r="S233" s="26">
        <f>Q233+R233</f>
        <v/>
      </c>
      <c r="T233" s="29" t="n">
        <v>132</v>
      </c>
      <c r="U233" s="29">
        <f>N233*O233*T233</f>
        <v/>
      </c>
      <c r="V233" s="82">
        <f>IF(ISNUMBER($D233),$D233-WEEKDAY($D233,3),'ORDER VS WEEK DISTRIBUTION'!$G$500)</f>
        <v/>
      </c>
      <c r="W233" s="82">
        <f>MAX($V233,'ORDER VS WEEK DISTRIBUTION'!$G$500)</f>
        <v/>
      </c>
      <c r="X233" s="26">
        <f>IFERROR(VLOOKUP($J233,'ORDER VS WEEK DISTRIBUTION'!$T:$U,2,0),"")</f>
        <v/>
      </c>
      <c r="Y233" s="26">
        <f>IFERROR($T233/IF(IFERROR(VLOOKUP($I233,'ITEM CFC PER CONTAINER'!$A:$B,2,0),0)&gt;0,VLOOKUP($I233,'ITEM CFC PER CONTAINER'!$A:$B,2,0),VLOOKUP($X233,'MC MASTER'!$A:$Q,16,0)),"")</f>
        <v/>
      </c>
    </row>
    <row r="234" ht="15" customHeight="1" s="5">
      <c r="A234" s="26" t="inlineStr">
        <is>
          <t>Bamappro Somaudex Logistics</t>
        </is>
      </c>
      <c r="B234" s="26" t="inlineStr">
        <is>
          <t>MJIL/SO/26053372</t>
        </is>
      </c>
      <c r="C234" s="26" t="inlineStr">
        <is>
          <t>MJ-095/26-27</t>
        </is>
      </c>
      <c r="D234" s="82" t="n">
        <v>46310</v>
      </c>
      <c r="E234" s="83">
        <f>IF(ISNUMBER($D234),EOMONTH($D234,-1)+1,"")</f>
        <v/>
      </c>
      <c r="F234" s="82" t="n">
        <v>46310</v>
      </c>
      <c r="G234" s="26" t="n">
        <v>36532</v>
      </c>
      <c r="H234" s="26">
        <f>B234&amp;I234</f>
        <v/>
      </c>
      <c r="I234" s="26" t="inlineStr">
        <is>
          <t>GV GREEN TEA 24/25 DC SF ENV TBGS</t>
        </is>
      </c>
      <c r="J234" s="26" t="inlineStr">
        <is>
          <t>C250 AF</t>
        </is>
      </c>
      <c r="K234" s="26">
        <f>J234&amp;"-"&amp;TEXT(W234,"dd-mmm-yy")</f>
        <v/>
      </c>
      <c r="L234" s="26">
        <f>IFERROR(VLOOKUP($M234,'ITEM MASTER'!E:H,4,0),"")</f>
        <v/>
      </c>
      <c r="M234" s="26">
        <f>IFERROR(VLOOKUP($I234,'ITEM MASTER'!B:E,4,0),"")</f>
        <v/>
      </c>
      <c r="N234" s="26">
        <f>IFERROR(VLOOKUP($I234,'ITEM MASTER'!B:F,5,0),0)</f>
        <v/>
      </c>
      <c r="O234" s="26">
        <f>IFERROR(VLOOKUP($M234,'TBGS PER CTN'!B:C,2,0),0)</f>
        <v/>
      </c>
      <c r="P234" s="26" t="n">
        <v>126</v>
      </c>
      <c r="Q234" s="26" t="n">
        <v>0</v>
      </c>
      <c r="R234" s="26" t="n">
        <v>0</v>
      </c>
      <c r="S234" s="26">
        <f>Q234+R234</f>
        <v/>
      </c>
      <c r="T234" s="29" t="n">
        <v>126</v>
      </c>
      <c r="U234" s="29">
        <f>N234*O234*T234</f>
        <v/>
      </c>
      <c r="V234" s="82">
        <f>IF(ISNUMBER($D234),$D234-WEEKDAY($D234,3),'ORDER VS WEEK DISTRIBUTION'!$G$500)</f>
        <v/>
      </c>
      <c r="W234" s="82">
        <f>MAX($V234,'ORDER VS WEEK DISTRIBUTION'!$G$500)</f>
        <v/>
      </c>
      <c r="X234" s="26">
        <f>IFERROR(VLOOKUP($J234,'ORDER VS WEEK DISTRIBUTION'!$T:$U,2,0),"")</f>
        <v/>
      </c>
      <c r="Y234" s="26">
        <f>IFERROR($T234/IF(IFERROR(VLOOKUP($I234,'ITEM CFC PER CONTAINER'!$A:$B,2,0),0)&gt;0,VLOOKUP($I234,'ITEM CFC PER CONTAINER'!$A:$B,2,0),VLOOKUP($X234,'MC MASTER'!$A:$Q,16,0)),"")</f>
        <v/>
      </c>
    </row>
    <row r="235" ht="15" customHeight="1" s="5">
      <c r="A235" s="26" t="inlineStr">
        <is>
          <t>Llc `Jay Tea`</t>
        </is>
      </c>
      <c r="B235" s="26" t="inlineStr">
        <is>
          <t>MJIL/SO/26049502</t>
        </is>
      </c>
      <c r="C235" s="26" t="inlineStr">
        <is>
          <t>JT-MJIPL-03-03/19 ORDER NO.32</t>
        </is>
      </c>
      <c r="D235" s="82" t="n">
        <v>46310</v>
      </c>
      <c r="E235" s="83">
        <f>IF(ISNUMBER($D235),EOMONTH($D235,-1)+1,"")</f>
        <v/>
      </c>
      <c r="F235" s="82" t="n">
        <v>46310</v>
      </c>
      <c r="G235" s="26" t="n">
        <v>32391</v>
      </c>
      <c r="H235" s="26">
        <f>B235&amp;I235</f>
        <v/>
      </c>
      <c r="I235" s="26" t="inlineStr">
        <is>
          <t>STD R 135 BULK, 30 KGS - PP BAGS</t>
        </is>
      </c>
      <c r="J235" s="26" t="n"/>
      <c r="K235" s="26">
        <f>J235&amp;"-"&amp;TEXT(W235,"dd-mmm-yy")</f>
        <v/>
      </c>
      <c r="L235" s="26">
        <f>IFERROR(VLOOKUP($M235,'ITEM MASTER'!E:H,4,0),"")</f>
        <v/>
      </c>
      <c r="M235" s="26">
        <f>IFERROR(VLOOKUP($I235,'ITEM MASTER'!B:E,4,0),"")</f>
        <v/>
      </c>
      <c r="N235" s="26">
        <f>IFERROR(VLOOKUP($I235,'ITEM MASTER'!B:F,5,0),0)</f>
        <v/>
      </c>
      <c r="O235" s="26">
        <f>IFERROR(VLOOKUP($M235,'TBGS PER CTN'!B:C,2,0),0)</f>
        <v/>
      </c>
      <c r="P235" s="26" t="n">
        <v>273</v>
      </c>
      <c r="Q235" s="26" t="n">
        <v>0</v>
      </c>
      <c r="R235" s="26" t="n">
        <v>0</v>
      </c>
      <c r="S235" s="26">
        <f>Q235+R235</f>
        <v/>
      </c>
      <c r="T235" s="29" t="n">
        <v>273</v>
      </c>
      <c r="U235" s="29">
        <f>N235*O235*T235</f>
        <v/>
      </c>
      <c r="V235" s="82">
        <f>IF(ISNUMBER($D235),$D235-WEEKDAY($D235,3),'ORDER VS WEEK DISTRIBUTION'!$G$500)</f>
        <v/>
      </c>
      <c r="W235" s="82">
        <f>MAX($V235,'ORDER VS WEEK DISTRIBUTION'!$G$500)</f>
        <v/>
      </c>
      <c r="X235" s="26">
        <f>IFERROR(VLOOKUP($J235,'ORDER VS WEEK DISTRIBUTION'!$T:$U,2,0),"")</f>
        <v/>
      </c>
      <c r="Y235" s="26">
        <f>IFERROR($T235/IF(IFERROR(VLOOKUP($I235,'ITEM CFC PER CONTAINER'!$A:$B,2,0),0)&gt;0,VLOOKUP($I235,'ITEM CFC PER CONTAINER'!$A:$B,2,0),VLOOKUP($X235,'MC MASTER'!$A:$Q,16,0)),"")</f>
        <v/>
      </c>
    </row>
    <row r="236" ht="15" customHeight="1" s="5">
      <c r="A236" s="26" t="inlineStr">
        <is>
          <t>Llc `Jay Tea`</t>
        </is>
      </c>
      <c r="B236" s="26" t="inlineStr">
        <is>
          <t>MJIL/SO/26049502</t>
        </is>
      </c>
      <c r="C236" s="26" t="inlineStr">
        <is>
          <t>JT-MJIPL-03-03/19 ORDER NO.32</t>
        </is>
      </c>
      <c r="D236" s="82" t="n">
        <v>46310</v>
      </c>
      <c r="E236" s="83">
        <f>IF(ISNUMBER($D236),EOMONTH($D236,-1)+1,"")</f>
        <v/>
      </c>
      <c r="F236" s="82" t="n">
        <v>46310</v>
      </c>
      <c r="G236" s="26" t="n">
        <v>28591</v>
      </c>
      <c r="H236" s="26">
        <f>B236&amp;I236</f>
        <v/>
      </c>
      <c r="I236" s="26" t="inlineStr">
        <is>
          <t>STD 786 BULK, 32 KGS - PP BAGS</t>
        </is>
      </c>
      <c r="J236" s="26" t="n"/>
      <c r="K236" s="26">
        <f>J236&amp;"-"&amp;TEXT(W236,"dd-mmm-yy")</f>
        <v/>
      </c>
      <c r="L236" s="26">
        <f>IFERROR(VLOOKUP($M236,'ITEM MASTER'!E:H,4,0),"")</f>
        <v/>
      </c>
      <c r="M236" s="26">
        <f>IFERROR(VLOOKUP($I236,'ITEM MASTER'!B:E,4,0),"")</f>
        <v/>
      </c>
      <c r="N236" s="26">
        <f>IFERROR(VLOOKUP($I236,'ITEM MASTER'!B:F,5,0),0)</f>
        <v/>
      </c>
      <c r="O236" s="26">
        <f>IFERROR(VLOOKUP($M236,'TBGS PER CTN'!B:C,2,0),0)</f>
        <v/>
      </c>
      <c r="P236" s="26" t="n">
        <v>625</v>
      </c>
      <c r="Q236" s="26" t="n">
        <v>0</v>
      </c>
      <c r="R236" s="26" t="n">
        <v>0</v>
      </c>
      <c r="S236" s="26">
        <f>Q236+R236</f>
        <v/>
      </c>
      <c r="T236" s="29" t="n">
        <v>625</v>
      </c>
      <c r="U236" s="29">
        <f>N236*O236*T236</f>
        <v/>
      </c>
      <c r="V236" s="82">
        <f>IF(ISNUMBER($D236),$D236-WEEKDAY($D236,3),'ORDER VS WEEK DISTRIBUTION'!$G$500)</f>
        <v/>
      </c>
      <c r="W236" s="82">
        <f>MAX($V236,'ORDER VS WEEK DISTRIBUTION'!$G$500)</f>
        <v/>
      </c>
      <c r="X236" s="26">
        <f>IFERROR(VLOOKUP($J236,'ORDER VS WEEK DISTRIBUTION'!$T:$U,2,0),"")</f>
        <v/>
      </c>
      <c r="Y236" s="26">
        <f>IFERROR($T236/IF(IFERROR(VLOOKUP($I236,'ITEM CFC PER CONTAINER'!$A:$B,2,0),0)&gt;0,VLOOKUP($I236,'ITEM CFC PER CONTAINER'!$A:$B,2,0),VLOOKUP($X236,'MC MASTER'!$A:$Q,16,0)),"")</f>
        <v/>
      </c>
    </row>
    <row r="237" ht="15" customHeight="1" s="5">
      <c r="A237" s="26" t="inlineStr">
        <is>
          <t xml:space="preserve">Madhu Jayanti International Pvt Ltd - USA RBW SC </t>
        </is>
      </c>
      <c r="B237" s="26" t="inlineStr">
        <is>
          <t>MJIL/SO/26023804</t>
        </is>
      </c>
      <c r="C237" s="26" t="inlineStr">
        <is>
          <t>OCT SHPT - 3 - 100 BLACK</t>
        </is>
      </c>
      <c r="D237" s="82" t="n">
        <v>46308</v>
      </c>
      <c r="E237" s="83">
        <f>IF(ISNUMBER($D237),EOMONTH($D237,-1)+1,"")</f>
        <v/>
      </c>
      <c r="F237" s="82" t="n">
        <v>46310</v>
      </c>
      <c r="G237" s="26" t="n">
        <v>37685</v>
      </c>
      <c r="H237" s="26">
        <f>B237&amp;I237</f>
        <v/>
      </c>
      <c r="I237" s="26" t="inlineStr">
        <is>
          <t>BARISSIMO BLACK TEA 6/100 DC TAG TBGS</t>
        </is>
      </c>
      <c r="J237" s="26" t="inlineStr">
        <is>
          <t>PERFACTA TAG</t>
        </is>
      </c>
      <c r="K237" s="26">
        <f>J237&amp;"-"&amp;TEXT(W237,"dd-mmm-yy")</f>
        <v/>
      </c>
      <c r="L237" s="26">
        <f>IFERROR(VLOOKUP($M237,'ITEM MASTER'!E:H,4,0),"")</f>
        <v/>
      </c>
      <c r="M237" s="26">
        <f>IFERROR(VLOOKUP($I237,'ITEM MASTER'!B:E,4,0),"")</f>
        <v/>
      </c>
      <c r="N237" s="26">
        <f>IFERROR(VLOOKUP($I237,'ITEM MASTER'!B:F,5,0),0)</f>
        <v/>
      </c>
      <c r="O237" s="26">
        <f>IFERROR(VLOOKUP($M237,'TBGS PER CTN'!B:C,2,0),0)</f>
        <v/>
      </c>
      <c r="P237" s="26" t="n">
        <v>4620</v>
      </c>
      <c r="Q237" s="26" t="n">
        <v>0</v>
      </c>
      <c r="R237" s="26" t="n">
        <v>0</v>
      </c>
      <c r="S237" s="26">
        <f>Q237+R237</f>
        <v/>
      </c>
      <c r="T237" s="29" t="n">
        <v>4620</v>
      </c>
      <c r="U237" s="29">
        <f>N237*O237*T237</f>
        <v/>
      </c>
      <c r="V237" s="82">
        <f>IF(ISNUMBER($D237),$D237-WEEKDAY($D237,3),'ORDER VS WEEK DISTRIBUTION'!$G$500)</f>
        <v/>
      </c>
      <c r="W237" s="82">
        <f>MAX($V237,'ORDER VS WEEK DISTRIBUTION'!$G$500)</f>
        <v/>
      </c>
      <c r="X237" s="26">
        <f>IFERROR(VLOOKUP($J237,'ORDER VS WEEK DISTRIBUTION'!$T:$U,2,0),"")</f>
        <v/>
      </c>
      <c r="Y237" s="26">
        <f>IFERROR($T237/IF(IFERROR(VLOOKUP($I237,'ITEM CFC PER CONTAINER'!$A:$B,2,0),0)&gt;0,VLOOKUP($I237,'ITEM CFC PER CONTAINER'!$A:$B,2,0),VLOOKUP($X237,'MC MASTER'!$A:$Q,16,0)),"")</f>
        <v/>
      </c>
    </row>
    <row r="238" ht="15" customHeight="1" s="5">
      <c r="A238" s="26" t="inlineStr">
        <is>
          <t>Multitrade Overseas Pte. Ltd.</t>
        </is>
      </c>
      <c r="B238" s="26" t="inlineStr">
        <is>
          <t>MJIL/SO/26012073</t>
        </is>
      </c>
      <c r="C238" s="26" t="inlineStr">
        <is>
          <t>MJ-027/26-27 / 2 - ETKAF</t>
        </is>
      </c>
      <c r="D238" s="82" t="n">
        <v>46310</v>
      </c>
      <c r="E238" s="83">
        <f>IF(ISNUMBER($D238),EOMONTH($D238,-1)+1,"")</f>
        <v/>
      </c>
      <c r="F238" s="82" t="n">
        <v>46310</v>
      </c>
      <c r="G238" s="26" t="n">
        <v>2016</v>
      </c>
      <c r="H238" s="26">
        <f>B238&amp;I238</f>
        <v/>
      </c>
      <c r="I238" s="26" t="inlineStr">
        <is>
          <t>GV MINT 24/25 DC ENV TBGS</t>
        </is>
      </c>
      <c r="J238" s="30" t="inlineStr">
        <is>
          <t>CONSTANTA ENV</t>
        </is>
      </c>
      <c r="K238" s="26">
        <f>J238&amp;"-"&amp;TEXT(W238,"dd-mmm-yy")</f>
        <v/>
      </c>
      <c r="L238" s="26">
        <f>IFERROR(VLOOKUP($M238,'ITEM MASTER'!E:H,4,0),"")</f>
        <v/>
      </c>
      <c r="M238" s="26">
        <f>IFERROR(VLOOKUP($I238,'ITEM MASTER'!B:E,4,0),"")</f>
        <v/>
      </c>
      <c r="N238" s="26">
        <f>IFERROR(VLOOKUP($I238,'ITEM MASTER'!B:F,5,0),0)</f>
        <v/>
      </c>
      <c r="O238" s="26">
        <f>IFERROR(VLOOKUP($M238,'TBGS PER CTN'!B:C,2,0),0)</f>
        <v/>
      </c>
      <c r="P238" s="26" t="n">
        <v>4000</v>
      </c>
      <c r="Q238" s="26" t="n">
        <v>0</v>
      </c>
      <c r="R238" s="26" t="n">
        <v>791</v>
      </c>
      <c r="S238" s="26">
        <f>Q238+R238</f>
        <v/>
      </c>
      <c r="T238" s="29" t="n">
        <v>3209</v>
      </c>
      <c r="U238" s="29">
        <f>N238*O238*T238</f>
        <v/>
      </c>
      <c r="V238" s="82">
        <f>IF(ISNUMBER($D238),$D238-WEEKDAY($D238,3),'ORDER VS WEEK DISTRIBUTION'!$G$500)</f>
        <v/>
      </c>
      <c r="W238" s="82">
        <f>MAX($V238,'ORDER VS WEEK DISTRIBUTION'!$G$500)</f>
        <v/>
      </c>
      <c r="X238" s="26">
        <f>IFERROR(VLOOKUP($J238,'ORDER VS WEEK DISTRIBUTION'!$T:$U,2,0),"")</f>
        <v/>
      </c>
      <c r="Y238" s="26">
        <f>IFERROR($T238/IF(IFERROR(VLOOKUP($I238,'ITEM CFC PER CONTAINER'!$A:$B,2,0),0)&gt;0,VLOOKUP($I238,'ITEM CFC PER CONTAINER'!$A:$B,2,0),VLOOKUP($X238,'MC MASTER'!$A:$Q,16,0)),"")</f>
        <v/>
      </c>
    </row>
    <row r="239" ht="15" customHeight="1" s="5">
      <c r="A239" s="26" t="inlineStr">
        <is>
          <t>Multitrade Overseas Pte. Ltd.</t>
        </is>
      </c>
      <c r="B239" s="26" t="inlineStr">
        <is>
          <t>MJIL/SO/26012073</t>
        </is>
      </c>
      <c r="C239" s="26" t="inlineStr">
        <is>
          <t>MJ-027/26-27 / 2 - ETKAF</t>
        </is>
      </c>
      <c r="D239" s="82" t="n">
        <v>46310</v>
      </c>
      <c r="E239" s="83">
        <f>IF(ISNUMBER($D239),EOMONTH($D239,-1)+1,"")</f>
        <v/>
      </c>
      <c r="F239" s="82" t="n">
        <v>46310</v>
      </c>
      <c r="G239" s="26" t="n">
        <v>1925</v>
      </c>
      <c r="H239" s="26">
        <f>B239&amp;I239</f>
        <v/>
      </c>
      <c r="I239" s="26" t="inlineStr">
        <is>
          <t>GV GARDEN STRAWBERRY 24/25 DC ENV TBGS</t>
        </is>
      </c>
      <c r="J239" s="30" t="inlineStr">
        <is>
          <t>CONSTANTA ENV</t>
        </is>
      </c>
      <c r="K239" s="26">
        <f>J239&amp;"-"&amp;TEXT(W239,"dd-mmm-yy")</f>
        <v/>
      </c>
      <c r="L239" s="26">
        <f>IFERROR(VLOOKUP($M239,'ITEM MASTER'!E:H,4,0),"")</f>
        <v/>
      </c>
      <c r="M239" s="26">
        <f>IFERROR(VLOOKUP($I239,'ITEM MASTER'!B:E,4,0),"")</f>
        <v/>
      </c>
      <c r="N239" s="26">
        <f>IFERROR(VLOOKUP($I239,'ITEM MASTER'!B:F,5,0),0)</f>
        <v/>
      </c>
      <c r="O239" s="26">
        <f>IFERROR(VLOOKUP($M239,'TBGS PER CTN'!B:C,2,0),0)</f>
        <v/>
      </c>
      <c r="P239" s="26" t="n">
        <v>4180</v>
      </c>
      <c r="Q239" s="26" t="n">
        <v>0</v>
      </c>
      <c r="R239" s="26" t="n">
        <v>1947</v>
      </c>
      <c r="S239" s="26">
        <f>Q239+R239</f>
        <v/>
      </c>
      <c r="T239" s="29" t="n">
        <v>2233</v>
      </c>
      <c r="U239" s="29">
        <f>N239*O239*T239</f>
        <v/>
      </c>
      <c r="V239" s="82">
        <f>IF(ISNUMBER($D239),$D239-WEEKDAY($D239,3),'ORDER VS WEEK DISTRIBUTION'!$G$500)</f>
        <v/>
      </c>
      <c r="W239" s="82">
        <f>MAX($V239,'ORDER VS WEEK DISTRIBUTION'!$G$500)</f>
        <v/>
      </c>
      <c r="X239" s="26">
        <f>IFERROR(VLOOKUP($J239,'ORDER VS WEEK DISTRIBUTION'!$T:$U,2,0),"")</f>
        <v/>
      </c>
      <c r="Y239" s="26">
        <f>IFERROR($T239/IF(IFERROR(VLOOKUP($I239,'ITEM CFC PER CONTAINER'!$A:$B,2,0),0)&gt;0,VLOOKUP($I239,'ITEM CFC PER CONTAINER'!$A:$B,2,0),VLOOKUP($X239,'MC MASTER'!$A:$Q,16,0)),"")</f>
        <v/>
      </c>
    </row>
    <row r="240" ht="15" customHeight="1" s="5">
      <c r="A240" s="26" t="inlineStr">
        <is>
          <t>Multitrade Overseas Pte. Ltd.</t>
        </is>
      </c>
      <c r="B240" s="26" t="inlineStr">
        <is>
          <t>MJIL/SO/26012073</t>
        </is>
      </c>
      <c r="C240" s="26" t="inlineStr">
        <is>
          <t>MJ-027/26-27 / 2 - ETKAF</t>
        </is>
      </c>
      <c r="D240" s="82" t="n">
        <v>46310</v>
      </c>
      <c r="E240" s="83">
        <f>IF(ISNUMBER($D240),EOMONTH($D240,-1)+1,"")</f>
        <v/>
      </c>
      <c r="F240" s="82" t="n">
        <v>46310</v>
      </c>
      <c r="G240" s="26" t="n">
        <v>19824</v>
      </c>
      <c r="H240" s="26">
        <f>B240&amp;I240</f>
        <v/>
      </c>
      <c r="I240" s="26" t="inlineStr">
        <is>
          <t>GV SPICY GINGER 24/25 DC ENV TBGS (AR)</t>
        </is>
      </c>
      <c r="J240" s="30" t="inlineStr">
        <is>
          <t>CONSTANTA ENV</t>
        </is>
      </c>
      <c r="K240" s="26">
        <f>J240&amp;"-"&amp;TEXT(W240,"dd-mmm-yy")</f>
        <v/>
      </c>
      <c r="L240" s="26">
        <f>IFERROR(VLOOKUP($M240,'ITEM MASTER'!E:H,4,0),"")</f>
        <v/>
      </c>
      <c r="M240" s="26">
        <f>IFERROR(VLOOKUP($I240,'ITEM MASTER'!B:E,4,0),"")</f>
        <v/>
      </c>
      <c r="N240" s="26">
        <f>IFERROR(VLOOKUP($I240,'ITEM MASTER'!B:F,5,0),0)</f>
        <v/>
      </c>
      <c r="O240" s="26">
        <f>IFERROR(VLOOKUP($M240,'TBGS PER CTN'!B:C,2,0),0)</f>
        <v/>
      </c>
      <c r="P240" s="26" t="n">
        <v>3260</v>
      </c>
      <c r="Q240" s="26" t="n">
        <v>0</v>
      </c>
      <c r="R240" s="26" t="n">
        <v>1519</v>
      </c>
      <c r="S240" s="26">
        <f>Q240+R240</f>
        <v/>
      </c>
      <c r="T240" s="29" t="n">
        <v>1741</v>
      </c>
      <c r="U240" s="29">
        <f>N240*O240*T240</f>
        <v/>
      </c>
      <c r="V240" s="82">
        <f>IF(ISNUMBER($D240),$D240-WEEKDAY($D240,3),'ORDER VS WEEK DISTRIBUTION'!$G$500)</f>
        <v/>
      </c>
      <c r="W240" s="82">
        <f>MAX($V240,'ORDER VS WEEK DISTRIBUTION'!$G$500)</f>
        <v/>
      </c>
      <c r="X240" s="26">
        <f>IFERROR(VLOOKUP($J240,'ORDER VS WEEK DISTRIBUTION'!$T:$U,2,0),"")</f>
        <v/>
      </c>
      <c r="Y240" s="26">
        <f>IFERROR($T240/IF(IFERROR(VLOOKUP($I240,'ITEM CFC PER CONTAINER'!$A:$B,2,0),0)&gt;0,VLOOKUP($I240,'ITEM CFC PER CONTAINER'!$A:$B,2,0),VLOOKUP($X240,'MC MASTER'!$A:$Q,16,0)),"")</f>
        <v/>
      </c>
    </row>
    <row r="241" ht="15" customHeight="1" s="5">
      <c r="A241" s="26" t="inlineStr">
        <is>
          <t>Multitrade Overseas Pte. Ltd.</t>
        </is>
      </c>
      <c r="B241" s="26" t="inlineStr">
        <is>
          <t>MJIL/SO/26012073</t>
        </is>
      </c>
      <c r="C241" s="26" t="inlineStr">
        <is>
          <t>MJ-027/26-27 / 2 - ETKAF</t>
        </is>
      </c>
      <c r="D241" s="82" t="n">
        <v>46310</v>
      </c>
      <c r="E241" s="83">
        <f>IF(ISNUMBER($D241),EOMONTH($D241,-1)+1,"")</f>
        <v/>
      </c>
      <c r="F241" s="82" t="n">
        <v>46310</v>
      </c>
      <c r="G241" s="26" t="n">
        <v>19828</v>
      </c>
      <c r="H241" s="26">
        <f>B241&amp;I241</f>
        <v/>
      </c>
      <c r="I241" s="26" t="inlineStr">
        <is>
          <t>GV ORANGE 24/25 DC ENV TBGS (AR)</t>
        </is>
      </c>
      <c r="J241" s="30" t="inlineStr">
        <is>
          <t>CONSTANTA ENV</t>
        </is>
      </c>
      <c r="K241" s="26">
        <f>J241&amp;"-"&amp;TEXT(W241,"dd-mmm-yy")</f>
        <v/>
      </c>
      <c r="L241" s="26">
        <f>IFERROR(VLOOKUP($M241,'ITEM MASTER'!E:H,4,0),"")</f>
        <v/>
      </c>
      <c r="M241" s="26">
        <f>IFERROR(VLOOKUP($I241,'ITEM MASTER'!B:E,4,0),"")</f>
        <v/>
      </c>
      <c r="N241" s="26">
        <f>IFERROR(VLOOKUP($I241,'ITEM MASTER'!B:F,5,0),0)</f>
        <v/>
      </c>
      <c r="O241" s="26">
        <f>IFERROR(VLOOKUP($M241,'TBGS PER CTN'!B:C,2,0),0)</f>
        <v/>
      </c>
      <c r="P241" s="26" t="n">
        <v>710</v>
      </c>
      <c r="Q241" s="26" t="n">
        <v>0</v>
      </c>
      <c r="R241" s="26" t="n">
        <v>569</v>
      </c>
      <c r="S241" s="26">
        <f>Q241+R241</f>
        <v/>
      </c>
      <c r="T241" s="29" t="n">
        <v>141</v>
      </c>
      <c r="U241" s="29">
        <f>N241*O241*T241</f>
        <v/>
      </c>
      <c r="V241" s="82">
        <f>IF(ISNUMBER($D241),$D241-WEEKDAY($D241,3),'ORDER VS WEEK DISTRIBUTION'!$G$500)</f>
        <v/>
      </c>
      <c r="W241" s="82">
        <f>MAX($V241,'ORDER VS WEEK DISTRIBUTION'!$G$500)</f>
        <v/>
      </c>
      <c r="X241" s="26">
        <f>IFERROR(VLOOKUP($J241,'ORDER VS WEEK DISTRIBUTION'!$T:$U,2,0),"")</f>
        <v/>
      </c>
      <c r="Y241" s="26">
        <f>IFERROR($T241/IF(IFERROR(VLOOKUP($I241,'ITEM CFC PER CONTAINER'!$A:$B,2,0),0)&gt;0,VLOOKUP($I241,'ITEM CFC PER CONTAINER'!$A:$B,2,0),VLOOKUP($X241,'MC MASTER'!$A:$Q,16,0)),"")</f>
        <v/>
      </c>
    </row>
    <row r="242" ht="15" customHeight="1" s="5">
      <c r="A242" s="26" t="inlineStr">
        <is>
          <t>Multitrade Overseas Pte. Ltd.</t>
        </is>
      </c>
      <c r="B242" s="26" t="inlineStr">
        <is>
          <t>MJIL/SO/26012073</t>
        </is>
      </c>
      <c r="C242" s="26" t="inlineStr">
        <is>
          <t>MJ-027/26-27 / 2 - ETKAF</t>
        </is>
      </c>
      <c r="D242" s="82" t="n">
        <v>46310</v>
      </c>
      <c r="E242" s="83">
        <f>IF(ISNUMBER($D242),EOMONTH($D242,-1)+1,"")</f>
        <v/>
      </c>
      <c r="F242" s="82" t="n">
        <v>46310</v>
      </c>
      <c r="G242" s="26" t="n">
        <v>21586</v>
      </c>
      <c r="H242" s="26">
        <f>B242&amp;I242</f>
        <v/>
      </c>
      <c r="I242" s="26" t="inlineStr">
        <is>
          <t>GV CLOVE 24/25 DC ENV TBGS</t>
        </is>
      </c>
      <c r="J242" s="30" t="inlineStr">
        <is>
          <t>CONSTANTA ENV</t>
        </is>
      </c>
      <c r="K242" s="26">
        <f>J242&amp;"-"&amp;TEXT(W242,"dd-mmm-yy")</f>
        <v/>
      </c>
      <c r="L242" s="26">
        <f>IFERROR(VLOOKUP($M242,'ITEM MASTER'!E:H,4,0),"")</f>
        <v/>
      </c>
      <c r="M242" s="26">
        <f>IFERROR(VLOOKUP($I242,'ITEM MASTER'!B:E,4,0),"")</f>
        <v/>
      </c>
      <c r="N242" s="26">
        <f>IFERROR(VLOOKUP($I242,'ITEM MASTER'!B:F,5,0),0)</f>
        <v/>
      </c>
      <c r="O242" s="26">
        <f>IFERROR(VLOOKUP($M242,'TBGS PER CTN'!B:C,2,0),0)</f>
        <v/>
      </c>
      <c r="P242" s="26" t="n">
        <v>600</v>
      </c>
      <c r="Q242" s="26" t="n">
        <v>0</v>
      </c>
      <c r="R242" s="26" t="n">
        <v>600</v>
      </c>
      <c r="S242" s="26">
        <f>Q242+R242</f>
        <v/>
      </c>
      <c r="T242" s="29" t="n">
        <v>0</v>
      </c>
      <c r="U242" s="29">
        <f>N242*O242*T242</f>
        <v/>
      </c>
      <c r="V242" s="82">
        <f>IF(ISNUMBER($D242),$D242-WEEKDAY($D242,3),'ORDER VS WEEK DISTRIBUTION'!$G$500)</f>
        <v/>
      </c>
      <c r="W242" s="82">
        <f>MAX($V242,'ORDER VS WEEK DISTRIBUTION'!$G$500)</f>
        <v/>
      </c>
      <c r="X242" s="26">
        <f>IFERROR(VLOOKUP($J242,'ORDER VS WEEK DISTRIBUTION'!$T:$U,2,0),"")</f>
        <v/>
      </c>
      <c r="Y242" s="26">
        <f>IFERROR($T242/IF(IFERROR(VLOOKUP($I242,'ITEM CFC PER CONTAINER'!$A:$B,2,0),0)&gt;0,VLOOKUP($I242,'ITEM CFC PER CONTAINER'!$A:$B,2,0),VLOOKUP($X242,'MC MASTER'!$A:$Q,16,0)),"")</f>
        <v/>
      </c>
    </row>
    <row r="243" ht="15" customHeight="1" s="5">
      <c r="A243" s="26" t="inlineStr">
        <is>
          <t>Multitrade Overseas Pte. Ltd.</t>
        </is>
      </c>
      <c r="B243" s="26" t="inlineStr">
        <is>
          <t>MJIL/SO/26012073</t>
        </is>
      </c>
      <c r="C243" s="26" t="inlineStr">
        <is>
          <t>MJ-027/26-27 / 2 - ETKAF</t>
        </is>
      </c>
      <c r="D243" s="82" t="n">
        <v>46310</v>
      </c>
      <c r="E243" s="83">
        <f>IF(ISNUMBER($D243),EOMONTH($D243,-1)+1,"")</f>
        <v/>
      </c>
      <c r="F243" s="82" t="n">
        <v>46310</v>
      </c>
      <c r="G243" s="26" t="n">
        <v>37183</v>
      </c>
      <c r="H243" s="26">
        <f>B243&amp;I243</f>
        <v/>
      </c>
      <c r="I243" s="26" t="inlineStr">
        <is>
          <t>TEZ CAFE INSTANT COFFEE 9/150 SACHETS (15 STRIPS X 10 SACHETS X 2 GMS) WITH HANGER</t>
        </is>
      </c>
      <c r="J243" s="26" t="inlineStr">
        <is>
          <t>INSTANT COFFEE STICK PACK</t>
        </is>
      </c>
      <c r="K243" s="26">
        <f>J243&amp;"-"&amp;TEXT(W243,"dd-mmm-yy")</f>
        <v/>
      </c>
      <c r="L243" s="26">
        <f>IFERROR(VLOOKUP($M243,'ITEM MASTER'!E:H,4,0),"")</f>
        <v/>
      </c>
      <c r="M243" s="26">
        <f>IFERROR(VLOOKUP($I243,'ITEM MASTER'!B:E,4,0),"")</f>
        <v/>
      </c>
      <c r="N243" s="26">
        <f>IFERROR(VLOOKUP($I243,'ITEM MASTER'!B:F,5,0),0)</f>
        <v/>
      </c>
      <c r="O243" s="26">
        <f>IFERROR(VLOOKUP($M243,'TBGS PER CTN'!B:C,2,0),0)</f>
        <v/>
      </c>
      <c r="P243" s="26" t="n">
        <v>200</v>
      </c>
      <c r="Q243" s="26" t="n">
        <v>0</v>
      </c>
      <c r="R243" s="26" t="n">
        <v>0</v>
      </c>
      <c r="S243" s="26">
        <f>Q243+R243</f>
        <v/>
      </c>
      <c r="T243" s="29" t="n">
        <v>200</v>
      </c>
      <c r="U243" s="29">
        <f>N243*O243*T243</f>
        <v/>
      </c>
      <c r="V243" s="82">
        <f>IF(ISNUMBER($D243),$D243-WEEKDAY($D243,3),'ORDER VS WEEK DISTRIBUTION'!$G$500)</f>
        <v/>
      </c>
      <c r="W243" s="82">
        <f>MAX($V243,'ORDER VS WEEK DISTRIBUTION'!$G$500)</f>
        <v/>
      </c>
      <c r="X243" s="26">
        <f>IFERROR(VLOOKUP($J243,'ORDER VS WEEK DISTRIBUTION'!$T:$U,2,0),"")</f>
        <v/>
      </c>
      <c r="Y243" s="26">
        <f>IFERROR($T243/IF(IFERROR(VLOOKUP($I243,'ITEM CFC PER CONTAINER'!$A:$B,2,0),0)&gt;0,VLOOKUP($I243,'ITEM CFC PER CONTAINER'!$A:$B,2,0),VLOOKUP($X243,'MC MASTER'!$A:$Q,16,0)),"")</f>
        <v/>
      </c>
    </row>
    <row r="244" ht="15" customHeight="1" s="5">
      <c r="A244" s="26" t="inlineStr">
        <is>
          <t>Multitrade Overseas Pte. Ltd.</t>
        </is>
      </c>
      <c r="B244" s="26" t="inlineStr">
        <is>
          <t>MJIL/SO/26012073</t>
        </is>
      </c>
      <c r="C244" s="26" t="inlineStr">
        <is>
          <t>MJ-027/26-27 / 2 - ETKAF</t>
        </is>
      </c>
      <c r="D244" s="82" t="n">
        <v>46310</v>
      </c>
      <c r="E244" s="83">
        <f>IF(ISNUMBER($D244),EOMONTH($D244,-1)+1,"")</f>
        <v/>
      </c>
      <c r="F244" s="82" t="n">
        <v>46310</v>
      </c>
      <c r="G244" s="26" t="n">
        <v>33935</v>
      </c>
      <c r="H244" s="26">
        <f>B244&amp;I244</f>
        <v/>
      </c>
      <c r="I244" s="26" t="inlineStr">
        <is>
          <t>TEZ CAFE CAPPUCCINO 3 IN 1 (25GMS) 12 STRIPS X 10 SACHETS WITH HANGER</t>
        </is>
      </c>
      <c r="J244" s="30" t="inlineStr">
        <is>
          <t>CONSTANTA ENV</t>
        </is>
      </c>
      <c r="K244" s="26">
        <f>J244&amp;"-"&amp;TEXT(W244,"dd-mmm-yy")</f>
        <v/>
      </c>
      <c r="L244" s="26">
        <f>IFERROR(VLOOKUP($M244,'ITEM MASTER'!E:H,4,0),"")</f>
        <v/>
      </c>
      <c r="M244" s="26">
        <f>IFERROR(VLOOKUP($I244,'ITEM MASTER'!B:E,4,0),"")</f>
        <v/>
      </c>
      <c r="N244" s="26">
        <f>IFERROR(VLOOKUP($I244,'ITEM MASTER'!B:F,5,0),0)</f>
        <v/>
      </c>
      <c r="O244" s="26">
        <f>IFERROR(VLOOKUP($M244,'TBGS PER CTN'!B:C,2,0),0)</f>
        <v/>
      </c>
      <c r="P244" s="26" t="n">
        <v>200</v>
      </c>
      <c r="Q244" s="26" t="n">
        <v>0</v>
      </c>
      <c r="R244" s="26" t="n">
        <v>200</v>
      </c>
      <c r="S244" s="26">
        <f>Q244+R244</f>
        <v/>
      </c>
      <c r="T244" s="29" t="n">
        <v>0</v>
      </c>
      <c r="U244" s="29">
        <f>N244*O244*T244</f>
        <v/>
      </c>
      <c r="V244" s="82">
        <f>IF(ISNUMBER($D244),$D244-WEEKDAY($D244,3),'ORDER VS WEEK DISTRIBUTION'!$G$500)</f>
        <v/>
      </c>
      <c r="W244" s="82">
        <f>MAX($V244,'ORDER VS WEEK DISTRIBUTION'!$G$500)</f>
        <v/>
      </c>
      <c r="X244" s="26">
        <f>IFERROR(VLOOKUP($J244,'ORDER VS WEEK DISTRIBUTION'!$T:$U,2,0),"")</f>
        <v/>
      </c>
      <c r="Y244" s="26">
        <f>IFERROR($T244/IF(IFERROR(VLOOKUP($I244,'ITEM CFC PER CONTAINER'!$A:$B,2,0),0)&gt;0,VLOOKUP($I244,'ITEM CFC PER CONTAINER'!$A:$B,2,0),VLOOKUP($X244,'MC MASTER'!$A:$Q,16,0)),"")</f>
        <v/>
      </c>
    </row>
    <row r="245" ht="15" customHeight="1" s="5">
      <c r="A245" s="26" t="inlineStr">
        <is>
          <t>Multitrade Overseas Pte. Ltd.</t>
        </is>
      </c>
      <c r="B245" s="26" t="inlineStr">
        <is>
          <t>MJIL/SO/26040200</t>
        </is>
      </c>
      <c r="C245" s="26" t="inlineStr">
        <is>
          <t>MJ-074/26-27 (BOUBACAR TANDIA)</t>
        </is>
      </c>
      <c r="D245" s="82" t="n">
        <v>46310</v>
      </c>
      <c r="E245" s="83">
        <f>IF(ISNUMBER($D245),EOMONTH($D245,-1)+1,"")</f>
        <v/>
      </c>
      <c r="F245" s="82" t="n">
        <v>46310</v>
      </c>
      <c r="G245" s="26" t="n">
        <v>17932</v>
      </c>
      <c r="H245" s="26">
        <f>B245&amp;I245</f>
        <v/>
      </c>
      <c r="I245" s="26" t="inlineStr">
        <is>
          <t>SANCHO 12/100 DC ENV TBGS</t>
        </is>
      </c>
      <c r="J245" s="26" t="inlineStr">
        <is>
          <t>C250 AF</t>
        </is>
      </c>
      <c r="K245" s="26">
        <f>J245&amp;"-"&amp;TEXT(W245,"dd-mmm-yy")</f>
        <v/>
      </c>
      <c r="L245" s="26">
        <f>IFERROR(VLOOKUP($M245,'ITEM MASTER'!E:H,4,0),"")</f>
        <v/>
      </c>
      <c r="M245" s="26">
        <f>IFERROR(VLOOKUP($I245,'ITEM MASTER'!B:E,4,0),"")</f>
        <v/>
      </c>
      <c r="N245" s="26">
        <f>IFERROR(VLOOKUP($I245,'ITEM MASTER'!B:F,5,0),0)</f>
        <v/>
      </c>
      <c r="O245" s="26">
        <f>IFERROR(VLOOKUP($M245,'TBGS PER CTN'!B:C,2,0),0)</f>
        <v/>
      </c>
      <c r="P245" s="26" t="n">
        <v>3320</v>
      </c>
      <c r="Q245" s="26" t="n">
        <v>0</v>
      </c>
      <c r="R245" s="26" t="n">
        <v>65</v>
      </c>
      <c r="S245" s="26">
        <f>Q245+R245</f>
        <v/>
      </c>
      <c r="T245" s="29" t="n">
        <v>3255</v>
      </c>
      <c r="U245" s="29">
        <f>N245*O245*T245</f>
        <v/>
      </c>
      <c r="V245" s="82">
        <f>IF(ISNUMBER($D245),$D245-WEEKDAY($D245,3),'ORDER VS WEEK DISTRIBUTION'!$G$500)</f>
        <v/>
      </c>
      <c r="W245" s="82">
        <f>MAX($V245,'ORDER VS WEEK DISTRIBUTION'!$G$500)</f>
        <v/>
      </c>
      <c r="X245" s="26">
        <f>IFERROR(VLOOKUP($J245,'ORDER VS WEEK DISTRIBUTION'!$T:$U,2,0),"")</f>
        <v/>
      </c>
      <c r="Y245" s="26">
        <f>IFERROR($T245/IF(IFERROR(VLOOKUP($I245,'ITEM CFC PER CONTAINER'!$A:$B,2,0),0)&gt;0,VLOOKUP($I245,'ITEM CFC PER CONTAINER'!$A:$B,2,0),VLOOKUP($X245,'MC MASTER'!$A:$Q,16,0)),"")</f>
        <v/>
      </c>
    </row>
    <row r="246" ht="15" customHeight="1" s="5">
      <c r="A246" s="26" t="inlineStr">
        <is>
          <t>SUNRAJ GLOBAL FZC</t>
        </is>
      </c>
      <c r="B246" s="26" t="inlineStr">
        <is>
          <t>MJIL/SO/26043585</t>
        </is>
      </c>
      <c r="C246" s="26" t="inlineStr">
        <is>
          <t>MJ-083/26-27</t>
        </is>
      </c>
      <c r="D246" s="82" t="n">
        <v>46310</v>
      </c>
      <c r="E246" s="83">
        <f>IF(ISNUMBER($D246),EOMONTH($D246,-1)+1,"")</f>
        <v/>
      </c>
      <c r="F246" s="82" t="n">
        <v>46310</v>
      </c>
      <c r="G246" s="26" t="n">
        <v>23145</v>
      </c>
      <c r="H246" s="26">
        <f>B246&amp;I246</f>
        <v/>
      </c>
      <c r="I246" s="26" t="inlineStr">
        <is>
          <t>AL FINA STRAWBERRY 24/25 DC ENV TBGS</t>
        </is>
      </c>
      <c r="J246" s="30" t="inlineStr">
        <is>
          <t>CONSTANTA ENV</t>
        </is>
      </c>
      <c r="K246" s="26">
        <f>J246&amp;"-"&amp;TEXT(W246,"dd-mmm-yy")</f>
        <v/>
      </c>
      <c r="L246" s="26">
        <f>IFERROR(VLOOKUP($M246,'ITEM MASTER'!E:H,4,0),"")</f>
        <v/>
      </c>
      <c r="M246" s="26">
        <f>IFERROR(VLOOKUP($I246,'ITEM MASTER'!B:E,4,0),"")</f>
        <v/>
      </c>
      <c r="N246" s="26">
        <f>IFERROR(VLOOKUP($I246,'ITEM MASTER'!B:F,5,0),0)</f>
        <v/>
      </c>
      <c r="O246" s="26">
        <f>IFERROR(VLOOKUP($M246,'TBGS PER CTN'!B:C,2,0),0)</f>
        <v/>
      </c>
      <c r="P246" s="26" t="n">
        <v>2000</v>
      </c>
      <c r="Q246" s="26" t="n">
        <v>0</v>
      </c>
      <c r="R246" s="26" t="n">
        <v>0</v>
      </c>
      <c r="S246" s="26">
        <f>Q246+R246</f>
        <v/>
      </c>
      <c r="T246" s="29" t="n">
        <v>2000</v>
      </c>
      <c r="U246" s="29">
        <f>N246*O246*T246</f>
        <v/>
      </c>
      <c r="V246" s="82">
        <f>IF(ISNUMBER($D246),$D246-WEEKDAY($D246,3),'ORDER VS WEEK DISTRIBUTION'!$G$500)</f>
        <v/>
      </c>
      <c r="W246" s="82">
        <f>MAX($V246,'ORDER VS WEEK DISTRIBUTION'!$G$500)</f>
        <v/>
      </c>
      <c r="X246" s="26">
        <f>IFERROR(VLOOKUP($J246,'ORDER VS WEEK DISTRIBUTION'!$T:$U,2,0),"")</f>
        <v/>
      </c>
      <c r="Y246" s="26">
        <f>IFERROR($T246/IF(IFERROR(VLOOKUP($I246,'ITEM CFC PER CONTAINER'!$A:$B,2,0),0)&gt;0,VLOOKUP($I246,'ITEM CFC PER CONTAINER'!$A:$B,2,0),VLOOKUP($X246,'MC MASTER'!$A:$Q,16,0)),"")</f>
        <v/>
      </c>
    </row>
    <row r="247" ht="15" customHeight="1" s="5">
      <c r="A247" s="26" t="inlineStr">
        <is>
          <t>SUNRAJ GLOBAL FZC</t>
        </is>
      </c>
      <c r="B247" s="26" t="inlineStr">
        <is>
          <t>MJIL/SO/26043585</t>
        </is>
      </c>
      <c r="C247" s="26" t="inlineStr">
        <is>
          <t>MJ-083/26-27</t>
        </is>
      </c>
      <c r="D247" s="82" t="n">
        <v>46310</v>
      </c>
      <c r="E247" s="83">
        <f>IF(ISNUMBER($D247),EOMONTH($D247,-1)+1,"")</f>
        <v/>
      </c>
      <c r="F247" s="82" t="n">
        <v>46310</v>
      </c>
      <c r="G247" s="26" t="n">
        <v>23136</v>
      </c>
      <c r="H247" s="26">
        <f>B247&amp;I247</f>
        <v/>
      </c>
      <c r="I247" s="26" t="inlineStr">
        <is>
          <t>AL FINA COCKTAIL 24/25 DC ENV TBGS</t>
        </is>
      </c>
      <c r="J247" s="30" t="inlineStr">
        <is>
          <t>CONSTANTA ENV</t>
        </is>
      </c>
      <c r="K247" s="26">
        <f>J247&amp;"-"&amp;TEXT(W247,"dd-mmm-yy")</f>
        <v/>
      </c>
      <c r="L247" s="26">
        <f>IFERROR(VLOOKUP($M247,'ITEM MASTER'!E:H,4,0),"")</f>
        <v/>
      </c>
      <c r="M247" s="26">
        <f>IFERROR(VLOOKUP($I247,'ITEM MASTER'!B:E,4,0),"")</f>
        <v/>
      </c>
      <c r="N247" s="26">
        <f>IFERROR(VLOOKUP($I247,'ITEM MASTER'!B:F,5,0),0)</f>
        <v/>
      </c>
      <c r="O247" s="26">
        <f>IFERROR(VLOOKUP($M247,'TBGS PER CTN'!B:C,2,0),0)</f>
        <v/>
      </c>
      <c r="P247" s="26" t="n">
        <v>600</v>
      </c>
      <c r="Q247" s="26" t="n">
        <v>0</v>
      </c>
      <c r="R247" s="26" t="n">
        <v>0</v>
      </c>
      <c r="S247" s="26">
        <f>Q247+R247</f>
        <v/>
      </c>
      <c r="T247" s="29" t="n">
        <v>600</v>
      </c>
      <c r="U247" s="29">
        <f>N247*O247*T247</f>
        <v/>
      </c>
      <c r="V247" s="82">
        <f>IF(ISNUMBER($D247),$D247-WEEKDAY($D247,3),'ORDER VS WEEK DISTRIBUTION'!$G$500)</f>
        <v/>
      </c>
      <c r="W247" s="82">
        <f>MAX($V247,'ORDER VS WEEK DISTRIBUTION'!$G$500)</f>
        <v/>
      </c>
      <c r="X247" s="26">
        <f>IFERROR(VLOOKUP($J247,'ORDER VS WEEK DISTRIBUTION'!$T:$U,2,0),"")</f>
        <v/>
      </c>
      <c r="Y247" s="26">
        <f>IFERROR($T247/IF(IFERROR(VLOOKUP($I247,'ITEM CFC PER CONTAINER'!$A:$B,2,0),0)&gt;0,VLOOKUP($I247,'ITEM CFC PER CONTAINER'!$A:$B,2,0),VLOOKUP($X247,'MC MASTER'!$A:$Q,16,0)),"")</f>
        <v/>
      </c>
    </row>
    <row r="248" ht="15" customHeight="1" s="5">
      <c r="A248" s="26" t="inlineStr">
        <is>
          <t>SUNRAJ GLOBAL FZC</t>
        </is>
      </c>
      <c r="B248" s="26" t="inlineStr">
        <is>
          <t>MJIL/SO/26043585</t>
        </is>
      </c>
      <c r="C248" s="26" t="inlineStr">
        <is>
          <t>MJ-083/26-27</t>
        </is>
      </c>
      <c r="D248" s="82" t="n">
        <v>46310</v>
      </c>
      <c r="E248" s="83">
        <f>IF(ISNUMBER($D248),EOMONTH($D248,-1)+1,"")</f>
        <v/>
      </c>
      <c r="F248" s="82" t="n">
        <v>46310</v>
      </c>
      <c r="G248" s="26" t="n">
        <v>26164</v>
      </c>
      <c r="H248" s="26">
        <f>B248&amp;I248</f>
        <v/>
      </c>
      <c r="I248" s="26" t="inlineStr">
        <is>
          <t>AL FINA PINEAPPLE 24/25 DC ENV TBGS</t>
        </is>
      </c>
      <c r="J248" s="30" t="inlineStr">
        <is>
          <t>CONSTANTA ENV</t>
        </is>
      </c>
      <c r="K248" s="26">
        <f>J248&amp;"-"&amp;TEXT(W248,"dd-mmm-yy")</f>
        <v/>
      </c>
      <c r="L248" s="26">
        <f>IFERROR(VLOOKUP($M248,'ITEM MASTER'!E:H,4,0),"")</f>
        <v/>
      </c>
      <c r="M248" s="26">
        <f>IFERROR(VLOOKUP($I248,'ITEM MASTER'!B:E,4,0),"")</f>
        <v/>
      </c>
      <c r="N248" s="26">
        <f>IFERROR(VLOOKUP($I248,'ITEM MASTER'!B:F,5,0),0)</f>
        <v/>
      </c>
      <c r="O248" s="26">
        <f>IFERROR(VLOOKUP($M248,'TBGS PER CTN'!B:C,2,0),0)</f>
        <v/>
      </c>
      <c r="P248" s="26" t="n">
        <v>600</v>
      </c>
      <c r="Q248" s="26" t="n">
        <v>0</v>
      </c>
      <c r="R248" s="26" t="n">
        <v>0</v>
      </c>
      <c r="S248" s="26">
        <f>Q248+R248</f>
        <v/>
      </c>
      <c r="T248" s="29" t="n">
        <v>600</v>
      </c>
      <c r="U248" s="29">
        <f>N248*O248*T248</f>
        <v/>
      </c>
      <c r="V248" s="82">
        <f>IF(ISNUMBER($D248),$D248-WEEKDAY($D248,3),'ORDER VS WEEK DISTRIBUTION'!$G$500)</f>
        <v/>
      </c>
      <c r="W248" s="82">
        <f>MAX($V248,'ORDER VS WEEK DISTRIBUTION'!$G$500)</f>
        <v/>
      </c>
      <c r="X248" s="26">
        <f>IFERROR(VLOOKUP($J248,'ORDER VS WEEK DISTRIBUTION'!$T:$U,2,0),"")</f>
        <v/>
      </c>
      <c r="Y248" s="26">
        <f>IFERROR($T248/IF(IFERROR(VLOOKUP($I248,'ITEM CFC PER CONTAINER'!$A:$B,2,0),0)&gt;0,VLOOKUP($I248,'ITEM CFC PER CONTAINER'!$A:$B,2,0),VLOOKUP($X248,'MC MASTER'!$A:$Q,16,0)),"")</f>
        <v/>
      </c>
    </row>
    <row r="249" ht="15" customHeight="1" s="5">
      <c r="A249" s="26" t="inlineStr">
        <is>
          <t>SUNRAJ GLOBAL FZC</t>
        </is>
      </c>
      <c r="B249" s="26" t="inlineStr">
        <is>
          <t>MJIL/SO/26043585</t>
        </is>
      </c>
      <c r="C249" s="26" t="inlineStr">
        <is>
          <t>MJ-083/26-27</t>
        </is>
      </c>
      <c r="D249" s="82" t="n">
        <v>46310</v>
      </c>
      <c r="E249" s="83">
        <f>IF(ISNUMBER($D249),EOMONTH($D249,-1)+1,"")</f>
        <v/>
      </c>
      <c r="F249" s="82" t="n">
        <v>46310</v>
      </c>
      <c r="G249" s="26" t="n">
        <v>23143</v>
      </c>
      <c r="H249" s="26">
        <f>B249&amp;I249</f>
        <v/>
      </c>
      <c r="I249" s="26" t="inlineStr">
        <is>
          <t>AL FINA MINT 24/25 DC ENV TBGS</t>
        </is>
      </c>
      <c r="J249" s="30" t="inlineStr">
        <is>
          <t>CONSTANTA ENV</t>
        </is>
      </c>
      <c r="K249" s="26">
        <f>J249&amp;"-"&amp;TEXT(W249,"dd-mmm-yy")</f>
        <v/>
      </c>
      <c r="L249" s="26">
        <f>IFERROR(VLOOKUP($M249,'ITEM MASTER'!E:H,4,0),"")</f>
        <v/>
      </c>
      <c r="M249" s="26">
        <f>IFERROR(VLOOKUP($I249,'ITEM MASTER'!B:E,4,0),"")</f>
        <v/>
      </c>
      <c r="N249" s="26">
        <f>IFERROR(VLOOKUP($I249,'ITEM MASTER'!B:F,5,0),0)</f>
        <v/>
      </c>
      <c r="O249" s="26">
        <f>IFERROR(VLOOKUP($M249,'TBGS PER CTN'!B:C,2,0),0)</f>
        <v/>
      </c>
      <c r="P249" s="26" t="n">
        <v>600</v>
      </c>
      <c r="Q249" s="26" t="n">
        <v>20</v>
      </c>
      <c r="R249" s="26" t="n">
        <v>380</v>
      </c>
      <c r="S249" s="26">
        <f>Q249+R249</f>
        <v/>
      </c>
      <c r="T249" s="29" t="n">
        <v>200</v>
      </c>
      <c r="U249" s="29">
        <f>N249*O249*T249</f>
        <v/>
      </c>
      <c r="V249" s="82">
        <f>IF(ISNUMBER($D249),$D249-WEEKDAY($D249,3),'ORDER VS WEEK DISTRIBUTION'!$G$500)</f>
        <v/>
      </c>
      <c r="W249" s="82">
        <f>MAX($V249,'ORDER VS WEEK DISTRIBUTION'!$G$500)</f>
        <v/>
      </c>
      <c r="X249" s="26">
        <f>IFERROR(VLOOKUP($J249,'ORDER VS WEEK DISTRIBUTION'!$T:$U,2,0),"")</f>
        <v/>
      </c>
      <c r="Y249" s="26">
        <f>IFERROR($T249/IF(IFERROR(VLOOKUP($I249,'ITEM CFC PER CONTAINER'!$A:$B,2,0),0)&gt;0,VLOOKUP($I249,'ITEM CFC PER CONTAINER'!$A:$B,2,0),VLOOKUP($X249,'MC MASTER'!$A:$Q,16,0)),"")</f>
        <v/>
      </c>
    </row>
    <row r="250" ht="15" customHeight="1" s="5">
      <c r="A250" s="26" t="inlineStr">
        <is>
          <t>SUNRAJ GLOBAL FZC</t>
        </is>
      </c>
      <c r="B250" s="26" t="inlineStr">
        <is>
          <t>MJIL/SO/26043585</t>
        </is>
      </c>
      <c r="C250" s="26" t="inlineStr">
        <is>
          <t>MJ-083/26-27</t>
        </is>
      </c>
      <c r="D250" s="82" t="n">
        <v>46310</v>
      </c>
      <c r="E250" s="83">
        <f>IF(ISNUMBER($D250),EOMONTH($D250,-1)+1,"")</f>
        <v/>
      </c>
      <c r="F250" s="82" t="n">
        <v>46310</v>
      </c>
      <c r="G250" s="26" t="n">
        <v>23141</v>
      </c>
      <c r="H250" s="26">
        <f>B250&amp;I250</f>
        <v/>
      </c>
      <c r="I250" s="26" t="inlineStr">
        <is>
          <t>AL FINA LEMON 24/25 DC ENV TBGS</t>
        </is>
      </c>
      <c r="J250" s="30" t="inlineStr">
        <is>
          <t>CONSTANTA ENV</t>
        </is>
      </c>
      <c r="K250" s="26">
        <f>J250&amp;"-"&amp;TEXT(W250,"dd-mmm-yy")</f>
        <v/>
      </c>
      <c r="L250" s="26">
        <f>IFERROR(VLOOKUP($M250,'ITEM MASTER'!E:H,4,0),"")</f>
        <v/>
      </c>
      <c r="M250" s="26">
        <f>IFERROR(VLOOKUP($I250,'ITEM MASTER'!B:E,4,0),"")</f>
        <v/>
      </c>
      <c r="N250" s="26">
        <f>IFERROR(VLOOKUP($I250,'ITEM MASTER'!B:F,5,0),0)</f>
        <v/>
      </c>
      <c r="O250" s="26">
        <f>IFERROR(VLOOKUP($M250,'TBGS PER CTN'!B:C,2,0),0)</f>
        <v/>
      </c>
      <c r="P250" s="26" t="n">
        <v>1000</v>
      </c>
      <c r="Q250" s="26" t="n">
        <v>0</v>
      </c>
      <c r="R250" s="26" t="n">
        <v>0</v>
      </c>
      <c r="S250" s="26">
        <f>Q250+R250</f>
        <v/>
      </c>
      <c r="T250" s="29" t="n">
        <v>1000</v>
      </c>
      <c r="U250" s="29">
        <f>N250*O250*T250</f>
        <v/>
      </c>
      <c r="V250" s="82">
        <f>IF(ISNUMBER($D250),$D250-WEEKDAY($D250,3),'ORDER VS WEEK DISTRIBUTION'!$G$500)</f>
        <v/>
      </c>
      <c r="W250" s="82">
        <f>MAX($V250,'ORDER VS WEEK DISTRIBUTION'!$G$500)</f>
        <v/>
      </c>
      <c r="X250" s="26">
        <f>IFERROR(VLOOKUP($J250,'ORDER VS WEEK DISTRIBUTION'!$T:$U,2,0),"")</f>
        <v/>
      </c>
      <c r="Y250" s="26">
        <f>IFERROR($T250/IF(IFERROR(VLOOKUP($I250,'ITEM CFC PER CONTAINER'!$A:$B,2,0),0)&gt;0,VLOOKUP($I250,'ITEM CFC PER CONTAINER'!$A:$B,2,0),VLOOKUP($X250,'MC MASTER'!$A:$Q,16,0)),"")</f>
        <v/>
      </c>
    </row>
    <row r="251" ht="15" customHeight="1" s="5">
      <c r="A251" s="26" t="inlineStr">
        <is>
          <t>SUNRAJ GLOBAL FZC</t>
        </is>
      </c>
      <c r="B251" s="26" t="inlineStr">
        <is>
          <t>MJIL/SO/26043585</t>
        </is>
      </c>
      <c r="C251" s="26" t="inlineStr">
        <is>
          <t>MJ-083/26-27</t>
        </is>
      </c>
      <c r="D251" s="82" t="n">
        <v>46310</v>
      </c>
      <c r="E251" s="83">
        <f>IF(ISNUMBER($D251),EOMONTH($D251,-1)+1,"")</f>
        <v/>
      </c>
      <c r="F251" s="82" t="n">
        <v>46310</v>
      </c>
      <c r="G251" s="26" t="n">
        <v>23772</v>
      </c>
      <c r="H251" s="26">
        <f>B251&amp;I251</f>
        <v/>
      </c>
      <c r="I251" s="26" t="inlineStr">
        <is>
          <t>AL FINA GREEN TEA 24/25 DC ENV TBGS</t>
        </is>
      </c>
      <c r="J251" s="30" t="inlineStr">
        <is>
          <t>CONSTANTA ENV</t>
        </is>
      </c>
      <c r="K251" s="26">
        <f>J251&amp;"-"&amp;TEXT(W251,"dd-mmm-yy")</f>
        <v/>
      </c>
      <c r="L251" s="26">
        <f>IFERROR(VLOOKUP($M251,'ITEM MASTER'!E:H,4,0),"")</f>
        <v/>
      </c>
      <c r="M251" s="26">
        <f>IFERROR(VLOOKUP($I251,'ITEM MASTER'!B:E,4,0),"")</f>
        <v/>
      </c>
      <c r="N251" s="26">
        <f>IFERROR(VLOOKUP($I251,'ITEM MASTER'!B:F,5,0),0)</f>
        <v/>
      </c>
      <c r="O251" s="26">
        <f>IFERROR(VLOOKUP($M251,'TBGS PER CTN'!B:C,2,0),0)</f>
        <v/>
      </c>
      <c r="P251" s="26" t="n">
        <v>2000</v>
      </c>
      <c r="Q251" s="26" t="n">
        <v>20</v>
      </c>
      <c r="R251" s="26" t="n">
        <v>0</v>
      </c>
      <c r="S251" s="26">
        <f>Q251+R251</f>
        <v/>
      </c>
      <c r="T251" s="29" t="n">
        <v>1980</v>
      </c>
      <c r="U251" s="29">
        <f>N251*O251*T251</f>
        <v/>
      </c>
      <c r="V251" s="82">
        <f>IF(ISNUMBER($D251),$D251-WEEKDAY($D251,3),'ORDER VS WEEK DISTRIBUTION'!$G$500)</f>
        <v/>
      </c>
      <c r="W251" s="82">
        <f>MAX($V251,'ORDER VS WEEK DISTRIBUTION'!$G$500)</f>
        <v/>
      </c>
      <c r="X251" s="26">
        <f>IFERROR(VLOOKUP($J251,'ORDER VS WEEK DISTRIBUTION'!$T:$U,2,0),"")</f>
        <v/>
      </c>
      <c r="Y251" s="26">
        <f>IFERROR($T251/IF(IFERROR(VLOOKUP($I251,'ITEM CFC PER CONTAINER'!$A:$B,2,0),0)&gt;0,VLOOKUP($I251,'ITEM CFC PER CONTAINER'!$A:$B,2,0),VLOOKUP($X251,'MC MASTER'!$A:$Q,16,0)),"")</f>
        <v/>
      </c>
    </row>
    <row r="252" ht="15" customHeight="1" s="5">
      <c r="A252" s="26" t="inlineStr">
        <is>
          <t>SUNRAJ GLOBAL FZC</t>
        </is>
      </c>
      <c r="B252" s="26" t="inlineStr">
        <is>
          <t>MJIL/SO/26043585</t>
        </is>
      </c>
      <c r="C252" s="26" t="inlineStr">
        <is>
          <t>MJ-083/26-27</t>
        </is>
      </c>
      <c r="D252" s="82" t="n">
        <v>46310</v>
      </c>
      <c r="E252" s="83">
        <f>IF(ISNUMBER($D252),EOMONTH($D252,-1)+1,"")</f>
        <v/>
      </c>
      <c r="F252" s="82" t="n">
        <v>46310</v>
      </c>
      <c r="G252" s="26" t="n">
        <v>26081</v>
      </c>
      <c r="H252" s="26">
        <f>B252&amp;I252</f>
        <v/>
      </c>
      <c r="I252" s="26" t="inlineStr">
        <is>
          <t>AL FINA CHAMOMILE 24/25 DC ENV TBGS</t>
        </is>
      </c>
      <c r="J252" s="30" t="inlineStr">
        <is>
          <t>CONSTANTA ENV</t>
        </is>
      </c>
      <c r="K252" s="26">
        <f>J252&amp;"-"&amp;TEXT(W252,"dd-mmm-yy")</f>
        <v/>
      </c>
      <c r="L252" s="26">
        <f>IFERROR(VLOOKUP($M252,'ITEM MASTER'!E:H,4,0),"")</f>
        <v/>
      </c>
      <c r="M252" s="26">
        <f>IFERROR(VLOOKUP($I252,'ITEM MASTER'!B:E,4,0),"")</f>
        <v/>
      </c>
      <c r="N252" s="26">
        <f>IFERROR(VLOOKUP($I252,'ITEM MASTER'!B:F,5,0),0)</f>
        <v/>
      </c>
      <c r="O252" s="26">
        <f>IFERROR(VLOOKUP($M252,'TBGS PER CTN'!B:C,2,0),0)</f>
        <v/>
      </c>
      <c r="P252" s="26" t="n">
        <v>3200</v>
      </c>
      <c r="Q252" s="26" t="n">
        <v>0</v>
      </c>
      <c r="R252" s="26" t="n">
        <v>0</v>
      </c>
      <c r="S252" s="26">
        <f>Q252+R252</f>
        <v/>
      </c>
      <c r="T252" s="29" t="n">
        <v>3200</v>
      </c>
      <c r="U252" s="29">
        <f>N252*O252*T252</f>
        <v/>
      </c>
      <c r="V252" s="82">
        <f>IF(ISNUMBER($D252),$D252-WEEKDAY($D252,3),'ORDER VS WEEK DISTRIBUTION'!$G$500)</f>
        <v/>
      </c>
      <c r="W252" s="82">
        <f>MAX($V252,'ORDER VS WEEK DISTRIBUTION'!$G$500)</f>
        <v/>
      </c>
      <c r="X252" s="26">
        <f>IFERROR(VLOOKUP($J252,'ORDER VS WEEK DISTRIBUTION'!$T:$U,2,0),"")</f>
        <v/>
      </c>
      <c r="Y252" s="26">
        <f>IFERROR($T252/IF(IFERROR(VLOOKUP($I252,'ITEM CFC PER CONTAINER'!$A:$B,2,0),0)&gt;0,VLOOKUP($I252,'ITEM CFC PER CONTAINER'!$A:$B,2,0),VLOOKUP($X252,'MC MASTER'!$A:$Q,16,0)),"")</f>
        <v/>
      </c>
    </row>
    <row r="253" ht="15" customHeight="1" s="5">
      <c r="A253" s="26" t="inlineStr">
        <is>
          <t>SUNRAJ GLOBAL FZC</t>
        </is>
      </c>
      <c r="B253" s="26" t="inlineStr">
        <is>
          <t>MJIL/SO/26043585</t>
        </is>
      </c>
      <c r="C253" s="26" t="inlineStr">
        <is>
          <t>MJ-083/26-27</t>
        </is>
      </c>
      <c r="D253" s="82" t="n">
        <v>46310</v>
      </c>
      <c r="E253" s="83">
        <f>IF(ISNUMBER($D253),EOMONTH($D253,-1)+1,"")</f>
        <v/>
      </c>
      <c r="F253" s="82" t="n">
        <v>46310</v>
      </c>
      <c r="G253" s="26" t="n">
        <v>23139</v>
      </c>
      <c r="H253" s="26">
        <f>B253&amp;I253</f>
        <v/>
      </c>
      <c r="I253" s="26" t="inlineStr">
        <is>
          <t>AL FINA GINGER 24/25 DC ENV TBGS</t>
        </is>
      </c>
      <c r="J253" s="30" t="inlineStr">
        <is>
          <t>CONSTANTA ENV</t>
        </is>
      </c>
      <c r="K253" s="26">
        <f>J253&amp;"-"&amp;TEXT(W253,"dd-mmm-yy")</f>
        <v/>
      </c>
      <c r="L253" s="26">
        <f>IFERROR(VLOOKUP($M253,'ITEM MASTER'!E:H,4,0),"")</f>
        <v/>
      </c>
      <c r="M253" s="26">
        <f>IFERROR(VLOOKUP($I253,'ITEM MASTER'!B:E,4,0),"")</f>
        <v/>
      </c>
      <c r="N253" s="26">
        <f>IFERROR(VLOOKUP($I253,'ITEM MASTER'!B:F,5,0),0)</f>
        <v/>
      </c>
      <c r="O253" s="26">
        <f>IFERROR(VLOOKUP($M253,'TBGS PER CTN'!B:C,2,0),0)</f>
        <v/>
      </c>
      <c r="P253" s="26" t="n">
        <v>1000</v>
      </c>
      <c r="Q253" s="26" t="n">
        <v>0</v>
      </c>
      <c r="R253" s="26" t="n">
        <v>173</v>
      </c>
      <c r="S253" s="26">
        <f>Q253+R253</f>
        <v/>
      </c>
      <c r="T253" s="29" t="n">
        <v>827</v>
      </c>
      <c r="U253" s="29">
        <f>N253*O253*T253</f>
        <v/>
      </c>
      <c r="V253" s="82">
        <f>IF(ISNUMBER($D253),$D253-WEEKDAY($D253,3),'ORDER VS WEEK DISTRIBUTION'!$G$500)</f>
        <v/>
      </c>
      <c r="W253" s="82">
        <f>MAX($V253,'ORDER VS WEEK DISTRIBUTION'!$G$500)</f>
        <v/>
      </c>
      <c r="X253" s="26">
        <f>IFERROR(VLOOKUP($J253,'ORDER VS WEEK DISTRIBUTION'!$T:$U,2,0),"")</f>
        <v/>
      </c>
      <c r="Y253" s="26">
        <f>IFERROR($T253/IF(IFERROR(VLOOKUP($I253,'ITEM CFC PER CONTAINER'!$A:$B,2,0),0)&gt;0,VLOOKUP($I253,'ITEM CFC PER CONTAINER'!$A:$B,2,0),VLOOKUP($X253,'MC MASTER'!$A:$Q,16,0)),"")</f>
        <v/>
      </c>
    </row>
    <row r="254" ht="15" customHeight="1" s="5">
      <c r="A254" s="26" t="inlineStr">
        <is>
          <t>SUNRAJ GLOBAL FZC</t>
        </is>
      </c>
      <c r="B254" s="26" t="inlineStr">
        <is>
          <t>MJIL/SO/26043585</t>
        </is>
      </c>
      <c r="C254" s="26" t="inlineStr">
        <is>
          <t>MJ-083/26-27</t>
        </is>
      </c>
      <c r="D254" s="82" t="n">
        <v>46310</v>
      </c>
      <c r="E254" s="83">
        <f>IF(ISNUMBER($D254),EOMONTH($D254,-1)+1,"")</f>
        <v/>
      </c>
      <c r="F254" s="82" t="n">
        <v>46310</v>
      </c>
      <c r="G254" s="26" t="n">
        <v>31017</v>
      </c>
      <c r="H254" s="26">
        <f>B254&amp;I254</f>
        <v/>
      </c>
      <c r="I254" s="26" t="inlineStr">
        <is>
          <t>AL FINA CLOVE 24/25 DC ENV TBGS</t>
        </is>
      </c>
      <c r="J254" s="30" t="inlineStr">
        <is>
          <t>CONSTANTA ENV</t>
        </is>
      </c>
      <c r="K254" s="26">
        <f>J254&amp;"-"&amp;TEXT(W254,"dd-mmm-yy")</f>
        <v/>
      </c>
      <c r="L254" s="26">
        <f>IFERROR(VLOOKUP($M254,'ITEM MASTER'!E:H,4,0),"")</f>
        <v/>
      </c>
      <c r="M254" s="26">
        <f>IFERROR(VLOOKUP($I254,'ITEM MASTER'!B:E,4,0),"")</f>
        <v/>
      </c>
      <c r="N254" s="26">
        <f>IFERROR(VLOOKUP($I254,'ITEM MASTER'!B:F,5,0),0)</f>
        <v/>
      </c>
      <c r="O254" s="26">
        <f>IFERROR(VLOOKUP($M254,'TBGS PER CTN'!B:C,2,0),0)</f>
        <v/>
      </c>
      <c r="P254" s="26" t="n">
        <v>300</v>
      </c>
      <c r="Q254" s="26" t="n">
        <v>19</v>
      </c>
      <c r="R254" s="26" t="n">
        <v>0</v>
      </c>
      <c r="S254" s="26">
        <f>Q254+R254</f>
        <v/>
      </c>
      <c r="T254" s="29" t="n">
        <v>281</v>
      </c>
      <c r="U254" s="29">
        <f>N254*O254*T254</f>
        <v/>
      </c>
      <c r="V254" s="82">
        <f>IF(ISNUMBER($D254),$D254-WEEKDAY($D254,3),'ORDER VS WEEK DISTRIBUTION'!$G$500)</f>
        <v/>
      </c>
      <c r="W254" s="82">
        <f>MAX($V254,'ORDER VS WEEK DISTRIBUTION'!$G$500)</f>
        <v/>
      </c>
      <c r="X254" s="26">
        <f>IFERROR(VLOOKUP($J254,'ORDER VS WEEK DISTRIBUTION'!$T:$U,2,0),"")</f>
        <v/>
      </c>
      <c r="Y254" s="26">
        <f>IFERROR($T254/IF(IFERROR(VLOOKUP($I254,'ITEM CFC PER CONTAINER'!$A:$B,2,0),0)&gt;0,VLOOKUP($I254,'ITEM CFC PER CONTAINER'!$A:$B,2,0),VLOOKUP($X254,'MC MASTER'!$A:$Q,16,0)),"")</f>
        <v/>
      </c>
    </row>
    <row r="255" ht="15" customHeight="1" s="5">
      <c r="A255" s="26" t="inlineStr">
        <is>
          <t>SUNRAJ GLOBAL FZC</t>
        </is>
      </c>
      <c r="B255" s="26" t="inlineStr">
        <is>
          <t>MJIL/SO/26043585</t>
        </is>
      </c>
      <c r="C255" s="26" t="inlineStr">
        <is>
          <t>MJ-083/26-27</t>
        </is>
      </c>
      <c r="D255" s="82" t="n">
        <v>46310</v>
      </c>
      <c r="E255" s="83">
        <f>IF(ISNUMBER($D255),EOMONTH($D255,-1)+1,"")</f>
        <v/>
      </c>
      <c r="F255" s="82" t="n">
        <v>46310</v>
      </c>
      <c r="G255" s="26" t="n">
        <v>23142</v>
      </c>
      <c r="H255" s="26">
        <f>B255&amp;I255</f>
        <v/>
      </c>
      <c r="I255" s="26" t="inlineStr">
        <is>
          <t>AL FINA MANGO 24/25 DC ENV TBGS</t>
        </is>
      </c>
      <c r="J255" s="30" t="inlineStr">
        <is>
          <t>CONSTANTA ENV</t>
        </is>
      </c>
      <c r="K255" s="26">
        <f>J255&amp;"-"&amp;TEXT(W255,"dd-mmm-yy")</f>
        <v/>
      </c>
      <c r="L255" s="26">
        <f>IFERROR(VLOOKUP($M255,'ITEM MASTER'!E:H,4,0),"")</f>
        <v/>
      </c>
      <c r="M255" s="26">
        <f>IFERROR(VLOOKUP($I255,'ITEM MASTER'!B:E,4,0),"")</f>
        <v/>
      </c>
      <c r="N255" s="26">
        <f>IFERROR(VLOOKUP($I255,'ITEM MASTER'!B:F,5,0),0)</f>
        <v/>
      </c>
      <c r="O255" s="26">
        <f>IFERROR(VLOOKUP($M255,'TBGS PER CTN'!B:C,2,0),0)</f>
        <v/>
      </c>
      <c r="P255" s="26" t="n">
        <v>300</v>
      </c>
      <c r="Q255" s="26" t="n">
        <v>0</v>
      </c>
      <c r="R255" s="26" t="n">
        <v>0</v>
      </c>
      <c r="S255" s="26">
        <f>Q255+R255</f>
        <v/>
      </c>
      <c r="T255" s="29" t="n">
        <v>300</v>
      </c>
      <c r="U255" s="29">
        <f>N255*O255*T255</f>
        <v/>
      </c>
      <c r="V255" s="82">
        <f>IF(ISNUMBER($D255),$D255-WEEKDAY($D255,3),'ORDER VS WEEK DISTRIBUTION'!$G$500)</f>
        <v/>
      </c>
      <c r="W255" s="82">
        <f>MAX($V255,'ORDER VS WEEK DISTRIBUTION'!$G$500)</f>
        <v/>
      </c>
      <c r="X255" s="26">
        <f>IFERROR(VLOOKUP($J255,'ORDER VS WEEK DISTRIBUTION'!$T:$U,2,0),"")</f>
        <v/>
      </c>
      <c r="Y255" s="26">
        <f>IFERROR($T255/IF(IFERROR(VLOOKUP($I255,'ITEM CFC PER CONTAINER'!$A:$B,2,0),0)&gt;0,VLOOKUP($I255,'ITEM CFC PER CONTAINER'!$A:$B,2,0),VLOOKUP($X255,'MC MASTER'!$A:$Q,16,0)),"")</f>
        <v/>
      </c>
    </row>
    <row r="256" ht="15" customHeight="1" s="5">
      <c r="A256" s="26" t="inlineStr">
        <is>
          <t>SUNRAJ GLOBAL FZC</t>
        </is>
      </c>
      <c r="B256" s="26" t="inlineStr">
        <is>
          <t>MJIL/SO/26043585</t>
        </is>
      </c>
      <c r="C256" s="26" t="inlineStr">
        <is>
          <t>MJ-083/26-27</t>
        </is>
      </c>
      <c r="D256" s="82" t="n">
        <v>46310</v>
      </c>
      <c r="E256" s="83">
        <f>IF(ISNUMBER($D256),EOMONTH($D256,-1)+1,"")</f>
        <v/>
      </c>
      <c r="F256" s="82" t="n">
        <v>46310</v>
      </c>
      <c r="G256" s="26" t="n">
        <v>23144</v>
      </c>
      <c r="H256" s="26">
        <f>B256&amp;I256</f>
        <v/>
      </c>
      <c r="I256" s="26" t="inlineStr">
        <is>
          <t>AL FINA ORANGE 24/25 DC ENV TBGS</t>
        </is>
      </c>
      <c r="J256" s="30" t="inlineStr">
        <is>
          <t>CONSTANTA ENV</t>
        </is>
      </c>
      <c r="K256" s="26">
        <f>J256&amp;"-"&amp;TEXT(W256,"dd-mmm-yy")</f>
        <v/>
      </c>
      <c r="L256" s="26">
        <f>IFERROR(VLOOKUP($M256,'ITEM MASTER'!E:H,4,0),"")</f>
        <v/>
      </c>
      <c r="M256" s="26">
        <f>IFERROR(VLOOKUP($I256,'ITEM MASTER'!B:E,4,0),"")</f>
        <v/>
      </c>
      <c r="N256" s="26">
        <f>IFERROR(VLOOKUP($I256,'ITEM MASTER'!B:F,5,0),0)</f>
        <v/>
      </c>
      <c r="O256" s="26">
        <f>IFERROR(VLOOKUP($M256,'TBGS PER CTN'!B:C,2,0),0)</f>
        <v/>
      </c>
      <c r="P256" s="26" t="n">
        <v>300</v>
      </c>
      <c r="Q256" s="26" t="n">
        <v>0</v>
      </c>
      <c r="R256" s="26" t="n">
        <v>112</v>
      </c>
      <c r="S256" s="26">
        <f>Q256+R256</f>
        <v/>
      </c>
      <c r="T256" s="29" t="n">
        <v>188</v>
      </c>
      <c r="U256" s="29">
        <f>N256*O256*T256</f>
        <v/>
      </c>
      <c r="V256" s="82">
        <f>IF(ISNUMBER($D256),$D256-WEEKDAY($D256,3),'ORDER VS WEEK DISTRIBUTION'!$G$500)</f>
        <v/>
      </c>
      <c r="W256" s="82">
        <f>MAX($V256,'ORDER VS WEEK DISTRIBUTION'!$G$500)</f>
        <v/>
      </c>
      <c r="X256" s="26">
        <f>IFERROR(VLOOKUP($J256,'ORDER VS WEEK DISTRIBUTION'!$T:$U,2,0),"")</f>
        <v/>
      </c>
      <c r="Y256" s="26">
        <f>IFERROR($T256/IF(IFERROR(VLOOKUP($I256,'ITEM CFC PER CONTAINER'!$A:$B,2,0),0)&gt;0,VLOOKUP($I256,'ITEM CFC PER CONTAINER'!$A:$B,2,0),VLOOKUP($X256,'MC MASTER'!$A:$Q,16,0)),"")</f>
        <v/>
      </c>
    </row>
    <row r="257" ht="15" customHeight="1" s="5">
      <c r="A257" s="26" t="inlineStr">
        <is>
          <t>SUNRAJ GLOBAL FZC</t>
        </is>
      </c>
      <c r="B257" s="26" t="inlineStr">
        <is>
          <t>MJIL/SO/26043585</t>
        </is>
      </c>
      <c r="C257" s="26" t="inlineStr">
        <is>
          <t>MJ-083/26-27</t>
        </is>
      </c>
      <c r="D257" s="82" t="n">
        <v>46310</v>
      </c>
      <c r="E257" s="83">
        <f>IF(ISNUMBER($D257),EOMONTH($D257,-1)+1,"")</f>
        <v/>
      </c>
      <c r="F257" s="82" t="n">
        <v>46310</v>
      </c>
      <c r="G257" s="26" t="n">
        <v>34031</v>
      </c>
      <c r="H257" s="26">
        <f>B257&amp;I257</f>
        <v/>
      </c>
      <c r="I257" s="26" t="inlineStr">
        <is>
          <t>AL FINA COFFEE 3 IN 1 (20 GMS) 12 STRIPS X 10 SACHETS WITH HANGER</t>
        </is>
      </c>
      <c r="J257" s="30" t="inlineStr">
        <is>
          <t>CONSTANTA ENV</t>
        </is>
      </c>
      <c r="K257" s="26">
        <f>J257&amp;"-"&amp;TEXT(W257,"dd-mmm-yy")</f>
        <v/>
      </c>
      <c r="L257" s="26">
        <f>IFERROR(VLOOKUP($M257,'ITEM MASTER'!E:H,4,0),"")</f>
        <v/>
      </c>
      <c r="M257" s="26">
        <f>IFERROR(VLOOKUP($I257,'ITEM MASTER'!B:E,4,0),"")</f>
        <v/>
      </c>
      <c r="N257" s="26">
        <f>IFERROR(VLOOKUP($I257,'ITEM MASTER'!B:F,5,0),0)</f>
        <v/>
      </c>
      <c r="O257" s="26">
        <f>IFERROR(VLOOKUP($M257,'TBGS PER CTN'!B:C,2,0),0)</f>
        <v/>
      </c>
      <c r="P257" s="26" t="n">
        <v>500</v>
      </c>
      <c r="Q257" s="26" t="n">
        <v>0</v>
      </c>
      <c r="R257" s="26" t="n">
        <v>0</v>
      </c>
      <c r="S257" s="26">
        <f>Q257+R257</f>
        <v/>
      </c>
      <c r="T257" s="29" t="n">
        <v>500</v>
      </c>
      <c r="U257" s="29">
        <f>N257*O257*T257</f>
        <v/>
      </c>
      <c r="V257" s="82">
        <f>IF(ISNUMBER($D257),$D257-WEEKDAY($D257,3),'ORDER VS WEEK DISTRIBUTION'!$G$500)</f>
        <v/>
      </c>
      <c r="W257" s="82">
        <f>MAX($V257,'ORDER VS WEEK DISTRIBUTION'!$G$500)</f>
        <v/>
      </c>
      <c r="X257" s="26">
        <f>IFERROR(VLOOKUP($J257,'ORDER VS WEEK DISTRIBUTION'!$T:$U,2,0),"")</f>
        <v/>
      </c>
      <c r="Y257" s="26">
        <f>IFERROR($T257/IF(IFERROR(VLOOKUP($I257,'ITEM CFC PER CONTAINER'!$A:$B,2,0),0)&gt;0,VLOOKUP($I257,'ITEM CFC PER CONTAINER'!$A:$B,2,0),VLOOKUP($X257,'MC MASTER'!$A:$Q,16,0)),"")</f>
        <v/>
      </c>
    </row>
    <row r="258" ht="15" customHeight="1" s="5">
      <c r="A258" s="26" t="inlineStr">
        <is>
          <t>SUNRAJ GLOBAL FZC</t>
        </is>
      </c>
      <c r="B258" s="26" t="inlineStr">
        <is>
          <t>MJIL/SO/26043585</t>
        </is>
      </c>
      <c r="C258" s="26" t="inlineStr">
        <is>
          <t>MJ-083/26-27</t>
        </is>
      </c>
      <c r="D258" s="82" t="n">
        <v>46310</v>
      </c>
      <c r="E258" s="83">
        <f>IF(ISNUMBER($D258),EOMONTH($D258,-1)+1,"")</f>
        <v/>
      </c>
      <c r="F258" s="82" t="n">
        <v>46310</v>
      </c>
      <c r="G258" s="26" t="n">
        <v>33936</v>
      </c>
      <c r="H258" s="26">
        <f>B258&amp;I258</f>
        <v/>
      </c>
      <c r="I258" s="26" t="inlineStr">
        <is>
          <t>AL FINA CAPPUCCINO 3 IN 1 (25 GMS) 12 STRIPS X 10 SACHETS WITH HANGER</t>
        </is>
      </c>
      <c r="J258" s="30" t="inlineStr">
        <is>
          <t>CONSTANTA ENV</t>
        </is>
      </c>
      <c r="K258" s="26">
        <f>J258&amp;"-"&amp;TEXT(W258,"dd-mmm-yy")</f>
        <v/>
      </c>
      <c r="L258" s="26">
        <f>IFERROR(VLOOKUP($M258,'ITEM MASTER'!E:H,4,0),"")</f>
        <v/>
      </c>
      <c r="M258" s="26">
        <f>IFERROR(VLOOKUP($I258,'ITEM MASTER'!B:E,4,0),"")</f>
        <v/>
      </c>
      <c r="N258" s="26">
        <f>IFERROR(VLOOKUP($I258,'ITEM MASTER'!B:F,5,0),0)</f>
        <v/>
      </c>
      <c r="O258" s="26">
        <f>IFERROR(VLOOKUP($M258,'TBGS PER CTN'!B:C,2,0),0)</f>
        <v/>
      </c>
      <c r="P258" s="26" t="n">
        <v>500</v>
      </c>
      <c r="Q258" s="26" t="n">
        <v>0</v>
      </c>
      <c r="R258" s="26" t="n">
        <v>500</v>
      </c>
      <c r="S258" s="26">
        <f>Q258+R258</f>
        <v/>
      </c>
      <c r="T258" s="29" t="n">
        <v>0</v>
      </c>
      <c r="U258" s="29">
        <f>N258*O258*T258</f>
        <v/>
      </c>
      <c r="V258" s="82">
        <f>IF(ISNUMBER($D258),$D258-WEEKDAY($D258,3),'ORDER VS WEEK DISTRIBUTION'!$G$500)</f>
        <v/>
      </c>
      <c r="W258" s="82">
        <f>MAX($V258,'ORDER VS WEEK DISTRIBUTION'!$G$500)</f>
        <v/>
      </c>
      <c r="X258" s="26">
        <f>IFERROR(VLOOKUP($J258,'ORDER VS WEEK DISTRIBUTION'!$T:$U,2,0),"")</f>
        <v/>
      </c>
      <c r="Y258" s="26">
        <f>IFERROR($T258/IF(IFERROR(VLOOKUP($I258,'ITEM CFC PER CONTAINER'!$A:$B,2,0),0)&gt;0,VLOOKUP($I258,'ITEM CFC PER CONTAINER'!$A:$B,2,0),VLOOKUP($X258,'MC MASTER'!$A:$Q,16,0)),"")</f>
        <v/>
      </c>
    </row>
    <row r="259" ht="15" customHeight="1" s="5">
      <c r="A259" s="26" t="inlineStr">
        <is>
          <t>K. Chellaram &amp; Sons (Gambia) Ltd</t>
        </is>
      </c>
      <c r="B259" s="26" t="inlineStr">
        <is>
          <t>MJIL/SO/26017175</t>
        </is>
      </c>
      <c r="C259" s="26" t="inlineStr">
        <is>
          <t>MJ-041/26-27</t>
        </is>
      </c>
      <c r="D259" s="82" t="n">
        <v>46311</v>
      </c>
      <c r="E259" s="83">
        <f>IF(ISNUMBER($D259),EOMONTH($D259,-1)+1,"")</f>
        <v/>
      </c>
      <c r="F259" s="82" t="n">
        <v>46311</v>
      </c>
      <c r="G259" s="26" t="n">
        <v>22148</v>
      </c>
      <c r="H259" s="26">
        <f>B259&amp;I259</f>
        <v/>
      </c>
      <c r="I259" s="26" t="inlineStr">
        <is>
          <t>GOLD BOND 24/100 SC TBGS TAGLESS(1.5 GMS)</t>
        </is>
      </c>
      <c r="J259" s="26" t="inlineStr">
        <is>
          <t>MAISA TAGLESS</t>
        </is>
      </c>
      <c r="K259" s="26">
        <f>J259&amp;"-"&amp;TEXT(W259,"dd-mmm-yy")</f>
        <v/>
      </c>
      <c r="L259" s="26">
        <f>IFERROR(VLOOKUP($M259,'ITEM MASTER'!E:H,4,0),"")</f>
        <v/>
      </c>
      <c r="M259" s="26">
        <f>IFERROR(VLOOKUP($I259,'ITEM MASTER'!B:E,4,0),"")</f>
        <v/>
      </c>
      <c r="N259" s="26">
        <f>IFERROR(VLOOKUP($I259,'ITEM MASTER'!B:F,5,0),0)</f>
        <v/>
      </c>
      <c r="O259" s="26">
        <f>IFERROR(VLOOKUP($M259,'TBGS PER CTN'!B:C,2,0),0)</f>
        <v/>
      </c>
      <c r="P259" s="26" t="n">
        <v>1300</v>
      </c>
      <c r="Q259" s="26" t="n">
        <v>0</v>
      </c>
      <c r="R259" s="26" t="n">
        <v>1277</v>
      </c>
      <c r="S259" s="26">
        <f>Q259+R259</f>
        <v/>
      </c>
      <c r="T259" s="29" t="n">
        <v>23</v>
      </c>
      <c r="U259" s="29">
        <f>N259*O259*T259</f>
        <v/>
      </c>
      <c r="V259" s="82">
        <f>IF(ISNUMBER($D259),$D259-WEEKDAY($D259,3),'ORDER VS WEEK DISTRIBUTION'!$G$500)</f>
        <v/>
      </c>
      <c r="W259" s="82">
        <f>MAX($V259,'ORDER VS WEEK DISTRIBUTION'!$G$500)</f>
        <v/>
      </c>
      <c r="X259" s="26">
        <f>IFERROR(VLOOKUP($J259,'ORDER VS WEEK DISTRIBUTION'!$T:$U,2,0),"")</f>
        <v/>
      </c>
      <c r="Y259" s="26">
        <f>IFERROR($T259/IF(IFERROR(VLOOKUP($I259,'ITEM CFC PER CONTAINER'!$A:$B,2,0),0)&gt;0,VLOOKUP($I259,'ITEM CFC PER CONTAINER'!$A:$B,2,0),VLOOKUP($X259,'MC MASTER'!$A:$Q,16,0)),"")</f>
        <v/>
      </c>
    </row>
    <row r="260" ht="15" customHeight="1" s="5">
      <c r="A260" s="26" t="inlineStr">
        <is>
          <t>K. Chellaram &amp; Sons (Gambia) Ltd</t>
        </is>
      </c>
      <c r="B260" s="26" t="inlineStr">
        <is>
          <t>MJIL/SO/26017175</t>
        </is>
      </c>
      <c r="C260" s="26" t="inlineStr">
        <is>
          <t>MJ-041/26-27</t>
        </is>
      </c>
      <c r="D260" s="82" t="n">
        <v>46311</v>
      </c>
      <c r="E260" s="83">
        <f>IF(ISNUMBER($D260),EOMONTH($D260,-1)+1,"")</f>
        <v/>
      </c>
      <c r="F260" s="82" t="n">
        <v>46311</v>
      </c>
      <c r="G260" s="26" t="n">
        <v>533</v>
      </c>
      <c r="H260" s="26">
        <f>B260&amp;I260</f>
        <v/>
      </c>
      <c r="I260" s="26" t="inlineStr">
        <is>
          <t>GOLD BOND 12/100 DC ENV TBGS</t>
        </is>
      </c>
      <c r="J260" s="30" t="inlineStr">
        <is>
          <t>CONSTANTA ENV</t>
        </is>
      </c>
      <c r="K260" s="26">
        <f>J260&amp;"-"&amp;TEXT(W260,"dd-mmm-yy")</f>
        <v/>
      </c>
      <c r="L260" s="26">
        <f>IFERROR(VLOOKUP($M260,'ITEM MASTER'!E:H,4,0),"")</f>
        <v/>
      </c>
      <c r="M260" s="26">
        <f>IFERROR(VLOOKUP($I260,'ITEM MASTER'!B:E,4,0),"")</f>
        <v/>
      </c>
      <c r="N260" s="26">
        <f>IFERROR(VLOOKUP($I260,'ITEM MASTER'!B:F,5,0),0)</f>
        <v/>
      </c>
      <c r="O260" s="26">
        <f>IFERROR(VLOOKUP($M260,'TBGS PER CTN'!B:C,2,0),0)</f>
        <v/>
      </c>
      <c r="P260" s="26" t="n">
        <v>1025</v>
      </c>
      <c r="Q260" s="26" t="n">
        <v>0</v>
      </c>
      <c r="R260" s="26" t="n">
        <v>447</v>
      </c>
      <c r="S260" s="26">
        <f>Q260+R260</f>
        <v/>
      </c>
      <c r="T260" s="29" t="n">
        <v>578</v>
      </c>
      <c r="U260" s="29">
        <f>N260*O260*T260</f>
        <v/>
      </c>
      <c r="V260" s="82">
        <f>IF(ISNUMBER($D260),$D260-WEEKDAY($D260,3),'ORDER VS WEEK DISTRIBUTION'!$G$500)</f>
        <v/>
      </c>
      <c r="W260" s="82">
        <f>MAX($V260,'ORDER VS WEEK DISTRIBUTION'!$G$500)</f>
        <v/>
      </c>
      <c r="X260" s="26">
        <f>IFERROR(VLOOKUP($J260,'ORDER VS WEEK DISTRIBUTION'!$T:$U,2,0),"")</f>
        <v/>
      </c>
      <c r="Y260" s="26">
        <f>IFERROR($T260/IF(IFERROR(VLOOKUP($I260,'ITEM CFC PER CONTAINER'!$A:$B,2,0),0)&gt;0,VLOOKUP($I260,'ITEM CFC PER CONTAINER'!$A:$B,2,0),VLOOKUP($X260,'MC MASTER'!$A:$Q,16,0)),"")</f>
        <v/>
      </c>
    </row>
    <row r="261" ht="15" customHeight="1" s="5">
      <c r="A261" s="26" t="inlineStr">
        <is>
          <t>K. Chellaram &amp; Sons (Gambia) Ltd</t>
        </is>
      </c>
      <c r="B261" s="26" t="inlineStr">
        <is>
          <t>MJIL/SO/26017175</t>
        </is>
      </c>
      <c r="C261" s="26" t="inlineStr">
        <is>
          <t>MJ-041/26-27</t>
        </is>
      </c>
      <c r="D261" s="82" t="n">
        <v>46311</v>
      </c>
      <c r="E261" s="83">
        <f>IF(ISNUMBER($D261),EOMONTH($D261,-1)+1,"")</f>
        <v/>
      </c>
      <c r="F261" s="82" t="n">
        <v>46311</v>
      </c>
      <c r="G261" s="26" t="n">
        <v>37650</v>
      </c>
      <c r="H261" s="26">
        <f>B261&amp;I261</f>
        <v/>
      </c>
      <c r="I261" s="26" t="inlineStr">
        <is>
          <t>GOLD BOND MINT 24/25 DC ENV TBGS WITH SHOPPING BAG</t>
        </is>
      </c>
      <c r="J261" s="30" t="inlineStr">
        <is>
          <t>CONSTANTA ENV</t>
        </is>
      </c>
      <c r="K261" s="26">
        <f>J261&amp;"-"&amp;TEXT(W261,"dd-mmm-yy")</f>
        <v/>
      </c>
      <c r="L261" s="26">
        <f>IFERROR(VLOOKUP($M261,'ITEM MASTER'!E:H,4,0),"")</f>
        <v/>
      </c>
      <c r="M261" s="26">
        <f>IFERROR(VLOOKUP($I261,'ITEM MASTER'!B:E,4,0),"")</f>
        <v/>
      </c>
      <c r="N261" s="26">
        <f>IFERROR(VLOOKUP($I261,'ITEM MASTER'!B:F,5,0),0)</f>
        <v/>
      </c>
      <c r="O261" s="26">
        <f>IFERROR(VLOOKUP($M261,'TBGS PER CTN'!B:C,2,0),0)</f>
        <v/>
      </c>
      <c r="P261" s="26" t="n">
        <v>300</v>
      </c>
      <c r="Q261" s="26" t="n">
        <v>0</v>
      </c>
      <c r="R261" s="26" t="n">
        <v>12</v>
      </c>
      <c r="S261" s="26">
        <f>Q261+R261</f>
        <v/>
      </c>
      <c r="T261" s="29" t="n">
        <v>288</v>
      </c>
      <c r="U261" s="29">
        <f>N261*O261*T261</f>
        <v/>
      </c>
      <c r="V261" s="82">
        <f>IF(ISNUMBER($D261),$D261-WEEKDAY($D261,3),'ORDER VS WEEK DISTRIBUTION'!$G$500)</f>
        <v/>
      </c>
      <c r="W261" s="82">
        <f>MAX($V261,'ORDER VS WEEK DISTRIBUTION'!$G$500)</f>
        <v/>
      </c>
      <c r="X261" s="26">
        <f>IFERROR(VLOOKUP($J261,'ORDER VS WEEK DISTRIBUTION'!$T:$U,2,0),"")</f>
        <v/>
      </c>
      <c r="Y261" s="26">
        <f>IFERROR($T261/IF(IFERROR(VLOOKUP($I261,'ITEM CFC PER CONTAINER'!$A:$B,2,0),0)&gt;0,VLOOKUP($I261,'ITEM CFC PER CONTAINER'!$A:$B,2,0),VLOOKUP($X261,'MC MASTER'!$A:$Q,16,0)),"")</f>
        <v/>
      </c>
    </row>
    <row r="262" ht="15" customHeight="1" s="5">
      <c r="A262" s="26" t="inlineStr">
        <is>
          <t>K. Chellaram &amp; Sons (Gambia) Ltd</t>
        </is>
      </c>
      <c r="B262" s="26" t="inlineStr">
        <is>
          <t>MJIL/SO/26017175</t>
        </is>
      </c>
      <c r="C262" s="26" t="inlineStr">
        <is>
          <t>MJ-041/26-27</t>
        </is>
      </c>
      <c r="D262" s="82" t="n">
        <v>46311</v>
      </c>
      <c r="E262" s="83">
        <f>IF(ISNUMBER($D262),EOMONTH($D262,-1)+1,"")</f>
        <v/>
      </c>
      <c r="F262" s="82" t="n">
        <v>46311</v>
      </c>
      <c r="G262" s="26" t="n">
        <v>37649</v>
      </c>
      <c r="H262" s="26">
        <f>B262&amp;I262</f>
        <v/>
      </c>
      <c r="I262" s="26" t="inlineStr">
        <is>
          <t>GOLD BOND GINGER 24/25 DC ENV TBGS WITH SHOPPING BAG</t>
        </is>
      </c>
      <c r="J262" s="30" t="inlineStr">
        <is>
          <t>CONSTANTA ENV</t>
        </is>
      </c>
      <c r="K262" s="26">
        <f>J262&amp;"-"&amp;TEXT(W262,"dd-mmm-yy")</f>
        <v/>
      </c>
      <c r="L262" s="26">
        <f>IFERROR(VLOOKUP($M262,'ITEM MASTER'!E:H,4,0),"")</f>
        <v/>
      </c>
      <c r="M262" s="26">
        <f>IFERROR(VLOOKUP($I262,'ITEM MASTER'!B:E,4,0),"")</f>
        <v/>
      </c>
      <c r="N262" s="26">
        <f>IFERROR(VLOOKUP($I262,'ITEM MASTER'!B:F,5,0),0)</f>
        <v/>
      </c>
      <c r="O262" s="26">
        <f>IFERROR(VLOOKUP($M262,'TBGS PER CTN'!B:C,2,0),0)</f>
        <v/>
      </c>
      <c r="P262" s="26" t="n">
        <v>250</v>
      </c>
      <c r="Q262" s="26" t="n">
        <v>0</v>
      </c>
      <c r="R262" s="26" t="n">
        <v>250</v>
      </c>
      <c r="S262" s="26">
        <f>Q262+R262</f>
        <v/>
      </c>
      <c r="T262" s="29" t="n">
        <v>0</v>
      </c>
      <c r="U262" s="29">
        <f>N262*O262*T262</f>
        <v/>
      </c>
      <c r="V262" s="82">
        <f>IF(ISNUMBER($D262),$D262-WEEKDAY($D262,3),'ORDER VS WEEK DISTRIBUTION'!$G$500)</f>
        <v/>
      </c>
      <c r="W262" s="82">
        <f>MAX($V262,'ORDER VS WEEK DISTRIBUTION'!$G$500)</f>
        <v/>
      </c>
      <c r="X262" s="26">
        <f>IFERROR(VLOOKUP($J262,'ORDER VS WEEK DISTRIBUTION'!$T:$U,2,0),"")</f>
        <v/>
      </c>
      <c r="Y262" s="26">
        <f>IFERROR($T262/IF(IFERROR(VLOOKUP($I262,'ITEM CFC PER CONTAINER'!$A:$B,2,0),0)&gt;0,VLOOKUP($I262,'ITEM CFC PER CONTAINER'!$A:$B,2,0),VLOOKUP($X262,'MC MASTER'!$A:$Q,16,0)),"")</f>
        <v/>
      </c>
    </row>
    <row r="263" ht="15" customHeight="1" s="5">
      <c r="A263" s="26" t="inlineStr">
        <is>
          <t>Multitrade Overseas Pte. Ltd.</t>
        </is>
      </c>
      <c r="B263" s="26" t="inlineStr">
        <is>
          <t>MJIL/SO/26049725</t>
        </is>
      </c>
      <c r="C263" s="26" t="inlineStr">
        <is>
          <t xml:space="preserve"> MJ-109/26-27 (DALA &amp; SONS)</t>
        </is>
      </c>
      <c r="D263" s="82" t="n">
        <v>46311</v>
      </c>
      <c r="E263" s="83">
        <f>IF(ISNUMBER($D263),EOMONTH($D263,-1)+1,"")</f>
        <v/>
      </c>
      <c r="F263" s="82" t="n">
        <v>46311</v>
      </c>
      <c r="G263" s="26" t="n">
        <v>22922</v>
      </c>
      <c r="H263" s="26">
        <f>B263&amp;I263</f>
        <v/>
      </c>
      <c r="I263" s="26" t="inlineStr">
        <is>
          <t>GV MINT 48/25 DC ENV TBGS</t>
        </is>
      </c>
      <c r="J263" s="30" t="inlineStr">
        <is>
          <t>CONSTANTA ENV</t>
        </is>
      </c>
      <c r="K263" s="26">
        <f>J263&amp;"-"&amp;TEXT(W263,"dd-mmm-yy")</f>
        <v/>
      </c>
      <c r="L263" s="26">
        <f>IFERROR(VLOOKUP($M263,'ITEM MASTER'!E:H,4,0),"")</f>
        <v/>
      </c>
      <c r="M263" s="26">
        <f>IFERROR(VLOOKUP($I263,'ITEM MASTER'!B:E,4,0),"")</f>
        <v/>
      </c>
      <c r="N263" s="26">
        <f>IFERROR(VLOOKUP($I263,'ITEM MASTER'!B:F,5,0),0)</f>
        <v/>
      </c>
      <c r="O263" s="26">
        <f>IFERROR(VLOOKUP($M263,'TBGS PER CTN'!B:C,2,0),0)</f>
        <v/>
      </c>
      <c r="P263" s="26" t="n">
        <v>600</v>
      </c>
      <c r="Q263" s="26" t="n">
        <v>0</v>
      </c>
      <c r="R263" s="26" t="n">
        <v>0</v>
      </c>
      <c r="S263" s="26">
        <f>Q263+R263</f>
        <v/>
      </c>
      <c r="T263" s="29" t="n">
        <v>600</v>
      </c>
      <c r="U263" s="29">
        <f>N263*O263*T263</f>
        <v/>
      </c>
      <c r="V263" s="82">
        <f>IF(ISNUMBER($D263),$D263-WEEKDAY($D263,3),'ORDER VS WEEK DISTRIBUTION'!$G$500)</f>
        <v/>
      </c>
      <c r="W263" s="82">
        <f>MAX($V263,'ORDER VS WEEK DISTRIBUTION'!$G$500)</f>
        <v/>
      </c>
      <c r="X263" s="26">
        <f>IFERROR(VLOOKUP($J263,'ORDER VS WEEK DISTRIBUTION'!$T:$U,2,0),"")</f>
        <v/>
      </c>
      <c r="Y263" s="26">
        <f>IFERROR($T263/IF(IFERROR(VLOOKUP($I263,'ITEM CFC PER CONTAINER'!$A:$B,2,0),0)&gt;0,VLOOKUP($I263,'ITEM CFC PER CONTAINER'!$A:$B,2,0),VLOOKUP($X263,'MC MASTER'!$A:$Q,16,0)),"")</f>
        <v/>
      </c>
    </row>
    <row r="264" ht="15" customHeight="1" s="5">
      <c r="A264" s="26" t="inlineStr">
        <is>
          <t>Multitrade Overseas Pte. Ltd.</t>
        </is>
      </c>
      <c r="B264" s="26" t="inlineStr">
        <is>
          <t>MJIL/SO/26049725</t>
        </is>
      </c>
      <c r="C264" s="26" t="inlineStr">
        <is>
          <t xml:space="preserve"> MJ-109/26-27 (DALA &amp; SONS)</t>
        </is>
      </c>
      <c r="D264" s="82" t="n">
        <v>46311</v>
      </c>
      <c r="E264" s="83">
        <f>IF(ISNUMBER($D264),EOMONTH($D264,-1)+1,"")</f>
        <v/>
      </c>
      <c r="F264" s="82" t="n">
        <v>46311</v>
      </c>
      <c r="G264" s="26" t="n">
        <v>28051</v>
      </c>
      <c r="H264" s="26">
        <f>B264&amp;I264</f>
        <v/>
      </c>
      <c r="I264" s="26" t="inlineStr">
        <is>
          <t>GV CLOVE 48/25 DC ENV TBGS</t>
        </is>
      </c>
      <c r="J264" s="30" t="inlineStr">
        <is>
          <t>CONSTANTA ENV</t>
        </is>
      </c>
      <c r="K264" s="26">
        <f>J264&amp;"-"&amp;TEXT(W264,"dd-mmm-yy")</f>
        <v/>
      </c>
      <c r="L264" s="26">
        <f>IFERROR(VLOOKUP($M264,'ITEM MASTER'!E:H,4,0),"")</f>
        <v/>
      </c>
      <c r="M264" s="26">
        <f>IFERROR(VLOOKUP($I264,'ITEM MASTER'!B:E,4,0),"")</f>
        <v/>
      </c>
      <c r="N264" s="26">
        <f>IFERROR(VLOOKUP($I264,'ITEM MASTER'!B:F,5,0),0)</f>
        <v/>
      </c>
      <c r="O264" s="26">
        <f>IFERROR(VLOOKUP($M264,'TBGS PER CTN'!B:C,2,0),0)</f>
        <v/>
      </c>
      <c r="P264" s="26" t="n">
        <v>500</v>
      </c>
      <c r="Q264" s="26" t="n">
        <v>0</v>
      </c>
      <c r="R264" s="26" t="n">
        <v>0</v>
      </c>
      <c r="S264" s="26">
        <f>Q264+R264</f>
        <v/>
      </c>
      <c r="T264" s="29" t="n">
        <v>500</v>
      </c>
      <c r="U264" s="29">
        <f>N264*O264*T264</f>
        <v/>
      </c>
      <c r="V264" s="82">
        <f>IF(ISNUMBER($D264),$D264-WEEKDAY($D264,3),'ORDER VS WEEK DISTRIBUTION'!$G$500)</f>
        <v/>
      </c>
      <c r="W264" s="82">
        <f>MAX($V264,'ORDER VS WEEK DISTRIBUTION'!$G$500)</f>
        <v/>
      </c>
      <c r="X264" s="26">
        <f>IFERROR(VLOOKUP($J264,'ORDER VS WEEK DISTRIBUTION'!$T:$U,2,0),"")</f>
        <v/>
      </c>
      <c r="Y264" s="26">
        <f>IFERROR($T264/IF(IFERROR(VLOOKUP($I264,'ITEM CFC PER CONTAINER'!$A:$B,2,0),0)&gt;0,VLOOKUP($I264,'ITEM CFC PER CONTAINER'!$A:$B,2,0),VLOOKUP($X264,'MC MASTER'!$A:$Q,16,0)),"")</f>
        <v/>
      </c>
    </row>
    <row r="265" ht="15" customHeight="1" s="5">
      <c r="A265" s="26" t="inlineStr">
        <is>
          <t>Multitrade Overseas Pte. Ltd.</t>
        </is>
      </c>
      <c r="B265" s="26" t="inlineStr">
        <is>
          <t>MJIL/SO/26049725</t>
        </is>
      </c>
      <c r="C265" s="26" t="inlineStr">
        <is>
          <t xml:space="preserve"> MJ-109/26-27 (DALA &amp; SONS)</t>
        </is>
      </c>
      <c r="D265" s="82" t="n">
        <v>46311</v>
      </c>
      <c r="E265" s="83">
        <f>IF(ISNUMBER($D265),EOMONTH($D265,-1)+1,"")</f>
        <v/>
      </c>
      <c r="F265" s="82" t="n">
        <v>46311</v>
      </c>
      <c r="G265" s="26" t="n">
        <v>26086</v>
      </c>
      <c r="H265" s="26">
        <f>B265&amp;I265</f>
        <v/>
      </c>
      <c r="I265" s="26" t="inlineStr">
        <is>
          <t>GV WATERMELON 48/25 DC ENV TBGS</t>
        </is>
      </c>
      <c r="J265" s="30" t="inlineStr">
        <is>
          <t>CONSTANTA ENV</t>
        </is>
      </c>
      <c r="K265" s="26">
        <f>J265&amp;"-"&amp;TEXT(W265,"dd-mmm-yy")</f>
        <v/>
      </c>
      <c r="L265" s="26">
        <f>IFERROR(VLOOKUP($M265,'ITEM MASTER'!E:H,4,0),"")</f>
        <v/>
      </c>
      <c r="M265" s="26">
        <f>IFERROR(VLOOKUP($I265,'ITEM MASTER'!B:E,4,0),"")</f>
        <v/>
      </c>
      <c r="N265" s="26">
        <f>IFERROR(VLOOKUP($I265,'ITEM MASTER'!B:F,5,0),0)</f>
        <v/>
      </c>
      <c r="O265" s="26">
        <f>IFERROR(VLOOKUP($M265,'TBGS PER CTN'!B:C,2,0),0)</f>
        <v/>
      </c>
      <c r="P265" s="26" t="n">
        <v>500</v>
      </c>
      <c r="Q265" s="26" t="n">
        <v>0</v>
      </c>
      <c r="R265" s="26" t="n">
        <v>28</v>
      </c>
      <c r="S265" s="26">
        <f>Q265+R265</f>
        <v/>
      </c>
      <c r="T265" s="29" t="n">
        <v>472</v>
      </c>
      <c r="U265" s="29">
        <f>N265*O265*T265</f>
        <v/>
      </c>
      <c r="V265" s="82">
        <f>IF(ISNUMBER($D265),$D265-WEEKDAY($D265,3),'ORDER VS WEEK DISTRIBUTION'!$G$500)</f>
        <v/>
      </c>
      <c r="W265" s="82">
        <f>MAX($V265,'ORDER VS WEEK DISTRIBUTION'!$G$500)</f>
        <v/>
      </c>
      <c r="X265" s="26">
        <f>IFERROR(VLOOKUP($J265,'ORDER VS WEEK DISTRIBUTION'!$T:$U,2,0),"")</f>
        <v/>
      </c>
      <c r="Y265" s="26">
        <f>IFERROR($T265/IF(IFERROR(VLOOKUP($I265,'ITEM CFC PER CONTAINER'!$A:$B,2,0),0)&gt;0,VLOOKUP($I265,'ITEM CFC PER CONTAINER'!$A:$B,2,0),VLOOKUP($X265,'MC MASTER'!$A:$Q,16,0)),"")</f>
        <v/>
      </c>
    </row>
    <row r="266" ht="15" customHeight="1" s="5">
      <c r="A266" s="26" t="inlineStr">
        <is>
          <t>Multitrade Overseas Pte. Ltd.</t>
        </is>
      </c>
      <c r="B266" s="26" t="inlineStr">
        <is>
          <t>MJIL/SO/26049725</t>
        </is>
      </c>
      <c r="C266" s="26" t="inlineStr">
        <is>
          <t xml:space="preserve"> MJ-109/26-27 (DALA &amp; SONS)</t>
        </is>
      </c>
      <c r="D266" s="82" t="n">
        <v>46311</v>
      </c>
      <c r="E266" s="83">
        <f>IF(ISNUMBER($D266),EOMONTH($D266,-1)+1,"")</f>
        <v/>
      </c>
      <c r="F266" s="82" t="n">
        <v>46311</v>
      </c>
      <c r="G266" s="26" t="n">
        <v>26085</v>
      </c>
      <c r="H266" s="26">
        <f>B266&amp;I266</f>
        <v/>
      </c>
      <c r="I266" s="26" t="inlineStr">
        <is>
          <t>GV SPICY GINGER 48/25 DC ENV TBGS</t>
        </is>
      </c>
      <c r="J266" s="30" t="inlineStr">
        <is>
          <t>CONSTANTA ENV</t>
        </is>
      </c>
      <c r="K266" s="26">
        <f>J266&amp;"-"&amp;TEXT(W266,"dd-mmm-yy")</f>
        <v/>
      </c>
      <c r="L266" s="26">
        <f>IFERROR(VLOOKUP($M266,'ITEM MASTER'!E:H,4,0),"")</f>
        <v/>
      </c>
      <c r="M266" s="26">
        <f>IFERROR(VLOOKUP($I266,'ITEM MASTER'!B:E,4,0),"")</f>
        <v/>
      </c>
      <c r="N266" s="26">
        <f>IFERROR(VLOOKUP($I266,'ITEM MASTER'!B:F,5,0),0)</f>
        <v/>
      </c>
      <c r="O266" s="26">
        <f>IFERROR(VLOOKUP($M266,'TBGS PER CTN'!B:C,2,0),0)</f>
        <v/>
      </c>
      <c r="P266" s="26" t="n">
        <v>500</v>
      </c>
      <c r="Q266" s="26" t="n">
        <v>0</v>
      </c>
      <c r="R266" s="26" t="n">
        <v>0</v>
      </c>
      <c r="S266" s="26">
        <f>Q266+R266</f>
        <v/>
      </c>
      <c r="T266" s="29" t="n">
        <v>500</v>
      </c>
      <c r="U266" s="29">
        <f>N266*O266*T266</f>
        <v/>
      </c>
      <c r="V266" s="82">
        <f>IF(ISNUMBER($D266),$D266-WEEKDAY($D266,3),'ORDER VS WEEK DISTRIBUTION'!$G$500)</f>
        <v/>
      </c>
      <c r="W266" s="82">
        <f>MAX($V266,'ORDER VS WEEK DISTRIBUTION'!$G$500)</f>
        <v/>
      </c>
      <c r="X266" s="26">
        <f>IFERROR(VLOOKUP($J266,'ORDER VS WEEK DISTRIBUTION'!$T:$U,2,0),"")</f>
        <v/>
      </c>
      <c r="Y266" s="26">
        <f>IFERROR($T266/IF(IFERROR(VLOOKUP($I266,'ITEM CFC PER CONTAINER'!$A:$B,2,0),0)&gt;0,VLOOKUP($I266,'ITEM CFC PER CONTAINER'!$A:$B,2,0),VLOOKUP($X266,'MC MASTER'!$A:$Q,16,0)),"")</f>
        <v/>
      </c>
    </row>
    <row r="267" ht="15" customHeight="1" s="5">
      <c r="A267" s="26" t="inlineStr">
        <is>
          <t>Multitrade Overseas Pte. Ltd.</t>
        </is>
      </c>
      <c r="B267" s="26" t="inlineStr">
        <is>
          <t>MJIL/SO/26049725</t>
        </is>
      </c>
      <c r="C267" s="26" t="inlineStr">
        <is>
          <t xml:space="preserve"> MJ-109/26-27 (DALA &amp; SONS)</t>
        </is>
      </c>
      <c r="D267" s="82" t="n">
        <v>46311</v>
      </c>
      <c r="E267" s="83">
        <f>IF(ISNUMBER($D267),EOMONTH($D267,-1)+1,"")</f>
        <v/>
      </c>
      <c r="F267" s="82" t="n">
        <v>46311</v>
      </c>
      <c r="G267" s="26" t="n">
        <v>38180</v>
      </c>
      <c r="H267" s="26">
        <f>B267&amp;I267</f>
        <v/>
      </c>
      <c r="I267" s="26" t="inlineStr">
        <is>
          <t>GV VANILLA 48/25 DC ENV TBGS</t>
        </is>
      </c>
      <c r="J267" s="30" t="inlineStr">
        <is>
          <t>CONSTANTA ENV</t>
        </is>
      </c>
      <c r="K267" s="26">
        <f>J267&amp;"-"&amp;TEXT(W267,"dd-mmm-yy")</f>
        <v/>
      </c>
      <c r="L267" s="26">
        <f>IFERROR(VLOOKUP($M267,'ITEM MASTER'!E:H,4,0),"")</f>
        <v/>
      </c>
      <c r="M267" s="26">
        <f>IFERROR(VLOOKUP($I267,'ITEM MASTER'!B:E,4,0),"")</f>
        <v/>
      </c>
      <c r="N267" s="26">
        <f>IFERROR(VLOOKUP($I267,'ITEM MASTER'!B:F,5,0),0)</f>
        <v/>
      </c>
      <c r="O267" s="26">
        <f>IFERROR(VLOOKUP($M267,'TBGS PER CTN'!B:C,2,0),0)</f>
        <v/>
      </c>
      <c r="P267" s="26" t="n">
        <v>250</v>
      </c>
      <c r="Q267" s="26" t="n">
        <v>0</v>
      </c>
      <c r="R267" s="26" t="n">
        <v>0</v>
      </c>
      <c r="S267" s="26">
        <f>Q267+R267</f>
        <v/>
      </c>
      <c r="T267" s="29" t="n">
        <v>250</v>
      </c>
      <c r="U267" s="29">
        <f>N267*O267*T267</f>
        <v/>
      </c>
      <c r="V267" s="82">
        <f>IF(ISNUMBER($D267),$D267-WEEKDAY($D267,3),'ORDER VS WEEK DISTRIBUTION'!$G$500)</f>
        <v/>
      </c>
      <c r="W267" s="82">
        <f>MAX($V267,'ORDER VS WEEK DISTRIBUTION'!$G$500)</f>
        <v/>
      </c>
      <c r="X267" s="26">
        <f>IFERROR(VLOOKUP($J267,'ORDER VS WEEK DISTRIBUTION'!$T:$U,2,0),"")</f>
        <v/>
      </c>
      <c r="Y267" s="26">
        <f>IFERROR($T267/IF(IFERROR(VLOOKUP($I267,'ITEM CFC PER CONTAINER'!$A:$B,2,0),0)&gt;0,VLOOKUP($I267,'ITEM CFC PER CONTAINER'!$A:$B,2,0),VLOOKUP($X267,'MC MASTER'!$A:$Q,16,0)),"")</f>
        <v/>
      </c>
    </row>
    <row r="268" ht="15" customHeight="1" s="5">
      <c r="A268" s="26" t="inlineStr">
        <is>
          <t>Multitrade Overseas Pte. Ltd.</t>
        </is>
      </c>
      <c r="B268" s="26" t="inlineStr">
        <is>
          <t>MJIL/SO/26049725</t>
        </is>
      </c>
      <c r="C268" s="26" t="inlineStr">
        <is>
          <t xml:space="preserve"> MJ-109/26-27 (DALA &amp; SONS)</t>
        </is>
      </c>
      <c r="D268" s="82" t="n">
        <v>46311</v>
      </c>
      <c r="E268" s="83">
        <f>IF(ISNUMBER($D268),EOMONTH($D268,-1)+1,"")</f>
        <v/>
      </c>
      <c r="F268" s="82" t="n">
        <v>46311</v>
      </c>
      <c r="G268" s="26" t="n">
        <v>38395</v>
      </c>
      <c r="H268" s="26">
        <f>B268&amp;I268</f>
        <v/>
      </c>
      <c r="I268" s="26" t="inlineStr">
        <is>
          <t>GV GREEN TEA 48/25 DC ENV TBGS</t>
        </is>
      </c>
      <c r="J268" s="30" t="inlineStr">
        <is>
          <t>CONSTANTA ENV</t>
        </is>
      </c>
      <c r="K268" s="26">
        <f>J268&amp;"-"&amp;TEXT(W268,"dd-mmm-yy")</f>
        <v/>
      </c>
      <c r="L268" s="26">
        <f>IFERROR(VLOOKUP($M268,'ITEM MASTER'!E:H,4,0),"")</f>
        <v/>
      </c>
      <c r="M268" s="26">
        <f>IFERROR(VLOOKUP($I268,'ITEM MASTER'!B:E,4,0),"")</f>
        <v/>
      </c>
      <c r="N268" s="26">
        <f>IFERROR(VLOOKUP($I268,'ITEM MASTER'!B:F,5,0),0)</f>
        <v/>
      </c>
      <c r="O268" s="26">
        <f>IFERROR(VLOOKUP($M268,'TBGS PER CTN'!B:C,2,0),0)</f>
        <v/>
      </c>
      <c r="P268" s="26" t="n">
        <v>250</v>
      </c>
      <c r="Q268" s="26" t="n">
        <v>6</v>
      </c>
      <c r="R268" s="26" t="n">
        <v>0</v>
      </c>
      <c r="S268" s="26">
        <f>Q268+R268</f>
        <v/>
      </c>
      <c r="T268" s="29" t="n">
        <v>244</v>
      </c>
      <c r="U268" s="29">
        <f>N268*O268*T268</f>
        <v/>
      </c>
      <c r="V268" s="82">
        <f>IF(ISNUMBER($D268),$D268-WEEKDAY($D268,3),'ORDER VS WEEK DISTRIBUTION'!$G$500)</f>
        <v/>
      </c>
      <c r="W268" s="82">
        <f>MAX($V268,'ORDER VS WEEK DISTRIBUTION'!$G$500)</f>
        <v/>
      </c>
      <c r="X268" s="26">
        <f>IFERROR(VLOOKUP($J268,'ORDER VS WEEK DISTRIBUTION'!$T:$U,2,0),"")</f>
        <v/>
      </c>
      <c r="Y268" s="26">
        <f>IFERROR($T268/IF(IFERROR(VLOOKUP($I268,'ITEM CFC PER CONTAINER'!$A:$B,2,0),0)&gt;0,VLOOKUP($I268,'ITEM CFC PER CONTAINER'!$A:$B,2,0),VLOOKUP($X268,'MC MASTER'!$A:$Q,16,0)),"")</f>
        <v/>
      </c>
    </row>
    <row r="269" ht="15" customHeight="1" s="5">
      <c r="A269" s="26" t="inlineStr">
        <is>
          <t>Multitrade Overseas Pte. Ltd.</t>
        </is>
      </c>
      <c r="B269" s="26" t="inlineStr">
        <is>
          <t>MJIL/SO/26049725</t>
        </is>
      </c>
      <c r="C269" s="26" t="inlineStr">
        <is>
          <t xml:space="preserve"> MJ-109/26-27 (DALA &amp; SONS)</t>
        </is>
      </c>
      <c r="D269" s="82" t="n">
        <v>46311</v>
      </c>
      <c r="E269" s="83">
        <f>IF(ISNUMBER($D269),EOMONTH($D269,-1)+1,"")</f>
        <v/>
      </c>
      <c r="F269" s="82" t="n">
        <v>46311</v>
      </c>
      <c r="G269" s="26" t="n">
        <v>38396</v>
      </c>
      <c r="H269" s="26">
        <f>B269&amp;I269</f>
        <v/>
      </c>
      <c r="I269" s="26" t="inlineStr">
        <is>
          <t>GV GREEN LEMON 48/25 DC ENV TBGS</t>
        </is>
      </c>
      <c r="J269" s="30" t="inlineStr">
        <is>
          <t>CONSTANTA ENV</t>
        </is>
      </c>
      <c r="K269" s="26">
        <f>J269&amp;"-"&amp;TEXT(W269,"dd-mmm-yy")</f>
        <v/>
      </c>
      <c r="L269" s="26">
        <f>IFERROR(VLOOKUP($M269,'ITEM MASTER'!E:H,4,0),"")</f>
        <v/>
      </c>
      <c r="M269" s="26">
        <f>IFERROR(VLOOKUP($I269,'ITEM MASTER'!B:E,4,0),"")</f>
        <v/>
      </c>
      <c r="N269" s="26">
        <f>IFERROR(VLOOKUP($I269,'ITEM MASTER'!B:F,5,0),0)</f>
        <v/>
      </c>
      <c r="O269" s="26">
        <f>IFERROR(VLOOKUP($M269,'TBGS PER CTN'!B:C,2,0),0)</f>
        <v/>
      </c>
      <c r="P269" s="26" t="n">
        <v>250</v>
      </c>
      <c r="Q269" s="26" t="n">
        <v>5</v>
      </c>
      <c r="R269" s="26" t="n">
        <v>0</v>
      </c>
      <c r="S269" s="26">
        <f>Q269+R269</f>
        <v/>
      </c>
      <c r="T269" s="29" t="n">
        <v>245</v>
      </c>
      <c r="U269" s="29">
        <f>N269*O269*T269</f>
        <v/>
      </c>
      <c r="V269" s="82">
        <f>IF(ISNUMBER($D269),$D269-WEEKDAY($D269,3),'ORDER VS WEEK DISTRIBUTION'!$G$500)</f>
        <v/>
      </c>
      <c r="W269" s="82">
        <f>MAX($V269,'ORDER VS WEEK DISTRIBUTION'!$G$500)</f>
        <v/>
      </c>
      <c r="X269" s="26">
        <f>IFERROR(VLOOKUP($J269,'ORDER VS WEEK DISTRIBUTION'!$T:$U,2,0),"")</f>
        <v/>
      </c>
      <c r="Y269" s="26">
        <f>IFERROR($T269/IF(IFERROR(VLOOKUP($I269,'ITEM CFC PER CONTAINER'!$A:$B,2,0),0)&gt;0,VLOOKUP($I269,'ITEM CFC PER CONTAINER'!$A:$B,2,0),VLOOKUP($X269,'MC MASTER'!$A:$Q,16,0)),"")</f>
        <v/>
      </c>
    </row>
    <row r="270" ht="15" customHeight="1" s="5">
      <c r="A270" s="26" t="inlineStr">
        <is>
          <t>Multitrade Overseas Pte. Ltd.</t>
        </is>
      </c>
      <c r="B270" s="26" t="inlineStr">
        <is>
          <t>MJIL/SO/26049725</t>
        </is>
      </c>
      <c r="C270" s="26" t="inlineStr">
        <is>
          <t xml:space="preserve"> MJ-109/26-27 (DALA &amp; SONS)</t>
        </is>
      </c>
      <c r="D270" s="82" t="n">
        <v>46311</v>
      </c>
      <c r="E270" s="83">
        <f>IF(ISNUMBER($D270),EOMONTH($D270,-1)+1,"")</f>
        <v/>
      </c>
      <c r="F270" s="82" t="n">
        <v>46311</v>
      </c>
      <c r="G270" s="26" t="n">
        <v>38397</v>
      </c>
      <c r="H270" s="26">
        <f>B270&amp;I270</f>
        <v/>
      </c>
      <c r="I270" s="26" t="inlineStr">
        <is>
          <t>GV LEMON GRASS 48/25 DC ENV TBGS</t>
        </is>
      </c>
      <c r="J270" s="30" t="inlineStr">
        <is>
          <t>CONSTANTA ENV</t>
        </is>
      </c>
      <c r="K270" s="26">
        <f>J270&amp;"-"&amp;TEXT(W270,"dd-mmm-yy")</f>
        <v/>
      </c>
      <c r="L270" s="26">
        <f>IFERROR(VLOOKUP($M270,'ITEM MASTER'!E:H,4,0),"")</f>
        <v/>
      </c>
      <c r="M270" s="26">
        <f>IFERROR(VLOOKUP($I270,'ITEM MASTER'!B:E,4,0),"")</f>
        <v/>
      </c>
      <c r="N270" s="26">
        <f>IFERROR(VLOOKUP($I270,'ITEM MASTER'!B:F,5,0),0)</f>
        <v/>
      </c>
      <c r="O270" s="26">
        <f>IFERROR(VLOOKUP($M270,'TBGS PER CTN'!B:C,2,0),0)</f>
        <v/>
      </c>
      <c r="P270" s="26" t="n">
        <v>250</v>
      </c>
      <c r="Q270" s="26" t="n">
        <v>0</v>
      </c>
      <c r="R270" s="26" t="n">
        <v>0</v>
      </c>
      <c r="S270" s="26">
        <f>Q270+R270</f>
        <v/>
      </c>
      <c r="T270" s="29" t="n">
        <v>250</v>
      </c>
      <c r="U270" s="29">
        <f>N270*O270*T270</f>
        <v/>
      </c>
      <c r="V270" s="82">
        <f>IF(ISNUMBER($D270),$D270-WEEKDAY($D270,3),'ORDER VS WEEK DISTRIBUTION'!$G$500)</f>
        <v/>
      </c>
      <c r="W270" s="82">
        <f>MAX($V270,'ORDER VS WEEK DISTRIBUTION'!$G$500)</f>
        <v/>
      </c>
      <c r="X270" s="26">
        <f>IFERROR(VLOOKUP($J270,'ORDER VS WEEK DISTRIBUTION'!$T:$U,2,0),"")</f>
        <v/>
      </c>
      <c r="Y270" s="26">
        <f>IFERROR($T270/IF(IFERROR(VLOOKUP($I270,'ITEM CFC PER CONTAINER'!$A:$B,2,0),0)&gt;0,VLOOKUP($I270,'ITEM CFC PER CONTAINER'!$A:$B,2,0),VLOOKUP($X270,'MC MASTER'!$A:$Q,16,0)),"")</f>
        <v/>
      </c>
    </row>
    <row r="271" ht="15" customHeight="1" s="5">
      <c r="A271" s="26" t="inlineStr">
        <is>
          <t>Everest International</t>
        </is>
      </c>
      <c r="B271" s="26" t="inlineStr">
        <is>
          <t>MJIL/SO/26044889</t>
        </is>
      </c>
      <c r="C271" s="26" t="inlineStr">
        <is>
          <t>MJ-100/26-27</t>
        </is>
      </c>
      <c r="D271" s="82" t="n">
        <v>46314</v>
      </c>
      <c r="E271" s="83">
        <f>IF(ISNUMBER($D271),EOMONTH($D271,-1)+1,"")</f>
        <v/>
      </c>
      <c r="F271" s="82" t="n">
        <v>46314</v>
      </c>
      <c r="G271" s="26" t="n">
        <v>19824</v>
      </c>
      <c r="H271" s="26">
        <f>B271&amp;I271</f>
        <v/>
      </c>
      <c r="I271" s="26" t="inlineStr">
        <is>
          <t>GV SPICY GINGER 24/25 DC ENV TBGS (AR)</t>
        </is>
      </c>
      <c r="J271" s="30" t="inlineStr">
        <is>
          <t>CONSTANTA ENV</t>
        </is>
      </c>
      <c r="K271" s="26">
        <f>J271&amp;"-"&amp;TEXT(W271,"dd-mmm-yy")</f>
        <v/>
      </c>
      <c r="L271" s="26">
        <f>IFERROR(VLOOKUP($M271,'ITEM MASTER'!E:H,4,0),"")</f>
        <v/>
      </c>
      <c r="M271" s="26">
        <f>IFERROR(VLOOKUP($I271,'ITEM MASTER'!B:E,4,0),"")</f>
        <v/>
      </c>
      <c r="N271" s="26">
        <f>IFERROR(VLOOKUP($I271,'ITEM MASTER'!B:F,5,0),0)</f>
        <v/>
      </c>
      <c r="O271" s="26">
        <f>IFERROR(VLOOKUP($M271,'TBGS PER CTN'!B:C,2,0),0)</f>
        <v/>
      </c>
      <c r="P271" s="26" t="n">
        <v>1340</v>
      </c>
      <c r="Q271" s="26" t="n">
        <v>0</v>
      </c>
      <c r="R271" s="26" t="n">
        <v>0</v>
      </c>
      <c r="S271" s="26">
        <f>Q271+R271</f>
        <v/>
      </c>
      <c r="T271" s="29" t="n">
        <v>1340</v>
      </c>
      <c r="U271" s="29">
        <f>N271*O271*T271</f>
        <v/>
      </c>
      <c r="V271" s="82">
        <f>IF(ISNUMBER($D271),$D271-WEEKDAY($D271,3),'ORDER VS WEEK DISTRIBUTION'!$G$500)</f>
        <v/>
      </c>
      <c r="W271" s="82">
        <f>MAX($V271,'ORDER VS WEEK DISTRIBUTION'!$G$500)</f>
        <v/>
      </c>
      <c r="X271" s="26">
        <f>IFERROR(VLOOKUP($J271,'ORDER VS WEEK DISTRIBUTION'!$T:$U,2,0),"")</f>
        <v/>
      </c>
      <c r="Y271" s="26">
        <f>IFERROR($T271/IF(IFERROR(VLOOKUP($I271,'ITEM CFC PER CONTAINER'!$A:$B,2,0),0)&gt;0,VLOOKUP($I271,'ITEM CFC PER CONTAINER'!$A:$B,2,0),VLOOKUP($X271,'MC MASTER'!$A:$Q,16,0)),"")</f>
        <v/>
      </c>
    </row>
    <row r="272" ht="15" customHeight="1" s="5">
      <c r="A272" s="26" t="inlineStr">
        <is>
          <t>Everest International</t>
        </is>
      </c>
      <c r="B272" s="26" t="inlineStr">
        <is>
          <t>MJIL/SO/26044889</t>
        </is>
      </c>
      <c r="C272" s="26" t="inlineStr">
        <is>
          <t>MJ-100/26-27</t>
        </is>
      </c>
      <c r="D272" s="82" t="n">
        <v>46314</v>
      </c>
      <c r="E272" s="83">
        <f>IF(ISNUMBER($D272),EOMONTH($D272,-1)+1,"")</f>
        <v/>
      </c>
      <c r="F272" s="82" t="n">
        <v>46314</v>
      </c>
      <c r="G272" s="26" t="n">
        <v>21586</v>
      </c>
      <c r="H272" s="26">
        <f>B272&amp;I272</f>
        <v/>
      </c>
      <c r="I272" s="26" t="inlineStr">
        <is>
          <t>GV CLOVE 24/25 DC ENV TBGS</t>
        </is>
      </c>
      <c r="J272" s="30" t="inlineStr">
        <is>
          <t>CONSTANTA ENV</t>
        </is>
      </c>
      <c r="K272" s="26">
        <f>J272&amp;"-"&amp;TEXT(W272,"dd-mmm-yy")</f>
        <v/>
      </c>
      <c r="L272" s="26">
        <f>IFERROR(VLOOKUP($M272,'ITEM MASTER'!E:H,4,0),"")</f>
        <v/>
      </c>
      <c r="M272" s="26">
        <f>IFERROR(VLOOKUP($I272,'ITEM MASTER'!B:E,4,0),"")</f>
        <v/>
      </c>
      <c r="N272" s="26">
        <f>IFERROR(VLOOKUP($I272,'ITEM MASTER'!B:F,5,0),0)</f>
        <v/>
      </c>
      <c r="O272" s="26">
        <f>IFERROR(VLOOKUP($M272,'TBGS PER CTN'!B:C,2,0),0)</f>
        <v/>
      </c>
      <c r="P272" s="26" t="n">
        <v>1040</v>
      </c>
      <c r="Q272" s="26" t="n">
        <v>0</v>
      </c>
      <c r="R272" s="26" t="n">
        <v>555</v>
      </c>
      <c r="S272" s="26">
        <f>Q272+R272</f>
        <v/>
      </c>
      <c r="T272" s="29" t="n">
        <v>485</v>
      </c>
      <c r="U272" s="29">
        <f>N272*O272*T272</f>
        <v/>
      </c>
      <c r="V272" s="82">
        <f>IF(ISNUMBER($D272),$D272-WEEKDAY($D272,3),'ORDER VS WEEK DISTRIBUTION'!$G$500)</f>
        <v/>
      </c>
      <c r="W272" s="82">
        <f>MAX($V272,'ORDER VS WEEK DISTRIBUTION'!$G$500)</f>
        <v/>
      </c>
      <c r="X272" s="26">
        <f>IFERROR(VLOOKUP($J272,'ORDER VS WEEK DISTRIBUTION'!$T:$U,2,0),"")</f>
        <v/>
      </c>
      <c r="Y272" s="26">
        <f>IFERROR($T272/IF(IFERROR(VLOOKUP($I272,'ITEM CFC PER CONTAINER'!$A:$B,2,0),0)&gt;0,VLOOKUP($I272,'ITEM CFC PER CONTAINER'!$A:$B,2,0),VLOOKUP($X272,'MC MASTER'!$A:$Q,16,0)),"")</f>
        <v/>
      </c>
    </row>
    <row r="273" ht="15" customHeight="1" s="5">
      <c r="A273" s="26" t="inlineStr">
        <is>
          <t>Everest International</t>
        </is>
      </c>
      <c r="B273" s="26" t="inlineStr">
        <is>
          <t>MJIL/SO/26044889</t>
        </is>
      </c>
      <c r="C273" s="26" t="inlineStr">
        <is>
          <t>MJ-100/26-27</t>
        </is>
      </c>
      <c r="D273" s="82" t="n">
        <v>46314</v>
      </c>
      <c r="E273" s="83">
        <f>IF(ISNUMBER($D273),EOMONTH($D273,-1)+1,"")</f>
        <v/>
      </c>
      <c r="F273" s="82" t="n">
        <v>46314</v>
      </c>
      <c r="G273" s="26" t="n">
        <v>2016</v>
      </c>
      <c r="H273" s="26">
        <f>B273&amp;I273</f>
        <v/>
      </c>
      <c r="I273" s="26" t="inlineStr">
        <is>
          <t>GV MINT 24/25 DC ENV TBGS</t>
        </is>
      </c>
      <c r="J273" s="30" t="inlineStr">
        <is>
          <t>CONSTANTA ENV</t>
        </is>
      </c>
      <c r="K273" s="26">
        <f>J273&amp;"-"&amp;TEXT(W273,"dd-mmm-yy")</f>
        <v/>
      </c>
      <c r="L273" s="26">
        <f>IFERROR(VLOOKUP($M273,'ITEM MASTER'!E:H,4,0),"")</f>
        <v/>
      </c>
      <c r="M273" s="26">
        <f>IFERROR(VLOOKUP($I273,'ITEM MASTER'!B:E,4,0),"")</f>
        <v/>
      </c>
      <c r="N273" s="26">
        <f>IFERROR(VLOOKUP($I273,'ITEM MASTER'!B:F,5,0),0)</f>
        <v/>
      </c>
      <c r="O273" s="26">
        <f>IFERROR(VLOOKUP($M273,'TBGS PER CTN'!B:C,2,0),0)</f>
        <v/>
      </c>
      <c r="P273" s="26" t="n">
        <v>840</v>
      </c>
      <c r="Q273" s="26" t="n">
        <v>0</v>
      </c>
      <c r="R273" s="26" t="n">
        <v>0</v>
      </c>
      <c r="S273" s="26">
        <f>Q273+R273</f>
        <v/>
      </c>
      <c r="T273" s="29" t="n">
        <v>840</v>
      </c>
      <c r="U273" s="29">
        <f>N273*O273*T273</f>
        <v/>
      </c>
      <c r="V273" s="82">
        <f>IF(ISNUMBER($D273),$D273-WEEKDAY($D273,3),'ORDER VS WEEK DISTRIBUTION'!$G$500)</f>
        <v/>
      </c>
      <c r="W273" s="82">
        <f>MAX($V273,'ORDER VS WEEK DISTRIBUTION'!$G$500)</f>
        <v/>
      </c>
      <c r="X273" s="26">
        <f>IFERROR(VLOOKUP($J273,'ORDER VS WEEK DISTRIBUTION'!$T:$U,2,0),"")</f>
        <v/>
      </c>
      <c r="Y273" s="26">
        <f>IFERROR($T273/IF(IFERROR(VLOOKUP($I273,'ITEM CFC PER CONTAINER'!$A:$B,2,0),0)&gt;0,VLOOKUP($I273,'ITEM CFC PER CONTAINER'!$A:$B,2,0),VLOOKUP($X273,'MC MASTER'!$A:$Q,16,0)),"")</f>
        <v/>
      </c>
    </row>
    <row r="274" ht="15" customHeight="1" s="5">
      <c r="A274" s="26" t="inlineStr">
        <is>
          <t>Everest International</t>
        </is>
      </c>
      <c r="B274" s="26" t="inlineStr">
        <is>
          <t>MJIL/SO/26044889</t>
        </is>
      </c>
      <c r="C274" s="26" t="inlineStr">
        <is>
          <t>MJ-100/26-27</t>
        </is>
      </c>
      <c r="D274" s="82" t="n">
        <v>46314</v>
      </c>
      <c r="E274" s="83">
        <f>IF(ISNUMBER($D274),EOMONTH($D274,-1)+1,"")</f>
        <v/>
      </c>
      <c r="F274" s="82" t="n">
        <v>46314</v>
      </c>
      <c r="G274" s="26" t="n">
        <v>22503</v>
      </c>
      <c r="H274" s="26">
        <f>B274&amp;I274</f>
        <v/>
      </c>
      <c r="I274" s="26" t="inlineStr">
        <is>
          <t>GV CINNAMON 24/25 DC ENV TBGS</t>
        </is>
      </c>
      <c r="J274" s="30" t="inlineStr">
        <is>
          <t>CONSTANTA ENV</t>
        </is>
      </c>
      <c r="K274" s="26">
        <f>J274&amp;"-"&amp;TEXT(W274,"dd-mmm-yy")</f>
        <v/>
      </c>
      <c r="L274" s="26">
        <f>IFERROR(VLOOKUP($M274,'ITEM MASTER'!E:H,4,0),"")</f>
        <v/>
      </c>
      <c r="M274" s="26">
        <f>IFERROR(VLOOKUP($I274,'ITEM MASTER'!B:E,4,0),"")</f>
        <v/>
      </c>
      <c r="N274" s="26">
        <f>IFERROR(VLOOKUP($I274,'ITEM MASTER'!B:F,5,0),0)</f>
        <v/>
      </c>
      <c r="O274" s="26">
        <f>IFERROR(VLOOKUP($M274,'TBGS PER CTN'!B:C,2,0),0)</f>
        <v/>
      </c>
      <c r="P274" s="26" t="n">
        <v>340</v>
      </c>
      <c r="Q274" s="26" t="n">
        <v>0</v>
      </c>
      <c r="R274" s="26" t="n">
        <v>231</v>
      </c>
      <c r="S274" s="26">
        <f>Q274+R274</f>
        <v/>
      </c>
      <c r="T274" s="29" t="n">
        <v>109</v>
      </c>
      <c r="U274" s="29">
        <f>N274*O274*T274</f>
        <v/>
      </c>
      <c r="V274" s="82">
        <f>IF(ISNUMBER($D274),$D274-WEEKDAY($D274,3),'ORDER VS WEEK DISTRIBUTION'!$G$500)</f>
        <v/>
      </c>
      <c r="W274" s="82">
        <f>MAX($V274,'ORDER VS WEEK DISTRIBUTION'!$G$500)</f>
        <v/>
      </c>
      <c r="X274" s="26">
        <f>IFERROR(VLOOKUP($J274,'ORDER VS WEEK DISTRIBUTION'!$T:$U,2,0),"")</f>
        <v/>
      </c>
      <c r="Y274" s="26">
        <f>IFERROR($T274/IF(IFERROR(VLOOKUP($I274,'ITEM CFC PER CONTAINER'!$A:$B,2,0),0)&gt;0,VLOOKUP($I274,'ITEM CFC PER CONTAINER'!$A:$B,2,0),VLOOKUP($X274,'MC MASTER'!$A:$Q,16,0)),"")</f>
        <v/>
      </c>
    </row>
    <row r="275" ht="15" customHeight="1" s="5">
      <c r="A275" s="26" t="inlineStr">
        <is>
          <t>Everest International</t>
        </is>
      </c>
      <c r="B275" s="26" t="inlineStr">
        <is>
          <t>MJIL/SO/26044889</t>
        </is>
      </c>
      <c r="C275" s="26" t="inlineStr">
        <is>
          <t>MJ-100/26-27</t>
        </is>
      </c>
      <c r="D275" s="82" t="n">
        <v>46314</v>
      </c>
      <c r="E275" s="83">
        <f>IF(ISNUMBER($D275),EOMONTH($D275,-1)+1,"")</f>
        <v/>
      </c>
      <c r="F275" s="82" t="n">
        <v>46314</v>
      </c>
      <c r="G275" s="26" t="n">
        <v>1925</v>
      </c>
      <c r="H275" s="26">
        <f>B275&amp;I275</f>
        <v/>
      </c>
      <c r="I275" s="26" t="inlineStr">
        <is>
          <t>GV GARDEN STRAWBERRY 24/25 DC ENV TBGS</t>
        </is>
      </c>
      <c r="J275" s="30" t="inlineStr">
        <is>
          <t>CONSTANTA ENV</t>
        </is>
      </c>
      <c r="K275" s="26">
        <f>J275&amp;"-"&amp;TEXT(W275,"dd-mmm-yy")</f>
        <v/>
      </c>
      <c r="L275" s="26">
        <f>IFERROR(VLOOKUP($M275,'ITEM MASTER'!E:H,4,0),"")</f>
        <v/>
      </c>
      <c r="M275" s="26">
        <f>IFERROR(VLOOKUP($I275,'ITEM MASTER'!B:E,4,0),"")</f>
        <v/>
      </c>
      <c r="N275" s="26">
        <f>IFERROR(VLOOKUP($I275,'ITEM MASTER'!B:F,5,0),0)</f>
        <v/>
      </c>
      <c r="O275" s="26">
        <f>IFERROR(VLOOKUP($M275,'TBGS PER CTN'!B:C,2,0),0)</f>
        <v/>
      </c>
      <c r="P275" s="26" t="n">
        <v>340</v>
      </c>
      <c r="Q275" s="26" t="n">
        <v>0</v>
      </c>
      <c r="R275" s="26" t="n">
        <v>0</v>
      </c>
      <c r="S275" s="26">
        <f>Q275+R275</f>
        <v/>
      </c>
      <c r="T275" s="29" t="n">
        <v>340</v>
      </c>
      <c r="U275" s="29">
        <f>N275*O275*T275</f>
        <v/>
      </c>
      <c r="V275" s="82">
        <f>IF(ISNUMBER($D275),$D275-WEEKDAY($D275,3),'ORDER VS WEEK DISTRIBUTION'!$G$500)</f>
        <v/>
      </c>
      <c r="W275" s="82">
        <f>MAX($V275,'ORDER VS WEEK DISTRIBUTION'!$G$500)</f>
        <v/>
      </c>
      <c r="X275" s="26">
        <f>IFERROR(VLOOKUP($J275,'ORDER VS WEEK DISTRIBUTION'!$T:$U,2,0),"")</f>
        <v/>
      </c>
      <c r="Y275" s="26">
        <f>IFERROR($T275/IF(IFERROR(VLOOKUP($I275,'ITEM CFC PER CONTAINER'!$A:$B,2,0),0)&gt;0,VLOOKUP($I275,'ITEM CFC PER CONTAINER'!$A:$B,2,0),VLOOKUP($X275,'MC MASTER'!$A:$Q,16,0)),"")</f>
        <v/>
      </c>
    </row>
    <row r="276" ht="15" customHeight="1" s="5">
      <c r="A276" s="26" t="inlineStr">
        <is>
          <t>Everest International</t>
        </is>
      </c>
      <c r="B276" s="26" t="inlineStr">
        <is>
          <t>MJIL/SO/26044889</t>
        </is>
      </c>
      <c r="C276" s="26" t="inlineStr">
        <is>
          <t>MJ-100/26-27</t>
        </is>
      </c>
      <c r="D276" s="82" t="n">
        <v>46314</v>
      </c>
      <c r="E276" s="83">
        <f>IF(ISNUMBER($D276),EOMONTH($D276,-1)+1,"")</f>
        <v/>
      </c>
      <c r="F276" s="82" t="n">
        <v>46314</v>
      </c>
      <c r="G276" s="26" t="n">
        <v>21048</v>
      </c>
      <c r="H276" s="26">
        <f>B276&amp;I276</f>
        <v/>
      </c>
      <c r="I276" s="26" t="inlineStr">
        <is>
          <t>GV TAMARIND 24/25 DC ENV TBGS</t>
        </is>
      </c>
      <c r="J276" s="30" t="inlineStr">
        <is>
          <t>CONSTANTA ENV</t>
        </is>
      </c>
      <c r="K276" s="26">
        <f>J276&amp;"-"&amp;TEXT(W276,"dd-mmm-yy")</f>
        <v/>
      </c>
      <c r="L276" s="26">
        <f>IFERROR(VLOOKUP($M276,'ITEM MASTER'!E:H,4,0),"")</f>
        <v/>
      </c>
      <c r="M276" s="26">
        <f>IFERROR(VLOOKUP($I276,'ITEM MASTER'!B:E,4,0),"")</f>
        <v/>
      </c>
      <c r="N276" s="26">
        <f>IFERROR(VLOOKUP($I276,'ITEM MASTER'!B:F,5,0),0)</f>
        <v/>
      </c>
      <c r="O276" s="26">
        <f>IFERROR(VLOOKUP($M276,'TBGS PER CTN'!B:C,2,0),0)</f>
        <v/>
      </c>
      <c r="P276" s="26" t="n">
        <v>340</v>
      </c>
      <c r="Q276" s="26" t="n">
        <v>0</v>
      </c>
      <c r="R276" s="26" t="n">
        <v>193</v>
      </c>
      <c r="S276" s="26">
        <f>Q276+R276</f>
        <v/>
      </c>
      <c r="T276" s="29" t="n">
        <v>147</v>
      </c>
      <c r="U276" s="29">
        <f>N276*O276*T276</f>
        <v/>
      </c>
      <c r="V276" s="82">
        <f>IF(ISNUMBER($D276),$D276-WEEKDAY($D276,3),'ORDER VS WEEK DISTRIBUTION'!$G$500)</f>
        <v/>
      </c>
      <c r="W276" s="82">
        <f>MAX($V276,'ORDER VS WEEK DISTRIBUTION'!$G$500)</f>
        <v/>
      </c>
      <c r="X276" s="26">
        <f>IFERROR(VLOOKUP($J276,'ORDER VS WEEK DISTRIBUTION'!$T:$U,2,0),"")</f>
        <v/>
      </c>
      <c r="Y276" s="26">
        <f>IFERROR($T276/IF(IFERROR(VLOOKUP($I276,'ITEM CFC PER CONTAINER'!$A:$B,2,0),0)&gt;0,VLOOKUP($I276,'ITEM CFC PER CONTAINER'!$A:$B,2,0),VLOOKUP($X276,'MC MASTER'!$A:$Q,16,0)),"")</f>
        <v/>
      </c>
    </row>
    <row r="277" ht="15" customHeight="1" s="5">
      <c r="A277" s="26" t="inlineStr">
        <is>
          <t>Everest International</t>
        </is>
      </c>
      <c r="B277" s="26" t="inlineStr">
        <is>
          <t>MJIL/SO/26044889</t>
        </is>
      </c>
      <c r="C277" s="26" t="inlineStr">
        <is>
          <t>MJ-100/26-27</t>
        </is>
      </c>
      <c r="D277" s="82" t="n">
        <v>46314</v>
      </c>
      <c r="E277" s="83">
        <f>IF(ISNUMBER($D277),EOMONTH($D277,-1)+1,"")</f>
        <v/>
      </c>
      <c r="F277" s="82" t="n">
        <v>46314</v>
      </c>
      <c r="G277" s="26" t="n">
        <v>21166</v>
      </c>
      <c r="H277" s="26">
        <f>B277&amp;I277</f>
        <v/>
      </c>
      <c r="I277" s="26" t="inlineStr">
        <is>
          <t>GV LEMON GRASS 24/25 DC ENV TBGS</t>
        </is>
      </c>
      <c r="J277" s="30" t="inlineStr">
        <is>
          <t>CONSTANTA ENV</t>
        </is>
      </c>
      <c r="K277" s="26">
        <f>J277&amp;"-"&amp;TEXT(W277,"dd-mmm-yy")</f>
        <v/>
      </c>
      <c r="L277" s="26">
        <f>IFERROR(VLOOKUP($M277,'ITEM MASTER'!E:H,4,0),"")</f>
        <v/>
      </c>
      <c r="M277" s="26">
        <f>IFERROR(VLOOKUP($I277,'ITEM MASTER'!B:E,4,0),"")</f>
        <v/>
      </c>
      <c r="N277" s="26">
        <f>IFERROR(VLOOKUP($I277,'ITEM MASTER'!B:F,5,0),0)</f>
        <v/>
      </c>
      <c r="O277" s="26">
        <f>IFERROR(VLOOKUP($M277,'TBGS PER CTN'!B:C,2,0),0)</f>
        <v/>
      </c>
      <c r="P277" s="26" t="n">
        <v>340</v>
      </c>
      <c r="Q277" s="26" t="n">
        <v>0</v>
      </c>
      <c r="R277" s="26" t="n">
        <v>210</v>
      </c>
      <c r="S277" s="26">
        <f>Q277+R277</f>
        <v/>
      </c>
      <c r="T277" s="29" t="n">
        <v>130</v>
      </c>
      <c r="U277" s="29">
        <f>N277*O277*T277</f>
        <v/>
      </c>
      <c r="V277" s="82">
        <f>IF(ISNUMBER($D277),$D277-WEEKDAY($D277,3),'ORDER VS WEEK DISTRIBUTION'!$G$500)</f>
        <v/>
      </c>
      <c r="W277" s="82">
        <f>MAX($V277,'ORDER VS WEEK DISTRIBUTION'!$G$500)</f>
        <v/>
      </c>
      <c r="X277" s="26">
        <f>IFERROR(VLOOKUP($J277,'ORDER VS WEEK DISTRIBUTION'!$T:$U,2,0),"")</f>
        <v/>
      </c>
      <c r="Y277" s="26">
        <f>IFERROR($T277/IF(IFERROR(VLOOKUP($I277,'ITEM CFC PER CONTAINER'!$A:$B,2,0),0)&gt;0,VLOOKUP($I277,'ITEM CFC PER CONTAINER'!$A:$B,2,0),VLOOKUP($X277,'MC MASTER'!$A:$Q,16,0)),"")</f>
        <v/>
      </c>
    </row>
    <row r="278" ht="15" customHeight="1" s="5">
      <c r="A278" s="26" t="inlineStr">
        <is>
          <t>Everest International</t>
        </is>
      </c>
      <c r="B278" s="26" t="inlineStr">
        <is>
          <t>MJIL/SO/26044889</t>
        </is>
      </c>
      <c r="C278" s="26" t="inlineStr">
        <is>
          <t>MJ-100/26-27</t>
        </is>
      </c>
      <c r="D278" s="82" t="n">
        <v>46314</v>
      </c>
      <c r="E278" s="83">
        <f>IF(ISNUMBER($D278),EOMONTH($D278,-1)+1,"")</f>
        <v/>
      </c>
      <c r="F278" s="82" t="n">
        <v>46314</v>
      </c>
      <c r="G278" s="26" t="n">
        <v>21047</v>
      </c>
      <c r="H278" s="26">
        <f>B278&amp;I278</f>
        <v/>
      </c>
      <c r="I278" s="26" t="inlineStr">
        <is>
          <t>GV PINEAPPLE 24/25 DC ENV TBGS</t>
        </is>
      </c>
      <c r="J278" s="30" t="inlineStr">
        <is>
          <t>CONSTANTA ENV</t>
        </is>
      </c>
      <c r="K278" s="26">
        <f>J278&amp;"-"&amp;TEXT(W278,"dd-mmm-yy")</f>
        <v/>
      </c>
      <c r="L278" s="26">
        <f>IFERROR(VLOOKUP($M278,'ITEM MASTER'!E:H,4,0),"")</f>
        <v/>
      </c>
      <c r="M278" s="26">
        <f>IFERROR(VLOOKUP($I278,'ITEM MASTER'!B:E,4,0),"")</f>
        <v/>
      </c>
      <c r="N278" s="26">
        <f>IFERROR(VLOOKUP($I278,'ITEM MASTER'!B:F,5,0),0)</f>
        <v/>
      </c>
      <c r="O278" s="26">
        <f>IFERROR(VLOOKUP($M278,'TBGS PER CTN'!B:C,2,0),0)</f>
        <v/>
      </c>
      <c r="P278" s="26" t="n">
        <v>340</v>
      </c>
      <c r="Q278" s="26" t="n">
        <v>1</v>
      </c>
      <c r="R278" s="26" t="n">
        <v>239</v>
      </c>
      <c r="S278" s="26">
        <f>Q278+R278</f>
        <v/>
      </c>
      <c r="T278" s="29" t="n">
        <v>100</v>
      </c>
      <c r="U278" s="29">
        <f>N278*O278*T278</f>
        <v/>
      </c>
      <c r="V278" s="82">
        <f>IF(ISNUMBER($D278),$D278-WEEKDAY($D278,3),'ORDER VS WEEK DISTRIBUTION'!$G$500)</f>
        <v/>
      </c>
      <c r="W278" s="82">
        <f>MAX($V278,'ORDER VS WEEK DISTRIBUTION'!$G$500)</f>
        <v/>
      </c>
      <c r="X278" s="26">
        <f>IFERROR(VLOOKUP($J278,'ORDER VS WEEK DISTRIBUTION'!$T:$U,2,0),"")</f>
        <v/>
      </c>
      <c r="Y278" s="26">
        <f>IFERROR($T278/IF(IFERROR(VLOOKUP($I278,'ITEM CFC PER CONTAINER'!$A:$B,2,0),0)&gt;0,VLOOKUP($I278,'ITEM CFC PER CONTAINER'!$A:$B,2,0),VLOOKUP($X278,'MC MASTER'!$A:$Q,16,0)),"")</f>
        <v/>
      </c>
    </row>
    <row r="279" ht="15" customHeight="1" s="5">
      <c r="A279" s="26" t="inlineStr">
        <is>
          <t>Everest International</t>
        </is>
      </c>
      <c r="B279" s="26" t="inlineStr">
        <is>
          <t>MJIL/SO/26044889</t>
        </is>
      </c>
      <c r="C279" s="26" t="inlineStr">
        <is>
          <t>MJ-100/26-27</t>
        </is>
      </c>
      <c r="D279" s="82" t="n">
        <v>46314</v>
      </c>
      <c r="E279" s="83">
        <f>IF(ISNUMBER($D279),EOMONTH($D279,-1)+1,"")</f>
        <v/>
      </c>
      <c r="F279" s="82" t="n">
        <v>46314</v>
      </c>
      <c r="G279" s="26" t="n">
        <v>19828</v>
      </c>
      <c r="H279" s="26">
        <f>B279&amp;I279</f>
        <v/>
      </c>
      <c r="I279" s="26" t="inlineStr">
        <is>
          <t>GV ORANGE 24/25 DC ENV TBGS (AR)</t>
        </is>
      </c>
      <c r="J279" s="30" t="inlineStr">
        <is>
          <t>CONSTANTA ENV</t>
        </is>
      </c>
      <c r="K279" s="26">
        <f>J279&amp;"-"&amp;TEXT(W279,"dd-mmm-yy")</f>
        <v/>
      </c>
      <c r="L279" s="26">
        <f>IFERROR(VLOOKUP($M279,'ITEM MASTER'!E:H,4,0),"")</f>
        <v/>
      </c>
      <c r="M279" s="26">
        <f>IFERROR(VLOOKUP($I279,'ITEM MASTER'!B:E,4,0),"")</f>
        <v/>
      </c>
      <c r="N279" s="26">
        <f>IFERROR(VLOOKUP($I279,'ITEM MASTER'!B:F,5,0),0)</f>
        <v/>
      </c>
      <c r="O279" s="26">
        <f>IFERROR(VLOOKUP($M279,'TBGS PER CTN'!B:C,2,0),0)</f>
        <v/>
      </c>
      <c r="P279" s="26" t="n">
        <v>240</v>
      </c>
      <c r="Q279" s="26" t="n">
        <v>0</v>
      </c>
      <c r="R279" s="26" t="n">
        <v>0</v>
      </c>
      <c r="S279" s="26">
        <f>Q279+R279</f>
        <v/>
      </c>
      <c r="T279" s="29" t="n">
        <v>240</v>
      </c>
      <c r="U279" s="29">
        <f>N279*O279*T279</f>
        <v/>
      </c>
      <c r="V279" s="82">
        <f>IF(ISNUMBER($D279),$D279-WEEKDAY($D279,3),'ORDER VS WEEK DISTRIBUTION'!$G$500)</f>
        <v/>
      </c>
      <c r="W279" s="82">
        <f>MAX($V279,'ORDER VS WEEK DISTRIBUTION'!$G$500)</f>
        <v/>
      </c>
      <c r="X279" s="26">
        <f>IFERROR(VLOOKUP($J279,'ORDER VS WEEK DISTRIBUTION'!$T:$U,2,0),"")</f>
        <v/>
      </c>
      <c r="Y279" s="26">
        <f>IFERROR($T279/IF(IFERROR(VLOOKUP($I279,'ITEM CFC PER CONTAINER'!$A:$B,2,0),0)&gt;0,VLOOKUP($I279,'ITEM CFC PER CONTAINER'!$A:$B,2,0),VLOOKUP($X279,'MC MASTER'!$A:$Q,16,0)),"")</f>
        <v/>
      </c>
    </row>
    <row r="280" ht="15" customHeight="1" s="5">
      <c r="A280" s="26" t="inlineStr">
        <is>
          <t>Everest International</t>
        </is>
      </c>
      <c r="B280" s="26" t="inlineStr">
        <is>
          <t>MJIL/SO/26044889</t>
        </is>
      </c>
      <c r="C280" s="26" t="inlineStr">
        <is>
          <t>MJ-100/26-27</t>
        </is>
      </c>
      <c r="D280" s="82" t="n">
        <v>46314</v>
      </c>
      <c r="E280" s="83">
        <f>IF(ISNUMBER($D280),EOMONTH($D280,-1)+1,"")</f>
        <v/>
      </c>
      <c r="F280" s="82" t="n">
        <v>46314</v>
      </c>
      <c r="G280" s="26" t="n">
        <v>20042</v>
      </c>
      <c r="H280" s="26">
        <f>B280&amp;I280</f>
        <v/>
      </c>
      <c r="I280" s="26" t="inlineStr">
        <is>
          <t>GV CRANBERRY APPLE 24/25 DC ENV TBGS (AR) - 2GMS</t>
        </is>
      </c>
      <c r="J280" s="30" t="inlineStr">
        <is>
          <t>CONSTANTA ENV</t>
        </is>
      </c>
      <c r="K280" s="26">
        <f>J280&amp;"-"&amp;TEXT(W280,"dd-mmm-yy")</f>
        <v/>
      </c>
      <c r="L280" s="26">
        <f>IFERROR(VLOOKUP($M280,'ITEM MASTER'!E:H,4,0),"")</f>
        <v/>
      </c>
      <c r="M280" s="26">
        <f>IFERROR(VLOOKUP($I280,'ITEM MASTER'!B:E,4,0),"")</f>
        <v/>
      </c>
      <c r="N280" s="26">
        <f>IFERROR(VLOOKUP($I280,'ITEM MASTER'!B:F,5,0),0)</f>
        <v/>
      </c>
      <c r="O280" s="26">
        <f>IFERROR(VLOOKUP($M280,'TBGS PER CTN'!B:C,2,0),0)</f>
        <v/>
      </c>
      <c r="P280" s="26" t="n">
        <v>340</v>
      </c>
      <c r="Q280" s="26" t="n">
        <v>0</v>
      </c>
      <c r="R280" s="26" t="n">
        <v>0</v>
      </c>
      <c r="S280" s="26">
        <f>Q280+R280</f>
        <v/>
      </c>
      <c r="T280" s="29" t="n">
        <v>340</v>
      </c>
      <c r="U280" s="29">
        <f>N280*O280*T280</f>
        <v/>
      </c>
      <c r="V280" s="82">
        <f>IF(ISNUMBER($D280),$D280-WEEKDAY($D280,3),'ORDER VS WEEK DISTRIBUTION'!$G$500)</f>
        <v/>
      </c>
      <c r="W280" s="82">
        <f>MAX($V280,'ORDER VS WEEK DISTRIBUTION'!$G$500)</f>
        <v/>
      </c>
      <c r="X280" s="26">
        <f>IFERROR(VLOOKUP($J280,'ORDER VS WEEK DISTRIBUTION'!$T:$U,2,0),"")</f>
        <v/>
      </c>
      <c r="Y280" s="26">
        <f>IFERROR($T280/IF(IFERROR(VLOOKUP($I280,'ITEM CFC PER CONTAINER'!$A:$B,2,0),0)&gt;0,VLOOKUP($I280,'ITEM CFC PER CONTAINER'!$A:$B,2,0),VLOOKUP($X280,'MC MASTER'!$A:$Q,16,0)),"")</f>
        <v/>
      </c>
    </row>
    <row r="281" ht="15" customHeight="1" s="5">
      <c r="A281" s="26" t="inlineStr">
        <is>
          <t>Everest International</t>
        </is>
      </c>
      <c r="B281" s="26" t="inlineStr">
        <is>
          <t>MJIL/SO/26044889</t>
        </is>
      </c>
      <c r="C281" s="26" t="inlineStr">
        <is>
          <t>MJ-100/26-27</t>
        </is>
      </c>
      <c r="D281" s="82" t="n">
        <v>46314</v>
      </c>
      <c r="E281" s="83">
        <f>IF(ISNUMBER($D281),EOMONTH($D281,-1)+1,"")</f>
        <v/>
      </c>
      <c r="F281" s="82" t="n">
        <v>46314</v>
      </c>
      <c r="G281" s="26" t="n">
        <v>21686</v>
      </c>
      <c r="H281" s="26">
        <f>B281&amp;I281</f>
        <v/>
      </c>
      <c r="I281" s="26" t="inlineStr">
        <is>
          <t>GV GREEN TEA MORINGA 24/25 DC ENV TBGS</t>
        </is>
      </c>
      <c r="J281" s="30" t="inlineStr">
        <is>
          <t>CONSTANTA ENV</t>
        </is>
      </c>
      <c r="K281" s="26">
        <f>J281&amp;"-"&amp;TEXT(W281,"dd-mmm-yy")</f>
        <v/>
      </c>
      <c r="L281" s="26">
        <f>IFERROR(VLOOKUP($M281,'ITEM MASTER'!E:H,4,0),"")</f>
        <v/>
      </c>
      <c r="M281" s="26">
        <f>IFERROR(VLOOKUP($I281,'ITEM MASTER'!B:E,4,0),"")</f>
        <v/>
      </c>
      <c r="N281" s="26">
        <f>IFERROR(VLOOKUP($I281,'ITEM MASTER'!B:F,5,0),0)</f>
        <v/>
      </c>
      <c r="O281" s="26">
        <f>IFERROR(VLOOKUP($M281,'TBGS PER CTN'!B:C,2,0),0)</f>
        <v/>
      </c>
      <c r="P281" s="26" t="n">
        <v>240</v>
      </c>
      <c r="Q281" s="26" t="n">
        <v>0</v>
      </c>
      <c r="R281" s="26" t="n">
        <v>240</v>
      </c>
      <c r="S281" s="26">
        <f>Q281+R281</f>
        <v/>
      </c>
      <c r="T281" s="29" t="n">
        <v>0</v>
      </c>
      <c r="U281" s="29">
        <f>N281*O281*T281</f>
        <v/>
      </c>
      <c r="V281" s="82">
        <f>IF(ISNUMBER($D281),$D281-WEEKDAY($D281,3),'ORDER VS WEEK DISTRIBUTION'!$G$500)</f>
        <v/>
      </c>
      <c r="W281" s="82">
        <f>MAX($V281,'ORDER VS WEEK DISTRIBUTION'!$G$500)</f>
        <v/>
      </c>
      <c r="X281" s="26">
        <f>IFERROR(VLOOKUP($J281,'ORDER VS WEEK DISTRIBUTION'!$T:$U,2,0),"")</f>
        <v/>
      </c>
      <c r="Y281" s="26">
        <f>IFERROR($T281/IF(IFERROR(VLOOKUP($I281,'ITEM CFC PER CONTAINER'!$A:$B,2,0),0)&gt;0,VLOOKUP($I281,'ITEM CFC PER CONTAINER'!$A:$B,2,0),VLOOKUP($X281,'MC MASTER'!$A:$Q,16,0)),"")</f>
        <v/>
      </c>
    </row>
    <row r="282" ht="15" customHeight="1" s="5">
      <c r="A282" s="26" t="inlineStr">
        <is>
          <t>Everest International</t>
        </is>
      </c>
      <c r="B282" s="26" t="inlineStr">
        <is>
          <t>MJIL/SO/26044889</t>
        </is>
      </c>
      <c r="C282" s="26" t="inlineStr">
        <is>
          <t>MJ-100/26-27</t>
        </is>
      </c>
      <c r="D282" s="82" t="n">
        <v>46314</v>
      </c>
      <c r="E282" s="83">
        <f>IF(ISNUMBER($D282),EOMONTH($D282,-1)+1,"")</f>
        <v/>
      </c>
      <c r="F282" s="82" t="n">
        <v>46314</v>
      </c>
      <c r="G282" s="26" t="n">
        <v>19832</v>
      </c>
      <c r="H282" s="26">
        <f>B282&amp;I282</f>
        <v/>
      </c>
      <c r="I282" s="26" t="inlineStr">
        <is>
          <t>GV GREEN LEMON 24/25 DC ENV TBGS (AR)</t>
        </is>
      </c>
      <c r="J282" s="30" t="inlineStr">
        <is>
          <t>CONSTANTA ENV</t>
        </is>
      </c>
      <c r="K282" s="26">
        <f>J282&amp;"-"&amp;TEXT(W282,"dd-mmm-yy")</f>
        <v/>
      </c>
      <c r="L282" s="26">
        <f>IFERROR(VLOOKUP($M282,'ITEM MASTER'!E:H,4,0),"")</f>
        <v/>
      </c>
      <c r="M282" s="26">
        <f>IFERROR(VLOOKUP($I282,'ITEM MASTER'!B:E,4,0),"")</f>
        <v/>
      </c>
      <c r="N282" s="26">
        <f>IFERROR(VLOOKUP($I282,'ITEM MASTER'!B:F,5,0),0)</f>
        <v/>
      </c>
      <c r="O282" s="26">
        <f>IFERROR(VLOOKUP($M282,'TBGS PER CTN'!B:C,2,0),0)</f>
        <v/>
      </c>
      <c r="P282" s="26" t="n">
        <v>340</v>
      </c>
      <c r="Q282" s="26" t="n">
        <v>0</v>
      </c>
      <c r="R282" s="26" t="n">
        <v>182</v>
      </c>
      <c r="S282" s="26">
        <f>Q282+R282</f>
        <v/>
      </c>
      <c r="T282" s="29" t="n">
        <v>158</v>
      </c>
      <c r="U282" s="29">
        <f>N282*O282*T282</f>
        <v/>
      </c>
      <c r="V282" s="82">
        <f>IF(ISNUMBER($D282),$D282-WEEKDAY($D282,3),'ORDER VS WEEK DISTRIBUTION'!$G$500)</f>
        <v/>
      </c>
      <c r="W282" s="82">
        <f>MAX($V282,'ORDER VS WEEK DISTRIBUTION'!$G$500)</f>
        <v/>
      </c>
      <c r="X282" s="26">
        <f>IFERROR(VLOOKUP($J282,'ORDER VS WEEK DISTRIBUTION'!$T:$U,2,0),"")</f>
        <v/>
      </c>
      <c r="Y282" s="26">
        <f>IFERROR($T282/IF(IFERROR(VLOOKUP($I282,'ITEM CFC PER CONTAINER'!$A:$B,2,0),0)&gt;0,VLOOKUP($I282,'ITEM CFC PER CONTAINER'!$A:$B,2,0),VLOOKUP($X282,'MC MASTER'!$A:$Q,16,0)),"")</f>
        <v/>
      </c>
    </row>
    <row r="283" ht="15" customHeight="1" s="5">
      <c r="A283" s="26" t="inlineStr">
        <is>
          <t>Everest International</t>
        </is>
      </c>
      <c r="B283" s="26" t="inlineStr">
        <is>
          <t>MJIL/SO/26044889</t>
        </is>
      </c>
      <c r="C283" s="26" t="inlineStr">
        <is>
          <t>MJ-100/26-27</t>
        </is>
      </c>
      <c r="D283" s="82" t="n">
        <v>46314</v>
      </c>
      <c r="E283" s="83">
        <f>IF(ISNUMBER($D283),EOMONTH($D283,-1)+1,"")</f>
        <v/>
      </c>
      <c r="F283" s="82" t="n">
        <v>46314</v>
      </c>
      <c r="G283" s="26" t="n">
        <v>38351</v>
      </c>
      <c r="H283" s="26">
        <f>B283&amp;I283</f>
        <v/>
      </c>
      <c r="I283" s="26" t="inlineStr">
        <is>
          <t>GV HIBISCUS 24/25 DC ENV TBGS</t>
        </is>
      </c>
      <c r="J283" s="30" t="inlineStr">
        <is>
          <t>CONSTANTA ENV</t>
        </is>
      </c>
      <c r="K283" s="26">
        <f>J283&amp;"-"&amp;TEXT(W283,"dd-mmm-yy")</f>
        <v/>
      </c>
      <c r="L283" s="26">
        <f>IFERROR(VLOOKUP($M283,'ITEM MASTER'!E:H,4,0),"")</f>
        <v/>
      </c>
      <c r="M283" s="26">
        <f>IFERROR(VLOOKUP($I283,'ITEM MASTER'!B:E,4,0),"")</f>
        <v/>
      </c>
      <c r="N283" s="26">
        <f>IFERROR(VLOOKUP($I283,'ITEM MASTER'!B:F,5,0),0)</f>
        <v/>
      </c>
      <c r="O283" s="26">
        <f>IFERROR(VLOOKUP($M283,'TBGS PER CTN'!B:C,2,0),0)</f>
        <v/>
      </c>
      <c r="P283" s="26" t="n">
        <v>250</v>
      </c>
      <c r="Q283" s="26" t="n">
        <v>0</v>
      </c>
      <c r="R283" s="26" t="n">
        <v>0</v>
      </c>
      <c r="S283" s="26">
        <f>Q283+R283</f>
        <v/>
      </c>
      <c r="T283" s="29" t="n">
        <v>250</v>
      </c>
      <c r="U283" s="29">
        <f>N283*O283*T283</f>
        <v/>
      </c>
      <c r="V283" s="82">
        <f>IF(ISNUMBER($D283),$D283-WEEKDAY($D283,3),'ORDER VS WEEK DISTRIBUTION'!$G$500)</f>
        <v/>
      </c>
      <c r="W283" s="82">
        <f>MAX($V283,'ORDER VS WEEK DISTRIBUTION'!$G$500)</f>
        <v/>
      </c>
      <c r="X283" s="26">
        <f>IFERROR(VLOOKUP($J283,'ORDER VS WEEK DISTRIBUTION'!$T:$U,2,0),"")</f>
        <v/>
      </c>
      <c r="Y283" s="26">
        <f>IFERROR($T283/IF(IFERROR(VLOOKUP($I283,'ITEM CFC PER CONTAINER'!$A:$B,2,0),0)&gt;0,VLOOKUP($I283,'ITEM CFC PER CONTAINER'!$A:$B,2,0),VLOOKUP($X283,'MC MASTER'!$A:$Q,16,0)),"")</f>
        <v/>
      </c>
    </row>
    <row r="284" ht="15" customHeight="1" s="5">
      <c r="A284" s="26" t="inlineStr">
        <is>
          <t>Everest International</t>
        </is>
      </c>
      <c r="B284" s="26" t="inlineStr">
        <is>
          <t>MJIL/SO/26044889</t>
        </is>
      </c>
      <c r="C284" s="26" t="inlineStr">
        <is>
          <t>MJ-100/26-27</t>
        </is>
      </c>
      <c r="D284" s="82" t="n">
        <v>46314</v>
      </c>
      <c r="E284" s="83">
        <f>IF(ISNUMBER($D284),EOMONTH($D284,-1)+1,"")</f>
        <v/>
      </c>
      <c r="F284" s="82" t="n">
        <v>46314</v>
      </c>
      <c r="G284" s="26" t="n">
        <v>38350</v>
      </c>
      <c r="H284" s="26">
        <f>B284&amp;I284</f>
        <v/>
      </c>
      <c r="I284" s="26" t="inlineStr">
        <is>
          <t>GV VANILLA 24/25 DC ENV TBGS</t>
        </is>
      </c>
      <c r="J284" s="30" t="inlineStr">
        <is>
          <t>CONSTANTA ENV</t>
        </is>
      </c>
      <c r="K284" s="26">
        <f>J284&amp;"-"&amp;TEXT(W284,"dd-mmm-yy")</f>
        <v/>
      </c>
      <c r="L284" s="26">
        <f>IFERROR(VLOOKUP($M284,'ITEM MASTER'!E:H,4,0),"")</f>
        <v/>
      </c>
      <c r="M284" s="26">
        <f>IFERROR(VLOOKUP($I284,'ITEM MASTER'!B:E,4,0),"")</f>
        <v/>
      </c>
      <c r="N284" s="26">
        <f>IFERROR(VLOOKUP($I284,'ITEM MASTER'!B:F,5,0),0)</f>
        <v/>
      </c>
      <c r="O284" s="26">
        <f>IFERROR(VLOOKUP($M284,'TBGS PER CTN'!B:C,2,0),0)</f>
        <v/>
      </c>
      <c r="P284" s="26" t="n">
        <v>50</v>
      </c>
      <c r="Q284" s="26" t="n">
        <v>0</v>
      </c>
      <c r="R284" s="26" t="n">
        <v>0</v>
      </c>
      <c r="S284" s="26">
        <f>Q284+R284</f>
        <v/>
      </c>
      <c r="T284" s="29" t="n">
        <v>50</v>
      </c>
      <c r="U284" s="29">
        <f>N284*O284*T284</f>
        <v/>
      </c>
      <c r="V284" s="82">
        <f>IF(ISNUMBER($D284),$D284-WEEKDAY($D284,3),'ORDER VS WEEK DISTRIBUTION'!$G$500)</f>
        <v/>
      </c>
      <c r="W284" s="82">
        <f>MAX($V284,'ORDER VS WEEK DISTRIBUTION'!$G$500)</f>
        <v/>
      </c>
      <c r="X284" s="26">
        <f>IFERROR(VLOOKUP($J284,'ORDER VS WEEK DISTRIBUTION'!$T:$U,2,0),"")</f>
        <v/>
      </c>
      <c r="Y284" s="26">
        <f>IFERROR($T284/IF(IFERROR(VLOOKUP($I284,'ITEM CFC PER CONTAINER'!$A:$B,2,0),0)&gt;0,VLOOKUP($I284,'ITEM CFC PER CONTAINER'!$A:$B,2,0),VLOOKUP($X284,'MC MASTER'!$A:$Q,16,0)),"")</f>
        <v/>
      </c>
    </row>
    <row r="285" ht="15" customHeight="1" s="5">
      <c r="A285" s="26" t="inlineStr">
        <is>
          <t>Harris Tea Co. -Us</t>
        </is>
      </c>
      <c r="B285" s="26" t="inlineStr">
        <is>
          <t>MJIL/SO/26043049</t>
        </is>
      </c>
      <c r="C285" s="26" t="inlineStr">
        <is>
          <t>P14092</t>
        </is>
      </c>
      <c r="D285" s="82" t="n">
        <v>46314</v>
      </c>
      <c r="E285" s="83">
        <f>IF(ISNUMBER($D285),EOMONTH($D285,-1)+1,"")</f>
        <v/>
      </c>
      <c r="F285" s="82" t="n">
        <v>46314</v>
      </c>
      <c r="G285" s="26" t="n">
        <v>32930</v>
      </c>
      <c r="H285" s="26">
        <f>B285&amp;I285</f>
        <v/>
      </c>
      <c r="I285" s="26" t="inlineStr">
        <is>
          <t>BREW360 32-3 OZ BLK RND ITBS COPACK</t>
        </is>
      </c>
      <c r="J285" s="26" t="inlineStr">
        <is>
          <t>BREW MAGIC</t>
        </is>
      </c>
      <c r="K285" s="26">
        <f>J285&amp;"-"&amp;TEXT(W285,"dd-mmm-yy")</f>
        <v/>
      </c>
      <c r="L285" s="26">
        <f>IFERROR(VLOOKUP($M285,'ITEM MASTER'!E:H,4,0),"")</f>
        <v/>
      </c>
      <c r="M285" s="26">
        <f>IFERROR(VLOOKUP($I285,'ITEM MASTER'!B:E,4,0),"")</f>
        <v/>
      </c>
      <c r="N285" s="26">
        <f>IFERROR(VLOOKUP($I285,'ITEM MASTER'!B:F,5,0),0)</f>
        <v/>
      </c>
      <c r="O285" s="26">
        <f>IFERROR(VLOOKUP($M285,'TBGS PER CTN'!B:C,2,0),0)</f>
        <v/>
      </c>
      <c r="P285" s="26" t="n">
        <v>540</v>
      </c>
      <c r="Q285" s="26" t="n">
        <v>41</v>
      </c>
      <c r="R285" s="26" t="n">
        <v>240</v>
      </c>
      <c r="S285" s="26">
        <f>Q285+R285</f>
        <v/>
      </c>
      <c r="T285" s="29" t="n">
        <v>259</v>
      </c>
      <c r="U285" s="29">
        <f>N285*O285*T285</f>
        <v/>
      </c>
      <c r="V285" s="82">
        <f>IF(ISNUMBER($D285),$D285-WEEKDAY($D285,3),'ORDER VS WEEK DISTRIBUTION'!$G$500)</f>
        <v/>
      </c>
      <c r="W285" s="82">
        <f>MAX($V285,'ORDER VS WEEK DISTRIBUTION'!$G$500)</f>
        <v/>
      </c>
      <c r="X285" s="26">
        <f>IFERROR(VLOOKUP($J285,'ORDER VS WEEK DISTRIBUTION'!$T:$U,2,0),"")</f>
        <v/>
      </c>
      <c r="Y285" s="26">
        <f>IFERROR($T285/IF(IFERROR(VLOOKUP($I285,'ITEM CFC PER CONTAINER'!$A:$B,2,0),0)&gt;0,VLOOKUP($I285,'ITEM CFC PER CONTAINER'!$A:$B,2,0),VLOOKUP($X285,'MC MASTER'!$A:$Q,16,0)),"")</f>
        <v/>
      </c>
    </row>
    <row r="286" ht="15" customHeight="1" s="5">
      <c r="A286" s="26" t="inlineStr">
        <is>
          <t>Harris Tea Co. -Us</t>
        </is>
      </c>
      <c r="B286" s="26" t="inlineStr">
        <is>
          <t>MJIL/SO/26043049</t>
        </is>
      </c>
      <c r="C286" s="26" t="inlineStr">
        <is>
          <t>P14092</t>
        </is>
      </c>
      <c r="D286" s="82" t="n">
        <v>46314</v>
      </c>
      <c r="E286" s="83">
        <f>IF(ISNUMBER($D286),EOMONTH($D286,-1)+1,"")</f>
        <v/>
      </c>
      <c r="F286" s="82" t="n">
        <v>46314</v>
      </c>
      <c r="G286" s="26" t="n">
        <v>23604</v>
      </c>
      <c r="H286" s="26">
        <f>B286&amp;I286</f>
        <v/>
      </c>
      <c r="I286" s="26" t="inlineStr">
        <is>
          <t>KEEFE 24/48 SC ENV TBGS</t>
        </is>
      </c>
      <c r="J286" s="26" t="inlineStr">
        <is>
          <t>MAISA ENV</t>
        </is>
      </c>
      <c r="K286" s="26">
        <f>J286&amp;"-"&amp;TEXT(W286,"dd-mmm-yy")</f>
        <v/>
      </c>
      <c r="L286" s="26">
        <f>IFERROR(VLOOKUP($M286,'ITEM MASTER'!E:H,4,0),"")</f>
        <v/>
      </c>
      <c r="M286" s="26">
        <f>IFERROR(VLOOKUP($I286,'ITEM MASTER'!B:E,4,0),"")</f>
        <v/>
      </c>
      <c r="N286" s="26">
        <f>IFERROR(VLOOKUP($I286,'ITEM MASTER'!B:F,5,0),0)</f>
        <v/>
      </c>
      <c r="O286" s="26">
        <f>IFERROR(VLOOKUP($M286,'TBGS PER CTN'!B:C,2,0),0)</f>
        <v/>
      </c>
      <c r="P286" s="26" t="n">
        <v>1400</v>
      </c>
      <c r="Q286" s="26" t="n">
        <v>0</v>
      </c>
      <c r="R286" s="26" t="n">
        <v>0</v>
      </c>
      <c r="S286" s="26">
        <f>Q286+R286</f>
        <v/>
      </c>
      <c r="T286" s="29" t="n">
        <v>1400</v>
      </c>
      <c r="U286" s="29">
        <f>N286*O286*T286</f>
        <v/>
      </c>
      <c r="V286" s="82">
        <f>IF(ISNUMBER($D286),$D286-WEEKDAY($D286,3),'ORDER VS WEEK DISTRIBUTION'!$G$500)</f>
        <v/>
      </c>
      <c r="W286" s="82">
        <f>MAX($V286,'ORDER VS WEEK DISTRIBUTION'!$G$500)</f>
        <v/>
      </c>
      <c r="X286" s="26">
        <f>IFERROR(VLOOKUP($J286,'ORDER VS WEEK DISTRIBUTION'!$T:$U,2,0),"")</f>
        <v/>
      </c>
      <c r="Y286" s="26">
        <f>IFERROR($T286/IF(IFERROR(VLOOKUP($I286,'ITEM CFC PER CONTAINER'!$A:$B,2,0),0)&gt;0,VLOOKUP($I286,'ITEM CFC PER CONTAINER'!$A:$B,2,0),VLOOKUP($X286,'MC MASTER'!$A:$Q,16,0)),"")</f>
        <v/>
      </c>
    </row>
    <row r="287" ht="15" customHeight="1" s="5">
      <c r="A287" s="26" t="inlineStr">
        <is>
          <t>Harris Tea Co. -Us</t>
        </is>
      </c>
      <c r="B287" s="26" t="inlineStr">
        <is>
          <t>MJIL/SO/26043057</t>
        </is>
      </c>
      <c r="C287" s="26" t="inlineStr">
        <is>
          <t>P14093 - WALMART</t>
        </is>
      </c>
      <c r="D287" s="82" t="n">
        <v>46314</v>
      </c>
      <c r="E287" s="83">
        <f>IF(ISNUMBER($D287),EOMONTH($D287,-1)+1,"")</f>
        <v/>
      </c>
      <c r="F287" s="82" t="n">
        <v>46314</v>
      </c>
      <c r="G287" s="26" t="n">
        <v>37527</v>
      </c>
      <c r="H287" s="26">
        <f>B287&amp;I287</f>
        <v/>
      </c>
      <c r="I287" s="26" t="inlineStr">
        <is>
          <t>GREAT VALUE 4/20 VARIETY HERBAL TEA COLLECTIONS DC SF HS ENV TBGS</t>
        </is>
      </c>
      <c r="J287" s="26" t="inlineStr">
        <is>
          <t>MD20 HS</t>
        </is>
      </c>
      <c r="K287" s="26">
        <f>J287&amp;"-"&amp;TEXT(W287,"dd-mmm-yy")</f>
        <v/>
      </c>
      <c r="L287" s="26">
        <f>IFERROR(VLOOKUP($M287,'ITEM MASTER'!E:H,4,0),"")</f>
        <v/>
      </c>
      <c r="M287" s="26">
        <f>IFERROR(VLOOKUP($I287,'ITEM MASTER'!B:E,4,0),"")</f>
        <v/>
      </c>
      <c r="N287" s="26">
        <f>IFERROR(VLOOKUP($I287,'ITEM MASTER'!B:F,5,0),0)</f>
        <v/>
      </c>
      <c r="O287" s="26">
        <f>IFERROR(VLOOKUP($M287,'TBGS PER CTN'!B:C,2,0),0)</f>
        <v/>
      </c>
      <c r="P287" s="26" t="n">
        <v>14784</v>
      </c>
      <c r="Q287" s="26" t="n">
        <v>0</v>
      </c>
      <c r="R287" s="26" t="n">
        <v>0</v>
      </c>
      <c r="S287" s="26">
        <f>Q287+R287</f>
        <v/>
      </c>
      <c r="T287" s="29" t="n">
        <v>14784</v>
      </c>
      <c r="U287" s="29">
        <f>N287*O287*T287</f>
        <v/>
      </c>
      <c r="V287" s="82">
        <f>IF(ISNUMBER($D287),$D287-WEEKDAY($D287,3),'ORDER VS WEEK DISTRIBUTION'!$G$500)</f>
        <v/>
      </c>
      <c r="W287" s="82">
        <f>MAX($V287,'ORDER VS WEEK DISTRIBUTION'!$G$500)</f>
        <v/>
      </c>
      <c r="X287" s="26">
        <f>IFERROR(VLOOKUP($J287,'ORDER VS WEEK DISTRIBUTION'!$T:$U,2,0),"")</f>
        <v/>
      </c>
      <c r="Y287" s="26">
        <f>IFERROR($T287/IF(IFERROR(VLOOKUP($I287,'ITEM CFC PER CONTAINER'!$A:$B,2,0),0)&gt;0,VLOOKUP($I287,'ITEM CFC PER CONTAINER'!$A:$B,2,0),VLOOKUP($X287,'MC MASTER'!$A:$Q,16,0)),"")</f>
        <v/>
      </c>
    </row>
    <row r="288" ht="15" customHeight="1" s="5">
      <c r="A288" s="26" t="inlineStr">
        <is>
          <t>Kaysun General Trading FZCO</t>
        </is>
      </c>
      <c r="B288" s="26" t="inlineStr">
        <is>
          <t>MJIL/SO/26019330</t>
        </is>
      </c>
      <c r="C288" s="26" t="inlineStr">
        <is>
          <t>MJ-043/26-27 / 10</t>
        </is>
      </c>
      <c r="D288" s="82" t="n">
        <v>46314</v>
      </c>
      <c r="E288" s="83">
        <f>IF(ISNUMBER($D288),EOMONTH($D288,-1)+1,"")</f>
        <v/>
      </c>
      <c r="F288" s="82" t="n">
        <v>46314</v>
      </c>
      <c r="G288" s="26" t="n">
        <v>1328</v>
      </c>
      <c r="H288" s="26">
        <f>B288&amp;I288</f>
        <v/>
      </c>
      <c r="I288" s="26" t="inlineStr">
        <is>
          <t>CHAYA 12/100 DC ENV TBGS</t>
        </is>
      </c>
      <c r="J288" s="26" t="inlineStr">
        <is>
          <t>PERFECTA ENV</t>
        </is>
      </c>
      <c r="K288" s="26">
        <f>J288&amp;"-"&amp;TEXT(W288,"dd-mmm-yy")</f>
        <v/>
      </c>
      <c r="L288" s="26">
        <f>IFERROR(VLOOKUP($M288,'ITEM MASTER'!E:H,4,0),"")</f>
        <v/>
      </c>
      <c r="M288" s="26">
        <f>IFERROR(VLOOKUP($I288,'ITEM MASTER'!B:E,4,0),"")</f>
        <v/>
      </c>
      <c r="N288" s="26">
        <f>IFERROR(VLOOKUP($I288,'ITEM MASTER'!B:F,5,0),0)</f>
        <v/>
      </c>
      <c r="O288" s="26">
        <f>IFERROR(VLOOKUP($M288,'TBGS PER CTN'!B:C,2,0),0)</f>
        <v/>
      </c>
      <c r="P288" s="26" t="n">
        <v>6640</v>
      </c>
      <c r="Q288" s="26" t="n">
        <v>0</v>
      </c>
      <c r="R288" s="26" t="n">
        <v>0</v>
      </c>
      <c r="S288" s="26">
        <f>Q288+R288</f>
        <v/>
      </c>
      <c r="T288" s="29" t="n">
        <v>6640</v>
      </c>
      <c r="U288" s="29">
        <f>N288*O288*T288</f>
        <v/>
      </c>
      <c r="V288" s="82">
        <f>IF(ISNUMBER($D288),$D288-WEEKDAY($D288,3),'ORDER VS WEEK DISTRIBUTION'!$G$500)</f>
        <v/>
      </c>
      <c r="W288" s="82">
        <f>MAX($V288,'ORDER VS WEEK DISTRIBUTION'!$G$500)</f>
        <v/>
      </c>
      <c r="X288" s="26">
        <f>IFERROR(VLOOKUP($J288,'ORDER VS WEEK DISTRIBUTION'!$T:$U,2,0),"")</f>
        <v/>
      </c>
      <c r="Y288" s="26">
        <f>IFERROR($T288/IF(IFERROR(VLOOKUP($I288,'ITEM CFC PER CONTAINER'!$A:$B,2,0),0)&gt;0,VLOOKUP($I288,'ITEM CFC PER CONTAINER'!$A:$B,2,0),VLOOKUP($X288,'MC MASTER'!$A:$Q,16,0)),"")</f>
        <v/>
      </c>
    </row>
    <row r="289" ht="15" customHeight="1" s="5">
      <c r="A289" s="26" t="inlineStr">
        <is>
          <t xml:space="preserve">Madhu Jayanti International Pvt Ltd - USA RBW SC </t>
        </is>
      </c>
      <c r="B289" s="26" t="inlineStr">
        <is>
          <t>MJIL/SO/26023805</t>
        </is>
      </c>
      <c r="C289" s="26" t="inlineStr">
        <is>
          <t>OCT SHPT - 1 - 20 ASST GREEN</t>
        </is>
      </c>
      <c r="D289" s="82" t="n">
        <v>46314</v>
      </c>
      <c r="E289" s="83">
        <f>IF(ISNUMBER($D289),EOMONTH($D289,-1)+1,"")</f>
        <v/>
      </c>
      <c r="F289" s="82" t="n">
        <v>46314</v>
      </c>
      <c r="G289" s="26" t="n">
        <v>37682</v>
      </c>
      <c r="H289" s="26">
        <f>B289&amp;I289</f>
        <v/>
      </c>
      <c r="I289" s="26" t="inlineStr">
        <is>
          <t>BARISSIMO GREEN TEA COLLECTIONS 12/20 DC SF ENV TBGS</t>
        </is>
      </c>
      <c r="J289" s="26" t="inlineStr">
        <is>
          <t>C250-A</t>
        </is>
      </c>
      <c r="K289" s="26">
        <f>J289&amp;"-"&amp;TEXT(W289,"dd-mmm-yy")</f>
        <v/>
      </c>
      <c r="L289" s="26">
        <f>IFERROR(VLOOKUP($M289,'ITEM MASTER'!E:H,4,0),"")</f>
        <v/>
      </c>
      <c r="M289" s="26">
        <f>IFERROR(VLOOKUP($I289,'ITEM MASTER'!B:E,4,0),"")</f>
        <v/>
      </c>
      <c r="N289" s="26">
        <f>IFERROR(VLOOKUP($I289,'ITEM MASTER'!B:F,5,0),0)</f>
        <v/>
      </c>
      <c r="O289" s="26">
        <f>IFERROR(VLOOKUP($M289,'TBGS PER CTN'!B:C,2,0),0)</f>
        <v/>
      </c>
      <c r="P289" s="26" t="n">
        <v>8320</v>
      </c>
      <c r="Q289" s="26" t="n">
        <v>0</v>
      </c>
      <c r="R289" s="26" t="n">
        <v>0</v>
      </c>
      <c r="S289" s="26">
        <f>Q289+R289</f>
        <v/>
      </c>
      <c r="T289" s="29" t="n">
        <v>8320</v>
      </c>
      <c r="U289" s="29">
        <f>N289*O289*T289</f>
        <v/>
      </c>
      <c r="V289" s="82">
        <f>IF(ISNUMBER($D289),$D289-WEEKDAY($D289,3),'ORDER VS WEEK DISTRIBUTION'!$G$500)</f>
        <v/>
      </c>
      <c r="W289" s="82">
        <f>MAX($V289,'ORDER VS WEEK DISTRIBUTION'!$G$500)</f>
        <v/>
      </c>
      <c r="X289" s="26">
        <f>IFERROR(VLOOKUP($J289,'ORDER VS WEEK DISTRIBUTION'!$T:$U,2,0),"")</f>
        <v/>
      </c>
      <c r="Y289" s="26">
        <f>IFERROR($T289/IF(IFERROR(VLOOKUP($I289,'ITEM CFC PER CONTAINER'!$A:$B,2,0),0)&gt;0,VLOOKUP($I289,'ITEM CFC PER CONTAINER'!$A:$B,2,0),VLOOKUP($X289,'MC MASTER'!$A:$Q,16,0)),"")</f>
        <v/>
      </c>
    </row>
    <row r="290" ht="15" customHeight="1" s="5">
      <c r="A290" s="26" t="inlineStr">
        <is>
          <t>Multitrade Overseas Pte. Ltd.</t>
        </is>
      </c>
      <c r="B290" s="26" t="inlineStr">
        <is>
          <t>MJIL/SO/26037895</t>
        </is>
      </c>
      <c r="C290" s="26" t="inlineStr">
        <is>
          <t>MJ-072/26-27 (DALA &amp; SONS)</t>
        </is>
      </c>
      <c r="D290" s="82" t="n">
        <v>46314</v>
      </c>
      <c r="E290" s="83">
        <f>IF(ISNUMBER($D290),EOMONTH($D290,-1)+1,"")</f>
        <v/>
      </c>
      <c r="F290" s="82" t="n">
        <v>46314</v>
      </c>
      <c r="G290" s="26" t="n">
        <v>22922</v>
      </c>
      <c r="H290" s="26">
        <f>B290&amp;I290</f>
        <v/>
      </c>
      <c r="I290" s="26" t="inlineStr">
        <is>
          <t>GV MINT 48/25 DC ENV TBGS</t>
        </is>
      </c>
      <c r="J290" s="30" t="inlineStr">
        <is>
          <t>CONSTANTA ENV</t>
        </is>
      </c>
      <c r="K290" s="26">
        <f>J290&amp;"-"&amp;TEXT(W290,"dd-mmm-yy")</f>
        <v/>
      </c>
      <c r="L290" s="26">
        <f>IFERROR(VLOOKUP($M290,'ITEM MASTER'!E:H,4,0),"")</f>
        <v/>
      </c>
      <c r="M290" s="26">
        <f>IFERROR(VLOOKUP($I290,'ITEM MASTER'!B:E,4,0),"")</f>
        <v/>
      </c>
      <c r="N290" s="26">
        <f>IFERROR(VLOOKUP($I290,'ITEM MASTER'!B:F,5,0),0)</f>
        <v/>
      </c>
      <c r="O290" s="26">
        <f>IFERROR(VLOOKUP($M290,'TBGS PER CTN'!B:C,2,0),0)</f>
        <v/>
      </c>
      <c r="P290" s="26" t="n">
        <v>2000</v>
      </c>
      <c r="Q290" s="26" t="n">
        <v>0</v>
      </c>
      <c r="R290" s="26" t="n">
        <v>0</v>
      </c>
      <c r="S290" s="26">
        <f>Q290+R290</f>
        <v/>
      </c>
      <c r="T290" s="29" t="n">
        <v>2000</v>
      </c>
      <c r="U290" s="29">
        <f>N290*O290*T290</f>
        <v/>
      </c>
      <c r="V290" s="82">
        <f>IF(ISNUMBER($D290),$D290-WEEKDAY($D290,3),'ORDER VS WEEK DISTRIBUTION'!$G$500)</f>
        <v/>
      </c>
      <c r="W290" s="82">
        <f>MAX($V290,'ORDER VS WEEK DISTRIBUTION'!$G$500)</f>
        <v/>
      </c>
      <c r="X290" s="26">
        <f>IFERROR(VLOOKUP($J290,'ORDER VS WEEK DISTRIBUTION'!$T:$U,2,0),"")</f>
        <v/>
      </c>
      <c r="Y290" s="26">
        <f>IFERROR($T290/IF(IFERROR(VLOOKUP($I290,'ITEM CFC PER CONTAINER'!$A:$B,2,0),0)&gt;0,VLOOKUP($I290,'ITEM CFC PER CONTAINER'!$A:$B,2,0),VLOOKUP($X290,'MC MASTER'!$A:$Q,16,0)),"")</f>
        <v/>
      </c>
    </row>
    <row r="291" ht="15" customHeight="1" s="5">
      <c r="A291" s="26" t="inlineStr">
        <is>
          <t>Multitrade Overseas Pte. Ltd.</t>
        </is>
      </c>
      <c r="B291" s="26" t="inlineStr">
        <is>
          <t>MJIL/SO/26037895</t>
        </is>
      </c>
      <c r="C291" s="26" t="inlineStr">
        <is>
          <t>MJ-072/26-27 (DALA &amp; SONS)</t>
        </is>
      </c>
      <c r="D291" s="82" t="n">
        <v>46314</v>
      </c>
      <c r="E291" s="83">
        <f>IF(ISNUMBER($D291),EOMONTH($D291,-1)+1,"")</f>
        <v/>
      </c>
      <c r="F291" s="82" t="n">
        <v>46314</v>
      </c>
      <c r="G291" s="26" t="n">
        <v>26083</v>
      </c>
      <c r="H291" s="26">
        <f>B291&amp;I291</f>
        <v/>
      </c>
      <c r="I291" s="26" t="inlineStr">
        <is>
          <t>GV GARDEN STRAWBERRY 48/25 DC ENV TBGS</t>
        </is>
      </c>
      <c r="J291" s="30" t="inlineStr">
        <is>
          <t>CONSTANTA ENV</t>
        </is>
      </c>
      <c r="K291" s="26">
        <f>J291&amp;"-"&amp;TEXT(W291,"dd-mmm-yy")</f>
        <v/>
      </c>
      <c r="L291" s="26">
        <f>IFERROR(VLOOKUP($M291,'ITEM MASTER'!E:H,4,0),"")</f>
        <v/>
      </c>
      <c r="M291" s="26">
        <f>IFERROR(VLOOKUP($I291,'ITEM MASTER'!B:E,4,0),"")</f>
        <v/>
      </c>
      <c r="N291" s="26">
        <f>IFERROR(VLOOKUP($I291,'ITEM MASTER'!B:F,5,0),0)</f>
        <v/>
      </c>
      <c r="O291" s="26">
        <f>IFERROR(VLOOKUP($M291,'TBGS PER CTN'!B:C,2,0),0)</f>
        <v/>
      </c>
      <c r="P291" s="26" t="n">
        <v>1300</v>
      </c>
      <c r="Q291" s="26" t="n">
        <v>0</v>
      </c>
      <c r="R291" s="26" t="n">
        <v>318</v>
      </c>
      <c r="S291" s="26">
        <f>Q291+R291</f>
        <v/>
      </c>
      <c r="T291" s="29" t="n">
        <v>982</v>
      </c>
      <c r="U291" s="29">
        <f>N291*O291*T291</f>
        <v/>
      </c>
      <c r="V291" s="82">
        <f>IF(ISNUMBER($D291),$D291-WEEKDAY($D291,3),'ORDER VS WEEK DISTRIBUTION'!$G$500)</f>
        <v/>
      </c>
      <c r="W291" s="82">
        <f>MAX($V291,'ORDER VS WEEK DISTRIBUTION'!$G$500)</f>
        <v/>
      </c>
      <c r="X291" s="26">
        <f>IFERROR(VLOOKUP($J291,'ORDER VS WEEK DISTRIBUTION'!$T:$U,2,0),"")</f>
        <v/>
      </c>
      <c r="Y291" s="26">
        <f>IFERROR($T291/IF(IFERROR(VLOOKUP($I291,'ITEM CFC PER CONTAINER'!$A:$B,2,0),0)&gt;0,VLOOKUP($I291,'ITEM CFC PER CONTAINER'!$A:$B,2,0),VLOOKUP($X291,'MC MASTER'!$A:$Q,16,0)),"")</f>
        <v/>
      </c>
    </row>
    <row r="292" ht="15" customHeight="1" s="5">
      <c r="A292" s="26" t="inlineStr">
        <is>
          <t>Multitrade Overseas Pte. Ltd.</t>
        </is>
      </c>
      <c r="B292" s="26" t="inlineStr">
        <is>
          <t>MJIL/SO/26037895</t>
        </is>
      </c>
      <c r="C292" s="26" t="inlineStr">
        <is>
          <t>MJ-072/26-27 (DALA &amp; SONS)</t>
        </is>
      </c>
      <c r="D292" s="82" t="n">
        <v>46314</v>
      </c>
      <c r="E292" s="83">
        <f>IF(ISNUMBER($D292),EOMONTH($D292,-1)+1,"")</f>
        <v/>
      </c>
      <c r="F292" s="82" t="n">
        <v>46314</v>
      </c>
      <c r="G292" s="26" t="n">
        <v>26084</v>
      </c>
      <c r="H292" s="26">
        <f>B292&amp;I292</f>
        <v/>
      </c>
      <c r="I292" s="26" t="inlineStr">
        <is>
          <t>GV COCKTAIL 48/25 DC ENV TBGS</t>
        </is>
      </c>
      <c r="J292" s="30" t="inlineStr">
        <is>
          <t>CONSTANTA ENV</t>
        </is>
      </c>
      <c r="K292" s="26">
        <f>J292&amp;"-"&amp;TEXT(W292,"dd-mmm-yy")</f>
        <v/>
      </c>
      <c r="L292" s="26">
        <f>IFERROR(VLOOKUP($M292,'ITEM MASTER'!E:H,4,0),"")</f>
        <v/>
      </c>
      <c r="M292" s="26">
        <f>IFERROR(VLOOKUP($I292,'ITEM MASTER'!B:E,4,0),"")</f>
        <v/>
      </c>
      <c r="N292" s="26">
        <f>IFERROR(VLOOKUP($I292,'ITEM MASTER'!B:F,5,0),0)</f>
        <v/>
      </c>
      <c r="O292" s="26">
        <f>IFERROR(VLOOKUP($M292,'TBGS PER CTN'!B:C,2,0),0)</f>
        <v/>
      </c>
      <c r="P292" s="26" t="n">
        <v>1300</v>
      </c>
      <c r="Q292" s="26" t="n">
        <v>0</v>
      </c>
      <c r="R292" s="26" t="n">
        <v>0</v>
      </c>
      <c r="S292" s="26">
        <f>Q292+R292</f>
        <v/>
      </c>
      <c r="T292" s="29" t="n">
        <v>1300</v>
      </c>
      <c r="U292" s="29">
        <f>N292*O292*T292</f>
        <v/>
      </c>
      <c r="V292" s="82">
        <f>IF(ISNUMBER($D292),$D292-WEEKDAY($D292,3),'ORDER VS WEEK DISTRIBUTION'!$G$500)</f>
        <v/>
      </c>
      <c r="W292" s="82">
        <f>MAX($V292,'ORDER VS WEEK DISTRIBUTION'!$G$500)</f>
        <v/>
      </c>
      <c r="X292" s="26">
        <f>IFERROR(VLOOKUP($J292,'ORDER VS WEEK DISTRIBUTION'!$T:$U,2,0),"")</f>
        <v/>
      </c>
      <c r="Y292" s="26">
        <f>IFERROR($T292/IF(IFERROR(VLOOKUP($I292,'ITEM CFC PER CONTAINER'!$A:$B,2,0),0)&gt;0,VLOOKUP($I292,'ITEM CFC PER CONTAINER'!$A:$B,2,0),VLOOKUP($X292,'MC MASTER'!$A:$Q,16,0)),"")</f>
        <v/>
      </c>
    </row>
    <row r="293" ht="15" customHeight="1" s="5">
      <c r="A293" s="26" t="inlineStr">
        <is>
          <t>Multitrade Overseas Pte. Ltd.</t>
        </is>
      </c>
      <c r="B293" s="26" t="inlineStr">
        <is>
          <t>MJIL/SO/26037895</t>
        </is>
      </c>
      <c r="C293" s="26" t="inlineStr">
        <is>
          <t>MJ-072/26-27 (DALA &amp; SONS)</t>
        </is>
      </c>
      <c r="D293" s="82" t="n">
        <v>46314</v>
      </c>
      <c r="E293" s="83">
        <f>IF(ISNUMBER($D293),EOMONTH($D293,-1)+1,"")</f>
        <v/>
      </c>
      <c r="F293" s="82" t="n">
        <v>46314</v>
      </c>
      <c r="G293" s="26" t="n">
        <v>26085</v>
      </c>
      <c r="H293" s="26">
        <f>B293&amp;I293</f>
        <v/>
      </c>
      <c r="I293" s="26" t="inlineStr">
        <is>
          <t>GV SPICY GINGER 48/25 DC ENV TBGS</t>
        </is>
      </c>
      <c r="J293" s="30" t="inlineStr">
        <is>
          <t>CONSTANTA ENV</t>
        </is>
      </c>
      <c r="K293" s="26">
        <f>J293&amp;"-"&amp;TEXT(W293,"dd-mmm-yy")</f>
        <v/>
      </c>
      <c r="L293" s="26">
        <f>IFERROR(VLOOKUP($M293,'ITEM MASTER'!E:H,4,0),"")</f>
        <v/>
      </c>
      <c r="M293" s="26">
        <f>IFERROR(VLOOKUP($I293,'ITEM MASTER'!B:E,4,0),"")</f>
        <v/>
      </c>
      <c r="N293" s="26">
        <f>IFERROR(VLOOKUP($I293,'ITEM MASTER'!B:F,5,0),0)</f>
        <v/>
      </c>
      <c r="O293" s="26">
        <f>IFERROR(VLOOKUP($M293,'TBGS PER CTN'!B:C,2,0),0)</f>
        <v/>
      </c>
      <c r="P293" s="26" t="n">
        <v>500</v>
      </c>
      <c r="Q293" s="26" t="n">
        <v>0</v>
      </c>
      <c r="R293" s="26" t="n">
        <v>0</v>
      </c>
      <c r="S293" s="26">
        <f>Q293+R293</f>
        <v/>
      </c>
      <c r="T293" s="29" t="n">
        <v>500</v>
      </c>
      <c r="U293" s="29">
        <f>N293*O293*T293</f>
        <v/>
      </c>
      <c r="V293" s="82">
        <f>IF(ISNUMBER($D293),$D293-WEEKDAY($D293,3),'ORDER VS WEEK DISTRIBUTION'!$G$500)</f>
        <v/>
      </c>
      <c r="W293" s="82">
        <f>MAX($V293,'ORDER VS WEEK DISTRIBUTION'!$G$500)</f>
        <v/>
      </c>
      <c r="X293" s="26">
        <f>IFERROR(VLOOKUP($J293,'ORDER VS WEEK DISTRIBUTION'!$T:$U,2,0),"")</f>
        <v/>
      </c>
      <c r="Y293" s="26">
        <f>IFERROR($T293/IF(IFERROR(VLOOKUP($I293,'ITEM CFC PER CONTAINER'!$A:$B,2,0),0)&gt;0,VLOOKUP($I293,'ITEM CFC PER CONTAINER'!$A:$B,2,0),VLOOKUP($X293,'MC MASTER'!$A:$Q,16,0)),"")</f>
        <v/>
      </c>
    </row>
    <row r="294" ht="15" customHeight="1" s="5">
      <c r="A294" s="26" t="inlineStr">
        <is>
          <t>Multitrade Overseas Pte. Ltd.</t>
        </is>
      </c>
      <c r="B294" s="26" t="inlineStr">
        <is>
          <t>MJIL/SO/26037895</t>
        </is>
      </c>
      <c r="C294" s="26" t="inlineStr">
        <is>
          <t>MJ-072/26-27 (DALA &amp; SONS)</t>
        </is>
      </c>
      <c r="D294" s="82" t="n">
        <v>46314</v>
      </c>
      <c r="E294" s="83">
        <f>IF(ISNUMBER($D294),EOMONTH($D294,-1)+1,"")</f>
        <v/>
      </c>
      <c r="F294" s="82" t="n">
        <v>46314</v>
      </c>
      <c r="G294" s="26" t="n">
        <v>26086</v>
      </c>
      <c r="H294" s="26">
        <f>B294&amp;I294</f>
        <v/>
      </c>
      <c r="I294" s="26" t="inlineStr">
        <is>
          <t>GV WATERMELON 48/25 DC ENV TBGS</t>
        </is>
      </c>
      <c r="J294" s="30" t="inlineStr">
        <is>
          <t>CONSTANTA ENV</t>
        </is>
      </c>
      <c r="K294" s="26">
        <f>J294&amp;"-"&amp;TEXT(W294,"dd-mmm-yy")</f>
        <v/>
      </c>
      <c r="L294" s="26">
        <f>IFERROR(VLOOKUP($M294,'ITEM MASTER'!E:H,4,0),"")</f>
        <v/>
      </c>
      <c r="M294" s="26">
        <f>IFERROR(VLOOKUP($I294,'ITEM MASTER'!B:E,4,0),"")</f>
        <v/>
      </c>
      <c r="N294" s="26">
        <f>IFERROR(VLOOKUP($I294,'ITEM MASTER'!B:F,5,0),0)</f>
        <v/>
      </c>
      <c r="O294" s="26">
        <f>IFERROR(VLOOKUP($M294,'TBGS PER CTN'!B:C,2,0),0)</f>
        <v/>
      </c>
      <c r="P294" s="26" t="n">
        <v>800</v>
      </c>
      <c r="Q294" s="26" t="n">
        <v>0</v>
      </c>
      <c r="R294" s="26" t="n">
        <v>0</v>
      </c>
      <c r="S294" s="26">
        <f>Q294+R294</f>
        <v/>
      </c>
      <c r="T294" s="29" t="n">
        <v>800</v>
      </c>
      <c r="U294" s="29">
        <f>N294*O294*T294</f>
        <v/>
      </c>
      <c r="V294" s="82">
        <f>IF(ISNUMBER($D294),$D294-WEEKDAY($D294,3),'ORDER VS WEEK DISTRIBUTION'!$G$500)</f>
        <v/>
      </c>
      <c r="W294" s="82">
        <f>MAX($V294,'ORDER VS WEEK DISTRIBUTION'!$G$500)</f>
        <v/>
      </c>
      <c r="X294" s="26">
        <f>IFERROR(VLOOKUP($J294,'ORDER VS WEEK DISTRIBUTION'!$T:$U,2,0),"")</f>
        <v/>
      </c>
      <c r="Y294" s="26">
        <f>IFERROR($T294/IF(IFERROR(VLOOKUP($I294,'ITEM CFC PER CONTAINER'!$A:$B,2,0),0)&gt;0,VLOOKUP($I294,'ITEM CFC PER CONTAINER'!$A:$B,2,0),VLOOKUP($X294,'MC MASTER'!$A:$Q,16,0)),"")</f>
        <v/>
      </c>
    </row>
    <row r="295" ht="15" customHeight="1" s="5">
      <c r="A295" s="26" t="inlineStr">
        <is>
          <t>Multitrade Overseas Pte. Ltd.</t>
        </is>
      </c>
      <c r="B295" s="26" t="inlineStr">
        <is>
          <t>MJIL/SO/26037895</t>
        </is>
      </c>
      <c r="C295" s="26" t="inlineStr">
        <is>
          <t>MJ-072/26-27 (DALA &amp; SONS)</t>
        </is>
      </c>
      <c r="D295" s="82" t="n">
        <v>46314</v>
      </c>
      <c r="E295" s="83">
        <f>IF(ISNUMBER($D295),EOMONTH($D295,-1)+1,"")</f>
        <v/>
      </c>
      <c r="F295" s="82" t="n">
        <v>46314</v>
      </c>
      <c r="G295" s="26" t="n">
        <v>27221</v>
      </c>
      <c r="H295" s="26">
        <f>B295&amp;I295</f>
        <v/>
      </c>
      <c r="I295" s="26" t="inlineStr">
        <is>
          <t>GV PINEAPPLE 48/25 DC ENV TBGS</t>
        </is>
      </c>
      <c r="J295" s="30" t="inlineStr">
        <is>
          <t>CONSTANTA ENV</t>
        </is>
      </c>
      <c r="K295" s="26">
        <f>J295&amp;"-"&amp;TEXT(W295,"dd-mmm-yy")</f>
        <v/>
      </c>
      <c r="L295" s="26">
        <f>IFERROR(VLOOKUP($M295,'ITEM MASTER'!E:H,4,0),"")</f>
        <v/>
      </c>
      <c r="M295" s="26">
        <f>IFERROR(VLOOKUP($I295,'ITEM MASTER'!B:E,4,0),"")</f>
        <v/>
      </c>
      <c r="N295" s="26">
        <f>IFERROR(VLOOKUP($I295,'ITEM MASTER'!B:F,5,0),0)</f>
        <v/>
      </c>
      <c r="O295" s="26">
        <f>IFERROR(VLOOKUP($M295,'TBGS PER CTN'!B:C,2,0),0)</f>
        <v/>
      </c>
      <c r="P295" s="26" t="n">
        <v>300</v>
      </c>
      <c r="Q295" s="26" t="n">
        <v>0</v>
      </c>
      <c r="R295" s="26" t="n">
        <v>0</v>
      </c>
      <c r="S295" s="26">
        <f>Q295+R295</f>
        <v/>
      </c>
      <c r="T295" s="29" t="n">
        <v>300</v>
      </c>
      <c r="U295" s="29">
        <f>N295*O295*T295</f>
        <v/>
      </c>
      <c r="V295" s="82">
        <f>IF(ISNUMBER($D295),$D295-WEEKDAY($D295,3),'ORDER VS WEEK DISTRIBUTION'!$G$500)</f>
        <v/>
      </c>
      <c r="W295" s="82">
        <f>MAX($V295,'ORDER VS WEEK DISTRIBUTION'!$G$500)</f>
        <v/>
      </c>
      <c r="X295" s="26">
        <f>IFERROR(VLOOKUP($J295,'ORDER VS WEEK DISTRIBUTION'!$T:$U,2,0),"")</f>
        <v/>
      </c>
      <c r="Y295" s="26">
        <f>IFERROR($T295/IF(IFERROR(VLOOKUP($I295,'ITEM CFC PER CONTAINER'!$A:$B,2,0),0)&gt;0,VLOOKUP($I295,'ITEM CFC PER CONTAINER'!$A:$B,2,0),VLOOKUP($X295,'MC MASTER'!$A:$Q,16,0)),"")</f>
        <v/>
      </c>
    </row>
    <row r="296" ht="15" customHeight="1" s="5">
      <c r="A296" s="26" t="inlineStr">
        <is>
          <t>Multitrade Overseas Pte. Ltd.</t>
        </is>
      </c>
      <c r="B296" s="26" t="inlineStr">
        <is>
          <t>MJIL/SO/26037895</t>
        </is>
      </c>
      <c r="C296" s="26" t="inlineStr">
        <is>
          <t>MJ-072/26-27 (DALA &amp; SONS)</t>
        </is>
      </c>
      <c r="D296" s="82" t="n">
        <v>46314</v>
      </c>
      <c r="E296" s="83">
        <f>IF(ISNUMBER($D296),EOMONTH($D296,-1)+1,"")</f>
        <v/>
      </c>
      <c r="F296" s="82" t="n">
        <v>46314</v>
      </c>
      <c r="G296" s="26" t="n">
        <v>28051</v>
      </c>
      <c r="H296" s="26">
        <f>B296&amp;I296</f>
        <v/>
      </c>
      <c r="I296" s="26" t="inlineStr">
        <is>
          <t>GV CLOVE 48/25 DC ENV TBGS</t>
        </is>
      </c>
      <c r="J296" s="30" t="inlineStr">
        <is>
          <t>CONSTANTA ENV</t>
        </is>
      </c>
      <c r="K296" s="26">
        <f>J296&amp;"-"&amp;TEXT(W296,"dd-mmm-yy")</f>
        <v/>
      </c>
      <c r="L296" s="26">
        <f>IFERROR(VLOOKUP($M296,'ITEM MASTER'!E:H,4,0),"")</f>
        <v/>
      </c>
      <c r="M296" s="26">
        <f>IFERROR(VLOOKUP($I296,'ITEM MASTER'!B:E,4,0),"")</f>
        <v/>
      </c>
      <c r="N296" s="26">
        <f>IFERROR(VLOOKUP($I296,'ITEM MASTER'!B:F,5,0),0)</f>
        <v/>
      </c>
      <c r="O296" s="26">
        <f>IFERROR(VLOOKUP($M296,'TBGS PER CTN'!B:C,2,0),0)</f>
        <v/>
      </c>
      <c r="P296" s="26" t="n">
        <v>1000</v>
      </c>
      <c r="Q296" s="26" t="n">
        <v>0</v>
      </c>
      <c r="R296" s="26" t="n">
        <v>0</v>
      </c>
      <c r="S296" s="26">
        <f>Q296+R296</f>
        <v/>
      </c>
      <c r="T296" s="29" t="n">
        <v>1000</v>
      </c>
      <c r="U296" s="29">
        <f>N296*O296*T296</f>
        <v/>
      </c>
      <c r="V296" s="82">
        <f>IF(ISNUMBER($D296),$D296-WEEKDAY($D296,3),'ORDER VS WEEK DISTRIBUTION'!$G$500)</f>
        <v/>
      </c>
      <c r="W296" s="82">
        <f>MAX($V296,'ORDER VS WEEK DISTRIBUTION'!$G$500)</f>
        <v/>
      </c>
      <c r="X296" s="26">
        <f>IFERROR(VLOOKUP($J296,'ORDER VS WEEK DISTRIBUTION'!$T:$U,2,0),"")</f>
        <v/>
      </c>
      <c r="Y296" s="26">
        <f>IFERROR($T296/IF(IFERROR(VLOOKUP($I296,'ITEM CFC PER CONTAINER'!$A:$B,2,0),0)&gt;0,VLOOKUP($I296,'ITEM CFC PER CONTAINER'!$A:$B,2,0),VLOOKUP($X296,'MC MASTER'!$A:$Q,16,0)),"")</f>
        <v/>
      </c>
    </row>
    <row r="297" ht="15" customHeight="1" s="5">
      <c r="A297" s="26" t="inlineStr">
        <is>
          <t>Multitrade Overseas Pte. Ltd.</t>
        </is>
      </c>
      <c r="B297" s="26" t="inlineStr">
        <is>
          <t>MJIL/SO/26037895</t>
        </is>
      </c>
      <c r="C297" s="26" t="inlineStr">
        <is>
          <t>MJ-072/26-27 (DALA &amp; SONS)</t>
        </is>
      </c>
      <c r="D297" s="82" t="n">
        <v>46314</v>
      </c>
      <c r="E297" s="83">
        <f>IF(ISNUMBER($D297),EOMONTH($D297,-1)+1,"")</f>
        <v/>
      </c>
      <c r="F297" s="82" t="n">
        <v>46314</v>
      </c>
      <c r="G297" s="26" t="n">
        <v>35348</v>
      </c>
      <c r="H297" s="26">
        <f>B297&amp;I297</f>
        <v/>
      </c>
      <c r="I297" s="26" t="inlineStr">
        <is>
          <t>GV BERRY DELIGHT 12/25 DC SF HS ENV TBGS (AF)</t>
        </is>
      </c>
      <c r="J297" s="26" t="inlineStr">
        <is>
          <t>MD20 HS</t>
        </is>
      </c>
      <c r="K297" s="26">
        <f>J297&amp;"-"&amp;TEXT(W297,"dd-mmm-yy")</f>
        <v/>
      </c>
      <c r="L297" s="26">
        <f>IFERROR(VLOOKUP($M297,'ITEM MASTER'!E:H,4,0),"")</f>
        <v/>
      </c>
      <c r="M297" s="26">
        <f>IFERROR(VLOOKUP($I297,'ITEM MASTER'!B:E,4,0),"")</f>
        <v/>
      </c>
      <c r="N297" s="26">
        <f>IFERROR(VLOOKUP($I297,'ITEM MASTER'!B:F,5,0),0)</f>
        <v/>
      </c>
      <c r="O297" s="26">
        <f>IFERROR(VLOOKUP($M297,'TBGS PER CTN'!B:C,2,0),0)</f>
        <v/>
      </c>
      <c r="P297" s="26" t="n">
        <v>100</v>
      </c>
      <c r="Q297" s="26" t="n">
        <v>100</v>
      </c>
      <c r="R297" s="26" t="n">
        <v>0</v>
      </c>
      <c r="S297" s="26">
        <f>Q297+R297</f>
        <v/>
      </c>
      <c r="T297" s="29" t="n">
        <v>0</v>
      </c>
      <c r="U297" s="29">
        <f>N297*O297*T297</f>
        <v/>
      </c>
      <c r="V297" s="82">
        <f>IF(ISNUMBER($D297),$D297-WEEKDAY($D297,3),'ORDER VS WEEK DISTRIBUTION'!$G$500)</f>
        <v/>
      </c>
      <c r="W297" s="82">
        <f>MAX($V297,'ORDER VS WEEK DISTRIBUTION'!$G$500)</f>
        <v/>
      </c>
      <c r="X297" s="26">
        <f>IFERROR(VLOOKUP($J297,'ORDER VS WEEK DISTRIBUTION'!$T:$U,2,0),"")</f>
        <v/>
      </c>
      <c r="Y297" s="26">
        <f>IFERROR($T297/IF(IFERROR(VLOOKUP($I297,'ITEM CFC PER CONTAINER'!$A:$B,2,0),0)&gt;0,VLOOKUP($I297,'ITEM CFC PER CONTAINER'!$A:$B,2,0),VLOOKUP($X297,'MC MASTER'!$A:$Q,16,0)),"")</f>
        <v/>
      </c>
    </row>
    <row r="298" ht="15" customHeight="1" s="5">
      <c r="A298" s="26" t="inlineStr">
        <is>
          <t>Multitrade Overseas Pte. Ltd.</t>
        </is>
      </c>
      <c r="B298" s="26" t="inlineStr">
        <is>
          <t>MJIL/SO/26037895</t>
        </is>
      </c>
      <c r="C298" s="26" t="inlineStr">
        <is>
          <t>MJ-072/26-27 (DALA &amp; SONS)</t>
        </is>
      </c>
      <c r="D298" s="82" t="n">
        <v>46314</v>
      </c>
      <c r="E298" s="83">
        <f>IF(ISNUMBER($D298),EOMONTH($D298,-1)+1,"")</f>
        <v/>
      </c>
      <c r="F298" s="82" t="n">
        <v>46314</v>
      </c>
      <c r="G298" s="26" t="n">
        <v>35349</v>
      </c>
      <c r="H298" s="26">
        <f>B298&amp;I298</f>
        <v/>
      </c>
      <c r="I298" s="26" t="inlineStr">
        <is>
          <t>GV LEMON JAZZ 12/25 DC SF HS ENV TBGS (AF)</t>
        </is>
      </c>
      <c r="J298" s="26" t="inlineStr">
        <is>
          <t>MD20 HS</t>
        </is>
      </c>
      <c r="K298" s="26">
        <f>J298&amp;"-"&amp;TEXT(W298,"dd-mmm-yy")</f>
        <v/>
      </c>
      <c r="L298" s="26">
        <f>IFERROR(VLOOKUP($M298,'ITEM MASTER'!E:H,4,0),"")</f>
        <v/>
      </c>
      <c r="M298" s="26">
        <f>IFERROR(VLOOKUP($I298,'ITEM MASTER'!B:E,4,0),"")</f>
        <v/>
      </c>
      <c r="N298" s="26">
        <f>IFERROR(VLOOKUP($I298,'ITEM MASTER'!B:F,5,0),0)</f>
        <v/>
      </c>
      <c r="O298" s="26">
        <f>IFERROR(VLOOKUP($M298,'TBGS PER CTN'!B:C,2,0),0)</f>
        <v/>
      </c>
      <c r="P298" s="26" t="n">
        <v>100</v>
      </c>
      <c r="Q298" s="26" t="n">
        <v>9</v>
      </c>
      <c r="R298" s="26" t="n">
        <v>0</v>
      </c>
      <c r="S298" s="26">
        <f>Q298+R298</f>
        <v/>
      </c>
      <c r="T298" s="29" t="n">
        <v>91</v>
      </c>
      <c r="U298" s="29">
        <f>N298*O298*T298</f>
        <v/>
      </c>
      <c r="V298" s="82">
        <f>IF(ISNUMBER($D298),$D298-WEEKDAY($D298,3),'ORDER VS WEEK DISTRIBUTION'!$G$500)</f>
        <v/>
      </c>
      <c r="W298" s="82">
        <f>MAX($V298,'ORDER VS WEEK DISTRIBUTION'!$G$500)</f>
        <v/>
      </c>
      <c r="X298" s="26">
        <f>IFERROR(VLOOKUP($J298,'ORDER VS WEEK DISTRIBUTION'!$T:$U,2,0),"")</f>
        <v/>
      </c>
      <c r="Y298" s="26">
        <f>IFERROR($T298/IF(IFERROR(VLOOKUP($I298,'ITEM CFC PER CONTAINER'!$A:$B,2,0),0)&gt;0,VLOOKUP($I298,'ITEM CFC PER CONTAINER'!$A:$B,2,0),VLOOKUP($X298,'MC MASTER'!$A:$Q,16,0)),"")</f>
        <v/>
      </c>
    </row>
    <row r="299" ht="15" customHeight="1" s="5">
      <c r="A299" s="26" t="inlineStr">
        <is>
          <t>Multitrade Overseas Pte. Ltd.</t>
        </is>
      </c>
      <c r="B299" s="26" t="inlineStr">
        <is>
          <t>MJIL/SO/26037895</t>
        </is>
      </c>
      <c r="C299" s="26" t="inlineStr">
        <is>
          <t>MJ-072/26-27 (DALA &amp; SONS)</t>
        </is>
      </c>
      <c r="D299" s="82" t="n">
        <v>46314</v>
      </c>
      <c r="E299" s="83">
        <f>IF(ISNUMBER($D299),EOMONTH($D299,-1)+1,"")</f>
        <v/>
      </c>
      <c r="F299" s="82" t="n">
        <v>46314</v>
      </c>
      <c r="G299" s="26" t="n">
        <v>35358</v>
      </c>
      <c r="H299" s="26">
        <f>B299&amp;I299</f>
        <v/>
      </c>
      <c r="I299" s="26" t="inlineStr">
        <is>
          <t>GV RASPBERRY BLISS 12/25 DC SF HS ENV TBGS (AF)</t>
        </is>
      </c>
      <c r="J299" s="26" t="inlineStr">
        <is>
          <t>MD20 HS</t>
        </is>
      </c>
      <c r="K299" s="26">
        <f>J299&amp;"-"&amp;TEXT(W299,"dd-mmm-yy")</f>
        <v/>
      </c>
      <c r="L299" s="26">
        <f>IFERROR(VLOOKUP($M299,'ITEM MASTER'!E:H,4,0),"")</f>
        <v/>
      </c>
      <c r="M299" s="26">
        <f>IFERROR(VLOOKUP($I299,'ITEM MASTER'!B:E,4,0),"")</f>
        <v/>
      </c>
      <c r="N299" s="26">
        <f>IFERROR(VLOOKUP($I299,'ITEM MASTER'!B:F,5,0),0)</f>
        <v/>
      </c>
      <c r="O299" s="26">
        <f>IFERROR(VLOOKUP($M299,'TBGS PER CTN'!B:C,2,0),0)</f>
        <v/>
      </c>
      <c r="P299" s="26" t="n">
        <v>100</v>
      </c>
      <c r="Q299" s="26" t="n">
        <v>0</v>
      </c>
      <c r="R299" s="26" t="n">
        <v>0</v>
      </c>
      <c r="S299" s="26">
        <f>Q299+R299</f>
        <v/>
      </c>
      <c r="T299" s="29" t="n">
        <v>100</v>
      </c>
      <c r="U299" s="29">
        <f>N299*O299*T299</f>
        <v/>
      </c>
      <c r="V299" s="82">
        <f>IF(ISNUMBER($D299),$D299-WEEKDAY($D299,3),'ORDER VS WEEK DISTRIBUTION'!$G$500)</f>
        <v/>
      </c>
      <c r="W299" s="82">
        <f>MAX($V299,'ORDER VS WEEK DISTRIBUTION'!$G$500)</f>
        <v/>
      </c>
      <c r="X299" s="26">
        <f>IFERROR(VLOOKUP($J299,'ORDER VS WEEK DISTRIBUTION'!$T:$U,2,0),"")</f>
        <v/>
      </c>
      <c r="Y299" s="26">
        <f>IFERROR($T299/IF(IFERROR(VLOOKUP($I299,'ITEM CFC PER CONTAINER'!$A:$B,2,0),0)&gt;0,VLOOKUP($I299,'ITEM CFC PER CONTAINER'!$A:$B,2,0),VLOOKUP($X299,'MC MASTER'!$A:$Q,16,0)),"")</f>
        <v/>
      </c>
    </row>
    <row r="300" ht="15" customHeight="1" s="5">
      <c r="A300" s="26" t="inlineStr">
        <is>
          <t>Multitrade Overseas Pte. Ltd.</t>
        </is>
      </c>
      <c r="B300" s="26" t="inlineStr">
        <is>
          <t>MJIL/SO/26037895</t>
        </is>
      </c>
      <c r="C300" s="26" t="inlineStr">
        <is>
          <t>MJ-072/26-27 (DALA &amp; SONS)</t>
        </is>
      </c>
      <c r="D300" s="82" t="n">
        <v>46314</v>
      </c>
      <c r="E300" s="83">
        <f>IF(ISNUMBER($D300),EOMONTH($D300,-1)+1,"")</f>
        <v/>
      </c>
      <c r="F300" s="82" t="n">
        <v>46314</v>
      </c>
      <c r="G300" s="26" t="n">
        <v>35359</v>
      </c>
      <c r="H300" s="26">
        <f>B300&amp;I300</f>
        <v/>
      </c>
      <c r="I300" s="26" t="inlineStr">
        <is>
          <t>GV PASSION FRUIT 12/25 DC SF HS ENV TBGS (AF)</t>
        </is>
      </c>
      <c r="J300" s="26" t="inlineStr">
        <is>
          <t>MD20 HS</t>
        </is>
      </c>
      <c r="K300" s="26">
        <f>J300&amp;"-"&amp;TEXT(W300,"dd-mmm-yy")</f>
        <v/>
      </c>
      <c r="L300" s="26">
        <f>IFERROR(VLOOKUP($M300,'ITEM MASTER'!E:H,4,0),"")</f>
        <v/>
      </c>
      <c r="M300" s="26">
        <f>IFERROR(VLOOKUP($I300,'ITEM MASTER'!B:E,4,0),"")</f>
        <v/>
      </c>
      <c r="N300" s="26">
        <f>IFERROR(VLOOKUP($I300,'ITEM MASTER'!B:F,5,0),0)</f>
        <v/>
      </c>
      <c r="O300" s="26">
        <f>IFERROR(VLOOKUP($M300,'TBGS PER CTN'!B:C,2,0),0)</f>
        <v/>
      </c>
      <c r="P300" s="26" t="n">
        <v>100</v>
      </c>
      <c r="Q300" s="26" t="n">
        <v>3</v>
      </c>
      <c r="R300" s="26" t="n">
        <v>97</v>
      </c>
      <c r="S300" s="26">
        <f>Q300+R300</f>
        <v/>
      </c>
      <c r="T300" s="29" t="n">
        <v>0</v>
      </c>
      <c r="U300" s="29">
        <f>N300*O300*T300</f>
        <v/>
      </c>
      <c r="V300" s="82">
        <f>IF(ISNUMBER($D300),$D300-WEEKDAY($D300,3),'ORDER VS WEEK DISTRIBUTION'!$G$500)</f>
        <v/>
      </c>
      <c r="W300" s="82">
        <f>MAX($V300,'ORDER VS WEEK DISTRIBUTION'!$G$500)</f>
        <v/>
      </c>
      <c r="X300" s="26">
        <f>IFERROR(VLOOKUP($J300,'ORDER VS WEEK DISTRIBUTION'!$T:$U,2,0),"")</f>
        <v/>
      </c>
      <c r="Y300" s="26">
        <f>IFERROR($T300/IF(IFERROR(VLOOKUP($I300,'ITEM CFC PER CONTAINER'!$A:$B,2,0),0)&gt;0,VLOOKUP($I300,'ITEM CFC PER CONTAINER'!$A:$B,2,0),VLOOKUP($X300,'MC MASTER'!$A:$Q,16,0)),"")</f>
        <v/>
      </c>
    </row>
    <row r="301" ht="15" customHeight="1" s="5">
      <c r="A301" s="26" t="inlineStr">
        <is>
          <t>Multitrade Overseas Pte. Ltd.</t>
        </is>
      </c>
      <c r="B301" s="26" t="inlineStr">
        <is>
          <t>MJIL/SO/26037895</t>
        </is>
      </c>
      <c r="C301" s="26" t="inlineStr">
        <is>
          <t>MJ-072/26-27 (DALA &amp; SONS)</t>
        </is>
      </c>
      <c r="D301" s="82" t="n">
        <v>46314</v>
      </c>
      <c r="E301" s="83">
        <f>IF(ISNUMBER($D301),EOMONTH($D301,-1)+1,"")</f>
        <v/>
      </c>
      <c r="F301" s="82" t="n">
        <v>46314</v>
      </c>
      <c r="G301" s="26" t="n">
        <v>35360</v>
      </c>
      <c r="H301" s="26">
        <f>B301&amp;I301</f>
        <v/>
      </c>
      <c r="I301" s="26" t="inlineStr">
        <is>
          <t>GV STRAWBERRY ZEN 12/25 DC SF HS ENV TBGS (AF)</t>
        </is>
      </c>
      <c r="J301" s="26" t="inlineStr">
        <is>
          <t>MD20 HS</t>
        </is>
      </c>
      <c r="K301" s="26">
        <f>J301&amp;"-"&amp;TEXT(W301,"dd-mmm-yy")</f>
        <v/>
      </c>
      <c r="L301" s="26">
        <f>IFERROR(VLOOKUP($M301,'ITEM MASTER'!E:H,4,0),"")</f>
        <v/>
      </c>
      <c r="M301" s="26">
        <f>IFERROR(VLOOKUP($I301,'ITEM MASTER'!B:E,4,0),"")</f>
        <v/>
      </c>
      <c r="N301" s="26">
        <f>IFERROR(VLOOKUP($I301,'ITEM MASTER'!B:F,5,0),0)</f>
        <v/>
      </c>
      <c r="O301" s="26">
        <f>IFERROR(VLOOKUP($M301,'TBGS PER CTN'!B:C,2,0),0)</f>
        <v/>
      </c>
      <c r="P301" s="26" t="n">
        <v>100</v>
      </c>
      <c r="Q301" s="26" t="n">
        <v>0</v>
      </c>
      <c r="R301" s="26" t="n">
        <v>98</v>
      </c>
      <c r="S301" s="26">
        <f>Q301+R301</f>
        <v/>
      </c>
      <c r="T301" s="29" t="n">
        <v>2</v>
      </c>
      <c r="U301" s="29">
        <f>N301*O301*T301</f>
        <v/>
      </c>
      <c r="V301" s="82">
        <f>IF(ISNUMBER($D301),$D301-WEEKDAY($D301,3),'ORDER VS WEEK DISTRIBUTION'!$G$500)</f>
        <v/>
      </c>
      <c r="W301" s="82">
        <f>MAX($V301,'ORDER VS WEEK DISTRIBUTION'!$G$500)</f>
        <v/>
      </c>
      <c r="X301" s="26">
        <f>IFERROR(VLOOKUP($J301,'ORDER VS WEEK DISTRIBUTION'!$T:$U,2,0),"")</f>
        <v/>
      </c>
      <c r="Y301" s="26">
        <f>IFERROR($T301/IF(IFERROR(VLOOKUP($I301,'ITEM CFC PER CONTAINER'!$A:$B,2,0),0)&gt;0,VLOOKUP($I301,'ITEM CFC PER CONTAINER'!$A:$B,2,0),VLOOKUP($X301,'MC MASTER'!$A:$Q,16,0)),"")</f>
        <v/>
      </c>
    </row>
    <row r="302" ht="15" customHeight="1" s="5">
      <c r="A302" s="26" t="inlineStr">
        <is>
          <t>Multitrade Overseas Pte. Ltd.</t>
        </is>
      </c>
      <c r="B302" s="26" t="inlineStr">
        <is>
          <t>MJIL/SO/26037895</t>
        </is>
      </c>
      <c r="C302" s="26" t="inlineStr">
        <is>
          <t>MJ-072/26-27 (DALA &amp; SONS)</t>
        </is>
      </c>
      <c r="D302" s="82" t="n">
        <v>46314</v>
      </c>
      <c r="E302" s="83">
        <f>IF(ISNUMBER($D302),EOMONTH($D302,-1)+1,"")</f>
        <v/>
      </c>
      <c r="F302" s="82" t="n">
        <v>46314</v>
      </c>
      <c r="G302" s="26" t="n">
        <v>35361</v>
      </c>
      <c r="H302" s="26">
        <f>B302&amp;I302</f>
        <v/>
      </c>
      <c r="I302" s="26" t="inlineStr">
        <is>
          <t>GV TROPICAL JOY 12/25 DC SF HS ENV TBGS (AF)</t>
        </is>
      </c>
      <c r="J302" s="26" t="inlineStr">
        <is>
          <t>MD20 HS</t>
        </is>
      </c>
      <c r="K302" s="26">
        <f>J302&amp;"-"&amp;TEXT(W302,"dd-mmm-yy")</f>
        <v/>
      </c>
      <c r="L302" s="26">
        <f>IFERROR(VLOOKUP($M302,'ITEM MASTER'!E:H,4,0),"")</f>
        <v/>
      </c>
      <c r="M302" s="26">
        <f>IFERROR(VLOOKUP($I302,'ITEM MASTER'!B:E,4,0),"")</f>
        <v/>
      </c>
      <c r="N302" s="26">
        <f>IFERROR(VLOOKUP($I302,'ITEM MASTER'!B:F,5,0),0)</f>
        <v/>
      </c>
      <c r="O302" s="26">
        <f>IFERROR(VLOOKUP($M302,'TBGS PER CTN'!B:C,2,0),0)</f>
        <v/>
      </c>
      <c r="P302" s="26" t="n">
        <v>100</v>
      </c>
      <c r="Q302" s="26" t="n">
        <v>0</v>
      </c>
      <c r="R302" s="26" t="n">
        <v>100</v>
      </c>
      <c r="S302" s="26">
        <f>Q302+R302</f>
        <v/>
      </c>
      <c r="T302" s="29" t="n">
        <v>0</v>
      </c>
      <c r="U302" s="29">
        <f>N302*O302*T302</f>
        <v/>
      </c>
      <c r="V302" s="82">
        <f>IF(ISNUMBER($D302),$D302-WEEKDAY($D302,3),'ORDER VS WEEK DISTRIBUTION'!$G$500)</f>
        <v/>
      </c>
      <c r="W302" s="82">
        <f>MAX($V302,'ORDER VS WEEK DISTRIBUTION'!$G$500)</f>
        <v/>
      </c>
      <c r="X302" s="26">
        <f>IFERROR(VLOOKUP($J302,'ORDER VS WEEK DISTRIBUTION'!$T:$U,2,0),"")</f>
        <v/>
      </c>
      <c r="Y302" s="26">
        <f>IFERROR($T302/IF(IFERROR(VLOOKUP($I302,'ITEM CFC PER CONTAINER'!$A:$B,2,0),0)&gt;0,VLOOKUP($I302,'ITEM CFC PER CONTAINER'!$A:$B,2,0),VLOOKUP($X302,'MC MASTER'!$A:$Q,16,0)),"")</f>
        <v/>
      </c>
    </row>
    <row r="303" ht="15" customHeight="1" s="5">
      <c r="A303" s="26" t="inlineStr">
        <is>
          <t>Multitrade Overseas Pte. Ltd.</t>
        </is>
      </c>
      <c r="B303" s="26" t="inlineStr">
        <is>
          <t>MJIL/SO/26037895</t>
        </is>
      </c>
      <c r="C303" s="26" t="inlineStr">
        <is>
          <t>MJ-072/26-27 (DALA &amp; SONS)</t>
        </is>
      </c>
      <c r="D303" s="82" t="n">
        <v>46314</v>
      </c>
      <c r="E303" s="83">
        <f>IF(ISNUMBER($D303),EOMONTH($D303,-1)+1,"")</f>
        <v/>
      </c>
      <c r="F303" s="82" t="n">
        <v>46314</v>
      </c>
      <c r="G303" s="26" t="n">
        <v>37944</v>
      </c>
      <c r="H303" s="26">
        <f>B303&amp;I303</f>
        <v/>
      </c>
      <c r="I303" s="26" t="inlineStr">
        <is>
          <t>GV HIBISCUS 48/25 DC ENV TBGS</t>
        </is>
      </c>
      <c r="J303" s="30" t="inlineStr">
        <is>
          <t>CONSTANTA ENV</t>
        </is>
      </c>
      <c r="K303" s="26">
        <f>J303&amp;"-"&amp;TEXT(W303,"dd-mmm-yy")</f>
        <v/>
      </c>
      <c r="L303" s="26">
        <f>IFERROR(VLOOKUP($M303,'ITEM MASTER'!E:H,4,0),"")</f>
        <v/>
      </c>
      <c r="M303" s="26">
        <f>IFERROR(VLOOKUP($I303,'ITEM MASTER'!B:E,4,0),"")</f>
        <v/>
      </c>
      <c r="N303" s="26">
        <f>IFERROR(VLOOKUP($I303,'ITEM MASTER'!B:F,5,0),0)</f>
        <v/>
      </c>
      <c r="O303" s="26">
        <f>IFERROR(VLOOKUP($M303,'TBGS PER CTN'!B:C,2,0),0)</f>
        <v/>
      </c>
      <c r="P303" s="26" t="n">
        <v>1500</v>
      </c>
      <c r="Q303" s="26" t="n">
        <v>0</v>
      </c>
      <c r="R303" s="26" t="n">
        <v>0</v>
      </c>
      <c r="S303" s="26">
        <f>Q303+R303</f>
        <v/>
      </c>
      <c r="T303" s="29" t="n">
        <v>1500</v>
      </c>
      <c r="U303" s="29">
        <f>N303*O303*T303</f>
        <v/>
      </c>
      <c r="V303" s="82">
        <f>IF(ISNUMBER($D303),$D303-WEEKDAY($D303,3),'ORDER VS WEEK DISTRIBUTION'!$G$500)</f>
        <v/>
      </c>
      <c r="W303" s="82">
        <f>MAX($V303,'ORDER VS WEEK DISTRIBUTION'!$G$500)</f>
        <v/>
      </c>
      <c r="X303" s="26">
        <f>IFERROR(VLOOKUP($J303,'ORDER VS WEEK DISTRIBUTION'!$T:$U,2,0),"")</f>
        <v/>
      </c>
      <c r="Y303" s="26">
        <f>IFERROR($T303/IF(IFERROR(VLOOKUP($I303,'ITEM CFC PER CONTAINER'!$A:$B,2,0),0)&gt;0,VLOOKUP($I303,'ITEM CFC PER CONTAINER'!$A:$B,2,0),VLOOKUP($X303,'MC MASTER'!$A:$Q,16,0)),"")</f>
        <v/>
      </c>
    </row>
    <row r="304" ht="15" customHeight="1" s="5">
      <c r="A304" s="26" t="inlineStr">
        <is>
          <t>Multitrade Overseas Pte. Ltd.</t>
        </is>
      </c>
      <c r="B304" s="26" t="inlineStr">
        <is>
          <t>MJIL/SO/26037895</t>
        </is>
      </c>
      <c r="C304" s="26" t="inlineStr">
        <is>
          <t>MJ-072/26-27 (DALA &amp; SONS)</t>
        </is>
      </c>
      <c r="D304" s="82" t="n">
        <v>46314</v>
      </c>
      <c r="E304" s="83">
        <f>IF(ISNUMBER($D304),EOMONTH($D304,-1)+1,"")</f>
        <v/>
      </c>
      <c r="F304" s="82" t="n">
        <v>46314</v>
      </c>
      <c r="G304" s="26" t="n">
        <v>38257</v>
      </c>
      <c r="H304" s="26">
        <f>B304&amp;I304</f>
        <v/>
      </c>
      <c r="I304" s="26" t="inlineStr">
        <is>
          <t>GV GREEN TEA MORINGA 48/25 DC ENV TBGS</t>
        </is>
      </c>
      <c r="J304" s="30" t="inlineStr">
        <is>
          <t>CONSTANTA ENV</t>
        </is>
      </c>
      <c r="K304" s="26">
        <f>J304&amp;"-"&amp;TEXT(W304,"dd-mmm-yy")</f>
        <v/>
      </c>
      <c r="L304" s="26">
        <f>IFERROR(VLOOKUP($M304,'ITEM MASTER'!E:H,4,0),"")</f>
        <v/>
      </c>
      <c r="M304" s="26">
        <f>IFERROR(VLOOKUP($I304,'ITEM MASTER'!B:E,4,0),"")</f>
        <v/>
      </c>
      <c r="N304" s="26">
        <f>IFERROR(VLOOKUP($I304,'ITEM MASTER'!B:F,5,0),0)</f>
        <v/>
      </c>
      <c r="O304" s="26">
        <f>IFERROR(VLOOKUP($M304,'TBGS PER CTN'!B:C,2,0),0)</f>
        <v/>
      </c>
      <c r="P304" s="26" t="n">
        <v>250</v>
      </c>
      <c r="Q304" s="26" t="n">
        <v>58</v>
      </c>
      <c r="R304" s="26" t="n">
        <v>0</v>
      </c>
      <c r="S304" s="26">
        <f>Q304+R304</f>
        <v/>
      </c>
      <c r="T304" s="29" t="n">
        <v>192</v>
      </c>
      <c r="U304" s="29">
        <f>N304*O304*T304</f>
        <v/>
      </c>
      <c r="V304" s="82">
        <f>IF(ISNUMBER($D304),$D304-WEEKDAY($D304,3),'ORDER VS WEEK DISTRIBUTION'!$G$500)</f>
        <v/>
      </c>
      <c r="W304" s="82">
        <f>MAX($V304,'ORDER VS WEEK DISTRIBUTION'!$G$500)</f>
        <v/>
      </c>
      <c r="X304" s="26">
        <f>IFERROR(VLOOKUP($J304,'ORDER VS WEEK DISTRIBUTION'!$T:$U,2,0),"")</f>
        <v/>
      </c>
      <c r="Y304" s="26">
        <f>IFERROR($T304/IF(IFERROR(VLOOKUP($I304,'ITEM CFC PER CONTAINER'!$A:$B,2,0),0)&gt;0,VLOOKUP($I304,'ITEM CFC PER CONTAINER'!$A:$B,2,0),VLOOKUP($X304,'MC MASTER'!$A:$Q,16,0)),"")</f>
        <v/>
      </c>
    </row>
    <row r="305" ht="15" customHeight="1" s="5">
      <c r="A305" s="26" t="inlineStr">
        <is>
          <t>Saran Enterprises Ltd.</t>
        </is>
      </c>
      <c r="B305" s="26" t="inlineStr">
        <is>
          <t>MJIL/SO/26043002</t>
        </is>
      </c>
      <c r="C305" s="26" t="inlineStr">
        <is>
          <t>PO 18082026/02 - MUS</t>
        </is>
      </c>
      <c r="D305" s="82" t="n">
        <v>46314</v>
      </c>
      <c r="E305" s="83">
        <f>IF(ISNUMBER($D305),EOMONTH($D305,-1)+1,"")</f>
        <v/>
      </c>
      <c r="F305" s="82" t="n">
        <v>46314</v>
      </c>
      <c r="G305" s="26" t="n">
        <v>34184</v>
      </c>
      <c r="H305" s="26">
        <f>B305&amp;I305</f>
        <v/>
      </c>
      <c r="I305" s="26" t="inlineStr">
        <is>
          <t>SUPER VALUE GOLD TEA 12/80 TAGLESS TBGS</t>
        </is>
      </c>
      <c r="J305" s="26" t="inlineStr">
        <is>
          <t>UNIVERSAL TWIN BAG</t>
        </is>
      </c>
      <c r="K305" s="26">
        <f>J305&amp;"-"&amp;TEXT(W305,"dd-mmm-yy")</f>
        <v/>
      </c>
      <c r="L305" s="26">
        <f>IFERROR(VLOOKUP($M305,'ITEM MASTER'!E:H,4,0),"")</f>
        <v/>
      </c>
      <c r="M305" s="26">
        <f>IFERROR(VLOOKUP($I305,'ITEM MASTER'!B:E,4,0),"")</f>
        <v/>
      </c>
      <c r="N305" s="26">
        <f>IFERROR(VLOOKUP($I305,'ITEM MASTER'!B:F,5,0),0)</f>
        <v/>
      </c>
      <c r="O305" s="26">
        <f>IFERROR(VLOOKUP($M305,'TBGS PER CTN'!B:C,2,0),0)</f>
        <v/>
      </c>
      <c r="P305" s="26" t="n">
        <v>3220</v>
      </c>
      <c r="Q305" s="26" t="n">
        <v>0</v>
      </c>
      <c r="R305" s="26" t="n">
        <v>0</v>
      </c>
      <c r="S305" s="26">
        <f>Q305+R305</f>
        <v/>
      </c>
      <c r="T305" s="29" t="n">
        <v>3220</v>
      </c>
      <c r="U305" s="29">
        <f>N305*O305*T305</f>
        <v/>
      </c>
      <c r="V305" s="82">
        <f>IF(ISNUMBER($D305),$D305-WEEKDAY($D305,3),'ORDER VS WEEK DISTRIBUTION'!$G$500)</f>
        <v/>
      </c>
      <c r="W305" s="82">
        <f>MAX($V305,'ORDER VS WEEK DISTRIBUTION'!$G$500)</f>
        <v/>
      </c>
      <c r="X305" s="26">
        <f>IFERROR(VLOOKUP($J305,'ORDER VS WEEK DISTRIBUTION'!$T:$U,2,0),"")</f>
        <v/>
      </c>
      <c r="Y305" s="26">
        <f>IFERROR($T305/IF(IFERROR(VLOOKUP($I305,'ITEM CFC PER CONTAINER'!$A:$B,2,0),0)&gt;0,VLOOKUP($I305,'ITEM CFC PER CONTAINER'!$A:$B,2,0),VLOOKUP($X305,'MC MASTER'!$A:$Q,16,0)),"")</f>
        <v/>
      </c>
    </row>
    <row r="306" ht="15" customHeight="1" s="5">
      <c r="A306" s="26" t="inlineStr">
        <is>
          <t>Solis Intertrade Fzc</t>
        </is>
      </c>
      <c r="B306" s="26" t="inlineStr">
        <is>
          <t>MJIL/SO/26040198</t>
        </is>
      </c>
      <c r="C306" s="26" t="inlineStr">
        <is>
          <t>MJ-079/26-27</t>
        </is>
      </c>
      <c r="D306" s="82" t="n">
        <v>46314</v>
      </c>
      <c r="E306" s="83">
        <f>IF(ISNUMBER($D306),EOMONTH($D306,-1)+1,"")</f>
        <v/>
      </c>
      <c r="F306" s="82" t="n">
        <v>46314</v>
      </c>
      <c r="G306" s="26" t="n">
        <v>28506</v>
      </c>
      <c r="H306" s="26">
        <f>B306&amp;I306</f>
        <v/>
      </c>
      <c r="I306" s="26" t="inlineStr">
        <is>
          <t>AL FINA 12/100 DC ENV TBGS WITH T-SHIRT</t>
        </is>
      </c>
      <c r="J306" s="30" t="inlineStr">
        <is>
          <t>CONSTANTA ENV</t>
        </is>
      </c>
      <c r="K306" s="26">
        <f>J306&amp;"-"&amp;TEXT(W306,"dd-mmm-yy")</f>
        <v/>
      </c>
      <c r="L306" s="26">
        <f>IFERROR(VLOOKUP($M306,'ITEM MASTER'!E:H,4,0),"")</f>
        <v/>
      </c>
      <c r="M306" s="26">
        <f>IFERROR(VLOOKUP($I306,'ITEM MASTER'!B:E,4,0),"")</f>
        <v/>
      </c>
      <c r="N306" s="26">
        <f>IFERROR(VLOOKUP($I306,'ITEM MASTER'!B:F,5,0),0)</f>
        <v/>
      </c>
      <c r="O306" s="26">
        <f>IFERROR(VLOOKUP($M306,'TBGS PER CTN'!B:C,2,0),0)</f>
        <v/>
      </c>
      <c r="P306" s="26" t="n">
        <v>3100</v>
      </c>
      <c r="Q306" s="26" t="n">
        <v>0</v>
      </c>
      <c r="R306" s="26" t="n">
        <v>0</v>
      </c>
      <c r="S306" s="26">
        <f>Q306+R306</f>
        <v/>
      </c>
      <c r="T306" s="29" t="n">
        <v>3100</v>
      </c>
      <c r="U306" s="29">
        <f>N306*O306*T306</f>
        <v/>
      </c>
      <c r="V306" s="82">
        <f>IF(ISNUMBER($D306),$D306-WEEKDAY($D306,3),'ORDER VS WEEK DISTRIBUTION'!$G$500)</f>
        <v/>
      </c>
      <c r="W306" s="82">
        <f>MAX($V306,'ORDER VS WEEK DISTRIBUTION'!$G$500)</f>
        <v/>
      </c>
      <c r="X306" s="26">
        <f>IFERROR(VLOOKUP($J306,'ORDER VS WEEK DISTRIBUTION'!$T:$U,2,0),"")</f>
        <v/>
      </c>
      <c r="Y306" s="26">
        <f>IFERROR($T306/IF(IFERROR(VLOOKUP($I306,'ITEM CFC PER CONTAINER'!$A:$B,2,0),0)&gt;0,VLOOKUP($I306,'ITEM CFC PER CONTAINER'!$A:$B,2,0),VLOOKUP($X306,'MC MASTER'!$A:$Q,16,0)),"")</f>
        <v/>
      </c>
    </row>
    <row r="307" ht="15" customHeight="1" s="5">
      <c r="A307" s="26" t="inlineStr">
        <is>
          <t>Solis Intertrade Fzc</t>
        </is>
      </c>
      <c r="B307" s="26" t="inlineStr">
        <is>
          <t>MJIL/SO/26040198</t>
        </is>
      </c>
      <c r="C307" s="26" t="inlineStr">
        <is>
          <t>MJ-079/26-27</t>
        </is>
      </c>
      <c r="D307" s="82" t="n">
        <v>46314</v>
      </c>
      <c r="E307" s="83">
        <f>IF(ISNUMBER($D307),EOMONTH($D307,-1)+1,"")</f>
        <v/>
      </c>
      <c r="F307" s="82" t="n">
        <v>46314</v>
      </c>
      <c r="G307" s="26" t="n">
        <v>34031</v>
      </c>
      <c r="H307" s="26">
        <f>B307&amp;I307</f>
        <v/>
      </c>
      <c r="I307" s="26" t="inlineStr">
        <is>
          <t>AL FINA COFFEE 3 IN 1 (20 GMS) 12 STRIPS X 10 SACHETS WITH HANGER</t>
        </is>
      </c>
      <c r="J307" s="30" t="inlineStr">
        <is>
          <t>CONSTANTA ENV</t>
        </is>
      </c>
      <c r="K307" s="26">
        <f>J307&amp;"-"&amp;TEXT(W307,"dd-mmm-yy")</f>
        <v/>
      </c>
      <c r="L307" s="26">
        <f>IFERROR(VLOOKUP($M307,'ITEM MASTER'!E:H,4,0),"")</f>
        <v/>
      </c>
      <c r="M307" s="26">
        <f>IFERROR(VLOOKUP($I307,'ITEM MASTER'!B:E,4,0),"")</f>
        <v/>
      </c>
      <c r="N307" s="26">
        <f>IFERROR(VLOOKUP($I307,'ITEM MASTER'!B:F,5,0),0)</f>
        <v/>
      </c>
      <c r="O307" s="26">
        <f>IFERROR(VLOOKUP($M307,'TBGS PER CTN'!B:C,2,0),0)</f>
        <v/>
      </c>
      <c r="P307" s="26" t="n">
        <v>250</v>
      </c>
      <c r="Q307" s="26" t="n">
        <v>0</v>
      </c>
      <c r="R307" s="26" t="n">
        <v>0</v>
      </c>
      <c r="S307" s="26">
        <f>Q307+R307</f>
        <v/>
      </c>
      <c r="T307" s="29" t="n">
        <v>250</v>
      </c>
      <c r="U307" s="29">
        <f>N307*O307*T307</f>
        <v/>
      </c>
      <c r="V307" s="82">
        <f>IF(ISNUMBER($D307),$D307-WEEKDAY($D307,3),'ORDER VS WEEK DISTRIBUTION'!$G$500)</f>
        <v/>
      </c>
      <c r="W307" s="82">
        <f>MAX($V307,'ORDER VS WEEK DISTRIBUTION'!$G$500)</f>
        <v/>
      </c>
      <c r="X307" s="26">
        <f>IFERROR(VLOOKUP($J307,'ORDER VS WEEK DISTRIBUTION'!$T:$U,2,0),"")</f>
        <v/>
      </c>
      <c r="Y307" s="26">
        <f>IFERROR($T307/IF(IFERROR(VLOOKUP($I307,'ITEM CFC PER CONTAINER'!$A:$B,2,0),0)&gt;0,VLOOKUP($I307,'ITEM CFC PER CONTAINER'!$A:$B,2,0),VLOOKUP($X307,'MC MASTER'!$A:$Q,16,0)),"")</f>
        <v/>
      </c>
    </row>
    <row r="308" ht="15" customHeight="1" s="5">
      <c r="A308" s="26" t="inlineStr">
        <is>
          <t>Kaysun General Trading FZCO</t>
        </is>
      </c>
      <c r="B308" s="26" t="inlineStr">
        <is>
          <t>MJIL/SO/26019328</t>
        </is>
      </c>
      <c r="C308" s="26" t="inlineStr">
        <is>
          <t>MJ-043/26-27 / 8</t>
        </is>
      </c>
      <c r="D308" s="82" t="n">
        <v>46316</v>
      </c>
      <c r="E308" s="83">
        <f>IF(ISNUMBER($D308),EOMONTH($D308,-1)+1,"")</f>
        <v/>
      </c>
      <c r="F308" s="82" t="n">
        <v>46316</v>
      </c>
      <c r="G308" s="26" t="n">
        <v>1328</v>
      </c>
      <c r="H308" s="26">
        <f>B308&amp;I308</f>
        <v/>
      </c>
      <c r="I308" s="26" t="inlineStr">
        <is>
          <t>CHAYA 12/100 DC ENV TBGS</t>
        </is>
      </c>
      <c r="J308" s="26" t="inlineStr">
        <is>
          <t>PERFECTA ENV</t>
        </is>
      </c>
      <c r="K308" s="26">
        <f>J308&amp;"-"&amp;TEXT(W308,"dd-mmm-yy")</f>
        <v/>
      </c>
      <c r="L308" s="26">
        <f>IFERROR(VLOOKUP($M308,'ITEM MASTER'!E:H,4,0),"")</f>
        <v/>
      </c>
      <c r="M308" s="26">
        <f>IFERROR(VLOOKUP($I308,'ITEM MASTER'!B:E,4,0),"")</f>
        <v/>
      </c>
      <c r="N308" s="26">
        <f>IFERROR(VLOOKUP($I308,'ITEM MASTER'!B:F,5,0),0)</f>
        <v/>
      </c>
      <c r="O308" s="26">
        <f>IFERROR(VLOOKUP($M308,'TBGS PER CTN'!B:C,2,0),0)</f>
        <v/>
      </c>
      <c r="P308" s="26" t="n">
        <v>6640</v>
      </c>
      <c r="Q308" s="26" t="n">
        <v>0</v>
      </c>
      <c r="R308" s="26" t="n">
        <v>0</v>
      </c>
      <c r="S308" s="26">
        <f>Q308+R308</f>
        <v/>
      </c>
      <c r="T308" s="29" t="n">
        <v>6640</v>
      </c>
      <c r="U308" s="29">
        <f>N308*O308*T308</f>
        <v/>
      </c>
      <c r="V308" s="82">
        <f>IF(ISNUMBER($D308),$D308-WEEKDAY($D308,3),'ORDER VS WEEK DISTRIBUTION'!$G$500)</f>
        <v/>
      </c>
      <c r="W308" s="82">
        <f>MAX($V308,'ORDER VS WEEK DISTRIBUTION'!$G$500)</f>
        <v/>
      </c>
      <c r="X308" s="26">
        <f>IFERROR(VLOOKUP($J308,'ORDER VS WEEK DISTRIBUTION'!$T:$U,2,0),"")</f>
        <v/>
      </c>
      <c r="Y308" s="26">
        <f>IFERROR($T308/IF(IFERROR(VLOOKUP($I308,'ITEM CFC PER CONTAINER'!$A:$B,2,0),0)&gt;0,VLOOKUP($I308,'ITEM CFC PER CONTAINER'!$A:$B,2,0),VLOOKUP($X308,'MC MASTER'!$A:$Q,16,0)),"")</f>
        <v/>
      </c>
    </row>
    <row r="309" ht="15" customHeight="1" s="5">
      <c r="A309" s="26" t="inlineStr">
        <is>
          <t xml:space="preserve">Madhu Jayanti International Pvt Ltd - USA RBW SC </t>
        </is>
      </c>
      <c r="B309" s="26" t="inlineStr">
        <is>
          <t>MJIL/SO/26023806</t>
        </is>
      </c>
      <c r="C309" s="26" t="inlineStr">
        <is>
          <t>OCT SHPT - 1 - 20 ASST BLACK</t>
        </is>
      </c>
      <c r="D309" s="82" t="n">
        <v>46317</v>
      </c>
      <c r="E309" s="83">
        <f>IF(ISNUMBER($D309),EOMONTH($D309,-1)+1,"")</f>
        <v/>
      </c>
      <c r="F309" s="82" t="n">
        <v>46317</v>
      </c>
      <c r="G309" s="26" t="n">
        <v>37683</v>
      </c>
      <c r="H309" s="26">
        <f>B309&amp;I309</f>
        <v/>
      </c>
      <c r="I309" s="26" t="inlineStr">
        <is>
          <t>BARISSIMO BLACK TEA COLLECTIONS 12/20 DC SF ENV TBGS</t>
        </is>
      </c>
      <c r="J309" s="26" t="inlineStr">
        <is>
          <t>C250 AF</t>
        </is>
      </c>
      <c r="K309" s="26">
        <f>J309&amp;"-"&amp;TEXT(W309,"dd-mmm-yy")</f>
        <v/>
      </c>
      <c r="L309" s="26">
        <f>IFERROR(VLOOKUP($M309,'ITEM MASTER'!E:H,4,0),"")</f>
        <v/>
      </c>
      <c r="M309" s="26">
        <f>IFERROR(VLOOKUP($I309,'ITEM MASTER'!B:E,4,0),"")</f>
        <v/>
      </c>
      <c r="N309" s="26">
        <f>IFERROR(VLOOKUP($I309,'ITEM MASTER'!B:F,5,0),0)</f>
        <v/>
      </c>
      <c r="O309" s="26">
        <f>IFERROR(VLOOKUP($M309,'TBGS PER CTN'!B:C,2,0),0)</f>
        <v/>
      </c>
      <c r="P309" s="26" t="n">
        <v>8320</v>
      </c>
      <c r="Q309" s="26" t="n">
        <v>0</v>
      </c>
      <c r="R309" s="26" t="n">
        <v>800</v>
      </c>
      <c r="S309" s="26">
        <f>Q309+R309</f>
        <v/>
      </c>
      <c r="T309" s="29" t="n">
        <v>7520</v>
      </c>
      <c r="U309" s="29">
        <f>N309*O309*T309</f>
        <v/>
      </c>
      <c r="V309" s="82">
        <f>IF(ISNUMBER($D309),$D309-WEEKDAY($D309,3),'ORDER VS WEEK DISTRIBUTION'!$G$500)</f>
        <v/>
      </c>
      <c r="W309" s="82">
        <f>MAX($V309,'ORDER VS WEEK DISTRIBUTION'!$G$500)</f>
        <v/>
      </c>
      <c r="X309" s="26">
        <f>IFERROR(VLOOKUP($J309,'ORDER VS WEEK DISTRIBUTION'!$T:$U,2,0),"")</f>
        <v/>
      </c>
      <c r="Y309" s="26">
        <f>IFERROR($T309/IF(IFERROR(VLOOKUP($I309,'ITEM CFC PER CONTAINER'!$A:$B,2,0),0)&gt;0,VLOOKUP($I309,'ITEM CFC PER CONTAINER'!$A:$B,2,0),VLOOKUP($X309,'MC MASTER'!$A:$Q,16,0)),"")</f>
        <v/>
      </c>
    </row>
    <row r="310" ht="15" customHeight="1" s="5">
      <c r="A310" s="26" t="inlineStr">
        <is>
          <t>Multitrade Overseas Pte. Ltd.</t>
        </is>
      </c>
      <c r="B310" s="26" t="inlineStr">
        <is>
          <t>MJIL/SO/26012325</t>
        </is>
      </c>
      <c r="C310" s="26" t="inlineStr">
        <is>
          <t>MJ-024/26-27 / 8 - ETKAF</t>
        </is>
      </c>
      <c r="D310" s="82" t="n">
        <v>46317</v>
      </c>
      <c r="E310" s="83">
        <f>IF(ISNUMBER($D310),EOMONTH($D310,-1)+1,"")</f>
        <v/>
      </c>
      <c r="F310" s="82" t="n">
        <v>46317</v>
      </c>
      <c r="G310" s="26" t="n">
        <v>2023</v>
      </c>
      <c r="H310" s="26">
        <f>B310&amp;I310</f>
        <v/>
      </c>
      <c r="I310" s="26" t="inlineStr">
        <is>
          <t>GV MINT 24/25 DC ENV TBGS WITH TSHIRT</t>
        </is>
      </c>
      <c r="J310" s="30" t="inlineStr">
        <is>
          <t>CONSTANTA ENV</t>
        </is>
      </c>
      <c r="K310" s="26">
        <f>J310&amp;"-"&amp;TEXT(W310,"dd-mmm-yy")</f>
        <v/>
      </c>
      <c r="L310" s="26">
        <f>IFERROR(VLOOKUP($M310,'ITEM MASTER'!E:H,4,0),"")</f>
        <v/>
      </c>
      <c r="M310" s="26">
        <f>IFERROR(VLOOKUP($I310,'ITEM MASTER'!B:E,4,0),"")</f>
        <v/>
      </c>
      <c r="N310" s="26">
        <f>IFERROR(VLOOKUP($I310,'ITEM MASTER'!B:F,5,0),0)</f>
        <v/>
      </c>
      <c r="O310" s="26">
        <f>IFERROR(VLOOKUP($M310,'TBGS PER CTN'!B:C,2,0),0)</f>
        <v/>
      </c>
      <c r="P310" s="26" t="n">
        <v>2950</v>
      </c>
      <c r="Q310" s="26" t="n">
        <v>0</v>
      </c>
      <c r="R310" s="26" t="n">
        <v>0</v>
      </c>
      <c r="S310" s="26">
        <f>Q310+R310</f>
        <v/>
      </c>
      <c r="T310" s="29" t="n">
        <v>2950</v>
      </c>
      <c r="U310" s="29">
        <f>N310*O310*T310</f>
        <v/>
      </c>
      <c r="V310" s="82">
        <f>IF(ISNUMBER($D310),$D310-WEEKDAY($D310,3),'ORDER VS WEEK DISTRIBUTION'!$G$500)</f>
        <v/>
      </c>
      <c r="W310" s="82">
        <f>MAX($V310,'ORDER VS WEEK DISTRIBUTION'!$G$500)</f>
        <v/>
      </c>
      <c r="X310" s="26">
        <f>IFERROR(VLOOKUP($J310,'ORDER VS WEEK DISTRIBUTION'!$T:$U,2,0),"")</f>
        <v/>
      </c>
      <c r="Y310" s="26">
        <f>IFERROR($T310/IF(IFERROR(VLOOKUP($I310,'ITEM CFC PER CONTAINER'!$A:$B,2,0),0)&gt;0,VLOOKUP($I310,'ITEM CFC PER CONTAINER'!$A:$B,2,0),VLOOKUP($X310,'MC MASTER'!$A:$Q,16,0)),"")</f>
        <v/>
      </c>
    </row>
    <row r="311" ht="15" customHeight="1" s="5">
      <c r="A311" s="26" t="inlineStr">
        <is>
          <t>Multitrade Overseas Pte. Ltd.</t>
        </is>
      </c>
      <c r="B311" s="26" t="inlineStr">
        <is>
          <t>MJIL/SO/26012325</t>
        </is>
      </c>
      <c r="C311" s="26" t="inlineStr">
        <is>
          <t>MJ-024/26-27 / 8 - ETKAF</t>
        </is>
      </c>
      <c r="D311" s="82" t="n">
        <v>46317</v>
      </c>
      <c r="E311" s="83">
        <f>IF(ISNUMBER($D311),EOMONTH($D311,-1)+1,"")</f>
        <v/>
      </c>
      <c r="F311" s="82" t="n">
        <v>46317</v>
      </c>
      <c r="G311" s="26" t="n">
        <v>1933</v>
      </c>
      <c r="H311" s="26">
        <f>B311&amp;I311</f>
        <v/>
      </c>
      <c r="I311" s="26" t="inlineStr">
        <is>
          <t>GV GARDEN STRAWBERRY 24/25 DC ENV TBGS WITH TSHIRT</t>
        </is>
      </c>
      <c r="J311" s="30" t="inlineStr">
        <is>
          <t>CONSTANTA ENV</t>
        </is>
      </c>
      <c r="K311" s="26">
        <f>J311&amp;"-"&amp;TEXT(W311,"dd-mmm-yy")</f>
        <v/>
      </c>
      <c r="L311" s="26">
        <f>IFERROR(VLOOKUP($M311,'ITEM MASTER'!E:H,4,0),"")</f>
        <v/>
      </c>
      <c r="M311" s="26">
        <f>IFERROR(VLOOKUP($I311,'ITEM MASTER'!B:E,4,0),"")</f>
        <v/>
      </c>
      <c r="N311" s="26">
        <f>IFERROR(VLOOKUP($I311,'ITEM MASTER'!B:F,5,0),0)</f>
        <v/>
      </c>
      <c r="O311" s="26">
        <f>IFERROR(VLOOKUP($M311,'TBGS PER CTN'!B:C,2,0),0)</f>
        <v/>
      </c>
      <c r="P311" s="26" t="n">
        <v>5094</v>
      </c>
      <c r="Q311" s="26" t="n">
        <v>0</v>
      </c>
      <c r="R311" s="26" t="n">
        <v>0</v>
      </c>
      <c r="S311" s="26">
        <f>Q311+R311</f>
        <v/>
      </c>
      <c r="T311" s="29" t="n">
        <v>5094</v>
      </c>
      <c r="U311" s="29">
        <f>N311*O311*T311</f>
        <v/>
      </c>
      <c r="V311" s="82">
        <f>IF(ISNUMBER($D311),$D311-WEEKDAY($D311,3),'ORDER VS WEEK DISTRIBUTION'!$G$500)</f>
        <v/>
      </c>
      <c r="W311" s="82">
        <f>MAX($V311,'ORDER VS WEEK DISTRIBUTION'!$G$500)</f>
        <v/>
      </c>
      <c r="X311" s="26">
        <f>IFERROR(VLOOKUP($J311,'ORDER VS WEEK DISTRIBUTION'!$T:$U,2,0),"")</f>
        <v/>
      </c>
      <c r="Y311" s="26">
        <f>IFERROR($T311/IF(IFERROR(VLOOKUP($I311,'ITEM CFC PER CONTAINER'!$A:$B,2,0),0)&gt;0,VLOOKUP($I311,'ITEM CFC PER CONTAINER'!$A:$B,2,0),VLOOKUP($X311,'MC MASTER'!$A:$Q,16,0)),"")</f>
        <v/>
      </c>
    </row>
    <row r="312" ht="15" customHeight="1" s="5">
      <c r="A312" s="26" t="inlineStr">
        <is>
          <t>Multitrade Overseas Pte. Ltd.</t>
        </is>
      </c>
      <c r="B312" s="26" t="inlineStr">
        <is>
          <t>MJIL/SO/26012325</t>
        </is>
      </c>
      <c r="C312" s="26" t="inlineStr">
        <is>
          <t>MJ-024/26-27 / 8 - ETKAF</t>
        </is>
      </c>
      <c r="D312" s="82" t="n">
        <v>46317</v>
      </c>
      <c r="E312" s="83">
        <f>IF(ISNUMBER($D312),EOMONTH($D312,-1)+1,"")</f>
        <v/>
      </c>
      <c r="F312" s="82" t="n">
        <v>46317</v>
      </c>
      <c r="G312" s="26" t="n">
        <v>2131</v>
      </c>
      <c r="H312" s="26">
        <f>B312&amp;I312</f>
        <v/>
      </c>
      <c r="I312" s="26" t="inlineStr">
        <is>
          <t>GV SPICY GINGER 24/25 DC ENV TBGS WITH TSHIRT</t>
        </is>
      </c>
      <c r="J312" s="30" t="inlineStr">
        <is>
          <t>CONSTANTA ENV</t>
        </is>
      </c>
      <c r="K312" s="26">
        <f>J312&amp;"-"&amp;TEXT(W312,"dd-mmm-yy")</f>
        <v/>
      </c>
      <c r="L312" s="26">
        <f>IFERROR(VLOOKUP($M312,'ITEM MASTER'!E:H,4,0),"")</f>
        <v/>
      </c>
      <c r="M312" s="26">
        <f>IFERROR(VLOOKUP($I312,'ITEM MASTER'!B:E,4,0),"")</f>
        <v/>
      </c>
      <c r="N312" s="26">
        <f>IFERROR(VLOOKUP($I312,'ITEM MASTER'!B:F,5,0),0)</f>
        <v/>
      </c>
      <c r="O312" s="26">
        <f>IFERROR(VLOOKUP($M312,'TBGS PER CTN'!B:C,2,0),0)</f>
        <v/>
      </c>
      <c r="P312" s="26" t="n">
        <v>3225</v>
      </c>
      <c r="Q312" s="26" t="n">
        <v>0</v>
      </c>
      <c r="R312" s="26" t="n">
        <v>0</v>
      </c>
      <c r="S312" s="26">
        <f>Q312+R312</f>
        <v/>
      </c>
      <c r="T312" s="29" t="n">
        <v>3225</v>
      </c>
      <c r="U312" s="29">
        <f>N312*O312*T312</f>
        <v/>
      </c>
      <c r="V312" s="82">
        <f>IF(ISNUMBER($D312),$D312-WEEKDAY($D312,3),'ORDER VS WEEK DISTRIBUTION'!$G$500)</f>
        <v/>
      </c>
      <c r="W312" s="82">
        <f>MAX($V312,'ORDER VS WEEK DISTRIBUTION'!$G$500)</f>
        <v/>
      </c>
      <c r="X312" s="26">
        <f>IFERROR(VLOOKUP($J312,'ORDER VS WEEK DISTRIBUTION'!$T:$U,2,0),"")</f>
        <v/>
      </c>
      <c r="Y312" s="26">
        <f>IFERROR($T312/IF(IFERROR(VLOOKUP($I312,'ITEM CFC PER CONTAINER'!$A:$B,2,0),0)&gt;0,VLOOKUP($I312,'ITEM CFC PER CONTAINER'!$A:$B,2,0),VLOOKUP($X312,'MC MASTER'!$A:$Q,16,0)),"")</f>
        <v/>
      </c>
    </row>
    <row r="313" ht="15" customHeight="1" s="5">
      <c r="A313" s="26" t="inlineStr">
        <is>
          <t>Multitrade Overseas Pte. Ltd.</t>
        </is>
      </c>
      <c r="B313" s="26" t="inlineStr">
        <is>
          <t>MJIL/SO/26012325</t>
        </is>
      </c>
      <c r="C313" s="26" t="inlineStr">
        <is>
          <t>MJ-024/26-27 / 8 - ETKAF</t>
        </is>
      </c>
      <c r="D313" s="82" t="n">
        <v>46317</v>
      </c>
      <c r="E313" s="83">
        <f>IF(ISNUMBER($D313),EOMONTH($D313,-1)+1,"")</f>
        <v/>
      </c>
      <c r="F313" s="82" t="n">
        <v>46317</v>
      </c>
      <c r="G313" s="26" t="n">
        <v>2051</v>
      </c>
      <c r="H313" s="26">
        <f>B313&amp;I313</f>
        <v/>
      </c>
      <c r="I313" s="26" t="inlineStr">
        <is>
          <t>GV ORANGE 24/25 DC ENV TBGS WITH TSHIRT</t>
        </is>
      </c>
      <c r="J313" s="30" t="inlineStr">
        <is>
          <t>CONSTANTA ENV</t>
        </is>
      </c>
      <c r="K313" s="26">
        <f>J313&amp;"-"&amp;TEXT(W313,"dd-mmm-yy")</f>
        <v/>
      </c>
      <c r="L313" s="26">
        <f>IFERROR(VLOOKUP($M313,'ITEM MASTER'!E:H,4,0),"")</f>
        <v/>
      </c>
      <c r="M313" s="26">
        <f>IFERROR(VLOOKUP($I313,'ITEM MASTER'!B:E,4,0),"")</f>
        <v/>
      </c>
      <c r="N313" s="26">
        <f>IFERROR(VLOOKUP($I313,'ITEM MASTER'!B:F,5,0),0)</f>
        <v/>
      </c>
      <c r="O313" s="26">
        <f>IFERROR(VLOOKUP($M313,'TBGS PER CTN'!B:C,2,0),0)</f>
        <v/>
      </c>
      <c r="P313" s="26" t="n">
        <v>450</v>
      </c>
      <c r="Q313" s="26" t="n">
        <v>0</v>
      </c>
      <c r="R313" s="26" t="n">
        <v>0</v>
      </c>
      <c r="S313" s="26">
        <f>Q313+R313</f>
        <v/>
      </c>
      <c r="T313" s="29" t="n">
        <v>450</v>
      </c>
      <c r="U313" s="29">
        <f>N313*O313*T313</f>
        <v/>
      </c>
      <c r="V313" s="82">
        <f>IF(ISNUMBER($D313),$D313-WEEKDAY($D313,3),'ORDER VS WEEK DISTRIBUTION'!$G$500)</f>
        <v/>
      </c>
      <c r="W313" s="82">
        <f>MAX($V313,'ORDER VS WEEK DISTRIBUTION'!$G$500)</f>
        <v/>
      </c>
      <c r="X313" s="26">
        <f>IFERROR(VLOOKUP($J313,'ORDER VS WEEK DISTRIBUTION'!$T:$U,2,0),"")</f>
        <v/>
      </c>
      <c r="Y313" s="26">
        <f>IFERROR($T313/IF(IFERROR(VLOOKUP($I313,'ITEM CFC PER CONTAINER'!$A:$B,2,0),0)&gt;0,VLOOKUP($I313,'ITEM CFC PER CONTAINER'!$A:$B,2,0),VLOOKUP($X313,'MC MASTER'!$A:$Q,16,0)),"")</f>
        <v/>
      </c>
    </row>
    <row r="314" ht="15" customHeight="1" s="5">
      <c r="A314" s="26" t="inlineStr">
        <is>
          <t>Multitrade Overseas Pte. Ltd.</t>
        </is>
      </c>
      <c r="B314" s="26" t="inlineStr">
        <is>
          <t>MJIL/SO/26012325</t>
        </is>
      </c>
      <c r="C314" s="26" t="inlineStr">
        <is>
          <t>MJ-024/26-27 / 8 - ETKAF</t>
        </is>
      </c>
      <c r="D314" s="82" t="n">
        <v>46317</v>
      </c>
      <c r="E314" s="83">
        <f>IF(ISNUMBER($D314),EOMONTH($D314,-1)+1,"")</f>
        <v/>
      </c>
      <c r="F314" s="82" t="n">
        <v>46317</v>
      </c>
      <c r="G314" s="26" t="n">
        <v>21810</v>
      </c>
      <c r="H314" s="26">
        <f>B314&amp;I314</f>
        <v/>
      </c>
      <c r="I314" s="26" t="inlineStr">
        <is>
          <t>GV CLOVE 24/25 DC ENV TBGS WITH TSHIRT</t>
        </is>
      </c>
      <c r="J314" s="30" t="inlineStr">
        <is>
          <t>CONSTANTA ENV</t>
        </is>
      </c>
      <c r="K314" s="26">
        <f>J314&amp;"-"&amp;TEXT(W314,"dd-mmm-yy")</f>
        <v/>
      </c>
      <c r="L314" s="26">
        <f>IFERROR(VLOOKUP($M314,'ITEM MASTER'!E:H,4,0),"")</f>
        <v/>
      </c>
      <c r="M314" s="26">
        <f>IFERROR(VLOOKUP($I314,'ITEM MASTER'!B:E,4,0),"")</f>
        <v/>
      </c>
      <c r="N314" s="26">
        <f>IFERROR(VLOOKUP($I314,'ITEM MASTER'!B:F,5,0),0)</f>
        <v/>
      </c>
      <c r="O314" s="26">
        <f>IFERROR(VLOOKUP($M314,'TBGS PER CTN'!B:C,2,0),0)</f>
        <v/>
      </c>
      <c r="P314" s="26" t="n">
        <v>521</v>
      </c>
      <c r="Q314" s="26" t="n">
        <v>0</v>
      </c>
      <c r="R314" s="26" t="n">
        <v>0</v>
      </c>
      <c r="S314" s="26">
        <f>Q314+R314</f>
        <v/>
      </c>
      <c r="T314" s="29" t="n">
        <v>521</v>
      </c>
      <c r="U314" s="29">
        <f>N314*O314*T314</f>
        <v/>
      </c>
      <c r="V314" s="82">
        <f>IF(ISNUMBER($D314),$D314-WEEKDAY($D314,3),'ORDER VS WEEK DISTRIBUTION'!$G$500)</f>
        <v/>
      </c>
      <c r="W314" s="82">
        <f>MAX($V314,'ORDER VS WEEK DISTRIBUTION'!$G$500)</f>
        <v/>
      </c>
      <c r="X314" s="26">
        <f>IFERROR(VLOOKUP($J314,'ORDER VS WEEK DISTRIBUTION'!$T:$U,2,0),"")</f>
        <v/>
      </c>
      <c r="Y314" s="26">
        <f>IFERROR($T314/IF(IFERROR(VLOOKUP($I314,'ITEM CFC PER CONTAINER'!$A:$B,2,0),0)&gt;0,VLOOKUP($I314,'ITEM CFC PER CONTAINER'!$A:$B,2,0),VLOOKUP($X314,'MC MASTER'!$A:$Q,16,0)),"")</f>
        <v/>
      </c>
    </row>
    <row r="315" ht="15" customHeight="1" s="5">
      <c r="A315" s="26" t="inlineStr">
        <is>
          <t xml:space="preserve">Madhu Jayanti International Pvt Ltd - USA RBW SC </t>
        </is>
      </c>
      <c r="B315" s="26" t="inlineStr">
        <is>
          <t>MJIL/SO/26049477</t>
        </is>
      </c>
      <c r="C315" s="26" t="inlineStr">
        <is>
          <t>OCT SHPT - 1 - 20 ASST HERBAL</t>
        </is>
      </c>
      <c r="D315" s="82" t="n">
        <v>46319</v>
      </c>
      <c r="E315" s="83">
        <f>IF(ISNUMBER($D315),EOMONTH($D315,-1)+1,"")</f>
        <v/>
      </c>
      <c r="F315" s="82" t="n">
        <v>46319</v>
      </c>
      <c r="G315" s="26" t="n">
        <v>37684</v>
      </c>
      <c r="H315" s="26">
        <f>B315&amp;I315</f>
        <v/>
      </c>
      <c r="I315" s="26" t="inlineStr">
        <is>
          <t>BARISSIMO HERBAL TEA COLLECTIONS 12/20 DC SF ENV TBGS</t>
        </is>
      </c>
      <c r="J315" s="26" t="inlineStr">
        <is>
          <t>C250 AF</t>
        </is>
      </c>
      <c r="K315" s="26">
        <f>J315&amp;"-"&amp;TEXT(W315,"dd-mmm-yy")</f>
        <v/>
      </c>
      <c r="L315" s="26">
        <f>IFERROR(VLOOKUP($M315,'ITEM MASTER'!E:H,4,0),"")</f>
        <v/>
      </c>
      <c r="M315" s="26">
        <f>IFERROR(VLOOKUP($I315,'ITEM MASTER'!B:E,4,0),"")</f>
        <v/>
      </c>
      <c r="N315" s="26">
        <f>IFERROR(VLOOKUP($I315,'ITEM MASTER'!B:F,5,0),0)</f>
        <v/>
      </c>
      <c r="O315" s="26">
        <f>IFERROR(VLOOKUP($M315,'TBGS PER CTN'!B:C,2,0),0)</f>
        <v/>
      </c>
      <c r="P315" s="26" t="n">
        <v>8320</v>
      </c>
      <c r="Q315" s="26" t="n">
        <v>0</v>
      </c>
      <c r="R315" s="26" t="n">
        <v>0</v>
      </c>
      <c r="S315" s="26">
        <f>Q315+R315</f>
        <v/>
      </c>
      <c r="T315" s="29" t="n">
        <v>8320</v>
      </c>
      <c r="U315" s="29">
        <f>N315*O315*T315</f>
        <v/>
      </c>
      <c r="V315" s="82">
        <f>IF(ISNUMBER($D315),$D315-WEEKDAY($D315,3),'ORDER VS WEEK DISTRIBUTION'!$G$500)</f>
        <v/>
      </c>
      <c r="W315" s="82">
        <f>MAX($V315,'ORDER VS WEEK DISTRIBUTION'!$G$500)</f>
        <v/>
      </c>
      <c r="X315" s="26">
        <f>IFERROR(VLOOKUP($J315,'ORDER VS WEEK DISTRIBUTION'!$T:$U,2,0),"")</f>
        <v/>
      </c>
      <c r="Y315" s="26">
        <f>IFERROR($T315/IF(IFERROR(VLOOKUP($I315,'ITEM CFC PER CONTAINER'!$A:$B,2,0),0)&gt;0,VLOOKUP($I315,'ITEM CFC PER CONTAINER'!$A:$B,2,0),VLOOKUP($X315,'MC MASTER'!$A:$Q,16,0)),"")</f>
        <v/>
      </c>
    </row>
    <row r="316" ht="15" customHeight="1" s="5">
      <c r="A316" s="26" t="inlineStr">
        <is>
          <t>MATATA TRADE FZE DMCC</t>
        </is>
      </c>
      <c r="B316" s="26" t="inlineStr">
        <is>
          <t>MJIL/SO/25046651</t>
        </is>
      </c>
      <c r="C316" s="26" t="inlineStr">
        <is>
          <t>MJ164/2526/1(MA26191)+105(MA26192)</t>
        </is>
      </c>
      <c r="D316" s="82" t="n">
        <v>46321</v>
      </c>
      <c r="E316" s="83">
        <f>IF(ISNUMBER($D316),EOMONTH($D316,-1)+1,"")</f>
        <v/>
      </c>
      <c r="F316" s="82" t="n">
        <v>46321</v>
      </c>
      <c r="G316" s="26" t="n">
        <v>23621</v>
      </c>
      <c r="H316" s="26">
        <f>B316&amp;I316</f>
        <v/>
      </c>
      <c r="I316" s="26" t="inlineStr">
        <is>
          <t>KHAIMA CRANBERRY APPLE 45/25 DC ENV TBGS</t>
        </is>
      </c>
      <c r="J316" s="30" t="inlineStr">
        <is>
          <t>CONSTANTA ENV</t>
        </is>
      </c>
      <c r="K316" s="26">
        <f>J316&amp;"-"&amp;TEXT(W316,"dd-mmm-yy")</f>
        <v/>
      </c>
      <c r="L316" s="26">
        <f>IFERROR(VLOOKUP($M316,'ITEM MASTER'!E:H,4,0),"")</f>
        <v/>
      </c>
      <c r="M316" s="26">
        <f>IFERROR(VLOOKUP($I316,'ITEM MASTER'!B:E,4,0),"")</f>
        <v/>
      </c>
      <c r="N316" s="26">
        <f>IFERROR(VLOOKUP($I316,'ITEM MASTER'!B:F,5,0),0)</f>
        <v/>
      </c>
      <c r="O316" s="26">
        <f>IFERROR(VLOOKUP($M316,'TBGS PER CTN'!B:C,2,0),0)</f>
        <v/>
      </c>
      <c r="P316" s="26" t="n">
        <v>3330</v>
      </c>
      <c r="Q316" s="26" t="n">
        <v>0</v>
      </c>
      <c r="R316" s="26" t="n">
        <v>0</v>
      </c>
      <c r="S316" s="26">
        <f>Q316+R316</f>
        <v/>
      </c>
      <c r="T316" s="29" t="n">
        <v>3330</v>
      </c>
      <c r="U316" s="29">
        <f>N316*O316*T316</f>
        <v/>
      </c>
      <c r="V316" s="82">
        <f>IF(ISNUMBER($D316),$D316-WEEKDAY($D316,3),'ORDER VS WEEK DISTRIBUTION'!$G$500)</f>
        <v/>
      </c>
      <c r="W316" s="82">
        <f>MAX($V316,'ORDER VS WEEK DISTRIBUTION'!$G$500)</f>
        <v/>
      </c>
      <c r="X316" s="26">
        <f>IFERROR(VLOOKUP($J316,'ORDER VS WEEK DISTRIBUTION'!$T:$U,2,0),"")</f>
        <v/>
      </c>
      <c r="Y316" s="26">
        <f>IFERROR($T316/IF(IFERROR(VLOOKUP($I316,'ITEM CFC PER CONTAINER'!$A:$B,2,0),0)&gt;0,VLOOKUP($I316,'ITEM CFC PER CONTAINER'!$A:$B,2,0),VLOOKUP($X316,'MC MASTER'!$A:$Q,16,0)),"")</f>
        <v/>
      </c>
    </row>
    <row r="317" ht="15" customHeight="1" s="5">
      <c r="A317" s="26" t="inlineStr">
        <is>
          <t>MATATA TRADE FZE DMCC</t>
        </is>
      </c>
      <c r="B317" s="26" t="inlineStr">
        <is>
          <t>MJIL/SO/25046651</t>
        </is>
      </c>
      <c r="C317" s="26" t="inlineStr">
        <is>
          <t>MJ164/2526/1(MA26191)+105(MA26192)</t>
        </is>
      </c>
      <c r="D317" s="82" t="n">
        <v>46321</v>
      </c>
      <c r="E317" s="83">
        <f>IF(ISNUMBER($D317),EOMONTH($D317,-1)+1,"")</f>
        <v/>
      </c>
      <c r="F317" s="82" t="n">
        <v>46321</v>
      </c>
      <c r="G317" s="26" t="n">
        <v>34586</v>
      </c>
      <c r="H317" s="26">
        <f>B317&amp;I317</f>
        <v/>
      </c>
      <c r="I317" s="26" t="inlineStr">
        <is>
          <t>AKOUNA COFFEE 3 IN 1 (32 GMS) 12 STRIPS X 10 SACHETS WITH HANGER</t>
        </is>
      </c>
      <c r="J317" s="26" t="inlineStr">
        <is>
          <t>Pearl Pack Premix</t>
        </is>
      </c>
      <c r="K317" s="26">
        <f>J317&amp;"-"&amp;TEXT(W317,"dd-mmm-yy")</f>
        <v/>
      </c>
      <c r="L317" s="26">
        <f>IFERROR(VLOOKUP($M317,'ITEM MASTER'!E:H,4,0),"")</f>
        <v/>
      </c>
      <c r="M317" s="26">
        <f>IFERROR(VLOOKUP($I317,'ITEM MASTER'!B:E,4,0),"")</f>
        <v/>
      </c>
      <c r="N317" s="26">
        <f>IFERROR(VLOOKUP($I317,'ITEM MASTER'!B:F,5,0),0)</f>
        <v/>
      </c>
      <c r="O317" s="26">
        <f>IFERROR(VLOOKUP($M317,'TBGS PER CTN'!B:C,2,0),0)</f>
        <v/>
      </c>
      <c r="P317" s="26" t="n">
        <v>100</v>
      </c>
      <c r="Q317" s="26" t="n">
        <v>0</v>
      </c>
      <c r="R317" s="26" t="n">
        <v>100</v>
      </c>
      <c r="S317" s="26">
        <f>Q317+R317</f>
        <v/>
      </c>
      <c r="T317" s="29" t="n">
        <v>0</v>
      </c>
      <c r="U317" s="29">
        <f>N317*O317*T317</f>
        <v/>
      </c>
      <c r="V317" s="82">
        <f>IF(ISNUMBER($D317),$D317-WEEKDAY($D317,3),'ORDER VS WEEK DISTRIBUTION'!$G$500)</f>
        <v/>
      </c>
      <c r="W317" s="82">
        <f>MAX($V317,'ORDER VS WEEK DISTRIBUTION'!$G$500)</f>
        <v/>
      </c>
      <c r="X317" s="26">
        <f>IFERROR(VLOOKUP($J317,'ORDER VS WEEK DISTRIBUTION'!$T:$U,2,0),"")</f>
        <v/>
      </c>
      <c r="Y317" s="26">
        <f>IFERROR($T317/IF(IFERROR(VLOOKUP($I317,'ITEM CFC PER CONTAINER'!$A:$B,2,0),0)&gt;0,VLOOKUP($I317,'ITEM CFC PER CONTAINER'!$A:$B,2,0),VLOOKUP($X317,'MC MASTER'!$A:$Q,16,0)),"")</f>
        <v/>
      </c>
    </row>
    <row r="318" ht="15" customHeight="1" s="5">
      <c r="A318" s="26" t="inlineStr">
        <is>
          <t>MATATA TRADE FZE DMCC</t>
        </is>
      </c>
      <c r="B318" s="26" t="inlineStr">
        <is>
          <t>MJIL/SO/25066839</t>
        </is>
      </c>
      <c r="C318" s="26" t="inlineStr">
        <is>
          <t>MJ-239/25-26/ 19 &amp; 20 (MA26031)</t>
        </is>
      </c>
      <c r="D318" s="82" t="n">
        <v>46301</v>
      </c>
      <c r="E318" s="83">
        <f>IF(ISNUMBER($D318),EOMONTH($D318,-1)+1,"")</f>
        <v/>
      </c>
      <c r="F318" s="82" t="n">
        <v>46321</v>
      </c>
      <c r="G318" s="26" t="n">
        <v>23621</v>
      </c>
      <c r="H318" s="26">
        <f>B318&amp;I318</f>
        <v/>
      </c>
      <c r="I318" s="26" t="inlineStr">
        <is>
          <t>KHAIMA CRANBERRY APPLE 45/25 DC ENV TBGS</t>
        </is>
      </c>
      <c r="J318" s="30" t="inlineStr">
        <is>
          <t>CONSTANTA ENV</t>
        </is>
      </c>
      <c r="K318" s="26">
        <f>J318&amp;"-"&amp;TEXT(W318,"dd-mmm-yy")</f>
        <v/>
      </c>
      <c r="L318" s="26">
        <f>IFERROR(VLOOKUP($M318,'ITEM MASTER'!E:H,4,0),"")</f>
        <v/>
      </c>
      <c r="M318" s="26">
        <f>IFERROR(VLOOKUP($I318,'ITEM MASTER'!B:E,4,0),"")</f>
        <v/>
      </c>
      <c r="N318" s="26">
        <f>IFERROR(VLOOKUP($I318,'ITEM MASTER'!B:F,5,0),0)</f>
        <v/>
      </c>
      <c r="O318" s="26">
        <f>IFERROR(VLOOKUP($M318,'TBGS PER CTN'!B:C,2,0),0)</f>
        <v/>
      </c>
      <c r="P318" s="26" t="n">
        <v>6660</v>
      </c>
      <c r="Q318" s="26" t="n">
        <v>0</v>
      </c>
      <c r="R318" s="26" t="n">
        <v>0</v>
      </c>
      <c r="S318" s="26">
        <f>Q318+R318</f>
        <v/>
      </c>
      <c r="T318" s="29" t="n">
        <v>6660</v>
      </c>
      <c r="U318" s="29">
        <f>N318*O318*T318</f>
        <v/>
      </c>
      <c r="V318" s="82">
        <f>IF(ISNUMBER($D318),$D318-WEEKDAY($D318,3),'ORDER VS WEEK DISTRIBUTION'!$G$500)</f>
        <v/>
      </c>
      <c r="W318" s="82">
        <f>MAX($V318,'ORDER VS WEEK DISTRIBUTION'!$G$500)</f>
        <v/>
      </c>
      <c r="X318" s="26">
        <f>IFERROR(VLOOKUP($J318,'ORDER VS WEEK DISTRIBUTION'!$T:$U,2,0),"")</f>
        <v/>
      </c>
      <c r="Y318" s="26">
        <f>IFERROR($T318/IF(IFERROR(VLOOKUP($I318,'ITEM CFC PER CONTAINER'!$A:$B,2,0),0)&gt;0,VLOOKUP($I318,'ITEM CFC PER CONTAINER'!$A:$B,2,0),VLOOKUP($X318,'MC MASTER'!$A:$Q,16,0)),"")</f>
        <v/>
      </c>
    </row>
    <row r="319" ht="15" customHeight="1" s="5">
      <c r="A319" s="26" t="inlineStr">
        <is>
          <t>Dagab Inkop &amp; Logistik Ab</t>
        </is>
      </c>
      <c r="B319" s="26" t="inlineStr">
        <is>
          <t>MJIL/SO/26042998</t>
        </is>
      </c>
      <c r="C319" s="26" t="inlineStr">
        <is>
          <t>F343173587</t>
        </is>
      </c>
      <c r="D319" s="82" t="n">
        <v>46324</v>
      </c>
      <c r="E319" s="83">
        <f>IF(ISNUMBER($D319),EOMONTH($D319,-1)+1,"")</f>
        <v/>
      </c>
      <c r="F319" s="82" t="n">
        <v>46324</v>
      </c>
      <c r="G319" s="26" t="n">
        <v>1646</v>
      </c>
      <c r="H319" s="26">
        <f>B319&amp;I319</f>
        <v/>
      </c>
      <c r="I319" s="26" t="inlineStr">
        <is>
          <t>GARANT GREEN CITRUS 12/150 GMS POUCH-100% RFA</t>
        </is>
      </c>
      <c r="J319" s="26" t="inlineStr">
        <is>
          <t>Pearl Pack-FFS POUCH</t>
        </is>
      </c>
      <c r="K319" s="26">
        <f>J319&amp;"-"&amp;TEXT(W319,"dd-mmm-yy")</f>
        <v/>
      </c>
      <c r="L319" s="26">
        <f>IFERROR(VLOOKUP($M319,'ITEM MASTER'!E:H,4,0),"")</f>
        <v/>
      </c>
      <c r="M319" s="26">
        <f>IFERROR(VLOOKUP($I319,'ITEM MASTER'!B:E,4,0),"")</f>
        <v/>
      </c>
      <c r="N319" s="26">
        <f>IFERROR(VLOOKUP($I319,'ITEM MASTER'!B:F,5,0),0)</f>
        <v/>
      </c>
      <c r="O319" s="26">
        <f>IFERROR(VLOOKUP($M319,'TBGS PER CTN'!B:C,2,0),0)</f>
        <v/>
      </c>
      <c r="P319" s="26" t="n">
        <v>450</v>
      </c>
      <c r="Q319" s="26" t="n">
        <v>0</v>
      </c>
      <c r="R319" s="26" t="n">
        <v>0</v>
      </c>
      <c r="S319" s="26">
        <f>Q319+R319</f>
        <v/>
      </c>
      <c r="T319" s="29" t="n">
        <v>450</v>
      </c>
      <c r="U319" s="29">
        <f>N319*O319*T319</f>
        <v/>
      </c>
      <c r="V319" s="82">
        <f>IF(ISNUMBER($D319),$D319-WEEKDAY($D319,3),'ORDER VS WEEK DISTRIBUTION'!$G$500)</f>
        <v/>
      </c>
      <c r="W319" s="82">
        <f>MAX($V319,'ORDER VS WEEK DISTRIBUTION'!$G$500)</f>
        <v/>
      </c>
      <c r="X319" s="26">
        <f>IFERROR(VLOOKUP($J319,'ORDER VS WEEK DISTRIBUTION'!$T:$U,2,0),"")</f>
        <v/>
      </c>
      <c r="Y319" s="26">
        <f>IFERROR($T319/IF(IFERROR(VLOOKUP($I319,'ITEM CFC PER CONTAINER'!$A:$B,2,0),0)&gt;0,VLOOKUP($I319,'ITEM CFC PER CONTAINER'!$A:$B,2,0),VLOOKUP($X319,'MC MASTER'!$A:$Q,16,0)),"")</f>
        <v/>
      </c>
    </row>
    <row r="320" ht="15" customHeight="1" s="5">
      <c r="A320" s="26" t="inlineStr">
        <is>
          <t>Dagab Inkop &amp; Logistik Ab</t>
        </is>
      </c>
      <c r="B320" s="26" t="inlineStr">
        <is>
          <t>MJIL/SO/26042998</t>
        </is>
      </c>
      <c r="C320" s="26" t="inlineStr">
        <is>
          <t>F343173587</t>
        </is>
      </c>
      <c r="D320" s="82" t="n">
        <v>46324</v>
      </c>
      <c r="E320" s="83">
        <f>IF(ISNUMBER($D320),EOMONTH($D320,-1)+1,"")</f>
        <v/>
      </c>
      <c r="F320" s="82" t="n">
        <v>46324</v>
      </c>
      <c r="G320" s="26" t="n">
        <v>1578</v>
      </c>
      <c r="H320" s="26">
        <f>B320&amp;I320</f>
        <v/>
      </c>
      <c r="I320" s="26" t="inlineStr">
        <is>
          <t>GARANT CHAI MASALA 12/150 GMS POUCH-100% RFA</t>
        </is>
      </c>
      <c r="J320" s="26" t="inlineStr">
        <is>
          <t>Pearl Pack-FFS POUCH</t>
        </is>
      </c>
      <c r="K320" s="26">
        <f>J320&amp;"-"&amp;TEXT(W320,"dd-mmm-yy")</f>
        <v/>
      </c>
      <c r="L320" s="26">
        <f>IFERROR(VLOOKUP($M320,'ITEM MASTER'!E:H,4,0),"")</f>
        <v/>
      </c>
      <c r="M320" s="26">
        <f>IFERROR(VLOOKUP($I320,'ITEM MASTER'!B:E,4,0),"")</f>
        <v/>
      </c>
      <c r="N320" s="26">
        <f>IFERROR(VLOOKUP($I320,'ITEM MASTER'!B:F,5,0),0)</f>
        <v/>
      </c>
      <c r="O320" s="26">
        <f>IFERROR(VLOOKUP($M320,'TBGS PER CTN'!B:C,2,0),0)</f>
        <v/>
      </c>
      <c r="P320" s="26" t="n">
        <v>300</v>
      </c>
      <c r="Q320" s="26" t="n">
        <v>0</v>
      </c>
      <c r="R320" s="26" t="n">
        <v>0</v>
      </c>
      <c r="S320" s="26">
        <f>Q320+R320</f>
        <v/>
      </c>
      <c r="T320" s="29" t="n">
        <v>300</v>
      </c>
      <c r="U320" s="29">
        <f>N320*O320*T320</f>
        <v/>
      </c>
      <c r="V320" s="82">
        <f>IF(ISNUMBER($D320),$D320-WEEKDAY($D320,3),'ORDER VS WEEK DISTRIBUTION'!$G$500)</f>
        <v/>
      </c>
      <c r="W320" s="82">
        <f>MAX($V320,'ORDER VS WEEK DISTRIBUTION'!$G$500)</f>
        <v/>
      </c>
      <c r="X320" s="26">
        <f>IFERROR(VLOOKUP($J320,'ORDER VS WEEK DISTRIBUTION'!$T:$U,2,0),"")</f>
        <v/>
      </c>
      <c r="Y320" s="26">
        <f>IFERROR($T320/IF(IFERROR(VLOOKUP($I320,'ITEM CFC PER CONTAINER'!$A:$B,2,0),0)&gt;0,VLOOKUP($I320,'ITEM CFC PER CONTAINER'!$A:$B,2,0),VLOOKUP($X320,'MC MASTER'!$A:$Q,16,0)),"")</f>
        <v/>
      </c>
    </row>
    <row r="321" ht="15" customHeight="1" s="5">
      <c r="A321" s="26" t="inlineStr">
        <is>
          <t>Dagab Inkop &amp; Logistik Ab</t>
        </is>
      </c>
      <c r="B321" s="26" t="inlineStr">
        <is>
          <t>MJIL/SO/26042998</t>
        </is>
      </c>
      <c r="C321" s="26" t="inlineStr">
        <is>
          <t>F343173587</t>
        </is>
      </c>
      <c r="D321" s="82" t="n">
        <v>46324</v>
      </c>
      <c r="E321" s="83">
        <f>IF(ISNUMBER($D321),EOMONTH($D321,-1)+1,"")</f>
        <v/>
      </c>
      <c r="F321" s="82" t="n">
        <v>46324</v>
      </c>
      <c r="G321" s="26" t="n">
        <v>35542</v>
      </c>
      <c r="H321" s="26">
        <f>B321&amp;I321</f>
        <v/>
      </c>
      <c r="I321" s="26" t="inlineStr">
        <is>
          <t>GARANT KAMOMILL TE 15/20 DC ENV TBGS (V2)</t>
        </is>
      </c>
      <c r="J321" s="26" t="inlineStr">
        <is>
          <t>MD20 ENV GARANT</t>
        </is>
      </c>
      <c r="K321" s="26">
        <f>J321&amp;"-"&amp;TEXT(W321,"dd-mmm-yy")</f>
        <v/>
      </c>
      <c r="L321" s="26">
        <f>IFERROR(VLOOKUP($M321,'ITEM MASTER'!E:H,4,0),"")</f>
        <v/>
      </c>
      <c r="M321" s="26">
        <f>IFERROR(VLOOKUP($I321,'ITEM MASTER'!B:E,4,0),"")</f>
        <v/>
      </c>
      <c r="N321" s="26">
        <f>IFERROR(VLOOKUP($I321,'ITEM MASTER'!B:F,5,0),0)</f>
        <v/>
      </c>
      <c r="O321" s="26">
        <f>IFERROR(VLOOKUP($M321,'TBGS PER CTN'!B:C,2,0),0)</f>
        <v/>
      </c>
      <c r="P321" s="26" t="n">
        <v>500</v>
      </c>
      <c r="Q321" s="26" t="n">
        <v>0</v>
      </c>
      <c r="R321" s="26" t="n">
        <v>0</v>
      </c>
      <c r="S321" s="26">
        <f>Q321+R321</f>
        <v/>
      </c>
      <c r="T321" s="29" t="n">
        <v>500</v>
      </c>
      <c r="U321" s="29">
        <f>N321*O321*T321</f>
        <v/>
      </c>
      <c r="V321" s="82">
        <f>IF(ISNUMBER($D321),$D321-WEEKDAY($D321,3),'ORDER VS WEEK DISTRIBUTION'!$G$500)</f>
        <v/>
      </c>
      <c r="W321" s="82">
        <f>MAX($V321,'ORDER VS WEEK DISTRIBUTION'!$G$500)</f>
        <v/>
      </c>
      <c r="X321" s="26">
        <f>IFERROR(VLOOKUP($J321,'ORDER VS WEEK DISTRIBUTION'!$T:$U,2,0),"")</f>
        <v/>
      </c>
      <c r="Y321" s="26">
        <f>IFERROR($T321/IF(IFERROR(VLOOKUP($I321,'ITEM CFC PER CONTAINER'!$A:$B,2,0),0)&gt;0,VLOOKUP($I321,'ITEM CFC PER CONTAINER'!$A:$B,2,0),VLOOKUP($X321,'MC MASTER'!$A:$Q,16,0)),"")</f>
        <v/>
      </c>
    </row>
    <row r="322" ht="15" customHeight="1" s="5">
      <c r="A322" s="26" t="inlineStr">
        <is>
          <t>Dagab Inkop &amp; Logistik Ab</t>
        </is>
      </c>
      <c r="B322" s="26" t="inlineStr">
        <is>
          <t>MJIL/SO/26042998</t>
        </is>
      </c>
      <c r="C322" s="26" t="inlineStr">
        <is>
          <t>F343173587</t>
        </is>
      </c>
      <c r="D322" s="82" t="n">
        <v>46324</v>
      </c>
      <c r="E322" s="83">
        <f>IF(ISNUMBER($D322),EOMONTH($D322,-1)+1,"")</f>
        <v/>
      </c>
      <c r="F322" s="82" t="n">
        <v>46324</v>
      </c>
      <c r="G322" s="26" t="n">
        <v>36028</v>
      </c>
      <c r="H322" s="26">
        <f>B322&amp;I322</f>
        <v/>
      </c>
      <c r="I322" s="26" t="inlineStr">
        <is>
          <t>GARANT ENGLISH BREAKFAST 6/100 DC TAG TBGS-FT</t>
        </is>
      </c>
      <c r="J322" s="26" t="inlineStr">
        <is>
          <t>PERFECTA  K 45 TAG</t>
        </is>
      </c>
      <c r="K322" s="26">
        <f>J322&amp;"-"&amp;TEXT(W322,"dd-mmm-yy")</f>
        <v/>
      </c>
      <c r="L322" s="26">
        <f>IFERROR(VLOOKUP($M322,'ITEM MASTER'!E:H,4,0),"")</f>
        <v/>
      </c>
      <c r="M322" s="26">
        <f>IFERROR(VLOOKUP($I322,'ITEM MASTER'!B:E,4,0),"")</f>
        <v/>
      </c>
      <c r="N322" s="26">
        <f>IFERROR(VLOOKUP($I322,'ITEM MASTER'!B:F,5,0),0)</f>
        <v/>
      </c>
      <c r="O322" s="26">
        <f>IFERROR(VLOOKUP($M322,'TBGS PER CTN'!B:C,2,0),0)</f>
        <v/>
      </c>
      <c r="P322" s="26" t="n">
        <v>3780</v>
      </c>
      <c r="Q322" s="26" t="n">
        <v>0</v>
      </c>
      <c r="R322" s="26" t="n">
        <v>0</v>
      </c>
      <c r="S322" s="26">
        <f>Q322+R322</f>
        <v/>
      </c>
      <c r="T322" s="29" t="n">
        <v>3780</v>
      </c>
      <c r="U322" s="29">
        <f>N322*O322*T322</f>
        <v/>
      </c>
      <c r="V322" s="82">
        <f>IF(ISNUMBER($D322),$D322-WEEKDAY($D322,3),'ORDER VS WEEK DISTRIBUTION'!$G$500)</f>
        <v/>
      </c>
      <c r="W322" s="82">
        <f>MAX($V322,'ORDER VS WEEK DISTRIBUTION'!$G$500)</f>
        <v/>
      </c>
      <c r="X322" s="26">
        <f>IFERROR(VLOOKUP($J322,'ORDER VS WEEK DISTRIBUTION'!$T:$U,2,0),"")</f>
        <v/>
      </c>
      <c r="Y322" s="26">
        <f>IFERROR($T322/IF(IFERROR(VLOOKUP($I322,'ITEM CFC PER CONTAINER'!$A:$B,2,0),0)&gt;0,VLOOKUP($I322,'ITEM CFC PER CONTAINER'!$A:$B,2,0),VLOOKUP($X322,'MC MASTER'!$A:$Q,16,0)),"")</f>
        <v/>
      </c>
    </row>
    <row r="323" ht="15" customHeight="1" s="5">
      <c r="A323" s="26" t="inlineStr">
        <is>
          <t>A Dala And Sons Ltd</t>
        </is>
      </c>
      <c r="B323" s="26" t="inlineStr">
        <is>
          <t>MJIL/SO/26017868</t>
        </is>
      </c>
      <c r="C323" s="26" t="inlineStr">
        <is>
          <t>GV PREMIUM PROJECTION</t>
        </is>
      </c>
      <c r="D323" s="82" t="n">
        <v>46234</v>
      </c>
      <c r="E323" s="83">
        <f>IF(ISNUMBER($D323),EOMONTH($D323,-1)+1,"")</f>
        <v/>
      </c>
      <c r="F323" s="82" t="n">
        <v>46326</v>
      </c>
      <c r="G323" s="26" t="n">
        <v>35349</v>
      </c>
      <c r="H323" s="26">
        <f>B323&amp;I323</f>
        <v/>
      </c>
      <c r="I323" s="26" t="inlineStr">
        <is>
          <t>GV LEMON JAZZ 12/25 DC SF HS ENV TBGS (AF)</t>
        </is>
      </c>
      <c r="J323" s="26" t="inlineStr">
        <is>
          <t>MD20 HS</t>
        </is>
      </c>
      <c r="K323" s="26">
        <f>J323&amp;"-"&amp;TEXT(W323,"dd-mmm-yy")</f>
        <v/>
      </c>
      <c r="L323" s="26">
        <f>IFERROR(VLOOKUP($M323,'ITEM MASTER'!E:H,4,0),"")</f>
        <v/>
      </c>
      <c r="M323" s="26">
        <f>IFERROR(VLOOKUP($I323,'ITEM MASTER'!B:E,4,0),"")</f>
        <v/>
      </c>
      <c r="N323" s="26">
        <f>IFERROR(VLOOKUP($I323,'ITEM MASTER'!B:F,5,0),0)</f>
        <v/>
      </c>
      <c r="O323" s="26">
        <f>IFERROR(VLOOKUP($M323,'TBGS PER CTN'!B:C,2,0),0)</f>
        <v/>
      </c>
      <c r="P323" s="26" t="n">
        <v>250</v>
      </c>
      <c r="Q323" s="26" t="n">
        <v>0</v>
      </c>
      <c r="R323" s="26" t="n">
        <v>0</v>
      </c>
      <c r="S323" s="26">
        <f>Q323+R323</f>
        <v/>
      </c>
      <c r="T323" s="29" t="n">
        <v>250</v>
      </c>
      <c r="U323" s="29">
        <f>N323*O323*T323</f>
        <v/>
      </c>
      <c r="V323" s="82">
        <f>IF(ISNUMBER($D323),$D323-WEEKDAY($D323,3),'ORDER VS WEEK DISTRIBUTION'!$G$500)</f>
        <v/>
      </c>
      <c r="W323" s="82">
        <f>MAX($V323,'ORDER VS WEEK DISTRIBUTION'!$G$500)</f>
        <v/>
      </c>
      <c r="X323" s="26">
        <f>IFERROR(VLOOKUP($J323,'ORDER VS WEEK DISTRIBUTION'!$T:$U,2,0),"")</f>
        <v/>
      </c>
      <c r="Y323" s="26">
        <f>IFERROR($T323/IF(IFERROR(VLOOKUP($I323,'ITEM CFC PER CONTAINER'!$A:$B,2,0),0)&gt;0,VLOOKUP($I323,'ITEM CFC PER CONTAINER'!$A:$B,2,0),VLOOKUP($X323,'MC MASTER'!$A:$Q,16,0)),"")</f>
        <v/>
      </c>
    </row>
    <row r="324" ht="15" customHeight="1" s="5">
      <c r="A324" s="26" t="inlineStr">
        <is>
          <t>A Dala And Sons Ltd</t>
        </is>
      </c>
      <c r="B324" s="26" t="inlineStr">
        <is>
          <t>MJIL/SO/26017868</t>
        </is>
      </c>
      <c r="C324" s="26" t="inlineStr">
        <is>
          <t>GV PREMIUM PROJECTION</t>
        </is>
      </c>
      <c r="D324" s="82" t="n">
        <v>46234</v>
      </c>
      <c r="E324" s="83">
        <f>IF(ISNUMBER($D324),EOMONTH($D324,-1)+1,"")</f>
        <v/>
      </c>
      <c r="F324" s="82" t="n">
        <v>46326</v>
      </c>
      <c r="G324" s="26" t="n">
        <v>35358</v>
      </c>
      <c r="H324" s="26">
        <f>B324&amp;I324</f>
        <v/>
      </c>
      <c r="I324" s="26" t="inlineStr">
        <is>
          <t>GV RASPBERRY BLISS 12/25 DC SF HS ENV TBGS (AF)</t>
        </is>
      </c>
      <c r="J324" s="26" t="inlineStr">
        <is>
          <t>MD20 HS</t>
        </is>
      </c>
      <c r="K324" s="26">
        <f>J324&amp;"-"&amp;TEXT(W324,"dd-mmm-yy")</f>
        <v/>
      </c>
      <c r="L324" s="26">
        <f>IFERROR(VLOOKUP($M324,'ITEM MASTER'!E:H,4,0),"")</f>
        <v/>
      </c>
      <c r="M324" s="26">
        <f>IFERROR(VLOOKUP($I324,'ITEM MASTER'!B:E,4,0),"")</f>
        <v/>
      </c>
      <c r="N324" s="26">
        <f>IFERROR(VLOOKUP($I324,'ITEM MASTER'!B:F,5,0),0)</f>
        <v/>
      </c>
      <c r="O324" s="26">
        <f>IFERROR(VLOOKUP($M324,'TBGS PER CTN'!B:C,2,0),0)</f>
        <v/>
      </c>
      <c r="P324" s="26" t="n">
        <v>250</v>
      </c>
      <c r="Q324" s="26" t="n">
        <v>0</v>
      </c>
      <c r="R324" s="26" t="n">
        <v>0</v>
      </c>
      <c r="S324" s="26">
        <f>Q324+R324</f>
        <v/>
      </c>
      <c r="T324" s="29" t="n">
        <v>250</v>
      </c>
      <c r="U324" s="29">
        <f>N324*O324*T324</f>
        <v/>
      </c>
      <c r="V324" s="82">
        <f>IF(ISNUMBER($D324),$D324-WEEKDAY($D324,3),'ORDER VS WEEK DISTRIBUTION'!$G$500)</f>
        <v/>
      </c>
      <c r="W324" s="82">
        <f>MAX($V324,'ORDER VS WEEK DISTRIBUTION'!$G$500)</f>
        <v/>
      </c>
      <c r="X324" s="26">
        <f>IFERROR(VLOOKUP($J324,'ORDER VS WEEK DISTRIBUTION'!$T:$U,2,0),"")</f>
        <v/>
      </c>
      <c r="Y324" s="26">
        <f>IFERROR($T324/IF(IFERROR(VLOOKUP($I324,'ITEM CFC PER CONTAINER'!$A:$B,2,0),0)&gt;0,VLOOKUP($I324,'ITEM CFC PER CONTAINER'!$A:$B,2,0),VLOOKUP($X324,'MC MASTER'!$A:$Q,16,0)),"")</f>
        <v/>
      </c>
    </row>
    <row r="325" ht="15" customHeight="1" s="5">
      <c r="A325" s="26" t="inlineStr">
        <is>
          <t>A Dala And Sons Ltd</t>
        </is>
      </c>
      <c r="B325" s="26" t="inlineStr">
        <is>
          <t>MJIL/SO/26017868</t>
        </is>
      </c>
      <c r="C325" s="26" t="inlineStr">
        <is>
          <t>GV PREMIUM PROJECTION</t>
        </is>
      </c>
      <c r="D325" s="82" t="n">
        <v>46234</v>
      </c>
      <c r="E325" s="83">
        <f>IF(ISNUMBER($D325),EOMONTH($D325,-1)+1,"")</f>
        <v/>
      </c>
      <c r="F325" s="82" t="n">
        <v>46326</v>
      </c>
      <c r="G325" s="26" t="n">
        <v>35361</v>
      </c>
      <c r="H325" s="26">
        <f>B325&amp;I325</f>
        <v/>
      </c>
      <c r="I325" s="26" t="inlineStr">
        <is>
          <t>GV TROPICAL JOY 12/25 DC SF HS ENV TBGS (AF)</t>
        </is>
      </c>
      <c r="J325" s="26" t="inlineStr">
        <is>
          <t>MD20 HS</t>
        </is>
      </c>
      <c r="K325" s="26">
        <f>J325&amp;"-"&amp;TEXT(W325,"dd-mmm-yy")</f>
        <v/>
      </c>
      <c r="L325" s="26">
        <f>IFERROR(VLOOKUP($M325,'ITEM MASTER'!E:H,4,0),"")</f>
        <v/>
      </c>
      <c r="M325" s="26">
        <f>IFERROR(VLOOKUP($I325,'ITEM MASTER'!B:E,4,0),"")</f>
        <v/>
      </c>
      <c r="N325" s="26">
        <f>IFERROR(VLOOKUP($I325,'ITEM MASTER'!B:F,5,0),0)</f>
        <v/>
      </c>
      <c r="O325" s="26">
        <f>IFERROR(VLOOKUP($M325,'TBGS PER CTN'!B:C,2,0),0)</f>
        <v/>
      </c>
      <c r="P325" s="26" t="n">
        <v>250</v>
      </c>
      <c r="Q325" s="26" t="n">
        <v>0</v>
      </c>
      <c r="R325" s="26" t="n">
        <v>95</v>
      </c>
      <c r="S325" s="26">
        <f>Q325+R325</f>
        <v/>
      </c>
      <c r="T325" s="29" t="n">
        <v>155</v>
      </c>
      <c r="U325" s="29">
        <f>N325*O325*T325</f>
        <v/>
      </c>
      <c r="V325" s="82">
        <f>IF(ISNUMBER($D325),$D325-WEEKDAY($D325,3),'ORDER VS WEEK DISTRIBUTION'!$G$500)</f>
        <v/>
      </c>
      <c r="W325" s="82">
        <f>MAX($V325,'ORDER VS WEEK DISTRIBUTION'!$G$500)</f>
        <v/>
      </c>
      <c r="X325" s="26">
        <f>IFERROR(VLOOKUP($J325,'ORDER VS WEEK DISTRIBUTION'!$T:$U,2,0),"")</f>
        <v/>
      </c>
      <c r="Y325" s="26">
        <f>IFERROR($T325/IF(IFERROR(VLOOKUP($I325,'ITEM CFC PER CONTAINER'!$A:$B,2,0),0)&gt;0,VLOOKUP($I325,'ITEM CFC PER CONTAINER'!$A:$B,2,0),VLOOKUP($X325,'MC MASTER'!$A:$Q,16,0)),"")</f>
        <v/>
      </c>
    </row>
    <row r="326" ht="15" customHeight="1" s="5">
      <c r="A326" s="26" t="inlineStr">
        <is>
          <t>A Dala And Sons Ltd</t>
        </is>
      </c>
      <c r="B326" s="26" t="inlineStr">
        <is>
          <t>MJIL/SO/26017868</t>
        </is>
      </c>
      <c r="C326" s="26" t="inlineStr">
        <is>
          <t>GV PREMIUM PROJECTION</t>
        </is>
      </c>
      <c r="D326" s="82" t="n">
        <v>46234</v>
      </c>
      <c r="E326" s="83">
        <f>IF(ISNUMBER($D326),EOMONTH($D326,-1)+1,"")</f>
        <v/>
      </c>
      <c r="F326" s="82" t="n">
        <v>46326</v>
      </c>
      <c r="G326" s="26" t="n">
        <v>35360</v>
      </c>
      <c r="H326" s="26">
        <f>B326&amp;I326</f>
        <v/>
      </c>
      <c r="I326" s="26" t="inlineStr">
        <is>
          <t>GV STRAWBERRY ZEN 12/25 DC SF HS ENV TBGS (AF)</t>
        </is>
      </c>
      <c r="J326" s="26" t="inlineStr">
        <is>
          <t>MD20 HS</t>
        </is>
      </c>
      <c r="K326" s="26">
        <f>J326&amp;"-"&amp;TEXT(W326,"dd-mmm-yy")</f>
        <v/>
      </c>
      <c r="L326" s="26">
        <f>IFERROR(VLOOKUP($M326,'ITEM MASTER'!E:H,4,0),"")</f>
        <v/>
      </c>
      <c r="M326" s="26">
        <f>IFERROR(VLOOKUP($I326,'ITEM MASTER'!B:E,4,0),"")</f>
        <v/>
      </c>
      <c r="N326" s="26">
        <f>IFERROR(VLOOKUP($I326,'ITEM MASTER'!B:F,5,0),0)</f>
        <v/>
      </c>
      <c r="O326" s="26">
        <f>IFERROR(VLOOKUP($M326,'TBGS PER CTN'!B:C,2,0),0)</f>
        <v/>
      </c>
      <c r="P326" s="26" t="n">
        <v>250</v>
      </c>
      <c r="Q326" s="26" t="n">
        <v>0</v>
      </c>
      <c r="R326" s="26" t="n">
        <v>0</v>
      </c>
      <c r="S326" s="26">
        <f>Q326+R326</f>
        <v/>
      </c>
      <c r="T326" s="29" t="n">
        <v>250</v>
      </c>
      <c r="U326" s="29">
        <f>N326*O326*T326</f>
        <v/>
      </c>
      <c r="V326" s="82">
        <f>IF(ISNUMBER($D326),$D326-WEEKDAY($D326,3),'ORDER VS WEEK DISTRIBUTION'!$G$500)</f>
        <v/>
      </c>
      <c r="W326" s="82">
        <f>MAX($V326,'ORDER VS WEEK DISTRIBUTION'!$G$500)</f>
        <v/>
      </c>
      <c r="X326" s="26">
        <f>IFERROR(VLOOKUP($J326,'ORDER VS WEEK DISTRIBUTION'!$T:$U,2,0),"")</f>
        <v/>
      </c>
      <c r="Y326" s="26">
        <f>IFERROR($T326/IF(IFERROR(VLOOKUP($I326,'ITEM CFC PER CONTAINER'!$A:$B,2,0),0)&gt;0,VLOOKUP($I326,'ITEM CFC PER CONTAINER'!$A:$B,2,0),VLOOKUP($X326,'MC MASTER'!$A:$Q,16,0)),"")</f>
        <v/>
      </c>
    </row>
    <row r="327" ht="15" customHeight="1" s="5">
      <c r="A327" s="26" t="inlineStr">
        <is>
          <t>A Dala And Sons Ltd</t>
        </is>
      </c>
      <c r="B327" s="26" t="inlineStr">
        <is>
          <t>MJIL/SO/26017868</t>
        </is>
      </c>
      <c r="C327" s="26" t="inlineStr">
        <is>
          <t>GV PREMIUM PROJECTION</t>
        </is>
      </c>
      <c r="D327" s="82" t="n">
        <v>46234</v>
      </c>
      <c r="E327" s="83">
        <f>IF(ISNUMBER($D327),EOMONTH($D327,-1)+1,"")</f>
        <v/>
      </c>
      <c r="F327" s="82" t="n">
        <v>46326</v>
      </c>
      <c r="G327" s="26" t="n">
        <v>35359</v>
      </c>
      <c r="H327" s="26">
        <f>B327&amp;I327</f>
        <v/>
      </c>
      <c r="I327" s="26" t="inlineStr">
        <is>
          <t>GV PASSION FRUIT 12/25 DC SF HS ENV TBGS (AF)</t>
        </is>
      </c>
      <c r="J327" s="26" t="inlineStr">
        <is>
          <t>MD20 HS</t>
        </is>
      </c>
      <c r="K327" s="26">
        <f>J327&amp;"-"&amp;TEXT(W327,"dd-mmm-yy")</f>
        <v/>
      </c>
      <c r="L327" s="26">
        <f>IFERROR(VLOOKUP($M327,'ITEM MASTER'!E:H,4,0),"")</f>
        <v/>
      </c>
      <c r="M327" s="26">
        <f>IFERROR(VLOOKUP($I327,'ITEM MASTER'!B:E,4,0),"")</f>
        <v/>
      </c>
      <c r="N327" s="26">
        <f>IFERROR(VLOOKUP($I327,'ITEM MASTER'!B:F,5,0),0)</f>
        <v/>
      </c>
      <c r="O327" s="26">
        <f>IFERROR(VLOOKUP($M327,'TBGS PER CTN'!B:C,2,0),0)</f>
        <v/>
      </c>
      <c r="P327" s="26" t="n">
        <v>250</v>
      </c>
      <c r="Q327" s="26" t="n">
        <v>4</v>
      </c>
      <c r="R327" s="26" t="n">
        <v>0</v>
      </c>
      <c r="S327" s="26">
        <f>Q327+R327</f>
        <v/>
      </c>
      <c r="T327" s="29" t="n">
        <v>246</v>
      </c>
      <c r="U327" s="29">
        <f>N327*O327*T327</f>
        <v/>
      </c>
      <c r="V327" s="82">
        <f>IF(ISNUMBER($D327),$D327-WEEKDAY($D327,3),'ORDER VS WEEK DISTRIBUTION'!$G$500)</f>
        <v/>
      </c>
      <c r="W327" s="82">
        <f>MAX($V327,'ORDER VS WEEK DISTRIBUTION'!$G$500)</f>
        <v/>
      </c>
      <c r="X327" s="26">
        <f>IFERROR(VLOOKUP($J327,'ORDER VS WEEK DISTRIBUTION'!$T:$U,2,0),"")</f>
        <v/>
      </c>
      <c r="Y327" s="26">
        <f>IFERROR($T327/IF(IFERROR(VLOOKUP($I327,'ITEM CFC PER CONTAINER'!$A:$B,2,0),0)&gt;0,VLOOKUP($I327,'ITEM CFC PER CONTAINER'!$A:$B,2,0),VLOOKUP($X327,'MC MASTER'!$A:$Q,16,0)),"")</f>
        <v/>
      </c>
    </row>
    <row r="328" ht="15" customHeight="1" s="5">
      <c r="A328" s="26" t="inlineStr">
        <is>
          <t>A Dala And Sons Ltd</t>
        </is>
      </c>
      <c r="B328" s="26" t="inlineStr">
        <is>
          <t>MJIL/SO/26017868</t>
        </is>
      </c>
      <c r="C328" s="26" t="inlineStr">
        <is>
          <t>GV PREMIUM PROJECTION</t>
        </is>
      </c>
      <c r="D328" s="82" t="n">
        <v>46234</v>
      </c>
      <c r="E328" s="83">
        <f>IF(ISNUMBER($D328),EOMONTH($D328,-1)+1,"")</f>
        <v/>
      </c>
      <c r="F328" s="82" t="n">
        <v>46326</v>
      </c>
      <c r="G328" s="26" t="n">
        <v>35348</v>
      </c>
      <c r="H328" s="26">
        <f>B328&amp;I328</f>
        <v/>
      </c>
      <c r="I328" s="26" t="inlineStr">
        <is>
          <t>GV BERRY DELIGHT 12/25 DC SF HS ENV TBGS (AF)</t>
        </is>
      </c>
      <c r="J328" s="26" t="inlineStr">
        <is>
          <t>MD20 HS</t>
        </is>
      </c>
      <c r="K328" s="26">
        <f>J328&amp;"-"&amp;TEXT(W328,"dd-mmm-yy")</f>
        <v/>
      </c>
      <c r="L328" s="26">
        <f>IFERROR(VLOOKUP($M328,'ITEM MASTER'!E:H,4,0),"")</f>
        <v/>
      </c>
      <c r="M328" s="26">
        <f>IFERROR(VLOOKUP($I328,'ITEM MASTER'!B:E,4,0),"")</f>
        <v/>
      </c>
      <c r="N328" s="26">
        <f>IFERROR(VLOOKUP($I328,'ITEM MASTER'!B:F,5,0),0)</f>
        <v/>
      </c>
      <c r="O328" s="26">
        <f>IFERROR(VLOOKUP($M328,'TBGS PER CTN'!B:C,2,0),0)</f>
        <v/>
      </c>
      <c r="P328" s="26" t="n">
        <v>250</v>
      </c>
      <c r="Q328" s="26" t="n">
        <v>39</v>
      </c>
      <c r="R328" s="26" t="n">
        <v>0</v>
      </c>
      <c r="S328" s="26">
        <f>Q328+R328</f>
        <v/>
      </c>
      <c r="T328" s="29" t="n">
        <v>211</v>
      </c>
      <c r="U328" s="29">
        <f>N328*O328*T328</f>
        <v/>
      </c>
      <c r="V328" s="82">
        <f>IF(ISNUMBER($D328),$D328-WEEKDAY($D328,3),'ORDER VS WEEK DISTRIBUTION'!$G$500)</f>
        <v/>
      </c>
      <c r="W328" s="82">
        <f>MAX($V328,'ORDER VS WEEK DISTRIBUTION'!$G$500)</f>
        <v/>
      </c>
      <c r="X328" s="26">
        <f>IFERROR(VLOOKUP($J328,'ORDER VS WEEK DISTRIBUTION'!$T:$U,2,0),"")</f>
        <v/>
      </c>
      <c r="Y328" s="26">
        <f>IFERROR($T328/IF(IFERROR(VLOOKUP($I328,'ITEM CFC PER CONTAINER'!$A:$B,2,0),0)&gt;0,VLOOKUP($I328,'ITEM CFC PER CONTAINER'!$A:$B,2,0),VLOOKUP($X328,'MC MASTER'!$A:$Q,16,0)),"")</f>
        <v/>
      </c>
    </row>
    <row r="329" ht="15" customHeight="1" s="5">
      <c r="A329" s="26" t="inlineStr">
        <is>
          <t>Harris Freeman 1981 LLC</t>
        </is>
      </c>
      <c r="B329" s="26" t="inlineStr">
        <is>
          <t>MJIL/SO/26048108</t>
        </is>
      </c>
      <c r="C329" s="26" t="inlineStr">
        <is>
          <t>PO#120</t>
        </is>
      </c>
      <c r="D329" s="82" t="n">
        <v>46300</v>
      </c>
      <c r="E329" s="83">
        <f>IF(ISNUMBER($D329),EOMONTH($D329,-1)+1,"")</f>
        <v/>
      </c>
      <c r="F329" s="82" t="n">
        <v>46326</v>
      </c>
      <c r="G329" s="26" t="n">
        <v>20617</v>
      </c>
      <c r="H329" s="26">
        <f>B329&amp;I329</f>
        <v/>
      </c>
      <c r="I329" s="26" t="inlineStr">
        <is>
          <t>TEA INDIA 12/2 LBS POLYBAG</t>
        </is>
      </c>
      <c r="J329" s="26" t="inlineStr">
        <is>
          <t>PAKONA 250GMS/500GMS/1000GMS</t>
        </is>
      </c>
      <c r="K329" s="26">
        <f>J329&amp;"-"&amp;TEXT(W329,"dd-mmm-yy")</f>
        <v/>
      </c>
      <c r="L329" s="26">
        <f>IFERROR(VLOOKUP($M329,'ITEM MASTER'!E:H,4,0),"")</f>
        <v/>
      </c>
      <c r="M329" s="26">
        <f>IFERROR(VLOOKUP($I329,'ITEM MASTER'!B:E,4,0),"")</f>
        <v/>
      </c>
      <c r="N329" s="26">
        <f>IFERROR(VLOOKUP($I329,'ITEM MASTER'!B:F,5,0),0)</f>
        <v/>
      </c>
      <c r="O329" s="26">
        <f>IFERROR(VLOOKUP($M329,'TBGS PER CTN'!B:C,2,0),0)</f>
        <v/>
      </c>
      <c r="P329" s="26" t="n">
        <v>1760</v>
      </c>
      <c r="Q329" s="26" t="n">
        <v>0</v>
      </c>
      <c r="R329" s="26" t="n">
        <v>8</v>
      </c>
      <c r="S329" s="26">
        <f>Q329+R329</f>
        <v/>
      </c>
      <c r="T329" s="29" t="n">
        <v>1752</v>
      </c>
      <c r="U329" s="29">
        <f>N329*O329*T329</f>
        <v/>
      </c>
      <c r="V329" s="82">
        <f>IF(ISNUMBER($D329),$D329-WEEKDAY($D329,3),'ORDER VS WEEK DISTRIBUTION'!$G$500)</f>
        <v/>
      </c>
      <c r="W329" s="82">
        <f>MAX($V329,'ORDER VS WEEK DISTRIBUTION'!$G$500)</f>
        <v/>
      </c>
      <c r="X329" s="26">
        <f>IFERROR(VLOOKUP($J329,'ORDER VS WEEK DISTRIBUTION'!$T:$U,2,0),"")</f>
        <v/>
      </c>
      <c r="Y329" s="26">
        <f>IFERROR($T329/IF(IFERROR(VLOOKUP($I329,'ITEM CFC PER CONTAINER'!$A:$B,2,0),0)&gt;0,VLOOKUP($I329,'ITEM CFC PER CONTAINER'!$A:$B,2,0),VLOOKUP($X329,'MC MASTER'!$A:$Q,16,0)),"")</f>
        <v/>
      </c>
    </row>
    <row r="330" ht="15" customHeight="1" s="5">
      <c r="A330" s="26" t="inlineStr">
        <is>
          <t>Harris Freeman 1981 LLC</t>
        </is>
      </c>
      <c r="B330" s="26" t="inlineStr">
        <is>
          <t>MJIL/SO/26048108</t>
        </is>
      </c>
      <c r="C330" s="26" t="inlineStr">
        <is>
          <t>PO#120</t>
        </is>
      </c>
      <c r="D330" s="82" t="n">
        <v>46300</v>
      </c>
      <c r="E330" s="83">
        <f>IF(ISNUMBER($D330),EOMONTH($D330,-1)+1,"")</f>
        <v/>
      </c>
      <c r="F330" s="82" t="n">
        <v>46326</v>
      </c>
      <c r="G330" s="26" t="n">
        <v>20831</v>
      </c>
      <c r="H330" s="26">
        <f>B330&amp;I330</f>
        <v/>
      </c>
      <c r="I330" s="26" t="inlineStr">
        <is>
          <t>TEA INDIA 24/1 LBS POLYBAG</t>
        </is>
      </c>
      <c r="J330" s="26" t="inlineStr">
        <is>
          <t>PAKONA 250GMS/500GMS/1000GMS</t>
        </is>
      </c>
      <c r="K330" s="26">
        <f>J330&amp;"-"&amp;TEXT(W330,"dd-mmm-yy")</f>
        <v/>
      </c>
      <c r="L330" s="26">
        <f>IFERROR(VLOOKUP($M330,'ITEM MASTER'!E:H,4,0),"")</f>
        <v/>
      </c>
      <c r="M330" s="26">
        <f>IFERROR(VLOOKUP($I330,'ITEM MASTER'!B:E,4,0),"")</f>
        <v/>
      </c>
      <c r="N330" s="26">
        <f>IFERROR(VLOOKUP($I330,'ITEM MASTER'!B:F,5,0),0)</f>
        <v/>
      </c>
      <c r="O330" s="26">
        <f>IFERROR(VLOOKUP($M330,'TBGS PER CTN'!B:C,2,0),0)</f>
        <v/>
      </c>
      <c r="P330" s="26" t="n">
        <v>300</v>
      </c>
      <c r="Q330" s="26" t="n">
        <v>0</v>
      </c>
      <c r="R330" s="26" t="n">
        <v>0</v>
      </c>
      <c r="S330" s="26">
        <f>Q330+R330</f>
        <v/>
      </c>
      <c r="T330" s="29" t="n">
        <v>300</v>
      </c>
      <c r="U330" s="29">
        <f>N330*O330*T330</f>
        <v/>
      </c>
      <c r="V330" s="82">
        <f>IF(ISNUMBER($D330),$D330-WEEKDAY($D330,3),'ORDER VS WEEK DISTRIBUTION'!$G$500)</f>
        <v/>
      </c>
      <c r="W330" s="82">
        <f>MAX($V330,'ORDER VS WEEK DISTRIBUTION'!$G$500)</f>
        <v/>
      </c>
      <c r="X330" s="26">
        <f>IFERROR(VLOOKUP($J330,'ORDER VS WEEK DISTRIBUTION'!$T:$U,2,0),"")</f>
        <v/>
      </c>
      <c r="Y330" s="26">
        <f>IFERROR($T330/IF(IFERROR(VLOOKUP($I330,'ITEM CFC PER CONTAINER'!$A:$B,2,0),0)&gt;0,VLOOKUP($I330,'ITEM CFC PER CONTAINER'!$A:$B,2,0),VLOOKUP($X330,'MC MASTER'!$A:$Q,16,0)),"")</f>
        <v/>
      </c>
    </row>
    <row r="331" ht="15" customHeight="1" s="5">
      <c r="A331" s="26" t="inlineStr">
        <is>
          <t>Harris Freeman 1981 LLC</t>
        </is>
      </c>
      <c r="B331" s="26" t="inlineStr">
        <is>
          <t>MJIL/SO/26048108</t>
        </is>
      </c>
      <c r="C331" s="26" t="inlineStr">
        <is>
          <t>PO#120</t>
        </is>
      </c>
      <c r="D331" s="82" t="n">
        <v>46300</v>
      </c>
      <c r="E331" s="83">
        <f>IF(ISNUMBER($D331),EOMONTH($D331,-1)+1,"")</f>
        <v/>
      </c>
      <c r="F331" s="82" t="n">
        <v>46326</v>
      </c>
      <c r="G331" s="26" t="n">
        <v>32215</v>
      </c>
      <c r="H331" s="26">
        <f>B331&amp;I331</f>
        <v/>
      </c>
      <c r="I331" s="26" t="inlineStr">
        <is>
          <t>TEA INDIA 6-3 LB CTC TEA</t>
        </is>
      </c>
      <c r="J331" s="26" t="inlineStr">
        <is>
          <t>Pearl Pack-FFS POUCH</t>
        </is>
      </c>
      <c r="K331" s="26">
        <f>J331&amp;"-"&amp;TEXT(W331,"dd-mmm-yy")</f>
        <v/>
      </c>
      <c r="L331" s="26">
        <f>IFERROR(VLOOKUP($M331,'ITEM MASTER'!E:H,4,0),"")</f>
        <v/>
      </c>
      <c r="M331" s="26">
        <f>IFERROR(VLOOKUP($I331,'ITEM MASTER'!B:E,4,0),"")</f>
        <v/>
      </c>
      <c r="N331" s="26">
        <f>IFERROR(VLOOKUP($I331,'ITEM MASTER'!B:F,5,0),0)</f>
        <v/>
      </c>
      <c r="O331" s="26">
        <f>IFERROR(VLOOKUP($M331,'TBGS PER CTN'!B:C,2,0),0)</f>
        <v/>
      </c>
      <c r="P331" s="26" t="n">
        <v>500</v>
      </c>
      <c r="Q331" s="26" t="n">
        <v>0</v>
      </c>
      <c r="R331" s="26" t="n">
        <v>303</v>
      </c>
      <c r="S331" s="26">
        <f>Q331+R331</f>
        <v/>
      </c>
      <c r="T331" s="29" t="n">
        <v>197</v>
      </c>
      <c r="U331" s="29">
        <f>N331*O331*T331</f>
        <v/>
      </c>
      <c r="V331" s="82">
        <f>IF(ISNUMBER($D331),$D331-WEEKDAY($D331,3),'ORDER VS WEEK DISTRIBUTION'!$G$500)</f>
        <v/>
      </c>
      <c r="W331" s="82">
        <f>MAX($V331,'ORDER VS WEEK DISTRIBUTION'!$G$500)</f>
        <v/>
      </c>
      <c r="X331" s="26">
        <f>IFERROR(VLOOKUP($J331,'ORDER VS WEEK DISTRIBUTION'!$T:$U,2,0),"")</f>
        <v/>
      </c>
      <c r="Y331" s="26">
        <f>IFERROR($T331/IF(IFERROR(VLOOKUP($I331,'ITEM CFC PER CONTAINER'!$A:$B,2,0),0)&gt;0,VLOOKUP($I331,'ITEM CFC PER CONTAINER'!$A:$B,2,0),VLOOKUP($X331,'MC MASTER'!$A:$Q,16,0)),"")</f>
        <v/>
      </c>
    </row>
    <row r="332" ht="15" customHeight="1" s="5">
      <c r="A332" s="26" t="inlineStr">
        <is>
          <t>Harris Tea Co. -Us</t>
        </is>
      </c>
      <c r="B332" s="26" t="inlineStr">
        <is>
          <t>MJIL/SO/26043059</t>
        </is>
      </c>
      <c r="C332" s="26" t="inlineStr">
        <is>
          <t>OCT PROJECTION</t>
        </is>
      </c>
      <c r="D332" s="82" t="n">
        <v>46326</v>
      </c>
      <c r="E332" s="83">
        <f>IF(ISNUMBER($D332),EOMONTH($D332,-1)+1,"")</f>
        <v/>
      </c>
      <c r="F332" s="82" t="n">
        <v>46326</v>
      </c>
      <c r="G332" s="26" t="n">
        <v>32930</v>
      </c>
      <c r="H332" s="26">
        <f>B332&amp;I332</f>
        <v/>
      </c>
      <c r="I332" s="26" t="inlineStr">
        <is>
          <t>BREW360 32-3 OZ BLK RND ITBS COPACK</t>
        </is>
      </c>
      <c r="J332" s="26" t="inlineStr">
        <is>
          <t>BREW MAGIC</t>
        </is>
      </c>
      <c r="K332" s="26">
        <f>J332&amp;"-"&amp;TEXT(W332,"dd-mmm-yy")</f>
        <v/>
      </c>
      <c r="L332" s="26">
        <f>IFERROR(VLOOKUP($M332,'ITEM MASTER'!E:H,4,0),"")</f>
        <v/>
      </c>
      <c r="M332" s="26">
        <f>IFERROR(VLOOKUP($I332,'ITEM MASTER'!B:E,4,0),"")</f>
        <v/>
      </c>
      <c r="N332" s="26">
        <f>IFERROR(VLOOKUP($I332,'ITEM MASTER'!B:F,5,0),0)</f>
        <v/>
      </c>
      <c r="O332" s="26">
        <f>IFERROR(VLOOKUP($M332,'TBGS PER CTN'!B:C,2,0),0)</f>
        <v/>
      </c>
      <c r="P332" s="26" t="n">
        <v>300</v>
      </c>
      <c r="Q332" s="26" t="n">
        <v>0</v>
      </c>
      <c r="R332" s="26" t="n">
        <v>0</v>
      </c>
      <c r="S332" s="26">
        <f>Q332+R332</f>
        <v/>
      </c>
      <c r="T332" s="29" t="n">
        <v>300</v>
      </c>
      <c r="U332" s="29">
        <f>N332*O332*T332</f>
        <v/>
      </c>
      <c r="V332" s="82">
        <f>IF(ISNUMBER($D332),$D332-WEEKDAY($D332,3),'ORDER VS WEEK DISTRIBUTION'!$G$500)</f>
        <v/>
      </c>
      <c r="W332" s="82">
        <f>MAX($V332,'ORDER VS WEEK DISTRIBUTION'!$G$500)</f>
        <v/>
      </c>
      <c r="X332" s="26">
        <f>IFERROR(VLOOKUP($J332,'ORDER VS WEEK DISTRIBUTION'!$T:$U,2,0),"")</f>
        <v/>
      </c>
      <c r="Y332" s="26">
        <f>IFERROR($T332/IF(IFERROR(VLOOKUP($I332,'ITEM CFC PER CONTAINER'!$A:$B,2,0),0)&gt;0,VLOOKUP($I332,'ITEM CFC PER CONTAINER'!$A:$B,2,0),VLOOKUP($X332,'MC MASTER'!$A:$Q,16,0)),"")</f>
        <v/>
      </c>
    </row>
    <row r="333" ht="15" customHeight="1" s="5">
      <c r="A333" s="26" t="inlineStr">
        <is>
          <t>Harris Tea Co. -Us</t>
        </is>
      </c>
      <c r="B333" s="26" t="inlineStr">
        <is>
          <t>MJIL/SO/26043059</t>
        </is>
      </c>
      <c r="C333" s="26" t="inlineStr">
        <is>
          <t>OCT PROJECTION</t>
        </is>
      </c>
      <c r="D333" s="82" t="n">
        <v>46326</v>
      </c>
      <c r="E333" s="83">
        <f>IF(ISNUMBER($D333),EOMONTH($D333,-1)+1,"")</f>
        <v/>
      </c>
      <c r="F333" s="82" t="n">
        <v>46326</v>
      </c>
      <c r="G333" s="26" t="n">
        <v>23786</v>
      </c>
      <c r="H333" s="26">
        <f>B333&amp;I333</f>
        <v/>
      </c>
      <c r="I333" s="26" t="inlineStr">
        <is>
          <t>KEEFE 10/100 SC ENV TBGS</t>
        </is>
      </c>
      <c r="J333" s="26" t="inlineStr">
        <is>
          <t>MAISA ENV</t>
        </is>
      </c>
      <c r="K333" s="26">
        <f>J333&amp;"-"&amp;TEXT(W333,"dd-mmm-yy")</f>
        <v/>
      </c>
      <c r="L333" s="26">
        <f>IFERROR(VLOOKUP($M333,'ITEM MASTER'!E:H,4,0),"")</f>
        <v/>
      </c>
      <c r="M333" s="26">
        <f>IFERROR(VLOOKUP($I333,'ITEM MASTER'!B:E,4,0),"")</f>
        <v/>
      </c>
      <c r="N333" s="26">
        <f>IFERROR(VLOOKUP($I333,'ITEM MASTER'!B:F,5,0),0)</f>
        <v/>
      </c>
      <c r="O333" s="26">
        <f>IFERROR(VLOOKUP($M333,'TBGS PER CTN'!B:C,2,0),0)</f>
        <v/>
      </c>
      <c r="P333" s="26" t="n">
        <v>111</v>
      </c>
      <c r="Q333" s="26" t="n">
        <v>0</v>
      </c>
      <c r="R333" s="26" t="n">
        <v>111</v>
      </c>
      <c r="S333" s="26">
        <f>Q333+R333</f>
        <v/>
      </c>
      <c r="T333" s="29" t="n">
        <v>0</v>
      </c>
      <c r="U333" s="29">
        <f>N333*O333*T333</f>
        <v/>
      </c>
      <c r="V333" s="82">
        <f>IF(ISNUMBER($D333),$D333-WEEKDAY($D333,3),'ORDER VS WEEK DISTRIBUTION'!$G$500)</f>
        <v/>
      </c>
      <c r="W333" s="82">
        <f>MAX($V333,'ORDER VS WEEK DISTRIBUTION'!$G$500)</f>
        <v/>
      </c>
      <c r="X333" s="26">
        <f>IFERROR(VLOOKUP($J333,'ORDER VS WEEK DISTRIBUTION'!$T:$U,2,0),"")</f>
        <v/>
      </c>
      <c r="Y333" s="26">
        <f>IFERROR($T333/IF(IFERROR(VLOOKUP($I333,'ITEM CFC PER CONTAINER'!$A:$B,2,0),0)&gt;0,VLOOKUP($I333,'ITEM CFC PER CONTAINER'!$A:$B,2,0),VLOOKUP($X333,'MC MASTER'!$A:$Q,16,0)),"")</f>
        <v/>
      </c>
    </row>
    <row r="334" ht="15" customHeight="1" s="5">
      <c r="A334" s="26" t="inlineStr">
        <is>
          <t>Harris Tea Co. -Us</t>
        </is>
      </c>
      <c r="B334" s="26" t="inlineStr">
        <is>
          <t>MJIL/SO/26043059</t>
        </is>
      </c>
      <c r="C334" s="26" t="inlineStr">
        <is>
          <t>OCT PROJECTION</t>
        </is>
      </c>
      <c r="D334" s="82" t="n">
        <v>46326</v>
      </c>
      <c r="E334" s="83">
        <f>IF(ISNUMBER($D334),EOMONTH($D334,-1)+1,"")</f>
        <v/>
      </c>
      <c r="F334" s="82" t="n">
        <v>46326</v>
      </c>
      <c r="G334" s="26" t="n">
        <v>23604</v>
      </c>
      <c r="H334" s="26">
        <f>B334&amp;I334</f>
        <v/>
      </c>
      <c r="I334" s="26" t="inlineStr">
        <is>
          <t>KEEFE 24/48 SC ENV TBGS</t>
        </is>
      </c>
      <c r="J334" s="26" t="inlineStr">
        <is>
          <t>MAISA ENV</t>
        </is>
      </c>
      <c r="K334" s="26">
        <f>J334&amp;"-"&amp;TEXT(W334,"dd-mmm-yy")</f>
        <v/>
      </c>
      <c r="L334" s="26">
        <f>IFERROR(VLOOKUP($M334,'ITEM MASTER'!E:H,4,0),"")</f>
        <v/>
      </c>
      <c r="M334" s="26">
        <f>IFERROR(VLOOKUP($I334,'ITEM MASTER'!B:E,4,0),"")</f>
        <v/>
      </c>
      <c r="N334" s="26">
        <f>IFERROR(VLOOKUP($I334,'ITEM MASTER'!B:F,5,0),0)</f>
        <v/>
      </c>
      <c r="O334" s="26">
        <f>IFERROR(VLOOKUP($M334,'TBGS PER CTN'!B:C,2,0),0)</f>
        <v/>
      </c>
      <c r="P334" s="26" t="n">
        <v>711</v>
      </c>
      <c r="Q334" s="26" t="n">
        <v>0</v>
      </c>
      <c r="R334" s="26" t="n">
        <v>0</v>
      </c>
      <c r="S334" s="26">
        <f>Q334+R334</f>
        <v/>
      </c>
      <c r="T334" s="29" t="n">
        <v>711</v>
      </c>
      <c r="U334" s="29">
        <f>N334*O334*T334</f>
        <v/>
      </c>
      <c r="V334" s="82">
        <f>IF(ISNUMBER($D334),$D334-WEEKDAY($D334,3),'ORDER VS WEEK DISTRIBUTION'!$G$500)</f>
        <v/>
      </c>
      <c r="W334" s="82">
        <f>MAX($V334,'ORDER VS WEEK DISTRIBUTION'!$G$500)</f>
        <v/>
      </c>
      <c r="X334" s="26">
        <f>IFERROR(VLOOKUP($J334,'ORDER VS WEEK DISTRIBUTION'!$T:$U,2,0),"")</f>
        <v/>
      </c>
      <c r="Y334" s="26">
        <f>IFERROR($T334/IF(IFERROR(VLOOKUP($I334,'ITEM CFC PER CONTAINER'!$A:$B,2,0),0)&gt;0,VLOOKUP($I334,'ITEM CFC PER CONTAINER'!$A:$B,2,0),VLOOKUP($X334,'MC MASTER'!$A:$Q,16,0)),"")</f>
        <v/>
      </c>
    </row>
    <row r="335" ht="15" customHeight="1" s="5">
      <c r="A335" s="26" t="inlineStr">
        <is>
          <t>Harris Tea Co. -Us</t>
        </is>
      </c>
      <c r="B335" s="26" t="inlineStr">
        <is>
          <t>MJIL/SO/26043059</t>
        </is>
      </c>
      <c r="C335" s="26" t="inlineStr">
        <is>
          <t>OCT PROJECTION</t>
        </is>
      </c>
      <c r="D335" s="82" t="n">
        <v>46326</v>
      </c>
      <c r="E335" s="83">
        <f>IF(ISNUMBER($D335),EOMONTH($D335,-1)+1,"")</f>
        <v/>
      </c>
      <c r="F335" s="82" t="n">
        <v>46326</v>
      </c>
      <c r="G335" s="26" t="n">
        <v>23760</v>
      </c>
      <c r="H335" s="26">
        <f>B335&amp;I335</f>
        <v/>
      </c>
      <c r="I335" s="26" t="inlineStr">
        <is>
          <t>SPROUTS FARMERS MARKET ORGANIC GREEN TEA 12/100 SC ENV TBGS</t>
        </is>
      </c>
      <c r="J335" s="26" t="inlineStr">
        <is>
          <t>MAISA ENV</t>
        </is>
      </c>
      <c r="K335" s="26">
        <f>J335&amp;"-"&amp;TEXT(W335,"dd-mmm-yy")</f>
        <v/>
      </c>
      <c r="L335" s="26">
        <f>IFERROR(VLOOKUP($M335,'ITEM MASTER'!E:H,4,0),"")</f>
        <v/>
      </c>
      <c r="M335" s="26">
        <f>IFERROR(VLOOKUP($I335,'ITEM MASTER'!B:E,4,0),"")</f>
        <v/>
      </c>
      <c r="N335" s="26">
        <f>IFERROR(VLOOKUP($I335,'ITEM MASTER'!B:F,5,0),0)</f>
        <v/>
      </c>
      <c r="O335" s="26">
        <f>IFERROR(VLOOKUP($M335,'TBGS PER CTN'!B:C,2,0),0)</f>
        <v/>
      </c>
      <c r="P335" s="26" t="n">
        <v>900</v>
      </c>
      <c r="Q335" s="26" t="n">
        <v>0</v>
      </c>
      <c r="R335" s="26" t="n">
        <v>0</v>
      </c>
      <c r="S335" s="26">
        <f>Q335+R335</f>
        <v/>
      </c>
      <c r="T335" s="29" t="n">
        <v>900</v>
      </c>
      <c r="U335" s="29">
        <f>N335*O335*T335</f>
        <v/>
      </c>
      <c r="V335" s="82">
        <f>IF(ISNUMBER($D335),$D335-WEEKDAY($D335,3),'ORDER VS WEEK DISTRIBUTION'!$G$500)</f>
        <v/>
      </c>
      <c r="W335" s="82">
        <f>MAX($V335,'ORDER VS WEEK DISTRIBUTION'!$G$500)</f>
        <v/>
      </c>
      <c r="X335" s="26">
        <f>IFERROR(VLOOKUP($J335,'ORDER VS WEEK DISTRIBUTION'!$T:$U,2,0),"")</f>
        <v/>
      </c>
      <c r="Y335" s="26">
        <f>IFERROR($T335/IF(IFERROR(VLOOKUP($I335,'ITEM CFC PER CONTAINER'!$A:$B,2,0),0)&gt;0,VLOOKUP($I335,'ITEM CFC PER CONTAINER'!$A:$B,2,0),VLOOKUP($X335,'MC MASTER'!$A:$Q,16,0)),"")</f>
        <v/>
      </c>
    </row>
    <row r="336" ht="15" customHeight="1" s="5">
      <c r="A336" s="26" t="inlineStr">
        <is>
          <t>Harris Tea Co. -Us</t>
        </is>
      </c>
      <c r="B336" s="26" t="inlineStr">
        <is>
          <t>MJIL/SO/26043059</t>
        </is>
      </c>
      <c r="C336" s="26" t="inlineStr">
        <is>
          <t>OCT PROJECTION</t>
        </is>
      </c>
      <c r="D336" s="82" t="n">
        <v>46326</v>
      </c>
      <c r="E336" s="83">
        <f>IF(ISNUMBER($D336),EOMONTH($D336,-1)+1,"")</f>
        <v/>
      </c>
      <c r="F336" s="82" t="n">
        <v>46326</v>
      </c>
      <c r="G336" s="26" t="n">
        <v>23758</v>
      </c>
      <c r="H336" s="26">
        <f>B336&amp;I336</f>
        <v/>
      </c>
      <c r="I336" s="26" t="inlineStr">
        <is>
          <t>SPROUTS FARMERS MARKET ORGANIC BLACK TEA 12/100 SC ENV TBGS</t>
        </is>
      </c>
      <c r="J336" s="26" t="inlineStr">
        <is>
          <t>MAISA ENV</t>
        </is>
      </c>
      <c r="K336" s="26">
        <f>J336&amp;"-"&amp;TEXT(W336,"dd-mmm-yy")</f>
        <v/>
      </c>
      <c r="L336" s="26">
        <f>IFERROR(VLOOKUP($M336,'ITEM MASTER'!E:H,4,0),"")</f>
        <v/>
      </c>
      <c r="M336" s="26">
        <f>IFERROR(VLOOKUP($I336,'ITEM MASTER'!B:E,4,0),"")</f>
        <v/>
      </c>
      <c r="N336" s="26">
        <f>IFERROR(VLOOKUP($I336,'ITEM MASTER'!B:F,5,0),0)</f>
        <v/>
      </c>
      <c r="O336" s="26">
        <f>IFERROR(VLOOKUP($M336,'TBGS PER CTN'!B:C,2,0),0)</f>
        <v/>
      </c>
      <c r="P336" s="26" t="n">
        <v>254</v>
      </c>
      <c r="Q336" s="26" t="n">
        <v>0</v>
      </c>
      <c r="R336" s="26" t="n">
        <v>31</v>
      </c>
      <c r="S336" s="26">
        <f>Q336+R336</f>
        <v/>
      </c>
      <c r="T336" s="29" t="n">
        <v>223</v>
      </c>
      <c r="U336" s="29">
        <f>N336*O336*T336</f>
        <v/>
      </c>
      <c r="V336" s="82">
        <f>IF(ISNUMBER($D336),$D336-WEEKDAY($D336,3),'ORDER VS WEEK DISTRIBUTION'!$G$500)</f>
        <v/>
      </c>
      <c r="W336" s="82">
        <f>MAX($V336,'ORDER VS WEEK DISTRIBUTION'!$G$500)</f>
        <v/>
      </c>
      <c r="X336" s="26">
        <f>IFERROR(VLOOKUP($J336,'ORDER VS WEEK DISTRIBUTION'!$T:$U,2,0),"")</f>
        <v/>
      </c>
      <c r="Y336" s="26">
        <f>IFERROR($T336/IF(IFERROR(VLOOKUP($I336,'ITEM CFC PER CONTAINER'!$A:$B,2,0),0)&gt;0,VLOOKUP($I336,'ITEM CFC PER CONTAINER'!$A:$B,2,0),VLOOKUP($X336,'MC MASTER'!$A:$Q,16,0)),"")</f>
        <v/>
      </c>
    </row>
    <row r="337" ht="15" customHeight="1" s="5">
      <c r="A337" s="26" t="inlineStr">
        <is>
          <t>Harris Tea Co. -Us</t>
        </is>
      </c>
      <c r="B337" s="26" t="inlineStr">
        <is>
          <t>MJIL/SO/26043059</t>
        </is>
      </c>
      <c r="C337" s="26" t="inlineStr">
        <is>
          <t>OCT PROJECTION</t>
        </is>
      </c>
      <c r="D337" s="82" t="n">
        <v>46326</v>
      </c>
      <c r="E337" s="83">
        <f>IF(ISNUMBER($D337),EOMONTH($D337,-1)+1,"")</f>
        <v/>
      </c>
      <c r="F337" s="82" t="n">
        <v>46326</v>
      </c>
      <c r="G337" s="26" t="n">
        <v>23224</v>
      </c>
      <c r="H337" s="26">
        <f>B337&amp;I337</f>
        <v/>
      </c>
      <c r="I337" s="26" t="inlineStr">
        <is>
          <t>TRSCO 32-3 OZ AB RND RFA ITBS</t>
        </is>
      </c>
      <c r="J337" s="26" t="inlineStr">
        <is>
          <t>BREW MAGIC</t>
        </is>
      </c>
      <c r="K337" s="26">
        <f>J337&amp;"-"&amp;TEXT(W337,"dd-mmm-yy")</f>
        <v/>
      </c>
      <c r="L337" s="26">
        <f>IFERROR(VLOOKUP($M337,'ITEM MASTER'!E:H,4,0),"")</f>
        <v/>
      </c>
      <c r="M337" s="26">
        <f>IFERROR(VLOOKUP($I337,'ITEM MASTER'!B:E,4,0),"")</f>
        <v/>
      </c>
      <c r="N337" s="26">
        <f>IFERROR(VLOOKUP($I337,'ITEM MASTER'!B:F,5,0),0)</f>
        <v/>
      </c>
      <c r="O337" s="26">
        <f>IFERROR(VLOOKUP($M337,'TBGS PER CTN'!B:C,2,0),0)</f>
        <v/>
      </c>
      <c r="P337" s="26" t="n">
        <v>613</v>
      </c>
      <c r="Q337" s="26" t="n">
        <v>0</v>
      </c>
      <c r="R337" s="26" t="n">
        <v>0</v>
      </c>
      <c r="S337" s="26">
        <f>Q337+R337</f>
        <v/>
      </c>
      <c r="T337" s="29" t="n">
        <v>613</v>
      </c>
      <c r="U337" s="29">
        <f>N337*O337*T337</f>
        <v/>
      </c>
      <c r="V337" s="82">
        <f>IF(ISNUMBER($D337),$D337-WEEKDAY($D337,3),'ORDER VS WEEK DISTRIBUTION'!$G$500)</f>
        <v/>
      </c>
      <c r="W337" s="82">
        <f>MAX($V337,'ORDER VS WEEK DISTRIBUTION'!$G$500)</f>
        <v/>
      </c>
      <c r="X337" s="26">
        <f>IFERROR(VLOOKUP($J337,'ORDER VS WEEK DISTRIBUTION'!$T:$U,2,0),"")</f>
        <v/>
      </c>
      <c r="Y337" s="26">
        <f>IFERROR($T337/IF(IFERROR(VLOOKUP($I337,'ITEM CFC PER CONTAINER'!$A:$B,2,0),0)&gt;0,VLOOKUP($I337,'ITEM CFC PER CONTAINER'!$A:$B,2,0),VLOOKUP($X337,'MC MASTER'!$A:$Q,16,0)),"")</f>
        <v/>
      </c>
    </row>
    <row r="338" ht="15" customHeight="1" s="5">
      <c r="A338" s="26" t="inlineStr">
        <is>
          <t>Saran Enterprises Ltd.</t>
        </is>
      </c>
      <c r="B338" s="26" t="inlineStr">
        <is>
          <t>MJIL/SO/26046409</t>
        </is>
      </c>
      <c r="C338" s="26" t="inlineStr">
        <is>
          <t>PO 31082026/01 - JUMBO</t>
        </is>
      </c>
      <c r="D338" s="82" t="n">
        <v>46328</v>
      </c>
      <c r="E338" s="83">
        <f>IF(ISNUMBER($D338),EOMONTH($D338,-1)+1,"")</f>
        <v/>
      </c>
      <c r="F338" s="82" t="n">
        <v>46328</v>
      </c>
      <c r="G338" s="26" t="n">
        <v>5523</v>
      </c>
      <c r="H338" s="26">
        <f>B338&amp;I338</f>
        <v/>
      </c>
      <c r="I338" s="26" t="inlineStr">
        <is>
          <t>JUMBO GREEN TEA CRANBERRY 12/20 DC SF ENV TBGS</t>
        </is>
      </c>
      <c r="J338" s="26" t="inlineStr">
        <is>
          <t>C250</t>
        </is>
      </c>
      <c r="K338" s="26">
        <f>J338&amp;"-"&amp;TEXT(W338,"dd-mmm-yy")</f>
        <v/>
      </c>
      <c r="L338" s="26">
        <f>IFERROR(VLOOKUP($M338,'ITEM MASTER'!E:H,4,0),"")</f>
        <v/>
      </c>
      <c r="M338" s="26">
        <f>IFERROR(VLOOKUP($I338,'ITEM MASTER'!B:E,4,0),"")</f>
        <v/>
      </c>
      <c r="N338" s="26">
        <f>IFERROR(VLOOKUP($I338,'ITEM MASTER'!B:F,5,0),0)</f>
        <v/>
      </c>
      <c r="O338" s="26">
        <f>IFERROR(VLOOKUP($M338,'TBGS PER CTN'!B:C,2,0),0)</f>
        <v/>
      </c>
      <c r="P338" s="26" t="n">
        <v>480</v>
      </c>
      <c r="Q338" s="26" t="n">
        <v>0</v>
      </c>
      <c r="R338" s="26" t="n">
        <v>0</v>
      </c>
      <c r="S338" s="26">
        <f>Q338+R338</f>
        <v/>
      </c>
      <c r="T338" s="29" t="n">
        <v>480</v>
      </c>
      <c r="U338" s="29">
        <f>N338*O338*T338</f>
        <v/>
      </c>
      <c r="V338" s="82">
        <f>IF(ISNUMBER($D338),$D338-WEEKDAY($D338,3),'ORDER VS WEEK DISTRIBUTION'!$G$500)</f>
        <v/>
      </c>
      <c r="W338" s="82">
        <f>MAX($V338,'ORDER VS WEEK DISTRIBUTION'!$G$500)</f>
        <v/>
      </c>
      <c r="X338" s="26">
        <f>IFERROR(VLOOKUP($J338,'ORDER VS WEEK DISTRIBUTION'!$T:$U,2,0),"")</f>
        <v/>
      </c>
      <c r="Y338" s="26">
        <f>IFERROR($T338/IF(IFERROR(VLOOKUP($I338,'ITEM CFC PER CONTAINER'!$A:$B,2,0),0)&gt;0,VLOOKUP($I338,'ITEM CFC PER CONTAINER'!$A:$B,2,0),VLOOKUP($X338,'MC MASTER'!$A:$Q,16,0)),"")</f>
        <v/>
      </c>
    </row>
    <row r="339" ht="15" customHeight="1" s="5">
      <c r="A339" s="26" t="inlineStr">
        <is>
          <t>Saran Enterprises Ltd.</t>
        </is>
      </c>
      <c r="B339" s="26" t="inlineStr">
        <is>
          <t>MJIL/SO/26046409</t>
        </is>
      </c>
      <c r="C339" s="26" t="inlineStr">
        <is>
          <t>PO 31082026/01 - JUMBO</t>
        </is>
      </c>
      <c r="D339" s="82" t="n">
        <v>46328</v>
      </c>
      <c r="E339" s="83">
        <f>IF(ISNUMBER($D339),EOMONTH($D339,-1)+1,"")</f>
        <v/>
      </c>
      <c r="F339" s="82" t="n">
        <v>46328</v>
      </c>
      <c r="G339" s="26" t="n">
        <v>5524</v>
      </c>
      <c r="H339" s="26">
        <f>B339&amp;I339</f>
        <v/>
      </c>
      <c r="I339" s="26" t="inlineStr">
        <is>
          <t>JUMBO GREEN TEA GINGER 12/20 DC SF ENV TBGS</t>
        </is>
      </c>
      <c r="J339" s="26" t="inlineStr">
        <is>
          <t>C250</t>
        </is>
      </c>
      <c r="K339" s="26">
        <f>J339&amp;"-"&amp;TEXT(W339,"dd-mmm-yy")</f>
        <v/>
      </c>
      <c r="L339" s="26">
        <f>IFERROR(VLOOKUP($M339,'ITEM MASTER'!E:H,4,0),"")</f>
        <v/>
      </c>
      <c r="M339" s="26">
        <f>IFERROR(VLOOKUP($I339,'ITEM MASTER'!B:E,4,0),"")</f>
        <v/>
      </c>
      <c r="N339" s="26">
        <f>IFERROR(VLOOKUP($I339,'ITEM MASTER'!B:F,5,0),0)</f>
        <v/>
      </c>
      <c r="O339" s="26">
        <f>IFERROR(VLOOKUP($M339,'TBGS PER CTN'!B:C,2,0),0)</f>
        <v/>
      </c>
      <c r="P339" s="26" t="n">
        <v>840</v>
      </c>
      <c r="Q339" s="26" t="n">
        <v>240</v>
      </c>
      <c r="R339" s="26" t="n">
        <v>600</v>
      </c>
      <c r="S339" s="26">
        <f>Q339+R339</f>
        <v/>
      </c>
      <c r="T339" s="29" t="n">
        <v>0</v>
      </c>
      <c r="U339" s="29">
        <f>N339*O339*T339</f>
        <v/>
      </c>
      <c r="V339" s="82">
        <f>IF(ISNUMBER($D339),$D339-WEEKDAY($D339,3),'ORDER VS WEEK DISTRIBUTION'!$G$500)</f>
        <v/>
      </c>
      <c r="W339" s="82">
        <f>MAX($V339,'ORDER VS WEEK DISTRIBUTION'!$G$500)</f>
        <v/>
      </c>
      <c r="X339" s="26">
        <f>IFERROR(VLOOKUP($J339,'ORDER VS WEEK DISTRIBUTION'!$T:$U,2,0),"")</f>
        <v/>
      </c>
      <c r="Y339" s="26">
        <f>IFERROR($T339/IF(IFERROR(VLOOKUP($I339,'ITEM CFC PER CONTAINER'!$A:$B,2,0),0)&gt;0,VLOOKUP($I339,'ITEM CFC PER CONTAINER'!$A:$B,2,0),VLOOKUP($X339,'MC MASTER'!$A:$Q,16,0)),"")</f>
        <v/>
      </c>
    </row>
    <row r="340" ht="15" customHeight="1" s="5">
      <c r="A340" s="26" t="inlineStr">
        <is>
          <t>Saran Enterprises Ltd.</t>
        </is>
      </c>
      <c r="B340" s="26" t="inlineStr">
        <is>
          <t>MJIL/SO/26046409</t>
        </is>
      </c>
      <c r="C340" s="26" t="inlineStr">
        <is>
          <t>PO 31082026/01 - JUMBO</t>
        </is>
      </c>
      <c r="D340" s="82" t="n">
        <v>46328</v>
      </c>
      <c r="E340" s="83">
        <f>IF(ISNUMBER($D340),EOMONTH($D340,-1)+1,"")</f>
        <v/>
      </c>
      <c r="F340" s="82" t="n">
        <v>46328</v>
      </c>
      <c r="G340" s="26" t="n">
        <v>5525</v>
      </c>
      <c r="H340" s="26">
        <f>B340&amp;I340</f>
        <v/>
      </c>
      <c r="I340" s="26" t="inlineStr">
        <is>
          <t>JUMBO GREEN TEA MINT 12/20 DC SF ENV TBGS</t>
        </is>
      </c>
      <c r="J340" s="26" t="inlineStr">
        <is>
          <t>C250</t>
        </is>
      </c>
      <c r="K340" s="26">
        <f>J340&amp;"-"&amp;TEXT(W340,"dd-mmm-yy")</f>
        <v/>
      </c>
      <c r="L340" s="26">
        <f>IFERROR(VLOOKUP($M340,'ITEM MASTER'!E:H,4,0),"")</f>
        <v/>
      </c>
      <c r="M340" s="26">
        <f>IFERROR(VLOOKUP($I340,'ITEM MASTER'!B:E,4,0),"")</f>
        <v/>
      </c>
      <c r="N340" s="26">
        <f>IFERROR(VLOOKUP($I340,'ITEM MASTER'!B:F,5,0),0)</f>
        <v/>
      </c>
      <c r="O340" s="26">
        <f>IFERROR(VLOOKUP($M340,'TBGS PER CTN'!B:C,2,0),0)</f>
        <v/>
      </c>
      <c r="P340" s="26" t="n">
        <v>600</v>
      </c>
      <c r="Q340" s="26" t="n">
        <v>0</v>
      </c>
      <c r="R340" s="26" t="n">
        <v>76</v>
      </c>
      <c r="S340" s="26">
        <f>Q340+R340</f>
        <v/>
      </c>
      <c r="T340" s="29" t="n">
        <v>524</v>
      </c>
      <c r="U340" s="29">
        <f>N340*O340*T340</f>
        <v/>
      </c>
      <c r="V340" s="82">
        <f>IF(ISNUMBER($D340),$D340-WEEKDAY($D340,3),'ORDER VS WEEK DISTRIBUTION'!$G$500)</f>
        <v/>
      </c>
      <c r="W340" s="82">
        <f>MAX($V340,'ORDER VS WEEK DISTRIBUTION'!$G$500)</f>
        <v/>
      </c>
      <c r="X340" s="26">
        <f>IFERROR(VLOOKUP($J340,'ORDER VS WEEK DISTRIBUTION'!$T:$U,2,0),"")</f>
        <v/>
      </c>
      <c r="Y340" s="26">
        <f>IFERROR($T340/IF(IFERROR(VLOOKUP($I340,'ITEM CFC PER CONTAINER'!$A:$B,2,0),0)&gt;0,VLOOKUP($I340,'ITEM CFC PER CONTAINER'!$A:$B,2,0),VLOOKUP($X340,'MC MASTER'!$A:$Q,16,0)),"")</f>
        <v/>
      </c>
    </row>
    <row r="341" ht="15" customHeight="1" s="5">
      <c r="A341" s="26" t="inlineStr">
        <is>
          <t>Saran Enterprises Ltd.</t>
        </is>
      </c>
      <c r="B341" s="26" t="inlineStr">
        <is>
          <t>MJIL/SO/26046409</t>
        </is>
      </c>
      <c r="C341" s="26" t="inlineStr">
        <is>
          <t>PO 31082026/01 - JUMBO</t>
        </is>
      </c>
      <c r="D341" s="82" t="n">
        <v>46328</v>
      </c>
      <c r="E341" s="83">
        <f>IF(ISNUMBER($D341),EOMONTH($D341,-1)+1,"")</f>
        <v/>
      </c>
      <c r="F341" s="82" t="n">
        <v>46328</v>
      </c>
      <c r="G341" s="26" t="n">
        <v>5526</v>
      </c>
      <c r="H341" s="26">
        <f>B341&amp;I341</f>
        <v/>
      </c>
      <c r="I341" s="26" t="inlineStr">
        <is>
          <t>JUMBO GREEN TEA PURE ORIGINAL 12/20 DC SF ENV TBGS</t>
        </is>
      </c>
      <c r="J341" s="26" t="inlineStr">
        <is>
          <t>C250</t>
        </is>
      </c>
      <c r="K341" s="26">
        <f>J341&amp;"-"&amp;TEXT(W341,"dd-mmm-yy")</f>
        <v/>
      </c>
      <c r="L341" s="26">
        <f>IFERROR(VLOOKUP($M341,'ITEM MASTER'!E:H,4,0),"")</f>
        <v/>
      </c>
      <c r="M341" s="26">
        <f>IFERROR(VLOOKUP($I341,'ITEM MASTER'!B:E,4,0),"")</f>
        <v/>
      </c>
      <c r="N341" s="26">
        <f>IFERROR(VLOOKUP($I341,'ITEM MASTER'!B:F,5,0),0)</f>
        <v/>
      </c>
      <c r="O341" s="26">
        <f>IFERROR(VLOOKUP($M341,'TBGS PER CTN'!B:C,2,0),0)</f>
        <v/>
      </c>
      <c r="P341" s="26" t="n">
        <v>480</v>
      </c>
      <c r="Q341" s="26" t="n">
        <v>0</v>
      </c>
      <c r="R341" s="26" t="n">
        <v>425</v>
      </c>
      <c r="S341" s="26">
        <f>Q341+R341</f>
        <v/>
      </c>
      <c r="T341" s="29" t="n">
        <v>55</v>
      </c>
      <c r="U341" s="29">
        <f>N341*O341*T341</f>
        <v/>
      </c>
      <c r="V341" s="82">
        <f>IF(ISNUMBER($D341),$D341-WEEKDAY($D341,3),'ORDER VS WEEK DISTRIBUTION'!$G$500)</f>
        <v/>
      </c>
      <c r="W341" s="82">
        <f>MAX($V341,'ORDER VS WEEK DISTRIBUTION'!$G$500)</f>
        <v/>
      </c>
      <c r="X341" s="26">
        <f>IFERROR(VLOOKUP($J341,'ORDER VS WEEK DISTRIBUTION'!$T:$U,2,0),"")</f>
        <v/>
      </c>
      <c r="Y341" s="26">
        <f>IFERROR($T341/IF(IFERROR(VLOOKUP($I341,'ITEM CFC PER CONTAINER'!$A:$B,2,0),0)&gt;0,VLOOKUP($I341,'ITEM CFC PER CONTAINER'!$A:$B,2,0),VLOOKUP($X341,'MC MASTER'!$A:$Q,16,0)),"")</f>
        <v/>
      </c>
    </row>
    <row r="342" ht="15" customHeight="1" s="5">
      <c r="A342" s="26" t="inlineStr">
        <is>
          <t>Saran Enterprises Ltd.</t>
        </is>
      </c>
      <c r="B342" s="26" t="inlineStr">
        <is>
          <t>MJIL/SO/26046409</t>
        </is>
      </c>
      <c r="C342" s="26" t="inlineStr">
        <is>
          <t>PO 31082026/01 - JUMBO</t>
        </is>
      </c>
      <c r="D342" s="82" t="n">
        <v>46328</v>
      </c>
      <c r="E342" s="83">
        <f>IF(ISNUMBER($D342),EOMONTH($D342,-1)+1,"")</f>
        <v/>
      </c>
      <c r="F342" s="82" t="n">
        <v>46328</v>
      </c>
      <c r="G342" s="26" t="n">
        <v>5532</v>
      </c>
      <c r="H342" s="26">
        <f>B342&amp;I342</f>
        <v/>
      </c>
      <c r="I342" s="26" t="inlineStr">
        <is>
          <t>JUMBO ROOIBOS HONEY 12/20 DC SF ENV TBGS</t>
        </is>
      </c>
      <c r="J342" s="26" t="inlineStr">
        <is>
          <t>MD20 ENV</t>
        </is>
      </c>
      <c r="K342" s="26">
        <f>J342&amp;"-"&amp;TEXT(W342,"dd-mmm-yy")</f>
        <v/>
      </c>
      <c r="L342" s="26">
        <f>IFERROR(VLOOKUP($M342,'ITEM MASTER'!E:H,4,0),"")</f>
        <v/>
      </c>
      <c r="M342" s="26">
        <f>IFERROR(VLOOKUP($I342,'ITEM MASTER'!B:E,4,0),"")</f>
        <v/>
      </c>
      <c r="N342" s="26">
        <f>IFERROR(VLOOKUP($I342,'ITEM MASTER'!B:F,5,0),0)</f>
        <v/>
      </c>
      <c r="O342" s="26">
        <f>IFERROR(VLOOKUP($M342,'TBGS PER CTN'!B:C,2,0),0)</f>
        <v/>
      </c>
      <c r="P342" s="26" t="n">
        <v>480</v>
      </c>
      <c r="Q342" s="26" t="n">
        <v>0</v>
      </c>
      <c r="R342" s="26" t="n">
        <v>120</v>
      </c>
      <c r="S342" s="26">
        <f>Q342+R342</f>
        <v/>
      </c>
      <c r="T342" s="29" t="n">
        <v>360</v>
      </c>
      <c r="U342" s="29">
        <f>N342*O342*T342</f>
        <v/>
      </c>
      <c r="V342" s="82">
        <f>IF(ISNUMBER($D342),$D342-WEEKDAY($D342,3),'ORDER VS WEEK DISTRIBUTION'!$G$500)</f>
        <v/>
      </c>
      <c r="W342" s="82">
        <f>MAX($V342,'ORDER VS WEEK DISTRIBUTION'!$G$500)</f>
        <v/>
      </c>
      <c r="X342" s="26">
        <f>IFERROR(VLOOKUP($J342,'ORDER VS WEEK DISTRIBUTION'!$T:$U,2,0),"")</f>
        <v/>
      </c>
      <c r="Y342" s="26">
        <f>IFERROR($T342/IF(IFERROR(VLOOKUP($I342,'ITEM CFC PER CONTAINER'!$A:$B,2,0),0)&gt;0,VLOOKUP($I342,'ITEM CFC PER CONTAINER'!$A:$B,2,0),VLOOKUP($X342,'MC MASTER'!$A:$Q,16,0)),"")</f>
        <v/>
      </c>
    </row>
    <row r="343" ht="15" customHeight="1" s="5">
      <c r="A343" s="26" t="inlineStr">
        <is>
          <t>Saran Enterprises Ltd.</t>
        </is>
      </c>
      <c r="B343" s="26" t="inlineStr">
        <is>
          <t>MJIL/SO/26046409</t>
        </is>
      </c>
      <c r="C343" s="26" t="inlineStr">
        <is>
          <t>PO 31082026/01 - JUMBO</t>
        </is>
      </c>
      <c r="D343" s="82" t="n">
        <v>46328</v>
      </c>
      <c r="E343" s="83">
        <f>IF(ISNUMBER($D343),EOMONTH($D343,-1)+1,"")</f>
        <v/>
      </c>
      <c r="F343" s="82" t="n">
        <v>46328</v>
      </c>
      <c r="G343" s="26" t="n">
        <v>5534</v>
      </c>
      <c r="H343" s="26">
        <f>B343&amp;I343</f>
        <v/>
      </c>
      <c r="I343" s="26" t="inlineStr">
        <is>
          <t>JUMBO ROOIBOS ORIGINAL 12/20 DC SF ENV TBGS</t>
        </is>
      </c>
      <c r="J343" s="26" t="inlineStr">
        <is>
          <t>MD20 ENV</t>
        </is>
      </c>
      <c r="K343" s="26">
        <f>J343&amp;"-"&amp;TEXT(W343,"dd-mmm-yy")</f>
        <v/>
      </c>
      <c r="L343" s="26">
        <f>IFERROR(VLOOKUP($M343,'ITEM MASTER'!E:H,4,0),"")</f>
        <v/>
      </c>
      <c r="M343" s="26">
        <f>IFERROR(VLOOKUP($I343,'ITEM MASTER'!B:E,4,0),"")</f>
        <v/>
      </c>
      <c r="N343" s="26">
        <f>IFERROR(VLOOKUP($I343,'ITEM MASTER'!B:F,5,0),0)</f>
        <v/>
      </c>
      <c r="O343" s="26">
        <f>IFERROR(VLOOKUP($M343,'TBGS PER CTN'!B:C,2,0),0)</f>
        <v/>
      </c>
      <c r="P343" s="26" t="n">
        <v>480</v>
      </c>
      <c r="Q343" s="26" t="n">
        <v>0</v>
      </c>
      <c r="R343" s="26" t="n">
        <v>0</v>
      </c>
      <c r="S343" s="26">
        <f>Q343+R343</f>
        <v/>
      </c>
      <c r="T343" s="29" t="n">
        <v>480</v>
      </c>
      <c r="U343" s="29">
        <f>N343*O343*T343</f>
        <v/>
      </c>
      <c r="V343" s="82">
        <f>IF(ISNUMBER($D343),$D343-WEEKDAY($D343,3),'ORDER VS WEEK DISTRIBUTION'!$G$500)</f>
        <v/>
      </c>
      <c r="W343" s="82">
        <f>MAX($V343,'ORDER VS WEEK DISTRIBUTION'!$G$500)</f>
        <v/>
      </c>
      <c r="X343" s="26">
        <f>IFERROR(VLOOKUP($J343,'ORDER VS WEEK DISTRIBUTION'!$T:$U,2,0),"")</f>
        <v/>
      </c>
      <c r="Y343" s="26">
        <f>IFERROR($T343/IF(IFERROR(VLOOKUP($I343,'ITEM CFC PER CONTAINER'!$A:$B,2,0),0)&gt;0,VLOOKUP($I343,'ITEM CFC PER CONTAINER'!$A:$B,2,0),VLOOKUP($X343,'MC MASTER'!$A:$Q,16,0)),"")</f>
        <v/>
      </c>
    </row>
    <row r="344" ht="15" customHeight="1" s="5">
      <c r="A344" s="26" t="inlineStr">
        <is>
          <t>Saran Enterprises Ltd.</t>
        </is>
      </c>
      <c r="B344" s="26" t="inlineStr">
        <is>
          <t>MJIL/SO/26046409</t>
        </is>
      </c>
      <c r="C344" s="26" t="inlineStr">
        <is>
          <t>PO 31082026/01 - JUMBO</t>
        </is>
      </c>
      <c r="D344" s="82" t="n">
        <v>46328</v>
      </c>
      <c r="E344" s="83">
        <f>IF(ISNUMBER($D344),EOMONTH($D344,-1)+1,"")</f>
        <v/>
      </c>
      <c r="F344" s="82" t="n">
        <v>46328</v>
      </c>
      <c r="G344" s="26" t="n">
        <v>5535</v>
      </c>
      <c r="H344" s="26">
        <f>B344&amp;I344</f>
        <v/>
      </c>
      <c r="I344" s="26" t="inlineStr">
        <is>
          <t>JUMBO STRAWBERRY 12/20 DC SF ENV TBGS</t>
        </is>
      </c>
      <c r="J344" s="26" t="inlineStr">
        <is>
          <t>C250</t>
        </is>
      </c>
      <c r="K344" s="26">
        <f>J344&amp;"-"&amp;TEXT(W344,"dd-mmm-yy")</f>
        <v/>
      </c>
      <c r="L344" s="26">
        <f>IFERROR(VLOOKUP($M344,'ITEM MASTER'!E:H,4,0),"")</f>
        <v/>
      </c>
      <c r="M344" s="26">
        <f>IFERROR(VLOOKUP($I344,'ITEM MASTER'!B:E,4,0),"")</f>
        <v/>
      </c>
      <c r="N344" s="26">
        <f>IFERROR(VLOOKUP($I344,'ITEM MASTER'!B:F,5,0),0)</f>
        <v/>
      </c>
      <c r="O344" s="26">
        <f>IFERROR(VLOOKUP($M344,'TBGS PER CTN'!B:C,2,0),0)</f>
        <v/>
      </c>
      <c r="P344" s="26" t="n">
        <v>480</v>
      </c>
      <c r="Q344" s="26" t="n">
        <v>0</v>
      </c>
      <c r="R344" s="26" t="n">
        <v>0</v>
      </c>
      <c r="S344" s="26">
        <f>Q344+R344</f>
        <v/>
      </c>
      <c r="T344" s="29" t="n">
        <v>480</v>
      </c>
      <c r="U344" s="29">
        <f>N344*O344*T344</f>
        <v/>
      </c>
      <c r="V344" s="82">
        <f>IF(ISNUMBER($D344),$D344-WEEKDAY($D344,3),'ORDER VS WEEK DISTRIBUTION'!$G$500)</f>
        <v/>
      </c>
      <c r="W344" s="82">
        <f>MAX($V344,'ORDER VS WEEK DISTRIBUTION'!$G$500)</f>
        <v/>
      </c>
      <c r="X344" s="26">
        <f>IFERROR(VLOOKUP($J344,'ORDER VS WEEK DISTRIBUTION'!$T:$U,2,0),"")</f>
        <v/>
      </c>
      <c r="Y344" s="26">
        <f>IFERROR($T344/IF(IFERROR(VLOOKUP($I344,'ITEM CFC PER CONTAINER'!$A:$B,2,0),0)&gt;0,VLOOKUP($I344,'ITEM CFC PER CONTAINER'!$A:$B,2,0),VLOOKUP($X344,'MC MASTER'!$A:$Q,16,0)),"")</f>
        <v/>
      </c>
    </row>
    <row r="345" ht="15" customHeight="1" s="5">
      <c r="A345" s="26" t="inlineStr">
        <is>
          <t>Saran Enterprises Ltd.</t>
        </is>
      </c>
      <c r="B345" s="26" t="inlineStr">
        <is>
          <t>MJIL/SO/26046409</t>
        </is>
      </c>
      <c r="C345" s="26" t="inlineStr">
        <is>
          <t>PO 31082026/01 - JUMBO</t>
        </is>
      </c>
      <c r="D345" s="82" t="n">
        <v>46328</v>
      </c>
      <c r="E345" s="83">
        <f>IF(ISNUMBER($D345),EOMONTH($D345,-1)+1,"")</f>
        <v/>
      </c>
      <c r="F345" s="82" t="n">
        <v>46328</v>
      </c>
      <c r="G345" s="26" t="n">
        <v>5511</v>
      </c>
      <c r="H345" s="26">
        <f>B345&amp;I345</f>
        <v/>
      </c>
      <c r="I345" s="26" t="inlineStr">
        <is>
          <t>JUMBO EARL GREY 12/20 DC SF ENV TBGS</t>
        </is>
      </c>
      <c r="J345" s="26" t="inlineStr">
        <is>
          <t>C250</t>
        </is>
      </c>
      <c r="K345" s="26">
        <f>J345&amp;"-"&amp;TEXT(W345,"dd-mmm-yy")</f>
        <v/>
      </c>
      <c r="L345" s="26">
        <f>IFERROR(VLOOKUP($M345,'ITEM MASTER'!E:H,4,0),"")</f>
        <v/>
      </c>
      <c r="M345" s="26">
        <f>IFERROR(VLOOKUP($I345,'ITEM MASTER'!B:E,4,0),"")</f>
        <v/>
      </c>
      <c r="N345" s="26">
        <f>IFERROR(VLOOKUP($I345,'ITEM MASTER'!B:F,5,0),0)</f>
        <v/>
      </c>
      <c r="O345" s="26">
        <f>IFERROR(VLOOKUP($M345,'TBGS PER CTN'!B:C,2,0),0)</f>
        <v/>
      </c>
      <c r="P345" s="26" t="n">
        <v>360</v>
      </c>
      <c r="Q345" s="26" t="n">
        <v>0</v>
      </c>
      <c r="R345" s="26" t="n">
        <v>0</v>
      </c>
      <c r="S345" s="26">
        <f>Q345+R345</f>
        <v/>
      </c>
      <c r="T345" s="29" t="n">
        <v>360</v>
      </c>
      <c r="U345" s="29">
        <f>N345*O345*T345</f>
        <v/>
      </c>
      <c r="V345" s="82">
        <f>IF(ISNUMBER($D345),$D345-WEEKDAY($D345,3),'ORDER VS WEEK DISTRIBUTION'!$G$500)</f>
        <v/>
      </c>
      <c r="W345" s="82">
        <f>MAX($V345,'ORDER VS WEEK DISTRIBUTION'!$G$500)</f>
        <v/>
      </c>
      <c r="X345" s="26">
        <f>IFERROR(VLOOKUP($J345,'ORDER VS WEEK DISTRIBUTION'!$T:$U,2,0),"")</f>
        <v/>
      </c>
      <c r="Y345" s="26">
        <f>IFERROR($T345/IF(IFERROR(VLOOKUP($I345,'ITEM CFC PER CONTAINER'!$A:$B,2,0),0)&gt;0,VLOOKUP($I345,'ITEM CFC PER CONTAINER'!$A:$B,2,0),VLOOKUP($X345,'MC MASTER'!$A:$Q,16,0)),"")</f>
        <v/>
      </c>
    </row>
    <row r="346" ht="15" customHeight="1" s="5">
      <c r="A346" s="26" t="inlineStr">
        <is>
          <t>Saran Enterprises Ltd.</t>
        </is>
      </c>
      <c r="B346" s="26" t="inlineStr">
        <is>
          <t>MJIL/SO/26046409</t>
        </is>
      </c>
      <c r="C346" s="26" t="inlineStr">
        <is>
          <t>PO 31082026/01 - JUMBO</t>
        </is>
      </c>
      <c r="D346" s="82" t="n">
        <v>46328</v>
      </c>
      <c r="E346" s="83">
        <f>IF(ISNUMBER($D346),EOMONTH($D346,-1)+1,"")</f>
        <v/>
      </c>
      <c r="F346" s="82" t="n">
        <v>46328</v>
      </c>
      <c r="G346" s="26" t="n">
        <v>5513</v>
      </c>
      <c r="H346" s="26">
        <f>B346&amp;I346</f>
        <v/>
      </c>
      <c r="I346" s="26" t="inlineStr">
        <is>
          <t>JUMBO ENGELESE MELANGE 12/20 DC SF ENV TBGS</t>
        </is>
      </c>
      <c r="J346" s="26" t="inlineStr">
        <is>
          <t>C250</t>
        </is>
      </c>
      <c r="K346" s="26">
        <f>J346&amp;"-"&amp;TEXT(W346,"dd-mmm-yy")</f>
        <v/>
      </c>
      <c r="L346" s="26">
        <f>IFERROR(VLOOKUP($M346,'ITEM MASTER'!E:H,4,0),"")</f>
        <v/>
      </c>
      <c r="M346" s="26">
        <f>IFERROR(VLOOKUP($I346,'ITEM MASTER'!B:E,4,0),"")</f>
        <v/>
      </c>
      <c r="N346" s="26">
        <f>IFERROR(VLOOKUP($I346,'ITEM MASTER'!B:F,5,0),0)</f>
        <v/>
      </c>
      <c r="O346" s="26">
        <f>IFERROR(VLOOKUP($M346,'TBGS PER CTN'!B:C,2,0),0)</f>
        <v/>
      </c>
      <c r="P346" s="26" t="n">
        <v>480</v>
      </c>
      <c r="Q346" s="26" t="n">
        <v>0</v>
      </c>
      <c r="R346" s="26" t="n">
        <v>0</v>
      </c>
      <c r="S346" s="26">
        <f>Q346+R346</f>
        <v/>
      </c>
      <c r="T346" s="29" t="n">
        <v>480</v>
      </c>
      <c r="U346" s="29">
        <f>N346*O346*T346</f>
        <v/>
      </c>
      <c r="V346" s="82">
        <f>IF(ISNUMBER($D346),$D346-WEEKDAY($D346,3),'ORDER VS WEEK DISTRIBUTION'!$G$500)</f>
        <v/>
      </c>
      <c r="W346" s="82">
        <f>MAX($V346,'ORDER VS WEEK DISTRIBUTION'!$G$500)</f>
        <v/>
      </c>
      <c r="X346" s="26">
        <f>IFERROR(VLOOKUP($J346,'ORDER VS WEEK DISTRIBUTION'!$T:$U,2,0),"")</f>
        <v/>
      </c>
      <c r="Y346" s="26">
        <f>IFERROR($T346/IF(IFERROR(VLOOKUP($I346,'ITEM CFC PER CONTAINER'!$A:$B,2,0),0)&gt;0,VLOOKUP($I346,'ITEM CFC PER CONTAINER'!$A:$B,2,0),VLOOKUP($X346,'MC MASTER'!$A:$Q,16,0)),"")</f>
        <v/>
      </c>
    </row>
    <row r="347" ht="15" customHeight="1" s="5">
      <c r="A347" s="26" t="inlineStr">
        <is>
          <t>Saran Enterprises Ltd.</t>
        </is>
      </c>
      <c r="B347" s="26" t="inlineStr">
        <is>
          <t>MJIL/SO/26046409</t>
        </is>
      </c>
      <c r="C347" s="26" t="inlineStr">
        <is>
          <t>PO 31082026/01 - JUMBO</t>
        </is>
      </c>
      <c r="D347" s="82" t="n">
        <v>46328</v>
      </c>
      <c r="E347" s="83">
        <f>IF(ISNUMBER($D347),EOMONTH($D347,-1)+1,"")</f>
        <v/>
      </c>
      <c r="F347" s="82" t="n">
        <v>46328</v>
      </c>
      <c r="G347" s="26" t="n">
        <v>5516</v>
      </c>
      <c r="H347" s="26">
        <f>B347&amp;I347</f>
        <v/>
      </c>
      <c r="I347" s="26" t="inlineStr">
        <is>
          <t>JUMBO ENGELESE MELANGE 12/40 DC SF TAG TBGS</t>
        </is>
      </c>
      <c r="J347" s="26" t="inlineStr">
        <is>
          <t>C250F3 HS</t>
        </is>
      </c>
      <c r="K347" s="26">
        <f>J347&amp;"-"&amp;TEXT(W347,"dd-mmm-yy")</f>
        <v/>
      </c>
      <c r="L347" s="26">
        <f>IFERROR(VLOOKUP($M347,'ITEM MASTER'!E:H,4,0),"")</f>
        <v/>
      </c>
      <c r="M347" s="26">
        <f>IFERROR(VLOOKUP($I347,'ITEM MASTER'!B:E,4,0),"")</f>
        <v/>
      </c>
      <c r="N347" s="26">
        <f>IFERROR(VLOOKUP($I347,'ITEM MASTER'!B:F,5,0),0)</f>
        <v/>
      </c>
      <c r="O347" s="26">
        <f>IFERROR(VLOOKUP($M347,'TBGS PER CTN'!B:C,2,0),0)</f>
        <v/>
      </c>
      <c r="P347" s="26" t="n">
        <v>432</v>
      </c>
      <c r="Q347" s="26" t="n">
        <v>0</v>
      </c>
      <c r="R347" s="26" t="n">
        <v>0</v>
      </c>
      <c r="S347" s="26">
        <f>Q347+R347</f>
        <v/>
      </c>
      <c r="T347" s="29" t="n">
        <v>432</v>
      </c>
      <c r="U347" s="29">
        <f>N347*O347*T347</f>
        <v/>
      </c>
      <c r="V347" s="82">
        <f>IF(ISNUMBER($D347),$D347-WEEKDAY($D347,3),'ORDER VS WEEK DISTRIBUTION'!$G$500)</f>
        <v/>
      </c>
      <c r="W347" s="82">
        <f>MAX($V347,'ORDER VS WEEK DISTRIBUTION'!$G$500)</f>
        <v/>
      </c>
      <c r="X347" s="26">
        <f>IFERROR(VLOOKUP($J347,'ORDER VS WEEK DISTRIBUTION'!$T:$U,2,0),"")</f>
        <v/>
      </c>
      <c r="Y347" s="26">
        <f>IFERROR($T347/IF(IFERROR(VLOOKUP($I347,'ITEM CFC PER CONTAINER'!$A:$B,2,0),0)&gt;0,VLOOKUP($I347,'ITEM CFC PER CONTAINER'!$A:$B,2,0),VLOOKUP($X347,'MC MASTER'!$A:$Q,16,0)),"")</f>
        <v/>
      </c>
    </row>
    <row r="348" ht="15" customHeight="1" s="5">
      <c r="A348" s="26" t="inlineStr">
        <is>
          <t>Saran Enterprises Ltd.</t>
        </is>
      </c>
      <c r="B348" s="26" t="inlineStr">
        <is>
          <t>MJIL/SO/26046409</t>
        </is>
      </c>
      <c r="C348" s="26" t="inlineStr">
        <is>
          <t>PO 31082026/01 - JUMBO</t>
        </is>
      </c>
      <c r="D348" s="82" t="n">
        <v>46328</v>
      </c>
      <c r="E348" s="83">
        <f>IF(ISNUMBER($D348),EOMONTH($D348,-1)+1,"")</f>
        <v/>
      </c>
      <c r="F348" s="82" t="n">
        <v>46328</v>
      </c>
      <c r="G348" s="26" t="n">
        <v>5529</v>
      </c>
      <c r="H348" s="26">
        <f>B348&amp;I348</f>
        <v/>
      </c>
      <c r="I348" s="26" t="inlineStr">
        <is>
          <t>JUMBO ORANGE 12/20 DC SF ENV TBGS</t>
        </is>
      </c>
      <c r="J348" s="26" t="inlineStr">
        <is>
          <t>C250</t>
        </is>
      </c>
      <c r="K348" s="26">
        <f>J348&amp;"-"&amp;TEXT(W348,"dd-mmm-yy")</f>
        <v/>
      </c>
      <c r="L348" s="26">
        <f>IFERROR(VLOOKUP($M348,'ITEM MASTER'!E:H,4,0),"")</f>
        <v/>
      </c>
      <c r="M348" s="26">
        <f>IFERROR(VLOOKUP($I348,'ITEM MASTER'!B:E,4,0),"")</f>
        <v/>
      </c>
      <c r="N348" s="26">
        <f>IFERROR(VLOOKUP($I348,'ITEM MASTER'!B:F,5,0),0)</f>
        <v/>
      </c>
      <c r="O348" s="26">
        <f>IFERROR(VLOOKUP($M348,'TBGS PER CTN'!B:C,2,0),0)</f>
        <v/>
      </c>
      <c r="P348" s="26" t="n">
        <v>600</v>
      </c>
      <c r="Q348" s="26" t="n">
        <v>0</v>
      </c>
      <c r="R348" s="26" t="n">
        <v>122</v>
      </c>
      <c r="S348" s="26">
        <f>Q348+R348</f>
        <v/>
      </c>
      <c r="T348" s="29" t="n">
        <v>478</v>
      </c>
      <c r="U348" s="29">
        <f>N348*O348*T348</f>
        <v/>
      </c>
      <c r="V348" s="82">
        <f>IF(ISNUMBER($D348),$D348-WEEKDAY($D348,3),'ORDER VS WEEK DISTRIBUTION'!$G$500)</f>
        <v/>
      </c>
      <c r="W348" s="82">
        <f>MAX($V348,'ORDER VS WEEK DISTRIBUTION'!$G$500)</f>
        <v/>
      </c>
      <c r="X348" s="26">
        <f>IFERROR(VLOOKUP($J348,'ORDER VS WEEK DISTRIBUTION'!$T:$U,2,0),"")</f>
        <v/>
      </c>
      <c r="Y348" s="26">
        <f>IFERROR($T348/IF(IFERROR(VLOOKUP($I348,'ITEM CFC PER CONTAINER'!$A:$B,2,0),0)&gt;0,VLOOKUP($I348,'ITEM CFC PER CONTAINER'!$A:$B,2,0),VLOOKUP($X348,'MC MASTER'!$A:$Q,16,0)),"")</f>
        <v/>
      </c>
    </row>
    <row r="349" ht="15" customHeight="1" s="5">
      <c r="A349" s="26" t="inlineStr">
        <is>
          <t>Saran Enterprises Ltd.</t>
        </is>
      </c>
      <c r="B349" s="26" t="inlineStr">
        <is>
          <t>MJIL/SO/26046409</t>
        </is>
      </c>
      <c r="C349" s="26" t="inlineStr">
        <is>
          <t>PO 31082026/01 - JUMBO</t>
        </is>
      </c>
      <c r="D349" s="82" t="n">
        <v>46328</v>
      </c>
      <c r="E349" s="83">
        <f>IF(ISNUMBER($D349),EOMONTH($D349,-1)+1,"")</f>
        <v/>
      </c>
      <c r="F349" s="82" t="n">
        <v>46328</v>
      </c>
      <c r="G349" s="26" t="n">
        <v>5530</v>
      </c>
      <c r="H349" s="26">
        <f>B349&amp;I349</f>
        <v/>
      </c>
      <c r="I349" s="26" t="inlineStr">
        <is>
          <t>JUMBO ORANGE VARIATION 12/20 DC SF ENV TBGS</t>
        </is>
      </c>
      <c r="J349" s="26" t="inlineStr">
        <is>
          <t>C250</t>
        </is>
      </c>
      <c r="K349" s="26">
        <f>J349&amp;"-"&amp;TEXT(W349,"dd-mmm-yy")</f>
        <v/>
      </c>
      <c r="L349" s="26">
        <f>IFERROR(VLOOKUP($M349,'ITEM MASTER'!E:H,4,0),"")</f>
        <v/>
      </c>
      <c r="M349" s="26">
        <f>IFERROR(VLOOKUP($I349,'ITEM MASTER'!B:E,4,0),"")</f>
        <v/>
      </c>
      <c r="N349" s="26">
        <f>IFERROR(VLOOKUP($I349,'ITEM MASTER'!B:F,5,0),0)</f>
        <v/>
      </c>
      <c r="O349" s="26">
        <f>IFERROR(VLOOKUP($M349,'TBGS PER CTN'!B:C,2,0),0)</f>
        <v/>
      </c>
      <c r="P349" s="26" t="n">
        <v>600</v>
      </c>
      <c r="Q349" s="26" t="n">
        <v>0</v>
      </c>
      <c r="R349" s="26" t="n">
        <v>287</v>
      </c>
      <c r="S349" s="26">
        <f>Q349+R349</f>
        <v/>
      </c>
      <c r="T349" s="29" t="n">
        <v>313</v>
      </c>
      <c r="U349" s="29">
        <f>N349*O349*T349</f>
        <v/>
      </c>
      <c r="V349" s="82">
        <f>IF(ISNUMBER($D349),$D349-WEEKDAY($D349,3),'ORDER VS WEEK DISTRIBUTION'!$G$500)</f>
        <v/>
      </c>
      <c r="W349" s="82">
        <f>MAX($V349,'ORDER VS WEEK DISTRIBUTION'!$G$500)</f>
        <v/>
      </c>
      <c r="X349" s="26">
        <f>IFERROR(VLOOKUP($J349,'ORDER VS WEEK DISTRIBUTION'!$T:$U,2,0),"")</f>
        <v/>
      </c>
      <c r="Y349" s="26">
        <f>IFERROR($T349/IF(IFERROR(VLOOKUP($I349,'ITEM CFC PER CONTAINER'!$A:$B,2,0),0)&gt;0,VLOOKUP($I349,'ITEM CFC PER CONTAINER'!$A:$B,2,0),VLOOKUP($X349,'MC MASTER'!$A:$Q,16,0)),"")</f>
        <v/>
      </c>
    </row>
    <row r="350" ht="15" customHeight="1" s="5">
      <c r="A350" s="26" t="inlineStr">
        <is>
          <t>Saran Enterprises Ltd.</t>
        </is>
      </c>
      <c r="B350" s="26" t="inlineStr">
        <is>
          <t>MJIL/SO/26046409</t>
        </is>
      </c>
      <c r="C350" s="26" t="inlineStr">
        <is>
          <t>PO 31082026/01 - JUMBO</t>
        </is>
      </c>
      <c r="D350" s="82" t="n">
        <v>46328</v>
      </c>
      <c r="E350" s="83">
        <f>IF(ISNUMBER($D350),EOMONTH($D350,-1)+1,"")</f>
        <v/>
      </c>
      <c r="F350" s="82" t="n">
        <v>46328</v>
      </c>
      <c r="G350" s="26" t="n">
        <v>5531</v>
      </c>
      <c r="H350" s="26">
        <f>B350&amp;I350</f>
        <v/>
      </c>
      <c r="I350" s="26" t="inlineStr">
        <is>
          <t>JUMBO RED VARIATION 12/20 DC SF ENV TBGS</t>
        </is>
      </c>
      <c r="J350" s="26" t="inlineStr">
        <is>
          <t>MD20 ENV</t>
        </is>
      </c>
      <c r="K350" s="26">
        <f>J350&amp;"-"&amp;TEXT(W350,"dd-mmm-yy")</f>
        <v/>
      </c>
      <c r="L350" s="26">
        <f>IFERROR(VLOOKUP($M350,'ITEM MASTER'!E:H,4,0),"")</f>
        <v/>
      </c>
      <c r="M350" s="26">
        <f>IFERROR(VLOOKUP($I350,'ITEM MASTER'!B:E,4,0),"")</f>
        <v/>
      </c>
      <c r="N350" s="26">
        <f>IFERROR(VLOOKUP($I350,'ITEM MASTER'!B:F,5,0),0)</f>
        <v/>
      </c>
      <c r="O350" s="26">
        <f>IFERROR(VLOOKUP($M350,'TBGS PER CTN'!B:C,2,0),0)</f>
        <v/>
      </c>
      <c r="P350" s="26" t="n">
        <v>600</v>
      </c>
      <c r="Q350" s="26" t="n">
        <v>0</v>
      </c>
      <c r="R350" s="26" t="n">
        <v>0</v>
      </c>
      <c r="S350" s="26">
        <f>Q350+R350</f>
        <v/>
      </c>
      <c r="T350" s="29" t="n">
        <v>600</v>
      </c>
      <c r="U350" s="29">
        <f>N350*O350*T350</f>
        <v/>
      </c>
      <c r="V350" s="82">
        <f>IF(ISNUMBER($D350),$D350-WEEKDAY($D350,3),'ORDER VS WEEK DISTRIBUTION'!$G$500)</f>
        <v/>
      </c>
      <c r="W350" s="82">
        <f>MAX($V350,'ORDER VS WEEK DISTRIBUTION'!$G$500)</f>
        <v/>
      </c>
      <c r="X350" s="26">
        <f>IFERROR(VLOOKUP($J350,'ORDER VS WEEK DISTRIBUTION'!$T:$U,2,0),"")</f>
        <v/>
      </c>
      <c r="Y350" s="26">
        <f>IFERROR($T350/IF(IFERROR(VLOOKUP($I350,'ITEM CFC PER CONTAINER'!$A:$B,2,0),0)&gt;0,VLOOKUP($I350,'ITEM CFC PER CONTAINER'!$A:$B,2,0),VLOOKUP($X350,'MC MASTER'!$A:$Q,16,0)),"")</f>
        <v/>
      </c>
    </row>
    <row r="351" ht="15" customHeight="1" s="5">
      <c r="A351" s="26" t="inlineStr">
        <is>
          <t>Saran Enterprises Ltd.</t>
        </is>
      </c>
      <c r="B351" s="26" t="inlineStr">
        <is>
          <t>MJIL/SO/26046411</t>
        </is>
      </c>
      <c r="C351" s="26" t="inlineStr">
        <is>
          <t>PO 31082026/02 - JUMBO</t>
        </is>
      </c>
      <c r="D351" s="82" t="n">
        <v>46328</v>
      </c>
      <c r="E351" s="83">
        <f>IF(ISNUMBER($D351),EOMONTH($D351,-1)+1,"")</f>
        <v/>
      </c>
      <c r="F351" s="82" t="n">
        <v>46328</v>
      </c>
      <c r="G351" s="26" t="n">
        <v>5523</v>
      </c>
      <c r="H351" s="26">
        <f>B351&amp;I351</f>
        <v/>
      </c>
      <c r="I351" s="26" t="inlineStr">
        <is>
          <t>JUMBO GREEN TEA CRANBERRY 12/20 DC SF ENV TBGS</t>
        </is>
      </c>
      <c r="J351" s="26" t="inlineStr">
        <is>
          <t>C250</t>
        </is>
      </c>
      <c r="K351" s="26">
        <f>J351&amp;"-"&amp;TEXT(W351,"dd-mmm-yy")</f>
        <v/>
      </c>
      <c r="L351" s="26">
        <f>IFERROR(VLOOKUP($M351,'ITEM MASTER'!E:H,4,0),"")</f>
        <v/>
      </c>
      <c r="M351" s="26">
        <f>IFERROR(VLOOKUP($I351,'ITEM MASTER'!B:E,4,0),"")</f>
        <v/>
      </c>
      <c r="N351" s="26">
        <f>IFERROR(VLOOKUP($I351,'ITEM MASTER'!B:F,5,0),0)</f>
        <v/>
      </c>
      <c r="O351" s="26">
        <f>IFERROR(VLOOKUP($M351,'TBGS PER CTN'!B:C,2,0),0)</f>
        <v/>
      </c>
      <c r="P351" s="26" t="n">
        <v>480</v>
      </c>
      <c r="Q351" s="26" t="n">
        <v>0</v>
      </c>
      <c r="R351" s="26" t="n">
        <v>0</v>
      </c>
      <c r="S351" s="26">
        <f>Q351+R351</f>
        <v/>
      </c>
      <c r="T351" s="29" t="n">
        <v>480</v>
      </c>
      <c r="U351" s="29">
        <f>N351*O351*T351</f>
        <v/>
      </c>
      <c r="V351" s="82">
        <f>IF(ISNUMBER($D351),$D351-WEEKDAY($D351,3),'ORDER VS WEEK DISTRIBUTION'!$G$500)</f>
        <v/>
      </c>
      <c r="W351" s="82">
        <f>MAX($V351,'ORDER VS WEEK DISTRIBUTION'!$G$500)</f>
        <v/>
      </c>
      <c r="X351" s="26">
        <f>IFERROR(VLOOKUP($J351,'ORDER VS WEEK DISTRIBUTION'!$T:$U,2,0),"")</f>
        <v/>
      </c>
      <c r="Y351" s="26">
        <f>IFERROR($T351/IF(IFERROR(VLOOKUP($I351,'ITEM CFC PER CONTAINER'!$A:$B,2,0),0)&gt;0,VLOOKUP($I351,'ITEM CFC PER CONTAINER'!$A:$B,2,0),VLOOKUP($X351,'MC MASTER'!$A:$Q,16,0)),"")</f>
        <v/>
      </c>
    </row>
    <row r="352" ht="15" customHeight="1" s="5">
      <c r="A352" s="26" t="inlineStr">
        <is>
          <t>Saran Enterprises Ltd.</t>
        </is>
      </c>
      <c r="B352" s="26" t="inlineStr">
        <is>
          <t>MJIL/SO/26046411</t>
        </is>
      </c>
      <c r="C352" s="26" t="inlineStr">
        <is>
          <t>PO 31082026/02 - JUMBO</t>
        </is>
      </c>
      <c r="D352" s="82" t="n">
        <v>46328</v>
      </c>
      <c r="E352" s="83">
        <f>IF(ISNUMBER($D352),EOMONTH($D352,-1)+1,"")</f>
        <v/>
      </c>
      <c r="F352" s="82" t="n">
        <v>46328</v>
      </c>
      <c r="G352" s="26" t="n">
        <v>5524</v>
      </c>
      <c r="H352" s="26">
        <f>B352&amp;I352</f>
        <v/>
      </c>
      <c r="I352" s="26" t="inlineStr">
        <is>
          <t>JUMBO GREEN TEA GINGER 12/20 DC SF ENV TBGS</t>
        </is>
      </c>
      <c r="J352" s="26" t="inlineStr">
        <is>
          <t>C250</t>
        </is>
      </c>
      <c r="K352" s="26">
        <f>J352&amp;"-"&amp;TEXT(W352,"dd-mmm-yy")</f>
        <v/>
      </c>
      <c r="L352" s="26">
        <f>IFERROR(VLOOKUP($M352,'ITEM MASTER'!E:H,4,0),"")</f>
        <v/>
      </c>
      <c r="M352" s="26">
        <f>IFERROR(VLOOKUP($I352,'ITEM MASTER'!B:E,4,0),"")</f>
        <v/>
      </c>
      <c r="N352" s="26">
        <f>IFERROR(VLOOKUP($I352,'ITEM MASTER'!B:F,5,0),0)</f>
        <v/>
      </c>
      <c r="O352" s="26">
        <f>IFERROR(VLOOKUP($M352,'TBGS PER CTN'!B:C,2,0),0)</f>
        <v/>
      </c>
      <c r="P352" s="26" t="n">
        <v>840</v>
      </c>
      <c r="Q352" s="26" t="n">
        <v>62</v>
      </c>
      <c r="R352" s="26" t="n">
        <v>0</v>
      </c>
      <c r="S352" s="26">
        <f>Q352+R352</f>
        <v/>
      </c>
      <c r="T352" s="29" t="n">
        <v>778</v>
      </c>
      <c r="U352" s="29">
        <f>N352*O352*T352</f>
        <v/>
      </c>
      <c r="V352" s="82">
        <f>IF(ISNUMBER($D352),$D352-WEEKDAY($D352,3),'ORDER VS WEEK DISTRIBUTION'!$G$500)</f>
        <v/>
      </c>
      <c r="W352" s="82">
        <f>MAX($V352,'ORDER VS WEEK DISTRIBUTION'!$G$500)</f>
        <v/>
      </c>
      <c r="X352" s="26">
        <f>IFERROR(VLOOKUP($J352,'ORDER VS WEEK DISTRIBUTION'!$T:$U,2,0),"")</f>
        <v/>
      </c>
      <c r="Y352" s="26">
        <f>IFERROR($T352/IF(IFERROR(VLOOKUP($I352,'ITEM CFC PER CONTAINER'!$A:$B,2,0),0)&gt;0,VLOOKUP($I352,'ITEM CFC PER CONTAINER'!$A:$B,2,0),VLOOKUP($X352,'MC MASTER'!$A:$Q,16,0)),"")</f>
        <v/>
      </c>
    </row>
    <row r="353" ht="15" customHeight="1" s="5">
      <c r="A353" s="26" t="inlineStr">
        <is>
          <t>Saran Enterprises Ltd.</t>
        </is>
      </c>
      <c r="B353" s="26" t="inlineStr">
        <is>
          <t>MJIL/SO/26046411</t>
        </is>
      </c>
      <c r="C353" s="26" t="inlineStr">
        <is>
          <t>PO 31082026/02 - JUMBO</t>
        </is>
      </c>
      <c r="D353" s="82" t="n">
        <v>46328</v>
      </c>
      <c r="E353" s="83">
        <f>IF(ISNUMBER($D353),EOMONTH($D353,-1)+1,"")</f>
        <v/>
      </c>
      <c r="F353" s="82" t="n">
        <v>46328</v>
      </c>
      <c r="G353" s="26" t="n">
        <v>5525</v>
      </c>
      <c r="H353" s="26">
        <f>B353&amp;I353</f>
        <v/>
      </c>
      <c r="I353" s="26" t="inlineStr">
        <is>
          <t>JUMBO GREEN TEA MINT 12/20 DC SF ENV TBGS</t>
        </is>
      </c>
      <c r="J353" s="26" t="inlineStr">
        <is>
          <t>C250</t>
        </is>
      </c>
      <c r="K353" s="26">
        <f>J353&amp;"-"&amp;TEXT(W353,"dd-mmm-yy")</f>
        <v/>
      </c>
      <c r="L353" s="26">
        <f>IFERROR(VLOOKUP($M353,'ITEM MASTER'!E:H,4,0),"")</f>
        <v/>
      </c>
      <c r="M353" s="26">
        <f>IFERROR(VLOOKUP($I353,'ITEM MASTER'!B:E,4,0),"")</f>
        <v/>
      </c>
      <c r="N353" s="26">
        <f>IFERROR(VLOOKUP($I353,'ITEM MASTER'!B:F,5,0),0)</f>
        <v/>
      </c>
      <c r="O353" s="26">
        <f>IFERROR(VLOOKUP($M353,'TBGS PER CTN'!B:C,2,0),0)</f>
        <v/>
      </c>
      <c r="P353" s="26" t="n">
        <v>600</v>
      </c>
      <c r="Q353" s="26" t="n">
        <v>0</v>
      </c>
      <c r="R353" s="26" t="n">
        <v>0</v>
      </c>
      <c r="S353" s="26">
        <f>Q353+R353</f>
        <v/>
      </c>
      <c r="T353" s="29" t="n">
        <v>600</v>
      </c>
      <c r="U353" s="29">
        <f>N353*O353*T353</f>
        <v/>
      </c>
      <c r="V353" s="82">
        <f>IF(ISNUMBER($D353),$D353-WEEKDAY($D353,3),'ORDER VS WEEK DISTRIBUTION'!$G$500)</f>
        <v/>
      </c>
      <c r="W353" s="82">
        <f>MAX($V353,'ORDER VS WEEK DISTRIBUTION'!$G$500)</f>
        <v/>
      </c>
      <c r="X353" s="26">
        <f>IFERROR(VLOOKUP($J353,'ORDER VS WEEK DISTRIBUTION'!$T:$U,2,0),"")</f>
        <v/>
      </c>
      <c r="Y353" s="26">
        <f>IFERROR($T353/IF(IFERROR(VLOOKUP($I353,'ITEM CFC PER CONTAINER'!$A:$B,2,0),0)&gt;0,VLOOKUP($I353,'ITEM CFC PER CONTAINER'!$A:$B,2,0),VLOOKUP($X353,'MC MASTER'!$A:$Q,16,0)),"")</f>
        <v/>
      </c>
    </row>
    <row r="354" ht="15" customHeight="1" s="5">
      <c r="A354" s="26" t="inlineStr">
        <is>
          <t>Saran Enterprises Ltd.</t>
        </is>
      </c>
      <c r="B354" s="26" t="inlineStr">
        <is>
          <t>MJIL/SO/26046411</t>
        </is>
      </c>
      <c r="C354" s="26" t="inlineStr">
        <is>
          <t>PO 31082026/02 - JUMBO</t>
        </is>
      </c>
      <c r="D354" s="82" t="n">
        <v>46328</v>
      </c>
      <c r="E354" s="83">
        <f>IF(ISNUMBER($D354),EOMONTH($D354,-1)+1,"")</f>
        <v/>
      </c>
      <c r="F354" s="82" t="n">
        <v>46328</v>
      </c>
      <c r="G354" s="26" t="n">
        <v>5526</v>
      </c>
      <c r="H354" s="26">
        <f>B354&amp;I354</f>
        <v/>
      </c>
      <c r="I354" s="26" t="inlineStr">
        <is>
          <t>JUMBO GREEN TEA PURE ORIGINAL 12/20 DC SF ENV TBGS</t>
        </is>
      </c>
      <c r="J354" s="26" t="inlineStr">
        <is>
          <t>C250</t>
        </is>
      </c>
      <c r="K354" s="26">
        <f>J354&amp;"-"&amp;TEXT(W354,"dd-mmm-yy")</f>
        <v/>
      </c>
      <c r="L354" s="26">
        <f>IFERROR(VLOOKUP($M354,'ITEM MASTER'!E:H,4,0),"")</f>
        <v/>
      </c>
      <c r="M354" s="26">
        <f>IFERROR(VLOOKUP($I354,'ITEM MASTER'!B:E,4,0),"")</f>
        <v/>
      </c>
      <c r="N354" s="26">
        <f>IFERROR(VLOOKUP($I354,'ITEM MASTER'!B:F,5,0),0)</f>
        <v/>
      </c>
      <c r="O354" s="26">
        <f>IFERROR(VLOOKUP($M354,'TBGS PER CTN'!B:C,2,0),0)</f>
        <v/>
      </c>
      <c r="P354" s="26" t="n">
        <v>480</v>
      </c>
      <c r="Q354" s="26" t="n">
        <v>0</v>
      </c>
      <c r="R354" s="26" t="n">
        <v>0</v>
      </c>
      <c r="S354" s="26">
        <f>Q354+R354</f>
        <v/>
      </c>
      <c r="T354" s="29" t="n">
        <v>480</v>
      </c>
      <c r="U354" s="29">
        <f>N354*O354*T354</f>
        <v/>
      </c>
      <c r="V354" s="82">
        <f>IF(ISNUMBER($D354),$D354-WEEKDAY($D354,3),'ORDER VS WEEK DISTRIBUTION'!$G$500)</f>
        <v/>
      </c>
      <c r="W354" s="82">
        <f>MAX($V354,'ORDER VS WEEK DISTRIBUTION'!$G$500)</f>
        <v/>
      </c>
      <c r="X354" s="26">
        <f>IFERROR(VLOOKUP($J354,'ORDER VS WEEK DISTRIBUTION'!$T:$U,2,0),"")</f>
        <v/>
      </c>
      <c r="Y354" s="26">
        <f>IFERROR($T354/IF(IFERROR(VLOOKUP($I354,'ITEM CFC PER CONTAINER'!$A:$B,2,0),0)&gt;0,VLOOKUP($I354,'ITEM CFC PER CONTAINER'!$A:$B,2,0),VLOOKUP($X354,'MC MASTER'!$A:$Q,16,0)),"")</f>
        <v/>
      </c>
    </row>
    <row r="355" ht="15" customHeight="1" s="5">
      <c r="A355" s="26" t="inlineStr">
        <is>
          <t>Saran Enterprises Ltd.</t>
        </is>
      </c>
      <c r="B355" s="26" t="inlineStr">
        <is>
          <t>MJIL/SO/26046411</t>
        </is>
      </c>
      <c r="C355" s="26" t="inlineStr">
        <is>
          <t>PO 31082026/02 - JUMBO</t>
        </is>
      </c>
      <c r="D355" s="82" t="n">
        <v>46328</v>
      </c>
      <c r="E355" s="83">
        <f>IF(ISNUMBER($D355),EOMONTH($D355,-1)+1,"")</f>
        <v/>
      </c>
      <c r="F355" s="82" t="n">
        <v>46328</v>
      </c>
      <c r="G355" s="26" t="n">
        <v>5532</v>
      </c>
      <c r="H355" s="26">
        <f>B355&amp;I355</f>
        <v/>
      </c>
      <c r="I355" s="26" t="inlineStr">
        <is>
          <t>JUMBO ROOIBOS HONEY 12/20 DC SF ENV TBGS</t>
        </is>
      </c>
      <c r="J355" s="26" t="inlineStr">
        <is>
          <t>MD20 ENV</t>
        </is>
      </c>
      <c r="K355" s="26">
        <f>J355&amp;"-"&amp;TEXT(W355,"dd-mmm-yy")</f>
        <v/>
      </c>
      <c r="L355" s="26">
        <f>IFERROR(VLOOKUP($M355,'ITEM MASTER'!E:H,4,0),"")</f>
        <v/>
      </c>
      <c r="M355" s="26">
        <f>IFERROR(VLOOKUP($I355,'ITEM MASTER'!B:E,4,0),"")</f>
        <v/>
      </c>
      <c r="N355" s="26">
        <f>IFERROR(VLOOKUP($I355,'ITEM MASTER'!B:F,5,0),0)</f>
        <v/>
      </c>
      <c r="O355" s="26">
        <f>IFERROR(VLOOKUP($M355,'TBGS PER CTN'!B:C,2,0),0)</f>
        <v/>
      </c>
      <c r="P355" s="26" t="n">
        <v>480</v>
      </c>
      <c r="Q355" s="26" t="n">
        <v>0</v>
      </c>
      <c r="R355" s="26" t="n">
        <v>0</v>
      </c>
      <c r="S355" s="26">
        <f>Q355+R355</f>
        <v/>
      </c>
      <c r="T355" s="29" t="n">
        <v>480</v>
      </c>
      <c r="U355" s="29">
        <f>N355*O355*T355</f>
        <v/>
      </c>
      <c r="V355" s="82">
        <f>IF(ISNUMBER($D355),$D355-WEEKDAY($D355,3),'ORDER VS WEEK DISTRIBUTION'!$G$500)</f>
        <v/>
      </c>
      <c r="W355" s="82">
        <f>MAX($V355,'ORDER VS WEEK DISTRIBUTION'!$G$500)</f>
        <v/>
      </c>
      <c r="X355" s="26">
        <f>IFERROR(VLOOKUP($J355,'ORDER VS WEEK DISTRIBUTION'!$T:$U,2,0),"")</f>
        <v/>
      </c>
      <c r="Y355" s="26">
        <f>IFERROR($T355/IF(IFERROR(VLOOKUP($I355,'ITEM CFC PER CONTAINER'!$A:$B,2,0),0)&gt;0,VLOOKUP($I355,'ITEM CFC PER CONTAINER'!$A:$B,2,0),VLOOKUP($X355,'MC MASTER'!$A:$Q,16,0)),"")</f>
        <v/>
      </c>
    </row>
    <row r="356" ht="15" customHeight="1" s="5">
      <c r="A356" s="26" t="inlineStr">
        <is>
          <t>Saran Enterprises Ltd.</t>
        </is>
      </c>
      <c r="B356" s="26" t="inlineStr">
        <is>
          <t>MJIL/SO/26046411</t>
        </is>
      </c>
      <c r="C356" s="26" t="inlineStr">
        <is>
          <t>PO 31082026/02 - JUMBO</t>
        </is>
      </c>
      <c r="D356" s="82" t="n">
        <v>46328</v>
      </c>
      <c r="E356" s="83">
        <f>IF(ISNUMBER($D356),EOMONTH($D356,-1)+1,"")</f>
        <v/>
      </c>
      <c r="F356" s="82" t="n">
        <v>46328</v>
      </c>
      <c r="G356" s="26" t="n">
        <v>5534</v>
      </c>
      <c r="H356" s="26">
        <f>B356&amp;I356</f>
        <v/>
      </c>
      <c r="I356" s="26" t="inlineStr">
        <is>
          <t>JUMBO ROOIBOS ORIGINAL 12/20 DC SF ENV TBGS</t>
        </is>
      </c>
      <c r="J356" s="26" t="inlineStr">
        <is>
          <t>MD20 ENV</t>
        </is>
      </c>
      <c r="K356" s="26">
        <f>J356&amp;"-"&amp;TEXT(W356,"dd-mmm-yy")</f>
        <v/>
      </c>
      <c r="L356" s="26">
        <f>IFERROR(VLOOKUP($M356,'ITEM MASTER'!E:H,4,0),"")</f>
        <v/>
      </c>
      <c r="M356" s="26">
        <f>IFERROR(VLOOKUP($I356,'ITEM MASTER'!B:E,4,0),"")</f>
        <v/>
      </c>
      <c r="N356" s="26">
        <f>IFERROR(VLOOKUP($I356,'ITEM MASTER'!B:F,5,0),0)</f>
        <v/>
      </c>
      <c r="O356" s="26">
        <f>IFERROR(VLOOKUP($M356,'TBGS PER CTN'!B:C,2,0),0)</f>
        <v/>
      </c>
      <c r="P356" s="26" t="n">
        <v>480</v>
      </c>
      <c r="Q356" s="26" t="n">
        <v>0</v>
      </c>
      <c r="R356" s="26" t="n">
        <v>0</v>
      </c>
      <c r="S356" s="26">
        <f>Q356+R356</f>
        <v/>
      </c>
      <c r="T356" s="29" t="n">
        <v>480</v>
      </c>
      <c r="U356" s="29">
        <f>N356*O356*T356</f>
        <v/>
      </c>
      <c r="V356" s="82">
        <f>IF(ISNUMBER($D356),$D356-WEEKDAY($D356,3),'ORDER VS WEEK DISTRIBUTION'!$G$500)</f>
        <v/>
      </c>
      <c r="W356" s="82">
        <f>MAX($V356,'ORDER VS WEEK DISTRIBUTION'!$G$500)</f>
        <v/>
      </c>
      <c r="X356" s="26">
        <f>IFERROR(VLOOKUP($J356,'ORDER VS WEEK DISTRIBUTION'!$T:$U,2,0),"")</f>
        <v/>
      </c>
      <c r="Y356" s="26">
        <f>IFERROR($T356/IF(IFERROR(VLOOKUP($I356,'ITEM CFC PER CONTAINER'!$A:$B,2,0),0)&gt;0,VLOOKUP($I356,'ITEM CFC PER CONTAINER'!$A:$B,2,0),VLOOKUP($X356,'MC MASTER'!$A:$Q,16,0)),"")</f>
        <v/>
      </c>
    </row>
    <row r="357" ht="15" customHeight="1" s="5">
      <c r="A357" s="26" t="inlineStr">
        <is>
          <t>Saran Enterprises Ltd.</t>
        </is>
      </c>
      <c r="B357" s="26" t="inlineStr">
        <is>
          <t>MJIL/SO/26046411</t>
        </is>
      </c>
      <c r="C357" s="26" t="inlineStr">
        <is>
          <t>PO 31082026/02 - JUMBO</t>
        </is>
      </c>
      <c r="D357" s="82" t="n">
        <v>46328</v>
      </c>
      <c r="E357" s="83">
        <f>IF(ISNUMBER($D357),EOMONTH($D357,-1)+1,"")</f>
        <v/>
      </c>
      <c r="F357" s="82" t="n">
        <v>46328</v>
      </c>
      <c r="G357" s="26" t="n">
        <v>5535</v>
      </c>
      <c r="H357" s="26">
        <f>B357&amp;I357</f>
        <v/>
      </c>
      <c r="I357" s="26" t="inlineStr">
        <is>
          <t>JUMBO STRAWBERRY 12/20 DC SF ENV TBGS</t>
        </is>
      </c>
      <c r="J357" s="26" t="inlineStr">
        <is>
          <t>C250</t>
        </is>
      </c>
      <c r="K357" s="26">
        <f>J357&amp;"-"&amp;TEXT(W357,"dd-mmm-yy")</f>
        <v/>
      </c>
      <c r="L357" s="26">
        <f>IFERROR(VLOOKUP($M357,'ITEM MASTER'!E:H,4,0),"")</f>
        <v/>
      </c>
      <c r="M357" s="26">
        <f>IFERROR(VLOOKUP($I357,'ITEM MASTER'!B:E,4,0),"")</f>
        <v/>
      </c>
      <c r="N357" s="26">
        <f>IFERROR(VLOOKUP($I357,'ITEM MASTER'!B:F,5,0),0)</f>
        <v/>
      </c>
      <c r="O357" s="26">
        <f>IFERROR(VLOOKUP($M357,'TBGS PER CTN'!B:C,2,0),0)</f>
        <v/>
      </c>
      <c r="P357" s="26" t="n">
        <v>480</v>
      </c>
      <c r="Q357" s="26" t="n">
        <v>0</v>
      </c>
      <c r="R357" s="26" t="n">
        <v>0</v>
      </c>
      <c r="S357" s="26">
        <f>Q357+R357</f>
        <v/>
      </c>
      <c r="T357" s="29" t="n">
        <v>480</v>
      </c>
      <c r="U357" s="29">
        <f>N357*O357*T357</f>
        <v/>
      </c>
      <c r="V357" s="82">
        <f>IF(ISNUMBER($D357),$D357-WEEKDAY($D357,3),'ORDER VS WEEK DISTRIBUTION'!$G$500)</f>
        <v/>
      </c>
      <c r="W357" s="82">
        <f>MAX($V357,'ORDER VS WEEK DISTRIBUTION'!$G$500)</f>
        <v/>
      </c>
      <c r="X357" s="26">
        <f>IFERROR(VLOOKUP($J357,'ORDER VS WEEK DISTRIBUTION'!$T:$U,2,0),"")</f>
        <v/>
      </c>
      <c r="Y357" s="26">
        <f>IFERROR($T357/IF(IFERROR(VLOOKUP($I357,'ITEM CFC PER CONTAINER'!$A:$B,2,0),0)&gt;0,VLOOKUP($I357,'ITEM CFC PER CONTAINER'!$A:$B,2,0),VLOOKUP($X357,'MC MASTER'!$A:$Q,16,0)),"")</f>
        <v/>
      </c>
    </row>
    <row r="358" ht="15" customHeight="1" s="5">
      <c r="A358" s="26" t="inlineStr">
        <is>
          <t>Saran Enterprises Ltd.</t>
        </is>
      </c>
      <c r="B358" s="26" t="inlineStr">
        <is>
          <t>MJIL/SO/26046411</t>
        </is>
      </c>
      <c r="C358" s="26" t="inlineStr">
        <is>
          <t>PO 31082026/02 - JUMBO</t>
        </is>
      </c>
      <c r="D358" s="82" t="n">
        <v>46328</v>
      </c>
      <c r="E358" s="83">
        <f>IF(ISNUMBER($D358),EOMONTH($D358,-1)+1,"")</f>
        <v/>
      </c>
      <c r="F358" s="82" t="n">
        <v>46328</v>
      </c>
      <c r="G358" s="26" t="n">
        <v>5511</v>
      </c>
      <c r="H358" s="26">
        <f>B358&amp;I358</f>
        <v/>
      </c>
      <c r="I358" s="26" t="inlineStr">
        <is>
          <t>JUMBO EARL GREY 12/20 DC SF ENV TBGS</t>
        </is>
      </c>
      <c r="J358" s="26" t="inlineStr">
        <is>
          <t>C250</t>
        </is>
      </c>
      <c r="K358" s="26">
        <f>J358&amp;"-"&amp;TEXT(W358,"dd-mmm-yy")</f>
        <v/>
      </c>
      <c r="L358" s="26">
        <f>IFERROR(VLOOKUP($M358,'ITEM MASTER'!E:H,4,0),"")</f>
        <v/>
      </c>
      <c r="M358" s="26">
        <f>IFERROR(VLOOKUP($I358,'ITEM MASTER'!B:E,4,0),"")</f>
        <v/>
      </c>
      <c r="N358" s="26">
        <f>IFERROR(VLOOKUP($I358,'ITEM MASTER'!B:F,5,0),0)</f>
        <v/>
      </c>
      <c r="O358" s="26">
        <f>IFERROR(VLOOKUP($M358,'TBGS PER CTN'!B:C,2,0),0)</f>
        <v/>
      </c>
      <c r="P358" s="26" t="n">
        <v>360</v>
      </c>
      <c r="Q358" s="26" t="n">
        <v>0</v>
      </c>
      <c r="R358" s="26" t="n">
        <v>0</v>
      </c>
      <c r="S358" s="26">
        <f>Q358+R358</f>
        <v/>
      </c>
      <c r="T358" s="29" t="n">
        <v>360</v>
      </c>
      <c r="U358" s="29">
        <f>N358*O358*T358</f>
        <v/>
      </c>
      <c r="V358" s="82">
        <f>IF(ISNUMBER($D358),$D358-WEEKDAY($D358,3),'ORDER VS WEEK DISTRIBUTION'!$G$500)</f>
        <v/>
      </c>
      <c r="W358" s="82">
        <f>MAX($V358,'ORDER VS WEEK DISTRIBUTION'!$G$500)</f>
        <v/>
      </c>
      <c r="X358" s="26">
        <f>IFERROR(VLOOKUP($J358,'ORDER VS WEEK DISTRIBUTION'!$T:$U,2,0),"")</f>
        <v/>
      </c>
      <c r="Y358" s="26">
        <f>IFERROR($T358/IF(IFERROR(VLOOKUP($I358,'ITEM CFC PER CONTAINER'!$A:$B,2,0),0)&gt;0,VLOOKUP($I358,'ITEM CFC PER CONTAINER'!$A:$B,2,0),VLOOKUP($X358,'MC MASTER'!$A:$Q,16,0)),"")</f>
        <v/>
      </c>
    </row>
    <row r="359" ht="15" customHeight="1" s="5">
      <c r="A359" s="26" t="inlineStr">
        <is>
          <t>Saran Enterprises Ltd.</t>
        </is>
      </c>
      <c r="B359" s="26" t="inlineStr">
        <is>
          <t>MJIL/SO/26046411</t>
        </is>
      </c>
      <c r="C359" s="26" t="inlineStr">
        <is>
          <t>PO 31082026/02 - JUMBO</t>
        </is>
      </c>
      <c r="D359" s="82" t="n">
        <v>46328</v>
      </c>
      <c r="E359" s="83">
        <f>IF(ISNUMBER($D359),EOMONTH($D359,-1)+1,"")</f>
        <v/>
      </c>
      <c r="F359" s="82" t="n">
        <v>46328</v>
      </c>
      <c r="G359" s="26" t="n">
        <v>5513</v>
      </c>
      <c r="H359" s="26">
        <f>B359&amp;I359</f>
        <v/>
      </c>
      <c r="I359" s="26" t="inlineStr">
        <is>
          <t>JUMBO ENGELESE MELANGE 12/20 DC SF ENV TBGS</t>
        </is>
      </c>
      <c r="J359" s="26" t="inlineStr">
        <is>
          <t>C250</t>
        </is>
      </c>
      <c r="K359" s="26">
        <f>J359&amp;"-"&amp;TEXT(W359,"dd-mmm-yy")</f>
        <v/>
      </c>
      <c r="L359" s="26">
        <f>IFERROR(VLOOKUP($M359,'ITEM MASTER'!E:H,4,0),"")</f>
        <v/>
      </c>
      <c r="M359" s="26">
        <f>IFERROR(VLOOKUP($I359,'ITEM MASTER'!B:E,4,0),"")</f>
        <v/>
      </c>
      <c r="N359" s="26">
        <f>IFERROR(VLOOKUP($I359,'ITEM MASTER'!B:F,5,0),0)</f>
        <v/>
      </c>
      <c r="O359" s="26">
        <f>IFERROR(VLOOKUP($M359,'TBGS PER CTN'!B:C,2,0),0)</f>
        <v/>
      </c>
      <c r="P359" s="26" t="n">
        <v>480</v>
      </c>
      <c r="Q359" s="26" t="n">
        <v>0</v>
      </c>
      <c r="R359" s="26" t="n">
        <v>0</v>
      </c>
      <c r="S359" s="26">
        <f>Q359+R359</f>
        <v/>
      </c>
      <c r="T359" s="29" t="n">
        <v>480</v>
      </c>
      <c r="U359" s="29">
        <f>N359*O359*T359</f>
        <v/>
      </c>
      <c r="V359" s="82">
        <f>IF(ISNUMBER($D359),$D359-WEEKDAY($D359,3),'ORDER VS WEEK DISTRIBUTION'!$G$500)</f>
        <v/>
      </c>
      <c r="W359" s="82">
        <f>MAX($V359,'ORDER VS WEEK DISTRIBUTION'!$G$500)</f>
        <v/>
      </c>
      <c r="X359" s="26">
        <f>IFERROR(VLOOKUP($J359,'ORDER VS WEEK DISTRIBUTION'!$T:$U,2,0),"")</f>
        <v/>
      </c>
      <c r="Y359" s="26">
        <f>IFERROR($T359/IF(IFERROR(VLOOKUP($I359,'ITEM CFC PER CONTAINER'!$A:$B,2,0),0)&gt;0,VLOOKUP($I359,'ITEM CFC PER CONTAINER'!$A:$B,2,0),VLOOKUP($X359,'MC MASTER'!$A:$Q,16,0)),"")</f>
        <v/>
      </c>
    </row>
    <row r="360" ht="15" customHeight="1" s="5">
      <c r="A360" s="26" t="inlineStr">
        <is>
          <t>Saran Enterprises Ltd.</t>
        </is>
      </c>
      <c r="B360" s="26" t="inlineStr">
        <is>
          <t>MJIL/SO/26046411</t>
        </is>
      </c>
      <c r="C360" s="26" t="inlineStr">
        <is>
          <t>PO 31082026/02 - JUMBO</t>
        </is>
      </c>
      <c r="D360" s="82" t="n">
        <v>46328</v>
      </c>
      <c r="E360" s="83">
        <f>IF(ISNUMBER($D360),EOMONTH($D360,-1)+1,"")</f>
        <v/>
      </c>
      <c r="F360" s="82" t="n">
        <v>46328</v>
      </c>
      <c r="G360" s="26" t="n">
        <v>5516</v>
      </c>
      <c r="H360" s="26">
        <f>B360&amp;I360</f>
        <v/>
      </c>
      <c r="I360" s="26" t="inlineStr">
        <is>
          <t>JUMBO ENGELESE MELANGE 12/40 DC SF TAG TBGS</t>
        </is>
      </c>
      <c r="J360" s="26" t="inlineStr">
        <is>
          <t>C250F3 HS</t>
        </is>
      </c>
      <c r="K360" s="26">
        <f>J360&amp;"-"&amp;TEXT(W360,"dd-mmm-yy")</f>
        <v/>
      </c>
      <c r="L360" s="26">
        <f>IFERROR(VLOOKUP($M360,'ITEM MASTER'!E:H,4,0),"")</f>
        <v/>
      </c>
      <c r="M360" s="26">
        <f>IFERROR(VLOOKUP($I360,'ITEM MASTER'!B:E,4,0),"")</f>
        <v/>
      </c>
      <c r="N360" s="26">
        <f>IFERROR(VLOOKUP($I360,'ITEM MASTER'!B:F,5,0),0)</f>
        <v/>
      </c>
      <c r="O360" s="26">
        <f>IFERROR(VLOOKUP($M360,'TBGS PER CTN'!B:C,2,0),0)</f>
        <v/>
      </c>
      <c r="P360" s="26" t="n">
        <v>432</v>
      </c>
      <c r="Q360" s="26" t="n">
        <v>0</v>
      </c>
      <c r="R360" s="26" t="n">
        <v>0</v>
      </c>
      <c r="S360" s="26">
        <f>Q360+R360</f>
        <v/>
      </c>
      <c r="T360" s="29" t="n">
        <v>432</v>
      </c>
      <c r="U360" s="29">
        <f>N360*O360*T360</f>
        <v/>
      </c>
      <c r="V360" s="82">
        <f>IF(ISNUMBER($D360),$D360-WEEKDAY($D360,3),'ORDER VS WEEK DISTRIBUTION'!$G$500)</f>
        <v/>
      </c>
      <c r="W360" s="82">
        <f>MAX($V360,'ORDER VS WEEK DISTRIBUTION'!$G$500)</f>
        <v/>
      </c>
      <c r="X360" s="26">
        <f>IFERROR(VLOOKUP($J360,'ORDER VS WEEK DISTRIBUTION'!$T:$U,2,0),"")</f>
        <v/>
      </c>
      <c r="Y360" s="26">
        <f>IFERROR($T360/IF(IFERROR(VLOOKUP($I360,'ITEM CFC PER CONTAINER'!$A:$B,2,0),0)&gt;0,VLOOKUP($I360,'ITEM CFC PER CONTAINER'!$A:$B,2,0),VLOOKUP($X360,'MC MASTER'!$A:$Q,16,0)),"")</f>
        <v/>
      </c>
    </row>
    <row r="361" ht="15" customHeight="1" s="5">
      <c r="A361" s="26" t="inlineStr">
        <is>
          <t>Saran Enterprises Ltd.</t>
        </is>
      </c>
      <c r="B361" s="26" t="inlineStr">
        <is>
          <t>MJIL/SO/26046411</t>
        </is>
      </c>
      <c r="C361" s="26" t="inlineStr">
        <is>
          <t>PO 31082026/02 - JUMBO</t>
        </is>
      </c>
      <c r="D361" s="82" t="n">
        <v>46328</v>
      </c>
      <c r="E361" s="83">
        <f>IF(ISNUMBER($D361),EOMONTH($D361,-1)+1,"")</f>
        <v/>
      </c>
      <c r="F361" s="82" t="n">
        <v>46328</v>
      </c>
      <c r="G361" s="26" t="n">
        <v>5529</v>
      </c>
      <c r="H361" s="26">
        <f>B361&amp;I361</f>
        <v/>
      </c>
      <c r="I361" s="26" t="inlineStr">
        <is>
          <t>JUMBO ORANGE 12/20 DC SF ENV TBGS</t>
        </is>
      </c>
      <c r="J361" s="26" t="inlineStr">
        <is>
          <t>C250</t>
        </is>
      </c>
      <c r="K361" s="26">
        <f>J361&amp;"-"&amp;TEXT(W361,"dd-mmm-yy")</f>
        <v/>
      </c>
      <c r="L361" s="26">
        <f>IFERROR(VLOOKUP($M361,'ITEM MASTER'!E:H,4,0),"")</f>
        <v/>
      </c>
      <c r="M361" s="26">
        <f>IFERROR(VLOOKUP($I361,'ITEM MASTER'!B:E,4,0),"")</f>
        <v/>
      </c>
      <c r="N361" s="26">
        <f>IFERROR(VLOOKUP($I361,'ITEM MASTER'!B:F,5,0),0)</f>
        <v/>
      </c>
      <c r="O361" s="26">
        <f>IFERROR(VLOOKUP($M361,'TBGS PER CTN'!B:C,2,0),0)</f>
        <v/>
      </c>
      <c r="P361" s="26" t="n">
        <v>600</v>
      </c>
      <c r="Q361" s="26" t="n">
        <v>0</v>
      </c>
      <c r="R361" s="26" t="n">
        <v>0</v>
      </c>
      <c r="S361" s="26">
        <f>Q361+R361</f>
        <v/>
      </c>
      <c r="T361" s="29" t="n">
        <v>600</v>
      </c>
      <c r="U361" s="29">
        <f>N361*O361*T361</f>
        <v/>
      </c>
      <c r="V361" s="82">
        <f>IF(ISNUMBER($D361),$D361-WEEKDAY($D361,3),'ORDER VS WEEK DISTRIBUTION'!$G$500)</f>
        <v/>
      </c>
      <c r="W361" s="82">
        <f>MAX($V361,'ORDER VS WEEK DISTRIBUTION'!$G$500)</f>
        <v/>
      </c>
      <c r="X361" s="26">
        <f>IFERROR(VLOOKUP($J361,'ORDER VS WEEK DISTRIBUTION'!$T:$U,2,0),"")</f>
        <v/>
      </c>
      <c r="Y361" s="26">
        <f>IFERROR($T361/IF(IFERROR(VLOOKUP($I361,'ITEM CFC PER CONTAINER'!$A:$B,2,0),0)&gt;0,VLOOKUP($I361,'ITEM CFC PER CONTAINER'!$A:$B,2,0),VLOOKUP($X361,'MC MASTER'!$A:$Q,16,0)),"")</f>
        <v/>
      </c>
    </row>
    <row r="362" ht="15" customHeight="1" s="5">
      <c r="A362" s="26" t="inlineStr">
        <is>
          <t>Saran Enterprises Ltd.</t>
        </is>
      </c>
      <c r="B362" s="26" t="inlineStr">
        <is>
          <t>MJIL/SO/26046411</t>
        </is>
      </c>
      <c r="C362" s="26" t="inlineStr">
        <is>
          <t>PO 31082026/02 - JUMBO</t>
        </is>
      </c>
      <c r="D362" s="82" t="n">
        <v>46328</v>
      </c>
      <c r="E362" s="83">
        <f>IF(ISNUMBER($D362),EOMONTH($D362,-1)+1,"")</f>
        <v/>
      </c>
      <c r="F362" s="82" t="n">
        <v>46328</v>
      </c>
      <c r="G362" s="26" t="n">
        <v>5530</v>
      </c>
      <c r="H362" s="26">
        <f>B362&amp;I362</f>
        <v/>
      </c>
      <c r="I362" s="26" t="inlineStr">
        <is>
          <t>JUMBO ORANGE VARIATION 12/20 DC SF ENV TBGS</t>
        </is>
      </c>
      <c r="J362" s="26" t="inlineStr">
        <is>
          <t>C250</t>
        </is>
      </c>
      <c r="K362" s="26">
        <f>J362&amp;"-"&amp;TEXT(W362,"dd-mmm-yy")</f>
        <v/>
      </c>
      <c r="L362" s="26">
        <f>IFERROR(VLOOKUP($M362,'ITEM MASTER'!E:H,4,0),"")</f>
        <v/>
      </c>
      <c r="M362" s="26">
        <f>IFERROR(VLOOKUP($I362,'ITEM MASTER'!B:E,4,0),"")</f>
        <v/>
      </c>
      <c r="N362" s="26">
        <f>IFERROR(VLOOKUP($I362,'ITEM MASTER'!B:F,5,0),0)</f>
        <v/>
      </c>
      <c r="O362" s="26">
        <f>IFERROR(VLOOKUP($M362,'TBGS PER CTN'!B:C,2,0),0)</f>
        <v/>
      </c>
      <c r="P362" s="26" t="n">
        <v>600</v>
      </c>
      <c r="Q362" s="26" t="n">
        <v>0</v>
      </c>
      <c r="R362" s="26" t="n">
        <v>0</v>
      </c>
      <c r="S362" s="26">
        <f>Q362+R362</f>
        <v/>
      </c>
      <c r="T362" s="29" t="n">
        <v>600</v>
      </c>
      <c r="U362" s="29">
        <f>N362*O362*T362</f>
        <v/>
      </c>
      <c r="V362" s="82">
        <f>IF(ISNUMBER($D362),$D362-WEEKDAY($D362,3),'ORDER VS WEEK DISTRIBUTION'!$G$500)</f>
        <v/>
      </c>
      <c r="W362" s="82">
        <f>MAX($V362,'ORDER VS WEEK DISTRIBUTION'!$G$500)</f>
        <v/>
      </c>
      <c r="X362" s="26">
        <f>IFERROR(VLOOKUP($J362,'ORDER VS WEEK DISTRIBUTION'!$T:$U,2,0),"")</f>
        <v/>
      </c>
      <c r="Y362" s="26">
        <f>IFERROR($T362/IF(IFERROR(VLOOKUP($I362,'ITEM CFC PER CONTAINER'!$A:$B,2,0),0)&gt;0,VLOOKUP($I362,'ITEM CFC PER CONTAINER'!$A:$B,2,0),VLOOKUP($X362,'MC MASTER'!$A:$Q,16,0)),"")</f>
        <v/>
      </c>
    </row>
    <row r="363" ht="15" customHeight="1" s="5">
      <c r="A363" s="26" t="inlineStr">
        <is>
          <t>Saran Enterprises Ltd.</t>
        </is>
      </c>
      <c r="B363" s="26" t="inlineStr">
        <is>
          <t>MJIL/SO/26046411</t>
        </is>
      </c>
      <c r="C363" s="26" t="inlineStr">
        <is>
          <t>PO 31082026/02 - JUMBO</t>
        </is>
      </c>
      <c r="D363" s="82" t="n">
        <v>46328</v>
      </c>
      <c r="E363" s="83">
        <f>IF(ISNUMBER($D363),EOMONTH($D363,-1)+1,"")</f>
        <v/>
      </c>
      <c r="F363" s="82" t="n">
        <v>46328</v>
      </c>
      <c r="G363" s="26" t="n">
        <v>5531</v>
      </c>
      <c r="H363" s="26">
        <f>B363&amp;I363</f>
        <v/>
      </c>
      <c r="I363" s="26" t="inlineStr">
        <is>
          <t>JUMBO RED VARIATION 12/20 DC SF ENV TBGS</t>
        </is>
      </c>
      <c r="J363" s="26" t="inlineStr">
        <is>
          <t>MD20 ENV</t>
        </is>
      </c>
      <c r="K363" s="26">
        <f>J363&amp;"-"&amp;TEXT(W363,"dd-mmm-yy")</f>
        <v/>
      </c>
      <c r="L363" s="26">
        <f>IFERROR(VLOOKUP($M363,'ITEM MASTER'!E:H,4,0),"")</f>
        <v/>
      </c>
      <c r="M363" s="26">
        <f>IFERROR(VLOOKUP($I363,'ITEM MASTER'!B:E,4,0),"")</f>
        <v/>
      </c>
      <c r="N363" s="26">
        <f>IFERROR(VLOOKUP($I363,'ITEM MASTER'!B:F,5,0),0)</f>
        <v/>
      </c>
      <c r="O363" s="26">
        <f>IFERROR(VLOOKUP($M363,'TBGS PER CTN'!B:C,2,0),0)</f>
        <v/>
      </c>
      <c r="P363" s="26" t="n">
        <v>600</v>
      </c>
      <c r="Q363" s="26" t="n">
        <v>0</v>
      </c>
      <c r="R363" s="26" t="n">
        <v>0</v>
      </c>
      <c r="S363" s="26">
        <f>Q363+R363</f>
        <v/>
      </c>
      <c r="T363" s="29" t="n">
        <v>600</v>
      </c>
      <c r="U363" s="29">
        <f>N363*O363*T363</f>
        <v/>
      </c>
      <c r="V363" s="82">
        <f>IF(ISNUMBER($D363),$D363-WEEKDAY($D363,3),'ORDER VS WEEK DISTRIBUTION'!$G$500)</f>
        <v/>
      </c>
      <c r="W363" s="82">
        <f>MAX($V363,'ORDER VS WEEK DISTRIBUTION'!$G$500)</f>
        <v/>
      </c>
      <c r="X363" s="26">
        <f>IFERROR(VLOOKUP($J363,'ORDER VS WEEK DISTRIBUTION'!$T:$U,2,0),"")</f>
        <v/>
      </c>
      <c r="Y363" s="26">
        <f>IFERROR($T363/IF(IFERROR(VLOOKUP($I363,'ITEM CFC PER CONTAINER'!$A:$B,2,0),0)&gt;0,VLOOKUP($I363,'ITEM CFC PER CONTAINER'!$A:$B,2,0),VLOOKUP($X363,'MC MASTER'!$A:$Q,16,0)),"")</f>
        <v/>
      </c>
    </row>
    <row r="364" ht="15" customHeight="1" s="5">
      <c r="A364" s="26" t="inlineStr">
        <is>
          <t>Dagab Inkop &amp; Logistik Ab</t>
        </is>
      </c>
      <c r="B364" s="26" t="inlineStr">
        <is>
          <t>MJIL/SO/26046403</t>
        </is>
      </c>
      <c r="C364" s="26" t="inlineStr">
        <is>
          <t>F344307169</t>
        </is>
      </c>
      <c r="D364" s="82" t="n">
        <v>46332</v>
      </c>
      <c r="E364" s="83">
        <f>IF(ISNUMBER($D364),EOMONTH($D364,-1)+1,"")</f>
        <v/>
      </c>
      <c r="F364" s="82" t="n">
        <v>46332</v>
      </c>
      <c r="G364" s="26" t="n">
        <v>35542</v>
      </c>
      <c r="H364" s="26">
        <f>B364&amp;I364</f>
        <v/>
      </c>
      <c r="I364" s="26" t="inlineStr">
        <is>
          <t>GARANT KAMOMILL TE 15/20 DC ENV TBGS (V2)</t>
        </is>
      </c>
      <c r="J364" s="26" t="inlineStr">
        <is>
          <t>MD20 ENV GARANT</t>
        </is>
      </c>
      <c r="K364" s="26">
        <f>J364&amp;"-"&amp;TEXT(W364,"dd-mmm-yy")</f>
        <v/>
      </c>
      <c r="L364" s="26">
        <f>IFERROR(VLOOKUP($M364,'ITEM MASTER'!E:H,4,0),"")</f>
        <v/>
      </c>
      <c r="M364" s="26">
        <f>IFERROR(VLOOKUP($I364,'ITEM MASTER'!B:E,4,0),"")</f>
        <v/>
      </c>
      <c r="N364" s="26">
        <f>IFERROR(VLOOKUP($I364,'ITEM MASTER'!B:F,5,0),0)</f>
        <v/>
      </c>
      <c r="O364" s="26">
        <f>IFERROR(VLOOKUP($M364,'TBGS PER CTN'!B:C,2,0),0)</f>
        <v/>
      </c>
      <c r="P364" s="26" t="n">
        <v>400</v>
      </c>
      <c r="Q364" s="26" t="n">
        <v>0</v>
      </c>
      <c r="R364" s="26" t="n">
        <v>0</v>
      </c>
      <c r="S364" s="26">
        <f>Q364+R364</f>
        <v/>
      </c>
      <c r="T364" s="29" t="n">
        <v>400</v>
      </c>
      <c r="U364" s="29">
        <f>N364*O364*T364</f>
        <v/>
      </c>
      <c r="V364" s="82">
        <f>IF(ISNUMBER($D364),$D364-WEEKDAY($D364,3),'ORDER VS WEEK DISTRIBUTION'!$G$500)</f>
        <v/>
      </c>
      <c r="W364" s="82">
        <f>MAX($V364,'ORDER VS WEEK DISTRIBUTION'!$G$500)</f>
        <v/>
      </c>
      <c r="X364" s="26">
        <f>IFERROR(VLOOKUP($J364,'ORDER VS WEEK DISTRIBUTION'!$T:$U,2,0),"")</f>
        <v/>
      </c>
      <c r="Y364" s="26">
        <f>IFERROR($T364/IF(IFERROR(VLOOKUP($I364,'ITEM CFC PER CONTAINER'!$A:$B,2,0),0)&gt;0,VLOOKUP($I364,'ITEM CFC PER CONTAINER'!$A:$B,2,0),VLOOKUP($X364,'MC MASTER'!$A:$Q,16,0)),"")</f>
        <v/>
      </c>
    </row>
    <row r="365" ht="15" customHeight="1" s="5">
      <c r="A365" s="26" t="inlineStr">
        <is>
          <t>Dagab Inkop &amp; Logistik Ab</t>
        </is>
      </c>
      <c r="B365" s="26" t="inlineStr">
        <is>
          <t>MJIL/SO/26046403</t>
        </is>
      </c>
      <c r="C365" s="26" t="inlineStr">
        <is>
          <t>F344307169</t>
        </is>
      </c>
      <c r="D365" s="82" t="n">
        <v>46332</v>
      </c>
      <c r="E365" s="83">
        <f>IF(ISNUMBER($D365),EOMONTH($D365,-1)+1,"")</f>
        <v/>
      </c>
      <c r="F365" s="82" t="n">
        <v>46332</v>
      </c>
      <c r="G365" s="26" t="n">
        <v>35543</v>
      </c>
      <c r="H365" s="26">
        <f>B365&amp;I365</f>
        <v/>
      </c>
      <c r="I365" s="26" t="inlineStr">
        <is>
          <t>GARANT PEPPARMYNT TE 15/20 DC ENV TBGS (v2)</t>
        </is>
      </c>
      <c r="J365" s="26" t="inlineStr">
        <is>
          <t>MD20 ENV GARANT</t>
        </is>
      </c>
      <c r="K365" s="26">
        <f>J365&amp;"-"&amp;TEXT(W365,"dd-mmm-yy")</f>
        <v/>
      </c>
      <c r="L365" s="26">
        <f>IFERROR(VLOOKUP($M365,'ITEM MASTER'!E:H,4,0),"")</f>
        <v/>
      </c>
      <c r="M365" s="26">
        <f>IFERROR(VLOOKUP($I365,'ITEM MASTER'!B:E,4,0),"")</f>
        <v/>
      </c>
      <c r="N365" s="26">
        <f>IFERROR(VLOOKUP($I365,'ITEM MASTER'!B:F,5,0),0)</f>
        <v/>
      </c>
      <c r="O365" s="26">
        <f>IFERROR(VLOOKUP($M365,'TBGS PER CTN'!B:C,2,0),0)</f>
        <v/>
      </c>
      <c r="P365" s="26" t="n">
        <v>100</v>
      </c>
      <c r="Q365" s="26" t="n">
        <v>0</v>
      </c>
      <c r="R365" s="26" t="n">
        <v>0</v>
      </c>
      <c r="S365" s="26">
        <f>Q365+R365</f>
        <v/>
      </c>
      <c r="T365" s="29" t="n">
        <v>100</v>
      </c>
      <c r="U365" s="29">
        <f>N365*O365*T365</f>
        <v/>
      </c>
      <c r="V365" s="82">
        <f>IF(ISNUMBER($D365),$D365-WEEKDAY($D365,3),'ORDER VS WEEK DISTRIBUTION'!$G$500)</f>
        <v/>
      </c>
      <c r="W365" s="82">
        <f>MAX($V365,'ORDER VS WEEK DISTRIBUTION'!$G$500)</f>
        <v/>
      </c>
      <c r="X365" s="26">
        <f>IFERROR(VLOOKUP($J365,'ORDER VS WEEK DISTRIBUTION'!$T:$U,2,0),"")</f>
        <v/>
      </c>
      <c r="Y365" s="26">
        <f>IFERROR($T365/IF(IFERROR(VLOOKUP($I365,'ITEM CFC PER CONTAINER'!$A:$B,2,0),0)&gt;0,VLOOKUP($I365,'ITEM CFC PER CONTAINER'!$A:$B,2,0),VLOOKUP($X365,'MC MASTER'!$A:$Q,16,0)),"")</f>
        <v/>
      </c>
    </row>
    <row r="366" ht="15" customHeight="1" s="5">
      <c r="A366" s="26" t="inlineStr">
        <is>
          <t>Dagab Inkop &amp; Logistik Ab</t>
        </is>
      </c>
      <c r="B366" s="26" t="inlineStr">
        <is>
          <t>MJIL/SO/26046403</t>
        </is>
      </c>
      <c r="C366" s="26" t="inlineStr">
        <is>
          <t>F344307169</t>
        </is>
      </c>
      <c r="D366" s="82" t="n">
        <v>46332</v>
      </c>
      <c r="E366" s="83">
        <f>IF(ISNUMBER($D366),EOMONTH($D366,-1)+1,"")</f>
        <v/>
      </c>
      <c r="F366" s="82" t="n">
        <v>46332</v>
      </c>
      <c r="G366" s="26" t="n">
        <v>34989</v>
      </c>
      <c r="H366" s="26">
        <f>B366&amp;I366</f>
        <v/>
      </c>
      <c r="I366" s="26" t="inlineStr">
        <is>
          <t>ELDORADO 12/100 DC TAG TBGS</t>
        </is>
      </c>
      <c r="J366" s="26" t="inlineStr">
        <is>
          <t>PERFECTA  K 45 TAG</t>
        </is>
      </c>
      <c r="K366" s="26">
        <f>J366&amp;"-"&amp;TEXT(W366,"dd-mmm-yy")</f>
        <v/>
      </c>
      <c r="L366" s="26">
        <f>IFERROR(VLOOKUP($M366,'ITEM MASTER'!E:H,4,0),"")</f>
        <v/>
      </c>
      <c r="M366" s="26">
        <f>IFERROR(VLOOKUP($I366,'ITEM MASTER'!B:E,4,0),"")</f>
        <v/>
      </c>
      <c r="N366" s="26">
        <f>IFERROR(VLOOKUP($I366,'ITEM MASTER'!B:F,5,0),0)</f>
        <v/>
      </c>
      <c r="O366" s="26">
        <f>IFERROR(VLOOKUP($M366,'TBGS PER CTN'!B:C,2,0),0)</f>
        <v/>
      </c>
      <c r="P366" s="26" t="n">
        <v>540</v>
      </c>
      <c r="Q366" s="26" t="n">
        <v>0</v>
      </c>
      <c r="R366" s="26" t="n">
        <v>0</v>
      </c>
      <c r="S366" s="26">
        <f>Q366+R366</f>
        <v/>
      </c>
      <c r="T366" s="29" t="n">
        <v>540</v>
      </c>
      <c r="U366" s="29">
        <f>N366*O366*T366</f>
        <v/>
      </c>
      <c r="V366" s="82">
        <f>IF(ISNUMBER($D366),$D366-WEEKDAY($D366,3),'ORDER VS WEEK DISTRIBUTION'!$G$500)</f>
        <v/>
      </c>
      <c r="W366" s="82">
        <f>MAX($V366,'ORDER VS WEEK DISTRIBUTION'!$G$500)</f>
        <v/>
      </c>
      <c r="X366" s="26">
        <f>IFERROR(VLOOKUP($J366,'ORDER VS WEEK DISTRIBUTION'!$T:$U,2,0),"")</f>
        <v/>
      </c>
      <c r="Y366" s="26">
        <f>IFERROR($T366/IF(IFERROR(VLOOKUP($I366,'ITEM CFC PER CONTAINER'!$A:$B,2,0),0)&gt;0,VLOOKUP($I366,'ITEM CFC PER CONTAINER'!$A:$B,2,0),VLOOKUP($X366,'MC MASTER'!$A:$Q,16,0)),"")</f>
        <v/>
      </c>
    </row>
    <row r="367" ht="15" customHeight="1" s="5">
      <c r="A367" s="26" t="inlineStr">
        <is>
          <t>Dagab Inkop &amp; Logistik Ab</t>
        </is>
      </c>
      <c r="B367" s="26" t="inlineStr">
        <is>
          <t>MJIL/SO/26046403</t>
        </is>
      </c>
      <c r="C367" s="26" t="inlineStr">
        <is>
          <t>F344307169</t>
        </is>
      </c>
      <c r="D367" s="82" t="n">
        <v>46332</v>
      </c>
      <c r="E367" s="83">
        <f>IF(ISNUMBER($D367),EOMONTH($D367,-1)+1,"")</f>
        <v/>
      </c>
      <c r="F367" s="82" t="n">
        <v>46332</v>
      </c>
      <c r="G367" s="26" t="n">
        <v>35537</v>
      </c>
      <c r="H367" s="26">
        <f>B367&amp;I367</f>
        <v/>
      </c>
      <c r="I367" s="26" t="inlineStr">
        <is>
          <t>GARANT ROOIBOS RABARBER &amp; VANILJ 15/20 DC ENV TBGS- FT</t>
        </is>
      </c>
      <c r="J367" s="26" t="inlineStr">
        <is>
          <t>MD20 ENV GARANT</t>
        </is>
      </c>
      <c r="K367" s="26">
        <f>J367&amp;"-"&amp;TEXT(W367,"dd-mmm-yy")</f>
        <v/>
      </c>
      <c r="L367" s="26">
        <f>IFERROR(VLOOKUP($M367,'ITEM MASTER'!E:H,4,0),"")</f>
        <v/>
      </c>
      <c r="M367" s="26">
        <f>IFERROR(VLOOKUP($I367,'ITEM MASTER'!B:E,4,0),"")</f>
        <v/>
      </c>
      <c r="N367" s="26">
        <f>IFERROR(VLOOKUP($I367,'ITEM MASTER'!B:F,5,0),0)</f>
        <v/>
      </c>
      <c r="O367" s="26">
        <f>IFERROR(VLOOKUP($M367,'TBGS PER CTN'!B:C,2,0),0)</f>
        <v/>
      </c>
      <c r="P367" s="26" t="n">
        <v>500</v>
      </c>
      <c r="Q367" s="26" t="n">
        <v>0</v>
      </c>
      <c r="R367" s="26" t="n">
        <v>55</v>
      </c>
      <c r="S367" s="26">
        <f>Q367+R367</f>
        <v/>
      </c>
      <c r="T367" s="29" t="n">
        <v>445</v>
      </c>
      <c r="U367" s="29">
        <f>N367*O367*T367</f>
        <v/>
      </c>
      <c r="V367" s="82">
        <f>IF(ISNUMBER($D367),$D367-WEEKDAY($D367,3),'ORDER VS WEEK DISTRIBUTION'!$G$500)</f>
        <v/>
      </c>
      <c r="W367" s="82">
        <f>MAX($V367,'ORDER VS WEEK DISTRIBUTION'!$G$500)</f>
        <v/>
      </c>
      <c r="X367" s="26">
        <f>IFERROR(VLOOKUP($J367,'ORDER VS WEEK DISTRIBUTION'!$T:$U,2,0),"")</f>
        <v/>
      </c>
      <c r="Y367" s="26">
        <f>IFERROR($T367/IF(IFERROR(VLOOKUP($I367,'ITEM CFC PER CONTAINER'!$A:$B,2,0),0)&gt;0,VLOOKUP($I367,'ITEM CFC PER CONTAINER'!$A:$B,2,0),VLOOKUP($X367,'MC MASTER'!$A:$Q,16,0)),"")</f>
        <v/>
      </c>
    </row>
    <row r="368" ht="15" customHeight="1" s="5">
      <c r="A368" s="26" t="inlineStr">
        <is>
          <t>Dagab Inkop &amp; Logistik Ab</t>
        </is>
      </c>
      <c r="B368" s="26" t="inlineStr">
        <is>
          <t>MJIL/SO/26046403</t>
        </is>
      </c>
      <c r="C368" s="26" t="inlineStr">
        <is>
          <t>F344307169</t>
        </is>
      </c>
      <c r="D368" s="82" t="n">
        <v>46332</v>
      </c>
      <c r="E368" s="83">
        <f>IF(ISNUMBER($D368),EOMONTH($D368,-1)+1,"")</f>
        <v/>
      </c>
      <c r="F368" s="82" t="n">
        <v>46332</v>
      </c>
      <c r="G368" s="26" t="n">
        <v>36050</v>
      </c>
      <c r="H368" s="26">
        <f>B368&amp;I368</f>
        <v/>
      </c>
      <c r="I368" s="26" t="inlineStr">
        <is>
          <t>GARANT EARL GREY 15/20 DC ENV TBGS-FT</t>
        </is>
      </c>
      <c r="J368" s="26" t="inlineStr">
        <is>
          <t>MD20 ENV GARANT</t>
        </is>
      </c>
      <c r="K368" s="26">
        <f>J368&amp;"-"&amp;TEXT(W368,"dd-mmm-yy")</f>
        <v/>
      </c>
      <c r="L368" s="26">
        <f>IFERROR(VLOOKUP($M368,'ITEM MASTER'!E:H,4,0),"")</f>
        <v/>
      </c>
      <c r="M368" s="26">
        <f>IFERROR(VLOOKUP($I368,'ITEM MASTER'!B:E,4,0),"")</f>
        <v/>
      </c>
      <c r="N368" s="26">
        <f>IFERROR(VLOOKUP($I368,'ITEM MASTER'!B:F,5,0),0)</f>
        <v/>
      </c>
      <c r="O368" s="26">
        <f>IFERROR(VLOOKUP($M368,'TBGS PER CTN'!B:C,2,0),0)</f>
        <v/>
      </c>
      <c r="P368" s="26" t="n">
        <v>1000</v>
      </c>
      <c r="Q368" s="26" t="n">
        <v>0</v>
      </c>
      <c r="R368" s="26" t="n">
        <v>0</v>
      </c>
      <c r="S368" s="26">
        <f>Q368+R368</f>
        <v/>
      </c>
      <c r="T368" s="29" t="n">
        <v>1000</v>
      </c>
      <c r="U368" s="29">
        <f>N368*O368*T368</f>
        <v/>
      </c>
      <c r="V368" s="82">
        <f>IF(ISNUMBER($D368),$D368-WEEKDAY($D368,3),'ORDER VS WEEK DISTRIBUTION'!$G$500)</f>
        <v/>
      </c>
      <c r="W368" s="82">
        <f>MAX($V368,'ORDER VS WEEK DISTRIBUTION'!$G$500)</f>
        <v/>
      </c>
      <c r="X368" s="26">
        <f>IFERROR(VLOOKUP($J368,'ORDER VS WEEK DISTRIBUTION'!$T:$U,2,0),"")</f>
        <v/>
      </c>
      <c r="Y368" s="26">
        <f>IFERROR($T368/IF(IFERROR(VLOOKUP($I368,'ITEM CFC PER CONTAINER'!$A:$B,2,0),0)&gt;0,VLOOKUP($I368,'ITEM CFC PER CONTAINER'!$A:$B,2,0),VLOOKUP($X368,'MC MASTER'!$A:$Q,16,0)),"")</f>
        <v/>
      </c>
    </row>
    <row r="369" ht="15" customHeight="1" s="5">
      <c r="A369" s="26" t="inlineStr">
        <is>
          <t>Dagab Inkop &amp; Logistik Ab</t>
        </is>
      </c>
      <c r="B369" s="26" t="inlineStr">
        <is>
          <t>MJIL/SO/26046403</t>
        </is>
      </c>
      <c r="C369" s="26" t="inlineStr">
        <is>
          <t>F344307169</t>
        </is>
      </c>
      <c r="D369" s="82" t="n">
        <v>46332</v>
      </c>
      <c r="E369" s="83">
        <f>IF(ISNUMBER($D369),EOMONTH($D369,-1)+1,"")</f>
        <v/>
      </c>
      <c r="F369" s="82" t="n">
        <v>46332</v>
      </c>
      <c r="G369" s="26" t="n">
        <v>35520</v>
      </c>
      <c r="H369" s="26">
        <f>B369&amp;I369</f>
        <v/>
      </c>
      <c r="I369" s="26" t="inlineStr">
        <is>
          <t>GARANT BLACK CURRANT 15/20 DC ENV TBGS-FT</t>
        </is>
      </c>
      <c r="J369" s="26" t="inlineStr">
        <is>
          <t>MD20 ENV GARANT</t>
        </is>
      </c>
      <c r="K369" s="26">
        <f>J369&amp;"-"&amp;TEXT(W369,"dd-mmm-yy")</f>
        <v/>
      </c>
      <c r="L369" s="26">
        <f>IFERROR(VLOOKUP($M369,'ITEM MASTER'!E:H,4,0),"")</f>
        <v/>
      </c>
      <c r="M369" s="26">
        <f>IFERROR(VLOOKUP($I369,'ITEM MASTER'!B:E,4,0),"")</f>
        <v/>
      </c>
      <c r="N369" s="26">
        <f>IFERROR(VLOOKUP($I369,'ITEM MASTER'!B:F,5,0),0)</f>
        <v/>
      </c>
      <c r="O369" s="26">
        <f>IFERROR(VLOOKUP($M369,'TBGS PER CTN'!B:C,2,0),0)</f>
        <v/>
      </c>
      <c r="P369" s="26" t="n">
        <v>1200</v>
      </c>
      <c r="Q369" s="26" t="n">
        <v>0</v>
      </c>
      <c r="R369" s="26" t="n">
        <v>0</v>
      </c>
      <c r="S369" s="26">
        <f>Q369+R369</f>
        <v/>
      </c>
      <c r="T369" s="29" t="n">
        <v>1200</v>
      </c>
      <c r="U369" s="29">
        <f>N369*O369*T369</f>
        <v/>
      </c>
      <c r="V369" s="82">
        <f>IF(ISNUMBER($D369),$D369-WEEKDAY($D369,3),'ORDER VS WEEK DISTRIBUTION'!$G$500)</f>
        <v/>
      </c>
      <c r="W369" s="82">
        <f>MAX($V369,'ORDER VS WEEK DISTRIBUTION'!$G$500)</f>
        <v/>
      </c>
      <c r="X369" s="26">
        <f>IFERROR(VLOOKUP($J369,'ORDER VS WEEK DISTRIBUTION'!$T:$U,2,0),"")</f>
        <v/>
      </c>
      <c r="Y369" s="26">
        <f>IFERROR($T369/IF(IFERROR(VLOOKUP($I369,'ITEM CFC PER CONTAINER'!$A:$B,2,0),0)&gt;0,VLOOKUP($I369,'ITEM CFC PER CONTAINER'!$A:$B,2,0),VLOOKUP($X369,'MC MASTER'!$A:$Q,16,0)),"")</f>
        <v/>
      </c>
    </row>
    <row r="370" ht="15" customHeight="1" s="5">
      <c r="A370" s="26" t="inlineStr">
        <is>
          <t>Dagab Inkop &amp; Logistik Ab</t>
        </is>
      </c>
      <c r="B370" s="26" t="inlineStr">
        <is>
          <t>MJIL/SO/26046403</t>
        </is>
      </c>
      <c r="C370" s="26" t="inlineStr">
        <is>
          <t>F344307169</t>
        </is>
      </c>
      <c r="D370" s="82" t="n">
        <v>46332</v>
      </c>
      <c r="E370" s="83">
        <f>IF(ISNUMBER($D370),EOMONTH($D370,-1)+1,"")</f>
        <v/>
      </c>
      <c r="F370" s="82" t="n">
        <v>46332</v>
      </c>
      <c r="G370" s="26" t="n">
        <v>35522</v>
      </c>
      <c r="H370" s="26">
        <f>B370&amp;I370</f>
        <v/>
      </c>
      <c r="I370" s="26" t="inlineStr">
        <is>
          <t>GARANT BLACK TEA MANGO STRAWBERRY 15/20 DC SF ENV TBGS-FT</t>
        </is>
      </c>
      <c r="J370" s="26" t="inlineStr">
        <is>
          <t>MD20 ENV GARANT</t>
        </is>
      </c>
      <c r="K370" s="26">
        <f>J370&amp;"-"&amp;TEXT(W370,"dd-mmm-yy")</f>
        <v/>
      </c>
      <c r="L370" s="26">
        <f>IFERROR(VLOOKUP($M370,'ITEM MASTER'!E:H,4,0),"")</f>
        <v/>
      </c>
      <c r="M370" s="26">
        <f>IFERROR(VLOOKUP($I370,'ITEM MASTER'!B:E,4,0),"")</f>
        <v/>
      </c>
      <c r="N370" s="26">
        <f>IFERROR(VLOOKUP($I370,'ITEM MASTER'!B:F,5,0),0)</f>
        <v/>
      </c>
      <c r="O370" s="26">
        <f>IFERROR(VLOOKUP($M370,'TBGS PER CTN'!B:C,2,0),0)</f>
        <v/>
      </c>
      <c r="P370" s="26" t="n">
        <v>1000</v>
      </c>
      <c r="Q370" s="26" t="n">
        <v>0</v>
      </c>
      <c r="R370" s="26" t="n">
        <v>200</v>
      </c>
      <c r="S370" s="26">
        <f>Q370+R370</f>
        <v/>
      </c>
      <c r="T370" s="29" t="n">
        <v>800</v>
      </c>
      <c r="U370" s="29">
        <f>N370*O370*T370</f>
        <v/>
      </c>
      <c r="V370" s="82">
        <f>IF(ISNUMBER($D370),$D370-WEEKDAY($D370,3),'ORDER VS WEEK DISTRIBUTION'!$G$500)</f>
        <v/>
      </c>
      <c r="W370" s="82">
        <f>MAX($V370,'ORDER VS WEEK DISTRIBUTION'!$G$500)</f>
        <v/>
      </c>
      <c r="X370" s="26">
        <f>IFERROR(VLOOKUP($J370,'ORDER VS WEEK DISTRIBUTION'!$T:$U,2,0),"")</f>
        <v/>
      </c>
      <c r="Y370" s="26">
        <f>IFERROR($T370/IF(IFERROR(VLOOKUP($I370,'ITEM CFC PER CONTAINER'!$A:$B,2,0),0)&gt;0,VLOOKUP($I370,'ITEM CFC PER CONTAINER'!$A:$B,2,0),VLOOKUP($X370,'MC MASTER'!$A:$Q,16,0)),"")</f>
        <v/>
      </c>
    </row>
    <row r="371" ht="15" customHeight="1" s="5">
      <c r="A371" s="26" t="inlineStr">
        <is>
          <t>MATATA TRADE FZE DMCC</t>
        </is>
      </c>
      <c r="B371" s="26" t="inlineStr">
        <is>
          <t>MJIL/SO/25066833</t>
        </is>
      </c>
      <c r="C371" s="26" t="inlineStr">
        <is>
          <t>MJ-239/25-26/ 13, 14 &amp; 15 (MA26150)</t>
        </is>
      </c>
      <c r="D371" s="82" t="n">
        <v>46330</v>
      </c>
      <c r="E371" s="83">
        <f>IF(ISNUMBER($D371),EOMONTH($D371,-1)+1,"")</f>
        <v/>
      </c>
      <c r="F371" s="82" t="n">
        <v>46333</v>
      </c>
      <c r="G371" s="26" t="n">
        <v>23621</v>
      </c>
      <c r="H371" s="26">
        <f>B371&amp;I371</f>
        <v/>
      </c>
      <c r="I371" s="26" t="inlineStr">
        <is>
          <t>KHAIMA CRANBERRY APPLE 45/25 DC ENV TBGS</t>
        </is>
      </c>
      <c r="J371" s="30" t="inlineStr">
        <is>
          <t>CONSTANTA ENV</t>
        </is>
      </c>
      <c r="K371" s="26">
        <f>J371&amp;"-"&amp;TEXT(W371,"dd-mmm-yy")</f>
        <v/>
      </c>
      <c r="L371" s="26">
        <f>IFERROR(VLOOKUP($M371,'ITEM MASTER'!E:H,4,0),"")</f>
        <v/>
      </c>
      <c r="M371" s="26">
        <f>IFERROR(VLOOKUP($I371,'ITEM MASTER'!B:E,4,0),"")</f>
        <v/>
      </c>
      <c r="N371" s="26">
        <f>IFERROR(VLOOKUP($I371,'ITEM MASTER'!B:F,5,0),0)</f>
        <v/>
      </c>
      <c r="O371" s="26">
        <f>IFERROR(VLOOKUP($M371,'TBGS PER CTN'!B:C,2,0),0)</f>
        <v/>
      </c>
      <c r="P371" s="26" t="n">
        <v>9990</v>
      </c>
      <c r="Q371" s="26" t="n">
        <v>0</v>
      </c>
      <c r="R371" s="26" t="n">
        <v>0</v>
      </c>
      <c r="S371" s="26">
        <f>Q371+R371</f>
        <v/>
      </c>
      <c r="T371" s="29" t="n">
        <v>9990</v>
      </c>
      <c r="U371" s="29">
        <f>N371*O371*T371</f>
        <v/>
      </c>
      <c r="V371" s="82">
        <f>IF(ISNUMBER($D371),$D371-WEEKDAY($D371,3),'ORDER VS WEEK DISTRIBUTION'!$G$500)</f>
        <v/>
      </c>
      <c r="W371" s="82">
        <f>MAX($V371,'ORDER VS WEEK DISTRIBUTION'!$G$500)</f>
        <v/>
      </c>
      <c r="X371" s="26">
        <f>IFERROR(VLOOKUP($J371,'ORDER VS WEEK DISTRIBUTION'!$T:$U,2,0),"")</f>
        <v/>
      </c>
      <c r="Y371" s="26">
        <f>IFERROR($T371/IF(IFERROR(VLOOKUP($I371,'ITEM CFC PER CONTAINER'!$A:$B,2,0),0)&gt;0,VLOOKUP($I371,'ITEM CFC PER CONTAINER'!$A:$B,2,0),VLOOKUP($X371,'MC MASTER'!$A:$Q,16,0)),"")</f>
        <v/>
      </c>
    </row>
    <row r="372" ht="15" customHeight="1" s="5">
      <c r="A372" s="26" t="inlineStr">
        <is>
          <t>Saran Enterprises Ltd.</t>
        </is>
      </c>
      <c r="B372" s="26" t="inlineStr">
        <is>
          <t>MJIL/SO/26046414</t>
        </is>
      </c>
      <c r="C372" s="26" t="inlineStr">
        <is>
          <t>PO 07092026/01 - ICA</t>
        </is>
      </c>
      <c r="D372" s="82" t="n">
        <v>46333</v>
      </c>
      <c r="E372" s="83">
        <f>IF(ISNUMBER($D372),EOMONTH($D372,-1)+1,"")</f>
        <v/>
      </c>
      <c r="F372" s="82" t="n">
        <v>46333</v>
      </c>
      <c r="G372" s="26" t="n">
        <v>36182</v>
      </c>
      <c r="H372" s="26">
        <f>B372&amp;I372</f>
        <v/>
      </c>
      <c r="I372" s="26" t="inlineStr">
        <is>
          <t>ICA CEYLON 12/100 DC SF TAG TBGS</t>
        </is>
      </c>
      <c r="J372" s="26" t="inlineStr">
        <is>
          <t>PERFECTA  K 45 TAG</t>
        </is>
      </c>
      <c r="K372" s="26">
        <f>J372&amp;"-"&amp;TEXT(W372,"dd-mmm-yy")</f>
        <v/>
      </c>
      <c r="L372" s="26">
        <f>IFERROR(VLOOKUP($M372,'ITEM MASTER'!E:H,4,0),"")</f>
        <v/>
      </c>
      <c r="M372" s="26">
        <f>IFERROR(VLOOKUP($I372,'ITEM MASTER'!B:E,4,0),"")</f>
        <v/>
      </c>
      <c r="N372" s="26">
        <f>IFERROR(VLOOKUP($I372,'ITEM MASTER'!B:F,5,0),0)</f>
        <v/>
      </c>
      <c r="O372" s="26">
        <f>IFERROR(VLOOKUP($M372,'TBGS PER CTN'!B:C,2,0),0)</f>
        <v/>
      </c>
      <c r="P372" s="26" t="n">
        <v>448</v>
      </c>
      <c r="Q372" s="26" t="n">
        <v>0</v>
      </c>
      <c r="R372" s="26" t="n">
        <v>0</v>
      </c>
      <c r="S372" s="26">
        <f>Q372+R372</f>
        <v/>
      </c>
      <c r="T372" s="29" t="n">
        <v>448</v>
      </c>
      <c r="U372" s="29">
        <f>N372*O372*T372</f>
        <v/>
      </c>
      <c r="V372" s="82">
        <f>IF(ISNUMBER($D372),$D372-WEEKDAY($D372,3),'ORDER VS WEEK DISTRIBUTION'!$G$500)</f>
        <v/>
      </c>
      <c r="W372" s="82">
        <f>MAX($V372,'ORDER VS WEEK DISTRIBUTION'!$G$500)</f>
        <v/>
      </c>
      <c r="X372" s="26">
        <f>IFERROR(VLOOKUP($J372,'ORDER VS WEEK DISTRIBUTION'!$T:$U,2,0),"")</f>
        <v/>
      </c>
      <c r="Y372" s="26">
        <f>IFERROR($T372/IF(IFERROR(VLOOKUP($I372,'ITEM CFC PER CONTAINER'!$A:$B,2,0),0)&gt;0,VLOOKUP($I372,'ITEM CFC PER CONTAINER'!$A:$B,2,0),VLOOKUP($X372,'MC MASTER'!$A:$Q,16,0)),"")</f>
        <v/>
      </c>
    </row>
    <row r="373" ht="15" customHeight="1" s="5">
      <c r="A373" s="26" t="inlineStr">
        <is>
          <t>Saran Enterprises Ltd.</t>
        </is>
      </c>
      <c r="B373" s="26" t="inlineStr">
        <is>
          <t>MJIL/SO/26046414</t>
        </is>
      </c>
      <c r="C373" s="26" t="inlineStr">
        <is>
          <t>PO 07092026/01 - ICA</t>
        </is>
      </c>
      <c r="D373" s="82" t="n">
        <v>46333</v>
      </c>
      <c r="E373" s="83">
        <f>IF(ISNUMBER($D373),EOMONTH($D373,-1)+1,"")</f>
        <v/>
      </c>
      <c r="F373" s="82" t="n">
        <v>46333</v>
      </c>
      <c r="G373" s="26" t="n">
        <v>36186</v>
      </c>
      <c r="H373" s="26">
        <f>B373&amp;I373</f>
        <v/>
      </c>
      <c r="I373" s="26" t="inlineStr">
        <is>
          <t>ICA CHAI 12/20 DC SF ENV TBGS</t>
        </is>
      </c>
      <c r="J373" s="26" t="inlineStr">
        <is>
          <t>C250</t>
        </is>
      </c>
      <c r="K373" s="26">
        <f>J373&amp;"-"&amp;TEXT(W373,"dd-mmm-yy")</f>
        <v/>
      </c>
      <c r="L373" s="26">
        <f>IFERROR(VLOOKUP($M373,'ITEM MASTER'!E:H,4,0),"")</f>
        <v/>
      </c>
      <c r="M373" s="26">
        <f>IFERROR(VLOOKUP($I373,'ITEM MASTER'!B:E,4,0),"")</f>
        <v/>
      </c>
      <c r="N373" s="26">
        <f>IFERROR(VLOOKUP($I373,'ITEM MASTER'!B:F,5,0),0)</f>
        <v/>
      </c>
      <c r="O373" s="26">
        <f>IFERROR(VLOOKUP($M373,'TBGS PER CTN'!B:C,2,0),0)</f>
        <v/>
      </c>
      <c r="P373" s="26" t="n">
        <v>1904</v>
      </c>
      <c r="Q373" s="26" t="n">
        <v>0</v>
      </c>
      <c r="R373" s="26" t="n">
        <v>0</v>
      </c>
      <c r="S373" s="26">
        <f>Q373+R373</f>
        <v/>
      </c>
      <c r="T373" s="29" t="n">
        <v>1904</v>
      </c>
      <c r="U373" s="29">
        <f>N373*O373*T373</f>
        <v/>
      </c>
      <c r="V373" s="82">
        <f>IF(ISNUMBER($D373),$D373-WEEKDAY($D373,3),'ORDER VS WEEK DISTRIBUTION'!$G$500)</f>
        <v/>
      </c>
      <c r="W373" s="82">
        <f>MAX($V373,'ORDER VS WEEK DISTRIBUTION'!$G$500)</f>
        <v/>
      </c>
      <c r="X373" s="26">
        <f>IFERROR(VLOOKUP($J373,'ORDER VS WEEK DISTRIBUTION'!$T:$U,2,0),"")</f>
        <v/>
      </c>
      <c r="Y373" s="26">
        <f>IFERROR($T373/IF(IFERROR(VLOOKUP($I373,'ITEM CFC PER CONTAINER'!$A:$B,2,0),0)&gt;0,VLOOKUP($I373,'ITEM CFC PER CONTAINER'!$A:$B,2,0),VLOOKUP($X373,'MC MASTER'!$A:$Q,16,0)),"")</f>
        <v/>
      </c>
    </row>
    <row r="374" ht="15" customHeight="1" s="5">
      <c r="A374" s="26" t="inlineStr">
        <is>
          <t>Saran Enterprises Ltd.</t>
        </is>
      </c>
      <c r="B374" s="26" t="inlineStr">
        <is>
          <t>MJIL/SO/26046414</t>
        </is>
      </c>
      <c r="C374" s="26" t="inlineStr">
        <is>
          <t>PO 07092026/01 - ICA</t>
        </is>
      </c>
      <c r="D374" s="82" t="n">
        <v>46333</v>
      </c>
      <c r="E374" s="83">
        <f>IF(ISNUMBER($D374),EOMONTH($D374,-1)+1,"")</f>
        <v/>
      </c>
      <c r="F374" s="82" t="n">
        <v>46333</v>
      </c>
      <c r="G374" s="26" t="n">
        <v>36190</v>
      </c>
      <c r="H374" s="26">
        <f>B374&amp;I374</f>
        <v/>
      </c>
      <c r="I374" s="26" t="inlineStr">
        <is>
          <t>ICA SODERBLOM 12/20 DC SF ENV TBGS</t>
        </is>
      </c>
      <c r="J374" s="26" t="inlineStr">
        <is>
          <t>C250</t>
        </is>
      </c>
      <c r="K374" s="26">
        <f>J374&amp;"-"&amp;TEXT(W374,"dd-mmm-yy")</f>
        <v/>
      </c>
      <c r="L374" s="26">
        <f>IFERROR(VLOOKUP($M374,'ITEM MASTER'!E:H,4,0),"")</f>
        <v/>
      </c>
      <c r="M374" s="26">
        <f>IFERROR(VLOOKUP($I374,'ITEM MASTER'!B:E,4,0),"")</f>
        <v/>
      </c>
      <c r="N374" s="26">
        <f>IFERROR(VLOOKUP($I374,'ITEM MASTER'!B:F,5,0),0)</f>
        <v/>
      </c>
      <c r="O374" s="26">
        <f>IFERROR(VLOOKUP($M374,'TBGS PER CTN'!B:C,2,0),0)</f>
        <v/>
      </c>
      <c r="P374" s="26" t="n">
        <v>560</v>
      </c>
      <c r="Q374" s="26" t="n">
        <v>0</v>
      </c>
      <c r="R374" s="26" t="n">
        <v>0</v>
      </c>
      <c r="S374" s="26">
        <f>Q374+R374</f>
        <v/>
      </c>
      <c r="T374" s="29" t="n">
        <v>560</v>
      </c>
      <c r="U374" s="29">
        <f>N374*O374*T374</f>
        <v/>
      </c>
      <c r="V374" s="82">
        <f>IF(ISNUMBER($D374),$D374-WEEKDAY($D374,3),'ORDER VS WEEK DISTRIBUTION'!$G$500)</f>
        <v/>
      </c>
      <c r="W374" s="82">
        <f>MAX($V374,'ORDER VS WEEK DISTRIBUTION'!$G$500)</f>
        <v/>
      </c>
      <c r="X374" s="26">
        <f>IFERROR(VLOOKUP($J374,'ORDER VS WEEK DISTRIBUTION'!$T:$U,2,0),"")</f>
        <v/>
      </c>
      <c r="Y374" s="26">
        <f>IFERROR($T374/IF(IFERROR(VLOOKUP($I374,'ITEM CFC PER CONTAINER'!$A:$B,2,0),0)&gt;0,VLOOKUP($I374,'ITEM CFC PER CONTAINER'!$A:$B,2,0),VLOOKUP($X374,'MC MASTER'!$A:$Q,16,0)),"")</f>
        <v/>
      </c>
    </row>
    <row r="375" ht="15" customHeight="1" s="5">
      <c r="A375" s="26" t="inlineStr">
        <is>
          <t>Saran Enterprises Ltd.</t>
        </is>
      </c>
      <c r="B375" s="26" t="inlineStr">
        <is>
          <t>MJIL/SO/26046414</t>
        </is>
      </c>
      <c r="C375" s="26" t="inlineStr">
        <is>
          <t>PO 07092026/01 - ICA</t>
        </is>
      </c>
      <c r="D375" s="82" t="n">
        <v>46333</v>
      </c>
      <c r="E375" s="83">
        <f>IF(ISNUMBER($D375),EOMONTH($D375,-1)+1,"")</f>
        <v/>
      </c>
      <c r="F375" s="82" t="n">
        <v>46333</v>
      </c>
      <c r="G375" s="26" t="n">
        <v>36192</v>
      </c>
      <c r="H375" s="26">
        <f>B375&amp;I375</f>
        <v/>
      </c>
      <c r="I375" s="26" t="inlineStr">
        <is>
          <t>ICA FOREST FRUIT 12/20 DC SF ENV TBGS</t>
        </is>
      </c>
      <c r="J375" s="26" t="inlineStr">
        <is>
          <t>C250</t>
        </is>
      </c>
      <c r="K375" s="26">
        <f>J375&amp;"-"&amp;TEXT(W375,"dd-mmm-yy")</f>
        <v/>
      </c>
      <c r="L375" s="26">
        <f>IFERROR(VLOOKUP($M375,'ITEM MASTER'!E:H,4,0),"")</f>
        <v/>
      </c>
      <c r="M375" s="26">
        <f>IFERROR(VLOOKUP($I375,'ITEM MASTER'!B:E,4,0),"")</f>
        <v/>
      </c>
      <c r="N375" s="26">
        <f>IFERROR(VLOOKUP($I375,'ITEM MASTER'!B:F,5,0),0)</f>
        <v/>
      </c>
      <c r="O375" s="26">
        <f>IFERROR(VLOOKUP($M375,'TBGS PER CTN'!B:C,2,0),0)</f>
        <v/>
      </c>
      <c r="P375" s="26" t="n">
        <v>896</v>
      </c>
      <c r="Q375" s="26" t="n">
        <v>0</v>
      </c>
      <c r="R375" s="26" t="n">
        <v>16</v>
      </c>
      <c r="S375" s="26">
        <f>Q375+R375</f>
        <v/>
      </c>
      <c r="T375" s="29" t="n">
        <v>880</v>
      </c>
      <c r="U375" s="29">
        <f>N375*O375*T375</f>
        <v/>
      </c>
      <c r="V375" s="82">
        <f>IF(ISNUMBER($D375),$D375-WEEKDAY($D375,3),'ORDER VS WEEK DISTRIBUTION'!$G$500)</f>
        <v/>
      </c>
      <c r="W375" s="82">
        <f>MAX($V375,'ORDER VS WEEK DISTRIBUTION'!$G$500)</f>
        <v/>
      </c>
      <c r="X375" s="26">
        <f>IFERROR(VLOOKUP($J375,'ORDER VS WEEK DISTRIBUTION'!$T:$U,2,0),"")</f>
        <v/>
      </c>
      <c r="Y375" s="26">
        <f>IFERROR($T375/IF(IFERROR(VLOOKUP($I375,'ITEM CFC PER CONTAINER'!$A:$B,2,0),0)&gt;0,VLOOKUP($I375,'ITEM CFC PER CONTAINER'!$A:$B,2,0),VLOOKUP($X375,'MC MASTER'!$A:$Q,16,0)),"")</f>
        <v/>
      </c>
    </row>
    <row r="376" ht="15" customHeight="1" s="5">
      <c r="A376" s="26" t="inlineStr">
        <is>
          <t>Saran Enterprises Ltd.</t>
        </is>
      </c>
      <c r="B376" s="26" t="inlineStr">
        <is>
          <t>MJIL/SO/26046414</t>
        </is>
      </c>
      <c r="C376" s="26" t="inlineStr">
        <is>
          <t>PO 07092026/01 - ICA</t>
        </is>
      </c>
      <c r="D376" s="82" t="n">
        <v>46333</v>
      </c>
      <c r="E376" s="83">
        <f>IF(ISNUMBER($D376),EOMONTH($D376,-1)+1,"")</f>
        <v/>
      </c>
      <c r="F376" s="82" t="n">
        <v>46333</v>
      </c>
      <c r="G376" s="26" t="n">
        <v>36195</v>
      </c>
      <c r="H376" s="26">
        <f>B376&amp;I376</f>
        <v/>
      </c>
      <c r="I376" s="26" t="inlineStr">
        <is>
          <t>ICA GREEN TEA LEMON 12/20 DC SF ENV TBGS</t>
        </is>
      </c>
      <c r="J376" s="26" t="inlineStr">
        <is>
          <t>C250</t>
        </is>
      </c>
      <c r="K376" s="26">
        <f>J376&amp;"-"&amp;TEXT(W376,"dd-mmm-yy")</f>
        <v/>
      </c>
      <c r="L376" s="26">
        <f>IFERROR(VLOOKUP($M376,'ITEM MASTER'!E:H,4,0),"")</f>
        <v/>
      </c>
      <c r="M376" s="26">
        <f>IFERROR(VLOOKUP($I376,'ITEM MASTER'!B:E,4,0),"")</f>
        <v/>
      </c>
      <c r="N376" s="26">
        <f>IFERROR(VLOOKUP($I376,'ITEM MASTER'!B:F,5,0),0)</f>
        <v/>
      </c>
      <c r="O376" s="26">
        <f>IFERROR(VLOOKUP($M376,'TBGS PER CTN'!B:C,2,0),0)</f>
        <v/>
      </c>
      <c r="P376" s="26" t="n">
        <v>560</v>
      </c>
      <c r="Q376" s="26" t="n">
        <v>0</v>
      </c>
      <c r="R376" s="26" t="n">
        <v>0</v>
      </c>
      <c r="S376" s="26">
        <f>Q376+R376</f>
        <v/>
      </c>
      <c r="T376" s="29" t="n">
        <v>560</v>
      </c>
      <c r="U376" s="29">
        <f>N376*O376*T376</f>
        <v/>
      </c>
      <c r="V376" s="82">
        <f>IF(ISNUMBER($D376),$D376-WEEKDAY($D376,3),'ORDER VS WEEK DISTRIBUTION'!$G$500)</f>
        <v/>
      </c>
      <c r="W376" s="82">
        <f>MAX($V376,'ORDER VS WEEK DISTRIBUTION'!$G$500)</f>
        <v/>
      </c>
      <c r="X376" s="26">
        <f>IFERROR(VLOOKUP($J376,'ORDER VS WEEK DISTRIBUTION'!$T:$U,2,0),"")</f>
        <v/>
      </c>
      <c r="Y376" s="26">
        <f>IFERROR($T376/IF(IFERROR(VLOOKUP($I376,'ITEM CFC PER CONTAINER'!$A:$B,2,0),0)&gt;0,VLOOKUP($I376,'ITEM CFC PER CONTAINER'!$A:$B,2,0),VLOOKUP($X376,'MC MASTER'!$A:$Q,16,0)),"")</f>
        <v/>
      </c>
    </row>
    <row r="377" ht="15" customHeight="1" s="5">
      <c r="A377" s="26" t="inlineStr">
        <is>
          <t>Saran Enterprises Ltd.</t>
        </is>
      </c>
      <c r="B377" s="26" t="inlineStr">
        <is>
          <t>MJIL/SO/26046414</t>
        </is>
      </c>
      <c r="C377" s="26" t="inlineStr">
        <is>
          <t>PO 07092026/01 - ICA</t>
        </is>
      </c>
      <c r="D377" s="82" t="n">
        <v>46333</v>
      </c>
      <c r="E377" s="83">
        <f>IF(ISNUMBER($D377),EOMONTH($D377,-1)+1,"")</f>
        <v/>
      </c>
      <c r="F377" s="82" t="n">
        <v>46333</v>
      </c>
      <c r="G377" s="26" t="n">
        <v>36196</v>
      </c>
      <c r="H377" s="26">
        <f>B377&amp;I377</f>
        <v/>
      </c>
      <c r="I377" s="26" t="inlineStr">
        <is>
          <t>ICA GREEN TEA ORANGE GINGER 12/20 DC SF ENV TBGS</t>
        </is>
      </c>
      <c r="J377" s="26" t="inlineStr">
        <is>
          <t>C250</t>
        </is>
      </c>
      <c r="K377" s="26">
        <f>J377&amp;"-"&amp;TEXT(W377,"dd-mmm-yy")</f>
        <v/>
      </c>
      <c r="L377" s="26">
        <f>IFERROR(VLOOKUP($M377,'ITEM MASTER'!E:H,4,0),"")</f>
        <v/>
      </c>
      <c r="M377" s="26">
        <f>IFERROR(VLOOKUP($I377,'ITEM MASTER'!B:E,4,0),"")</f>
        <v/>
      </c>
      <c r="N377" s="26">
        <f>IFERROR(VLOOKUP($I377,'ITEM MASTER'!B:F,5,0),0)</f>
        <v/>
      </c>
      <c r="O377" s="26">
        <f>IFERROR(VLOOKUP($M377,'TBGS PER CTN'!B:C,2,0),0)</f>
        <v/>
      </c>
      <c r="P377" s="26" t="n">
        <v>784</v>
      </c>
      <c r="Q377" s="26" t="n">
        <v>0</v>
      </c>
      <c r="R377" s="26" t="n">
        <v>0</v>
      </c>
      <c r="S377" s="26">
        <f>Q377+R377</f>
        <v/>
      </c>
      <c r="T377" s="29" t="n">
        <v>784</v>
      </c>
      <c r="U377" s="29">
        <f>N377*O377*T377</f>
        <v/>
      </c>
      <c r="V377" s="82">
        <f>IF(ISNUMBER($D377),$D377-WEEKDAY($D377,3),'ORDER VS WEEK DISTRIBUTION'!$G$500)</f>
        <v/>
      </c>
      <c r="W377" s="82">
        <f>MAX($V377,'ORDER VS WEEK DISTRIBUTION'!$G$500)</f>
        <v/>
      </c>
      <c r="X377" s="26">
        <f>IFERROR(VLOOKUP($J377,'ORDER VS WEEK DISTRIBUTION'!$T:$U,2,0),"")</f>
        <v/>
      </c>
      <c r="Y377" s="26">
        <f>IFERROR($T377/IF(IFERROR(VLOOKUP($I377,'ITEM CFC PER CONTAINER'!$A:$B,2,0),0)&gt;0,VLOOKUP($I377,'ITEM CFC PER CONTAINER'!$A:$B,2,0),VLOOKUP($X377,'MC MASTER'!$A:$Q,16,0)),"")</f>
        <v/>
      </c>
    </row>
    <row r="378" ht="15" customHeight="1" s="5">
      <c r="A378" s="26" t="inlineStr">
        <is>
          <t>Kaysun General Trading FZCO</t>
        </is>
      </c>
      <c r="B378" s="26" t="inlineStr">
        <is>
          <t>MJIL/SO/26019334</t>
        </is>
      </c>
      <c r="C378" s="26" t="inlineStr">
        <is>
          <t>MJ-043/26-27 / 13</t>
        </is>
      </c>
      <c r="D378" s="82" t="n">
        <v>46335</v>
      </c>
      <c r="E378" s="83">
        <f>IF(ISNUMBER($D378),EOMONTH($D378,-1)+1,"")</f>
        <v/>
      </c>
      <c r="F378" s="82" t="n">
        <v>46335</v>
      </c>
      <c r="G378" s="26" t="n">
        <v>1328</v>
      </c>
      <c r="H378" s="26">
        <f>B378&amp;I378</f>
        <v/>
      </c>
      <c r="I378" s="26" t="inlineStr">
        <is>
          <t>CHAYA 12/100 DC ENV TBGS</t>
        </is>
      </c>
      <c r="J378" s="26" t="inlineStr">
        <is>
          <t>PERFECTA ENV</t>
        </is>
      </c>
      <c r="K378" s="26">
        <f>J378&amp;"-"&amp;TEXT(W378,"dd-mmm-yy")</f>
        <v/>
      </c>
      <c r="L378" s="26">
        <f>IFERROR(VLOOKUP($M378,'ITEM MASTER'!E:H,4,0),"")</f>
        <v/>
      </c>
      <c r="M378" s="26">
        <f>IFERROR(VLOOKUP($I378,'ITEM MASTER'!B:E,4,0),"")</f>
        <v/>
      </c>
      <c r="N378" s="26">
        <f>IFERROR(VLOOKUP($I378,'ITEM MASTER'!B:F,5,0),0)</f>
        <v/>
      </c>
      <c r="O378" s="26">
        <f>IFERROR(VLOOKUP($M378,'TBGS PER CTN'!B:C,2,0),0)</f>
        <v/>
      </c>
      <c r="P378" s="26" t="n">
        <v>6640</v>
      </c>
      <c r="Q378" s="26" t="n">
        <v>0</v>
      </c>
      <c r="R378" s="26" t="n">
        <v>0</v>
      </c>
      <c r="S378" s="26">
        <f>Q378+R378</f>
        <v/>
      </c>
      <c r="T378" s="29" t="n">
        <v>6640</v>
      </c>
      <c r="U378" s="29">
        <f>N378*O378*T378</f>
        <v/>
      </c>
      <c r="V378" s="82">
        <f>IF(ISNUMBER($D378),$D378-WEEKDAY($D378,3),'ORDER VS WEEK DISTRIBUTION'!$G$500)</f>
        <v/>
      </c>
      <c r="W378" s="82">
        <f>MAX($V378,'ORDER VS WEEK DISTRIBUTION'!$G$500)</f>
        <v/>
      </c>
      <c r="X378" s="26">
        <f>IFERROR(VLOOKUP($J378,'ORDER VS WEEK DISTRIBUTION'!$T:$U,2,0),"")</f>
        <v/>
      </c>
      <c r="Y378" s="26">
        <f>IFERROR($T378/IF(IFERROR(VLOOKUP($I378,'ITEM CFC PER CONTAINER'!$A:$B,2,0),0)&gt;0,VLOOKUP($I378,'ITEM CFC PER CONTAINER'!$A:$B,2,0),VLOOKUP($X378,'MC MASTER'!$A:$Q,16,0)),"")</f>
        <v/>
      </c>
    </row>
    <row r="379" ht="15" customHeight="1" s="5">
      <c r="A379" s="26" t="inlineStr">
        <is>
          <t>MATATA TRADE FZE DMCC</t>
        </is>
      </c>
      <c r="B379" s="26" t="inlineStr">
        <is>
          <t>MJIL/SO/26046209</t>
        </is>
      </c>
      <c r="C379" s="26" t="inlineStr">
        <is>
          <t>MJ164/2526/2(MA26193)+106(MA26194)</t>
        </is>
      </c>
      <c r="D379" s="82" t="n">
        <v>46335</v>
      </c>
      <c r="E379" s="83">
        <f>IF(ISNUMBER($D379),EOMONTH($D379,-1)+1,"")</f>
        <v/>
      </c>
      <c r="F379" s="82" t="n">
        <v>46335</v>
      </c>
      <c r="G379" s="26" t="n">
        <v>23621</v>
      </c>
      <c r="H379" s="26">
        <f>B379&amp;I379</f>
        <v/>
      </c>
      <c r="I379" s="26" t="inlineStr">
        <is>
          <t>KHAIMA CRANBERRY APPLE 45/25 DC ENV TBGS</t>
        </is>
      </c>
      <c r="J379" s="30" t="inlineStr">
        <is>
          <t>CONSTANTA ENV</t>
        </is>
      </c>
      <c r="K379" s="26">
        <f>J379&amp;"-"&amp;TEXT(W379,"dd-mmm-yy")</f>
        <v/>
      </c>
      <c r="L379" s="26">
        <f>IFERROR(VLOOKUP($M379,'ITEM MASTER'!E:H,4,0),"")</f>
        <v/>
      </c>
      <c r="M379" s="26">
        <f>IFERROR(VLOOKUP($I379,'ITEM MASTER'!B:E,4,0),"")</f>
        <v/>
      </c>
      <c r="N379" s="26">
        <f>IFERROR(VLOOKUP($I379,'ITEM MASTER'!B:F,5,0),0)</f>
        <v/>
      </c>
      <c r="O379" s="26">
        <f>IFERROR(VLOOKUP($M379,'TBGS PER CTN'!B:C,2,0),0)</f>
        <v/>
      </c>
      <c r="P379" s="26" t="n">
        <v>3330</v>
      </c>
      <c r="Q379" s="26" t="n">
        <v>0</v>
      </c>
      <c r="R379" s="26" t="n">
        <v>0</v>
      </c>
      <c r="S379" s="26">
        <f>Q379+R379</f>
        <v/>
      </c>
      <c r="T379" s="29" t="n">
        <v>3330</v>
      </c>
      <c r="U379" s="29">
        <f>N379*O379*T379</f>
        <v/>
      </c>
      <c r="V379" s="82">
        <f>IF(ISNUMBER($D379),$D379-WEEKDAY($D379,3),'ORDER VS WEEK DISTRIBUTION'!$G$500)</f>
        <v/>
      </c>
      <c r="W379" s="82">
        <f>MAX($V379,'ORDER VS WEEK DISTRIBUTION'!$G$500)</f>
        <v/>
      </c>
      <c r="X379" s="26">
        <f>IFERROR(VLOOKUP($J379,'ORDER VS WEEK DISTRIBUTION'!$T:$U,2,0),"")</f>
        <v/>
      </c>
      <c r="Y379" s="26">
        <f>IFERROR($T379/IF(IFERROR(VLOOKUP($I379,'ITEM CFC PER CONTAINER'!$A:$B,2,0),0)&gt;0,VLOOKUP($I379,'ITEM CFC PER CONTAINER'!$A:$B,2,0),VLOOKUP($X379,'MC MASTER'!$A:$Q,16,0)),"")</f>
        <v/>
      </c>
    </row>
    <row r="380" ht="15" customHeight="1" s="5">
      <c r="A380" s="26" t="inlineStr">
        <is>
          <t>MATATA TRADE FZE DMCC</t>
        </is>
      </c>
      <c r="B380" s="26" t="inlineStr">
        <is>
          <t>MJIL/SO/26046209</t>
        </is>
      </c>
      <c r="C380" s="26" t="inlineStr">
        <is>
          <t>MJ164/2526/2(MA26193)+106(MA26194)</t>
        </is>
      </c>
      <c r="D380" s="82" t="n">
        <v>46335</v>
      </c>
      <c r="E380" s="83">
        <f>IF(ISNUMBER($D380),EOMONTH($D380,-1)+1,"")</f>
        <v/>
      </c>
      <c r="F380" s="82" t="n">
        <v>46335</v>
      </c>
      <c r="G380" s="26" t="n">
        <v>34586</v>
      </c>
      <c r="H380" s="26">
        <f>B380&amp;I380</f>
        <v/>
      </c>
      <c r="I380" s="26" t="inlineStr">
        <is>
          <t>AKOUNA COFFEE 3 IN 1 (32 GMS) 12 STRIPS X 10 SACHETS WITH HANGER</t>
        </is>
      </c>
      <c r="J380" s="26" t="inlineStr">
        <is>
          <t>Pearl Pack Premix</t>
        </is>
      </c>
      <c r="K380" s="26">
        <f>J380&amp;"-"&amp;TEXT(W380,"dd-mmm-yy")</f>
        <v/>
      </c>
      <c r="L380" s="26">
        <f>IFERROR(VLOOKUP($M380,'ITEM MASTER'!E:H,4,0),"")</f>
        <v/>
      </c>
      <c r="M380" s="26">
        <f>IFERROR(VLOOKUP($I380,'ITEM MASTER'!B:E,4,0),"")</f>
        <v/>
      </c>
      <c r="N380" s="26">
        <f>IFERROR(VLOOKUP($I380,'ITEM MASTER'!B:F,5,0),0)</f>
        <v/>
      </c>
      <c r="O380" s="26">
        <f>IFERROR(VLOOKUP($M380,'TBGS PER CTN'!B:C,2,0),0)</f>
        <v/>
      </c>
      <c r="P380" s="26" t="n">
        <v>100</v>
      </c>
      <c r="Q380" s="26" t="n">
        <v>0</v>
      </c>
      <c r="R380" s="26" t="n">
        <v>100</v>
      </c>
      <c r="S380" s="26">
        <f>Q380+R380</f>
        <v/>
      </c>
      <c r="T380" s="29" t="n">
        <v>0</v>
      </c>
      <c r="U380" s="29">
        <f>N380*O380*T380</f>
        <v/>
      </c>
      <c r="V380" s="82">
        <f>IF(ISNUMBER($D380),$D380-WEEKDAY($D380,3),'ORDER VS WEEK DISTRIBUTION'!$G$500)</f>
        <v/>
      </c>
      <c r="W380" s="82">
        <f>MAX($V380,'ORDER VS WEEK DISTRIBUTION'!$G$500)</f>
        <v/>
      </c>
      <c r="X380" s="26">
        <f>IFERROR(VLOOKUP($J380,'ORDER VS WEEK DISTRIBUTION'!$T:$U,2,0),"")</f>
        <v/>
      </c>
      <c r="Y380" s="26">
        <f>IFERROR($T380/IF(IFERROR(VLOOKUP($I380,'ITEM CFC PER CONTAINER'!$A:$B,2,0),0)&gt;0,VLOOKUP($I380,'ITEM CFC PER CONTAINER'!$A:$B,2,0),VLOOKUP($X380,'MC MASTER'!$A:$Q,16,0)),"")</f>
        <v/>
      </c>
    </row>
    <row r="381" ht="15" customHeight="1" s="5">
      <c r="A381" s="26" t="inlineStr">
        <is>
          <t>Mlm International Fzco</t>
        </is>
      </c>
      <c r="B381" s="26" t="inlineStr">
        <is>
          <t>MJIL/SO/26037904</t>
        </is>
      </c>
      <c r="C381" s="26" t="inlineStr">
        <is>
          <t>MJ-066/26-27/ 2</t>
        </is>
      </c>
      <c r="D381" s="82" t="n">
        <v>46335</v>
      </c>
      <c r="E381" s="83">
        <f>IF(ISNUMBER($D381),EOMONTH($D381,-1)+1,"")</f>
        <v/>
      </c>
      <c r="F381" s="82" t="n">
        <v>46335</v>
      </c>
      <c r="G381" s="26" t="n">
        <v>27112</v>
      </c>
      <c r="H381" s="26">
        <f>B381&amp;I381</f>
        <v/>
      </c>
      <c r="I381" s="26" t="inlineStr">
        <is>
          <t>PADI  24/100 SC TBGS TAGLESS (2 GMS)</t>
        </is>
      </c>
      <c r="J381" s="26" t="inlineStr">
        <is>
          <t>MAISA TAGLESS</t>
        </is>
      </c>
      <c r="K381" s="26">
        <f>J381&amp;"-"&amp;TEXT(W381,"dd-mmm-yy")</f>
        <v/>
      </c>
      <c r="L381" s="26">
        <f>IFERROR(VLOOKUP($M381,'ITEM MASTER'!E:H,4,0),"")</f>
        <v/>
      </c>
      <c r="M381" s="26">
        <f>IFERROR(VLOOKUP($I381,'ITEM MASTER'!B:E,4,0),"")</f>
        <v/>
      </c>
      <c r="N381" s="26">
        <f>IFERROR(VLOOKUP($I381,'ITEM MASTER'!B:F,5,0),0)</f>
        <v/>
      </c>
      <c r="O381" s="26">
        <f>IFERROR(VLOOKUP($M381,'TBGS PER CTN'!B:C,2,0),0)</f>
        <v/>
      </c>
      <c r="P381" s="26" t="n">
        <v>2800</v>
      </c>
      <c r="Q381" s="26" t="n">
        <v>0</v>
      </c>
      <c r="R381" s="26" t="n">
        <v>0</v>
      </c>
      <c r="S381" s="26">
        <f>Q381+R381</f>
        <v/>
      </c>
      <c r="T381" s="29" t="n">
        <v>2800</v>
      </c>
      <c r="U381" s="29">
        <f>N381*O381*T381</f>
        <v/>
      </c>
      <c r="V381" s="82">
        <f>IF(ISNUMBER($D381),$D381-WEEKDAY($D381,3),'ORDER VS WEEK DISTRIBUTION'!$G$500)</f>
        <v/>
      </c>
      <c r="W381" s="82">
        <f>MAX($V381,'ORDER VS WEEK DISTRIBUTION'!$G$500)</f>
        <v/>
      </c>
      <c r="X381" s="26">
        <f>IFERROR(VLOOKUP($J381,'ORDER VS WEEK DISTRIBUTION'!$T:$U,2,0),"")</f>
        <v/>
      </c>
      <c r="Y381" s="26">
        <f>IFERROR($T381/IF(IFERROR(VLOOKUP($I381,'ITEM CFC PER CONTAINER'!$A:$B,2,0),0)&gt;0,VLOOKUP($I381,'ITEM CFC PER CONTAINER'!$A:$B,2,0),VLOOKUP($X381,'MC MASTER'!$A:$Q,16,0)),"")</f>
        <v/>
      </c>
    </row>
    <row r="382" ht="15" customHeight="1" s="5">
      <c r="A382" s="26" t="inlineStr">
        <is>
          <t>Multitrade Overseas Pte. Ltd.</t>
        </is>
      </c>
      <c r="B382" s="26" t="inlineStr">
        <is>
          <t>MJIL/SO/26047612</t>
        </is>
      </c>
      <c r="C382" s="26" t="inlineStr">
        <is>
          <t>MJ-086/26-27 / 1 (ETKAF)</t>
        </is>
      </c>
      <c r="D382" s="82" t="n">
        <v>46335</v>
      </c>
      <c r="E382" s="83">
        <f>IF(ISNUMBER($D382),EOMONTH($D382,-1)+1,"")</f>
        <v/>
      </c>
      <c r="F382" s="82" t="n">
        <v>46335</v>
      </c>
      <c r="G382" s="26" t="n">
        <v>2023</v>
      </c>
      <c r="H382" s="26">
        <f>B382&amp;I382</f>
        <v/>
      </c>
      <c r="I382" s="26" t="inlineStr">
        <is>
          <t>GV MINT 24/25 DC ENV TBGS WITH TSHIRT</t>
        </is>
      </c>
      <c r="J382" s="30" t="inlineStr">
        <is>
          <t>CONSTANTA ENV</t>
        </is>
      </c>
      <c r="K382" s="26">
        <f>J382&amp;"-"&amp;TEXT(W382,"dd-mmm-yy")</f>
        <v/>
      </c>
      <c r="L382" s="26">
        <f>IFERROR(VLOOKUP($M382,'ITEM MASTER'!E:H,4,0),"")</f>
        <v/>
      </c>
      <c r="M382" s="26">
        <f>IFERROR(VLOOKUP($I382,'ITEM MASTER'!B:E,4,0),"")</f>
        <v/>
      </c>
      <c r="N382" s="26">
        <f>IFERROR(VLOOKUP($I382,'ITEM MASTER'!B:F,5,0),0)</f>
        <v/>
      </c>
      <c r="O382" s="26">
        <f>IFERROR(VLOOKUP($M382,'TBGS PER CTN'!B:C,2,0),0)</f>
        <v/>
      </c>
      <c r="P382" s="26" t="n">
        <v>3780</v>
      </c>
      <c r="Q382" s="26" t="n">
        <v>0</v>
      </c>
      <c r="R382" s="26" t="n">
        <v>0</v>
      </c>
      <c r="S382" s="26">
        <f>Q382+R382</f>
        <v/>
      </c>
      <c r="T382" s="29" t="n">
        <v>3780</v>
      </c>
      <c r="U382" s="29">
        <f>N382*O382*T382</f>
        <v/>
      </c>
      <c r="V382" s="82">
        <f>IF(ISNUMBER($D382),$D382-WEEKDAY($D382,3),'ORDER VS WEEK DISTRIBUTION'!$G$500)</f>
        <v/>
      </c>
      <c r="W382" s="82">
        <f>MAX($V382,'ORDER VS WEEK DISTRIBUTION'!$G$500)</f>
        <v/>
      </c>
      <c r="X382" s="26">
        <f>IFERROR(VLOOKUP($J382,'ORDER VS WEEK DISTRIBUTION'!$T:$U,2,0),"")</f>
        <v/>
      </c>
      <c r="Y382" s="26">
        <f>IFERROR($T382/IF(IFERROR(VLOOKUP($I382,'ITEM CFC PER CONTAINER'!$A:$B,2,0),0)&gt;0,VLOOKUP($I382,'ITEM CFC PER CONTAINER'!$A:$B,2,0),VLOOKUP($X382,'MC MASTER'!$A:$Q,16,0)),"")</f>
        <v/>
      </c>
    </row>
    <row r="383" ht="15" customHeight="1" s="5">
      <c r="A383" s="26" t="inlineStr">
        <is>
          <t>Multitrade Overseas Pte. Ltd.</t>
        </is>
      </c>
      <c r="B383" s="26" t="inlineStr">
        <is>
          <t>MJIL/SO/26047612</t>
        </is>
      </c>
      <c r="C383" s="26" t="inlineStr">
        <is>
          <t>MJ-086/26-27 / 1 (ETKAF)</t>
        </is>
      </c>
      <c r="D383" s="82" t="n">
        <v>46335</v>
      </c>
      <c r="E383" s="83">
        <f>IF(ISNUMBER($D383),EOMONTH($D383,-1)+1,"")</f>
        <v/>
      </c>
      <c r="F383" s="82" t="n">
        <v>46335</v>
      </c>
      <c r="G383" s="26" t="n">
        <v>1933</v>
      </c>
      <c r="H383" s="26">
        <f>B383&amp;I383</f>
        <v/>
      </c>
      <c r="I383" s="26" t="inlineStr">
        <is>
          <t>GV GARDEN STRAWBERRY 24/25 DC ENV TBGS WITH TSHIRT</t>
        </is>
      </c>
      <c r="J383" s="30" t="inlineStr">
        <is>
          <t>CONSTANTA ENV</t>
        </is>
      </c>
      <c r="K383" s="26">
        <f>J383&amp;"-"&amp;TEXT(W383,"dd-mmm-yy")</f>
        <v/>
      </c>
      <c r="L383" s="26">
        <f>IFERROR(VLOOKUP($M383,'ITEM MASTER'!E:H,4,0),"")</f>
        <v/>
      </c>
      <c r="M383" s="26">
        <f>IFERROR(VLOOKUP($I383,'ITEM MASTER'!B:E,4,0),"")</f>
        <v/>
      </c>
      <c r="N383" s="26">
        <f>IFERROR(VLOOKUP($I383,'ITEM MASTER'!B:F,5,0),0)</f>
        <v/>
      </c>
      <c r="O383" s="26">
        <f>IFERROR(VLOOKUP($M383,'TBGS PER CTN'!B:C,2,0),0)</f>
        <v/>
      </c>
      <c r="P383" s="26" t="n">
        <v>4454</v>
      </c>
      <c r="Q383" s="26" t="n">
        <v>0</v>
      </c>
      <c r="R383" s="26" t="n">
        <v>0</v>
      </c>
      <c r="S383" s="26">
        <f>Q383+R383</f>
        <v/>
      </c>
      <c r="T383" s="29" t="n">
        <v>4454</v>
      </c>
      <c r="U383" s="29">
        <f>N383*O383*T383</f>
        <v/>
      </c>
      <c r="V383" s="82">
        <f>IF(ISNUMBER($D383),$D383-WEEKDAY($D383,3),'ORDER VS WEEK DISTRIBUTION'!$G$500)</f>
        <v/>
      </c>
      <c r="W383" s="82">
        <f>MAX($V383,'ORDER VS WEEK DISTRIBUTION'!$G$500)</f>
        <v/>
      </c>
      <c r="X383" s="26">
        <f>IFERROR(VLOOKUP($J383,'ORDER VS WEEK DISTRIBUTION'!$T:$U,2,0),"")</f>
        <v/>
      </c>
      <c r="Y383" s="26">
        <f>IFERROR($T383/IF(IFERROR(VLOOKUP($I383,'ITEM CFC PER CONTAINER'!$A:$B,2,0),0)&gt;0,VLOOKUP($I383,'ITEM CFC PER CONTAINER'!$A:$B,2,0),VLOOKUP($X383,'MC MASTER'!$A:$Q,16,0)),"")</f>
        <v/>
      </c>
    </row>
    <row r="384" ht="15" customHeight="1" s="5">
      <c r="A384" s="26" t="inlineStr">
        <is>
          <t>Multitrade Overseas Pte. Ltd.</t>
        </is>
      </c>
      <c r="B384" s="26" t="inlineStr">
        <is>
          <t>MJIL/SO/26047612</t>
        </is>
      </c>
      <c r="C384" s="26" t="inlineStr">
        <is>
          <t>MJ-086/26-27 / 1 (ETKAF)</t>
        </is>
      </c>
      <c r="D384" s="82" t="n">
        <v>46335</v>
      </c>
      <c r="E384" s="83">
        <f>IF(ISNUMBER($D384),EOMONTH($D384,-1)+1,"")</f>
        <v/>
      </c>
      <c r="F384" s="82" t="n">
        <v>46335</v>
      </c>
      <c r="G384" s="26" t="n">
        <v>2131</v>
      </c>
      <c r="H384" s="26">
        <f>B384&amp;I384</f>
        <v/>
      </c>
      <c r="I384" s="26" t="inlineStr">
        <is>
          <t>GV SPICY GINGER 24/25 DC ENV TBGS WITH TSHIRT</t>
        </is>
      </c>
      <c r="J384" s="30" t="inlineStr">
        <is>
          <t>CONSTANTA ENV</t>
        </is>
      </c>
      <c r="K384" s="26">
        <f>J384&amp;"-"&amp;TEXT(W384,"dd-mmm-yy")</f>
        <v/>
      </c>
      <c r="L384" s="26">
        <f>IFERROR(VLOOKUP($M384,'ITEM MASTER'!E:H,4,0),"")</f>
        <v/>
      </c>
      <c r="M384" s="26">
        <f>IFERROR(VLOOKUP($I384,'ITEM MASTER'!B:E,4,0),"")</f>
        <v/>
      </c>
      <c r="N384" s="26">
        <f>IFERROR(VLOOKUP($I384,'ITEM MASTER'!B:F,5,0),0)</f>
        <v/>
      </c>
      <c r="O384" s="26">
        <f>IFERROR(VLOOKUP($M384,'TBGS PER CTN'!B:C,2,0),0)</f>
        <v/>
      </c>
      <c r="P384" s="26" t="n">
        <v>3000</v>
      </c>
      <c r="Q384" s="26" t="n">
        <v>0</v>
      </c>
      <c r="R384" s="26" t="n">
        <v>0</v>
      </c>
      <c r="S384" s="26">
        <f>Q384+R384</f>
        <v/>
      </c>
      <c r="T384" s="29" t="n">
        <v>3000</v>
      </c>
      <c r="U384" s="29">
        <f>N384*O384*T384</f>
        <v/>
      </c>
      <c r="V384" s="82">
        <f>IF(ISNUMBER($D384),$D384-WEEKDAY($D384,3),'ORDER VS WEEK DISTRIBUTION'!$G$500)</f>
        <v/>
      </c>
      <c r="W384" s="82">
        <f>MAX($V384,'ORDER VS WEEK DISTRIBUTION'!$G$500)</f>
        <v/>
      </c>
      <c r="X384" s="26">
        <f>IFERROR(VLOOKUP($J384,'ORDER VS WEEK DISTRIBUTION'!$T:$U,2,0),"")</f>
        <v/>
      </c>
      <c r="Y384" s="26">
        <f>IFERROR($T384/IF(IFERROR(VLOOKUP($I384,'ITEM CFC PER CONTAINER'!$A:$B,2,0),0)&gt;0,VLOOKUP($I384,'ITEM CFC PER CONTAINER'!$A:$B,2,0),VLOOKUP($X384,'MC MASTER'!$A:$Q,16,0)),"")</f>
        <v/>
      </c>
    </row>
    <row r="385" ht="15" customHeight="1" s="5">
      <c r="A385" s="26" t="inlineStr">
        <is>
          <t>Multitrade Overseas Pte. Ltd.</t>
        </is>
      </c>
      <c r="B385" s="26" t="inlineStr">
        <is>
          <t>MJIL/SO/26047612</t>
        </is>
      </c>
      <c r="C385" s="26" t="inlineStr">
        <is>
          <t>MJ-086/26-27 / 1 (ETKAF)</t>
        </is>
      </c>
      <c r="D385" s="82" t="n">
        <v>46335</v>
      </c>
      <c r="E385" s="83">
        <f>IF(ISNUMBER($D385),EOMONTH($D385,-1)+1,"")</f>
        <v/>
      </c>
      <c r="F385" s="82" t="n">
        <v>46335</v>
      </c>
      <c r="G385" s="26" t="n">
        <v>2051</v>
      </c>
      <c r="H385" s="26">
        <f>B385&amp;I385</f>
        <v/>
      </c>
      <c r="I385" s="26" t="inlineStr">
        <is>
          <t>GV ORANGE 24/25 DC ENV TBGS WITH TSHIRT</t>
        </is>
      </c>
      <c r="J385" s="30" t="inlineStr">
        <is>
          <t>CONSTANTA ENV</t>
        </is>
      </c>
      <c r="K385" s="26">
        <f>J385&amp;"-"&amp;TEXT(W385,"dd-mmm-yy")</f>
        <v/>
      </c>
      <c r="L385" s="26">
        <f>IFERROR(VLOOKUP($M385,'ITEM MASTER'!E:H,4,0),"")</f>
        <v/>
      </c>
      <c r="M385" s="26">
        <f>IFERROR(VLOOKUP($I385,'ITEM MASTER'!B:E,4,0),"")</f>
        <v/>
      </c>
      <c r="N385" s="26">
        <f>IFERROR(VLOOKUP($I385,'ITEM MASTER'!B:F,5,0),0)</f>
        <v/>
      </c>
      <c r="O385" s="26">
        <f>IFERROR(VLOOKUP($M385,'TBGS PER CTN'!B:C,2,0),0)</f>
        <v/>
      </c>
      <c r="P385" s="26" t="n">
        <v>363</v>
      </c>
      <c r="Q385" s="26" t="n">
        <v>0</v>
      </c>
      <c r="R385" s="26" t="n">
        <v>0</v>
      </c>
      <c r="S385" s="26">
        <f>Q385+R385</f>
        <v/>
      </c>
      <c r="T385" s="29" t="n">
        <v>363</v>
      </c>
      <c r="U385" s="29">
        <f>N385*O385*T385</f>
        <v/>
      </c>
      <c r="V385" s="82">
        <f>IF(ISNUMBER($D385),$D385-WEEKDAY($D385,3),'ORDER VS WEEK DISTRIBUTION'!$G$500)</f>
        <v/>
      </c>
      <c r="W385" s="82">
        <f>MAX($V385,'ORDER VS WEEK DISTRIBUTION'!$G$500)</f>
        <v/>
      </c>
      <c r="X385" s="26">
        <f>IFERROR(VLOOKUP($J385,'ORDER VS WEEK DISTRIBUTION'!$T:$U,2,0),"")</f>
        <v/>
      </c>
      <c r="Y385" s="26">
        <f>IFERROR($T385/IF(IFERROR(VLOOKUP($I385,'ITEM CFC PER CONTAINER'!$A:$B,2,0),0)&gt;0,VLOOKUP($I385,'ITEM CFC PER CONTAINER'!$A:$B,2,0),VLOOKUP($X385,'MC MASTER'!$A:$Q,16,0)),"")</f>
        <v/>
      </c>
    </row>
    <row r="386" ht="15" customHeight="1" s="5">
      <c r="A386" s="26" t="inlineStr">
        <is>
          <t>Multitrade Overseas Pte. Ltd.</t>
        </is>
      </c>
      <c r="B386" s="26" t="inlineStr">
        <is>
          <t>MJIL/SO/26047612</t>
        </is>
      </c>
      <c r="C386" s="26" t="inlineStr">
        <is>
          <t>MJ-086/26-27 / 1 (ETKAF)</t>
        </is>
      </c>
      <c r="D386" s="82" t="n">
        <v>46335</v>
      </c>
      <c r="E386" s="83">
        <f>IF(ISNUMBER($D386),EOMONTH($D386,-1)+1,"")</f>
        <v/>
      </c>
      <c r="F386" s="82" t="n">
        <v>46335</v>
      </c>
      <c r="G386" s="26" t="n">
        <v>21810</v>
      </c>
      <c r="H386" s="26">
        <f>B386&amp;I386</f>
        <v/>
      </c>
      <c r="I386" s="26" t="inlineStr">
        <is>
          <t>GV CLOVE 24/25 DC ENV TBGS WITH TSHIRT</t>
        </is>
      </c>
      <c r="J386" s="30" t="inlineStr">
        <is>
          <t>CONSTANTA ENV</t>
        </is>
      </c>
      <c r="K386" s="26">
        <f>J386&amp;"-"&amp;TEXT(W386,"dd-mmm-yy")</f>
        <v/>
      </c>
      <c r="L386" s="26">
        <f>IFERROR(VLOOKUP($M386,'ITEM MASTER'!E:H,4,0),"")</f>
        <v/>
      </c>
      <c r="M386" s="26">
        <f>IFERROR(VLOOKUP($I386,'ITEM MASTER'!B:E,4,0),"")</f>
        <v/>
      </c>
      <c r="N386" s="26">
        <f>IFERROR(VLOOKUP($I386,'ITEM MASTER'!B:F,5,0),0)</f>
        <v/>
      </c>
      <c r="O386" s="26">
        <f>IFERROR(VLOOKUP($M386,'TBGS PER CTN'!B:C,2,0),0)</f>
        <v/>
      </c>
      <c r="P386" s="26" t="n">
        <v>271</v>
      </c>
      <c r="Q386" s="26" t="n">
        <v>0</v>
      </c>
      <c r="R386" s="26" t="n">
        <v>0</v>
      </c>
      <c r="S386" s="26">
        <f>Q386+R386</f>
        <v/>
      </c>
      <c r="T386" s="29" t="n">
        <v>271</v>
      </c>
      <c r="U386" s="29">
        <f>N386*O386*T386</f>
        <v/>
      </c>
      <c r="V386" s="82">
        <f>IF(ISNUMBER($D386),$D386-WEEKDAY($D386,3),'ORDER VS WEEK DISTRIBUTION'!$G$500)</f>
        <v/>
      </c>
      <c r="W386" s="82">
        <f>MAX($V386,'ORDER VS WEEK DISTRIBUTION'!$G$500)</f>
        <v/>
      </c>
      <c r="X386" s="26">
        <f>IFERROR(VLOOKUP($J386,'ORDER VS WEEK DISTRIBUTION'!$T:$U,2,0),"")</f>
        <v/>
      </c>
      <c r="Y386" s="26">
        <f>IFERROR($T386/IF(IFERROR(VLOOKUP($I386,'ITEM CFC PER CONTAINER'!$A:$B,2,0),0)&gt;0,VLOOKUP($I386,'ITEM CFC PER CONTAINER'!$A:$B,2,0),VLOOKUP($X386,'MC MASTER'!$A:$Q,16,0)),"")</f>
        <v/>
      </c>
    </row>
    <row r="387" ht="15" customHeight="1" s="5">
      <c r="A387" s="26" t="inlineStr">
        <is>
          <t>Multitrade Overseas Pte. Ltd.</t>
        </is>
      </c>
      <c r="B387" s="26" t="inlineStr">
        <is>
          <t>MJIL/SO/26047612</t>
        </is>
      </c>
      <c r="C387" s="26" t="inlineStr">
        <is>
          <t>MJ-086/26-27 / 1 (ETKAF)</t>
        </is>
      </c>
      <c r="D387" s="82" t="n">
        <v>46335</v>
      </c>
      <c r="E387" s="83">
        <f>IF(ISNUMBER($D387),EOMONTH($D387,-1)+1,"")</f>
        <v/>
      </c>
      <c r="F387" s="82" t="n">
        <v>46335</v>
      </c>
      <c r="G387" s="26" t="n">
        <v>2105</v>
      </c>
      <c r="H387" s="26">
        <f>B387&amp;I387</f>
        <v/>
      </c>
      <c r="I387" s="26" t="inlineStr">
        <is>
          <t>GV ROYAL LEMON 24/25 DC ENV TBGS WITH TSHIRT</t>
        </is>
      </c>
      <c r="J387" s="30" t="inlineStr">
        <is>
          <t>CONSTANTA ENV</t>
        </is>
      </c>
      <c r="K387" s="26">
        <f>J387&amp;"-"&amp;TEXT(W387,"dd-mmm-yy")</f>
        <v/>
      </c>
      <c r="L387" s="26">
        <f>IFERROR(VLOOKUP($M387,'ITEM MASTER'!E:H,4,0),"")</f>
        <v/>
      </c>
      <c r="M387" s="26">
        <f>IFERROR(VLOOKUP($I387,'ITEM MASTER'!B:E,4,0),"")</f>
        <v/>
      </c>
      <c r="N387" s="26">
        <f>IFERROR(VLOOKUP($I387,'ITEM MASTER'!B:F,5,0),0)</f>
        <v/>
      </c>
      <c r="O387" s="26">
        <f>IFERROR(VLOOKUP($M387,'TBGS PER CTN'!B:C,2,0),0)</f>
        <v/>
      </c>
      <c r="P387" s="26" t="n">
        <v>323</v>
      </c>
      <c r="Q387" s="26" t="n">
        <v>0</v>
      </c>
      <c r="R387" s="26" t="n">
        <v>0</v>
      </c>
      <c r="S387" s="26">
        <f>Q387+R387</f>
        <v/>
      </c>
      <c r="T387" s="29" t="n">
        <v>323</v>
      </c>
      <c r="U387" s="29">
        <f>N387*O387*T387</f>
        <v/>
      </c>
      <c r="V387" s="82">
        <f>IF(ISNUMBER($D387),$D387-WEEKDAY($D387,3),'ORDER VS WEEK DISTRIBUTION'!$G$500)</f>
        <v/>
      </c>
      <c r="W387" s="82">
        <f>MAX($V387,'ORDER VS WEEK DISTRIBUTION'!$G$500)</f>
        <v/>
      </c>
      <c r="X387" s="26">
        <f>IFERROR(VLOOKUP($J387,'ORDER VS WEEK DISTRIBUTION'!$T:$U,2,0),"")</f>
        <v/>
      </c>
      <c r="Y387" s="26">
        <f>IFERROR($T387/IF(IFERROR(VLOOKUP($I387,'ITEM CFC PER CONTAINER'!$A:$B,2,0),0)&gt;0,VLOOKUP($I387,'ITEM CFC PER CONTAINER'!$A:$B,2,0),VLOOKUP($X387,'MC MASTER'!$A:$Q,16,0)),"")</f>
        <v/>
      </c>
    </row>
    <row r="388" ht="15" customHeight="1" s="5">
      <c r="A388" s="26" t="inlineStr">
        <is>
          <t>Multitrade Overseas Pte. Ltd.</t>
        </is>
      </c>
      <c r="B388" s="26" t="inlineStr">
        <is>
          <t>MJIL/SO/26047612</t>
        </is>
      </c>
      <c r="C388" s="26" t="inlineStr">
        <is>
          <t>MJ-086/26-27 / 1 (ETKAF)</t>
        </is>
      </c>
      <c r="D388" s="82" t="n">
        <v>46335</v>
      </c>
      <c r="E388" s="83">
        <f>IF(ISNUMBER($D388),EOMONTH($D388,-1)+1,"")</f>
        <v/>
      </c>
      <c r="F388" s="82" t="n">
        <v>46335</v>
      </c>
      <c r="G388" s="26" t="n">
        <v>21811</v>
      </c>
      <c r="H388" s="26">
        <f>B388&amp;I388</f>
        <v/>
      </c>
      <c r="I388" s="26" t="inlineStr">
        <is>
          <t>GV CINNAMON 24/25 DC ENV TBGS WITH TSHIRT</t>
        </is>
      </c>
      <c r="J388" s="30" t="inlineStr">
        <is>
          <t>CONSTANTA ENV</t>
        </is>
      </c>
      <c r="K388" s="26">
        <f>J388&amp;"-"&amp;TEXT(W388,"dd-mmm-yy")</f>
        <v/>
      </c>
      <c r="L388" s="26">
        <f>IFERROR(VLOOKUP($M388,'ITEM MASTER'!E:H,4,0),"")</f>
        <v/>
      </c>
      <c r="M388" s="26">
        <f>IFERROR(VLOOKUP($I388,'ITEM MASTER'!B:E,4,0),"")</f>
        <v/>
      </c>
      <c r="N388" s="26">
        <f>IFERROR(VLOOKUP($I388,'ITEM MASTER'!B:F,5,0),0)</f>
        <v/>
      </c>
      <c r="O388" s="26">
        <f>IFERROR(VLOOKUP($M388,'TBGS PER CTN'!B:C,2,0),0)</f>
        <v/>
      </c>
      <c r="P388" s="26" t="n">
        <v>50</v>
      </c>
      <c r="Q388" s="26" t="n">
        <v>0</v>
      </c>
      <c r="R388" s="26" t="n">
        <v>0</v>
      </c>
      <c r="S388" s="26">
        <f>Q388+R388</f>
        <v/>
      </c>
      <c r="T388" s="29" t="n">
        <v>50</v>
      </c>
      <c r="U388" s="29">
        <f>N388*O388*T388</f>
        <v/>
      </c>
      <c r="V388" s="82">
        <f>IF(ISNUMBER($D388),$D388-WEEKDAY($D388,3),'ORDER VS WEEK DISTRIBUTION'!$G$500)</f>
        <v/>
      </c>
      <c r="W388" s="82">
        <f>MAX($V388,'ORDER VS WEEK DISTRIBUTION'!$G$500)</f>
        <v/>
      </c>
      <c r="X388" s="26">
        <f>IFERROR(VLOOKUP($J388,'ORDER VS WEEK DISTRIBUTION'!$T:$U,2,0),"")</f>
        <v/>
      </c>
      <c r="Y388" s="26">
        <f>IFERROR($T388/IF(IFERROR(VLOOKUP($I388,'ITEM CFC PER CONTAINER'!$A:$B,2,0),0)&gt;0,VLOOKUP($I388,'ITEM CFC PER CONTAINER'!$A:$B,2,0),VLOOKUP($X388,'MC MASTER'!$A:$Q,16,0)),"")</f>
        <v/>
      </c>
    </row>
    <row r="389" ht="15" customHeight="1" s="5">
      <c r="A389" s="26" t="inlineStr">
        <is>
          <t>Multitrade Overseas Pte. Ltd.</t>
        </is>
      </c>
      <c r="B389" s="26" t="inlineStr">
        <is>
          <t>MJIL/SO/26012326</t>
        </is>
      </c>
      <c r="C389" s="26" t="inlineStr">
        <is>
          <t>MJ-024/26-27 / 9 - ETKAF</t>
        </is>
      </c>
      <c r="D389" s="82" t="n">
        <v>46336</v>
      </c>
      <c r="E389" s="83">
        <f>IF(ISNUMBER($D389),EOMONTH($D389,-1)+1,"")</f>
        <v/>
      </c>
      <c r="F389" s="82" t="n">
        <v>46336</v>
      </c>
      <c r="G389" s="26" t="n">
        <v>2023</v>
      </c>
      <c r="H389" s="26">
        <f>B389&amp;I389</f>
        <v/>
      </c>
      <c r="I389" s="26" t="inlineStr">
        <is>
          <t>GV MINT 24/25 DC ENV TBGS WITH TSHIRT</t>
        </is>
      </c>
      <c r="J389" s="30" t="inlineStr">
        <is>
          <t>CONSTANTA ENV</t>
        </is>
      </c>
      <c r="K389" s="26">
        <f>J389&amp;"-"&amp;TEXT(W389,"dd-mmm-yy")</f>
        <v/>
      </c>
      <c r="L389" s="26">
        <f>IFERROR(VLOOKUP($M389,'ITEM MASTER'!E:H,4,0),"")</f>
        <v/>
      </c>
      <c r="M389" s="26">
        <f>IFERROR(VLOOKUP($I389,'ITEM MASTER'!B:E,4,0),"")</f>
        <v/>
      </c>
      <c r="N389" s="26">
        <f>IFERROR(VLOOKUP($I389,'ITEM MASTER'!B:F,5,0),0)</f>
        <v/>
      </c>
      <c r="O389" s="26">
        <f>IFERROR(VLOOKUP($M389,'TBGS PER CTN'!B:C,2,0),0)</f>
        <v/>
      </c>
      <c r="P389" s="26" t="n">
        <v>2950</v>
      </c>
      <c r="Q389" s="26" t="n">
        <v>0</v>
      </c>
      <c r="R389" s="26" t="n">
        <v>0</v>
      </c>
      <c r="S389" s="26">
        <f>Q389+R389</f>
        <v/>
      </c>
      <c r="T389" s="29" t="n">
        <v>2950</v>
      </c>
      <c r="U389" s="29">
        <f>N389*O389*T389</f>
        <v/>
      </c>
      <c r="V389" s="82">
        <f>IF(ISNUMBER($D389),$D389-WEEKDAY($D389,3),'ORDER VS WEEK DISTRIBUTION'!$G$500)</f>
        <v/>
      </c>
      <c r="W389" s="82">
        <f>MAX($V389,'ORDER VS WEEK DISTRIBUTION'!$G$500)</f>
        <v/>
      </c>
      <c r="X389" s="26">
        <f>IFERROR(VLOOKUP($J389,'ORDER VS WEEK DISTRIBUTION'!$T:$U,2,0),"")</f>
        <v/>
      </c>
      <c r="Y389" s="26">
        <f>IFERROR($T389/IF(IFERROR(VLOOKUP($I389,'ITEM CFC PER CONTAINER'!$A:$B,2,0),0)&gt;0,VLOOKUP($I389,'ITEM CFC PER CONTAINER'!$A:$B,2,0),VLOOKUP($X389,'MC MASTER'!$A:$Q,16,0)),"")</f>
        <v/>
      </c>
    </row>
    <row r="390" ht="15" customHeight="1" s="5">
      <c r="A390" s="26" t="inlineStr">
        <is>
          <t>Multitrade Overseas Pte. Ltd.</t>
        </is>
      </c>
      <c r="B390" s="26" t="inlineStr">
        <is>
          <t>MJIL/SO/26012326</t>
        </is>
      </c>
      <c r="C390" s="26" t="inlineStr">
        <is>
          <t>MJ-024/26-27 / 9 - ETKAF</t>
        </is>
      </c>
      <c r="D390" s="82" t="n">
        <v>46336</v>
      </c>
      <c r="E390" s="83">
        <f>IF(ISNUMBER($D390),EOMONTH($D390,-1)+1,"")</f>
        <v/>
      </c>
      <c r="F390" s="82" t="n">
        <v>46336</v>
      </c>
      <c r="G390" s="26" t="n">
        <v>1933</v>
      </c>
      <c r="H390" s="26">
        <f>B390&amp;I390</f>
        <v/>
      </c>
      <c r="I390" s="26" t="inlineStr">
        <is>
          <t>GV GARDEN STRAWBERRY 24/25 DC ENV TBGS WITH TSHIRT</t>
        </is>
      </c>
      <c r="J390" s="30" t="inlineStr">
        <is>
          <t>CONSTANTA ENV</t>
        </is>
      </c>
      <c r="K390" s="26">
        <f>J390&amp;"-"&amp;TEXT(W390,"dd-mmm-yy")</f>
        <v/>
      </c>
      <c r="L390" s="26">
        <f>IFERROR(VLOOKUP($M390,'ITEM MASTER'!E:H,4,0),"")</f>
        <v/>
      </c>
      <c r="M390" s="26">
        <f>IFERROR(VLOOKUP($I390,'ITEM MASTER'!B:E,4,0),"")</f>
        <v/>
      </c>
      <c r="N390" s="26">
        <f>IFERROR(VLOOKUP($I390,'ITEM MASTER'!B:F,5,0),0)</f>
        <v/>
      </c>
      <c r="O390" s="26">
        <f>IFERROR(VLOOKUP($M390,'TBGS PER CTN'!B:C,2,0),0)</f>
        <v/>
      </c>
      <c r="P390" s="26" t="n">
        <v>5668</v>
      </c>
      <c r="Q390" s="26" t="n">
        <v>0</v>
      </c>
      <c r="R390" s="26" t="n">
        <v>0</v>
      </c>
      <c r="S390" s="26">
        <f>Q390+R390</f>
        <v/>
      </c>
      <c r="T390" s="29" t="n">
        <v>5668</v>
      </c>
      <c r="U390" s="29">
        <f>N390*O390*T390</f>
        <v/>
      </c>
      <c r="V390" s="82">
        <f>IF(ISNUMBER($D390),$D390-WEEKDAY($D390,3),'ORDER VS WEEK DISTRIBUTION'!$G$500)</f>
        <v/>
      </c>
      <c r="W390" s="82">
        <f>MAX($V390,'ORDER VS WEEK DISTRIBUTION'!$G$500)</f>
        <v/>
      </c>
      <c r="X390" s="26">
        <f>IFERROR(VLOOKUP($J390,'ORDER VS WEEK DISTRIBUTION'!$T:$U,2,0),"")</f>
        <v/>
      </c>
      <c r="Y390" s="26">
        <f>IFERROR($T390/IF(IFERROR(VLOOKUP($I390,'ITEM CFC PER CONTAINER'!$A:$B,2,0),0)&gt;0,VLOOKUP($I390,'ITEM CFC PER CONTAINER'!$A:$B,2,0),VLOOKUP($X390,'MC MASTER'!$A:$Q,16,0)),"")</f>
        <v/>
      </c>
    </row>
    <row r="391" ht="15" customHeight="1" s="5">
      <c r="A391" s="26" t="inlineStr">
        <is>
          <t>Multitrade Overseas Pte. Ltd.</t>
        </is>
      </c>
      <c r="B391" s="26" t="inlineStr">
        <is>
          <t>MJIL/SO/26012326</t>
        </is>
      </c>
      <c r="C391" s="26" t="inlineStr">
        <is>
          <t>MJ-024/26-27 / 9 - ETKAF</t>
        </is>
      </c>
      <c r="D391" s="82" t="n">
        <v>46336</v>
      </c>
      <c r="E391" s="83">
        <f>IF(ISNUMBER($D391),EOMONTH($D391,-1)+1,"")</f>
        <v/>
      </c>
      <c r="F391" s="82" t="n">
        <v>46336</v>
      </c>
      <c r="G391" s="26" t="n">
        <v>2131</v>
      </c>
      <c r="H391" s="26">
        <f>B391&amp;I391</f>
        <v/>
      </c>
      <c r="I391" s="26" t="inlineStr">
        <is>
          <t>GV SPICY GINGER 24/25 DC ENV TBGS WITH TSHIRT</t>
        </is>
      </c>
      <c r="J391" s="30" t="inlineStr">
        <is>
          <t>CONSTANTA ENV</t>
        </is>
      </c>
      <c r="K391" s="26">
        <f>J391&amp;"-"&amp;TEXT(W391,"dd-mmm-yy")</f>
        <v/>
      </c>
      <c r="L391" s="26">
        <f>IFERROR(VLOOKUP($M391,'ITEM MASTER'!E:H,4,0),"")</f>
        <v/>
      </c>
      <c r="M391" s="26">
        <f>IFERROR(VLOOKUP($I391,'ITEM MASTER'!B:E,4,0),"")</f>
        <v/>
      </c>
      <c r="N391" s="26">
        <f>IFERROR(VLOOKUP($I391,'ITEM MASTER'!B:F,5,0),0)</f>
        <v/>
      </c>
      <c r="O391" s="26">
        <f>IFERROR(VLOOKUP($M391,'TBGS PER CTN'!B:C,2,0),0)</f>
        <v/>
      </c>
      <c r="P391" s="26" t="n">
        <v>2950</v>
      </c>
      <c r="Q391" s="26" t="n">
        <v>0</v>
      </c>
      <c r="R391" s="26" t="n">
        <v>0</v>
      </c>
      <c r="S391" s="26">
        <f>Q391+R391</f>
        <v/>
      </c>
      <c r="T391" s="29" t="n">
        <v>2950</v>
      </c>
      <c r="U391" s="29">
        <f>N391*O391*T391</f>
        <v/>
      </c>
      <c r="V391" s="82">
        <f>IF(ISNUMBER($D391),$D391-WEEKDAY($D391,3),'ORDER VS WEEK DISTRIBUTION'!$G$500)</f>
        <v/>
      </c>
      <c r="W391" s="82">
        <f>MAX($V391,'ORDER VS WEEK DISTRIBUTION'!$G$500)</f>
        <v/>
      </c>
      <c r="X391" s="26">
        <f>IFERROR(VLOOKUP($J391,'ORDER VS WEEK DISTRIBUTION'!$T:$U,2,0),"")</f>
        <v/>
      </c>
      <c r="Y391" s="26">
        <f>IFERROR($T391/IF(IFERROR(VLOOKUP($I391,'ITEM CFC PER CONTAINER'!$A:$B,2,0),0)&gt;0,VLOOKUP($I391,'ITEM CFC PER CONTAINER'!$A:$B,2,0),VLOOKUP($X391,'MC MASTER'!$A:$Q,16,0)),"")</f>
        <v/>
      </c>
    </row>
    <row r="392" ht="15" customHeight="1" s="5">
      <c r="A392" s="26" t="inlineStr">
        <is>
          <t>Multitrade Overseas Pte. Ltd.</t>
        </is>
      </c>
      <c r="B392" s="26" t="inlineStr">
        <is>
          <t>MJIL/SO/26012326</t>
        </is>
      </c>
      <c r="C392" s="26" t="inlineStr">
        <is>
          <t>MJ-024/26-27 / 9 - ETKAF</t>
        </is>
      </c>
      <c r="D392" s="82" t="n">
        <v>46336</v>
      </c>
      <c r="E392" s="83">
        <f>IF(ISNUMBER($D392),EOMONTH($D392,-1)+1,"")</f>
        <v/>
      </c>
      <c r="F392" s="82" t="n">
        <v>46336</v>
      </c>
      <c r="G392" s="26" t="n">
        <v>2051</v>
      </c>
      <c r="H392" s="26">
        <f>B392&amp;I392</f>
        <v/>
      </c>
      <c r="I392" s="26" t="inlineStr">
        <is>
          <t>GV ORANGE 24/25 DC ENV TBGS WITH TSHIRT</t>
        </is>
      </c>
      <c r="J392" s="30" t="inlineStr">
        <is>
          <t>CONSTANTA ENV</t>
        </is>
      </c>
      <c r="K392" s="26">
        <f>J392&amp;"-"&amp;TEXT(W392,"dd-mmm-yy")</f>
        <v/>
      </c>
      <c r="L392" s="26">
        <f>IFERROR(VLOOKUP($M392,'ITEM MASTER'!E:H,4,0),"")</f>
        <v/>
      </c>
      <c r="M392" s="26">
        <f>IFERROR(VLOOKUP($I392,'ITEM MASTER'!B:E,4,0),"")</f>
        <v/>
      </c>
      <c r="N392" s="26">
        <f>IFERROR(VLOOKUP($I392,'ITEM MASTER'!B:F,5,0),0)</f>
        <v/>
      </c>
      <c r="O392" s="26">
        <f>IFERROR(VLOOKUP($M392,'TBGS PER CTN'!B:C,2,0),0)</f>
        <v/>
      </c>
      <c r="P392" s="26" t="n">
        <v>200</v>
      </c>
      <c r="Q392" s="26" t="n">
        <v>0</v>
      </c>
      <c r="R392" s="26" t="n">
        <v>0</v>
      </c>
      <c r="S392" s="26">
        <f>Q392+R392</f>
        <v/>
      </c>
      <c r="T392" s="29" t="n">
        <v>200</v>
      </c>
      <c r="U392" s="29">
        <f>N392*O392*T392</f>
        <v/>
      </c>
      <c r="V392" s="82">
        <f>IF(ISNUMBER($D392),$D392-WEEKDAY($D392,3),'ORDER VS WEEK DISTRIBUTION'!$G$500)</f>
        <v/>
      </c>
      <c r="W392" s="82">
        <f>MAX($V392,'ORDER VS WEEK DISTRIBUTION'!$G$500)</f>
        <v/>
      </c>
      <c r="X392" s="26">
        <f>IFERROR(VLOOKUP($J392,'ORDER VS WEEK DISTRIBUTION'!$T:$U,2,0),"")</f>
        <v/>
      </c>
      <c r="Y392" s="26">
        <f>IFERROR($T392/IF(IFERROR(VLOOKUP($I392,'ITEM CFC PER CONTAINER'!$A:$B,2,0),0)&gt;0,VLOOKUP($I392,'ITEM CFC PER CONTAINER'!$A:$B,2,0),VLOOKUP($X392,'MC MASTER'!$A:$Q,16,0)),"")</f>
        <v/>
      </c>
    </row>
    <row r="393" ht="15" customHeight="1" s="5">
      <c r="A393" s="26" t="inlineStr">
        <is>
          <t>Multitrade Overseas Pte. Ltd.</t>
        </is>
      </c>
      <c r="B393" s="26" t="inlineStr">
        <is>
          <t>MJIL/SO/26012326</t>
        </is>
      </c>
      <c r="C393" s="26" t="inlineStr">
        <is>
          <t>MJ-024/26-27 / 9 - ETKAF</t>
        </is>
      </c>
      <c r="D393" s="82" t="n">
        <v>46336</v>
      </c>
      <c r="E393" s="83">
        <f>IF(ISNUMBER($D393),EOMONTH($D393,-1)+1,"")</f>
        <v/>
      </c>
      <c r="F393" s="82" t="n">
        <v>46336</v>
      </c>
      <c r="G393" s="26" t="n">
        <v>21810</v>
      </c>
      <c r="H393" s="26">
        <f>B393&amp;I393</f>
        <v/>
      </c>
      <c r="I393" s="26" t="inlineStr">
        <is>
          <t>GV CLOVE 24/25 DC ENV TBGS WITH TSHIRT</t>
        </is>
      </c>
      <c r="J393" s="30" t="inlineStr">
        <is>
          <t>CONSTANTA ENV</t>
        </is>
      </c>
      <c r="K393" s="26">
        <f>J393&amp;"-"&amp;TEXT(W393,"dd-mmm-yy")</f>
        <v/>
      </c>
      <c r="L393" s="26">
        <f>IFERROR(VLOOKUP($M393,'ITEM MASTER'!E:H,4,0),"")</f>
        <v/>
      </c>
      <c r="M393" s="26">
        <f>IFERROR(VLOOKUP($I393,'ITEM MASTER'!B:E,4,0),"")</f>
        <v/>
      </c>
      <c r="N393" s="26">
        <f>IFERROR(VLOOKUP($I393,'ITEM MASTER'!B:F,5,0),0)</f>
        <v/>
      </c>
      <c r="O393" s="26">
        <f>IFERROR(VLOOKUP($M393,'TBGS PER CTN'!B:C,2,0),0)</f>
        <v/>
      </c>
      <c r="P393" s="26" t="n">
        <v>200</v>
      </c>
      <c r="Q393" s="26" t="n">
        <v>0</v>
      </c>
      <c r="R393" s="26" t="n">
        <v>0</v>
      </c>
      <c r="S393" s="26">
        <f>Q393+R393</f>
        <v/>
      </c>
      <c r="T393" s="29" t="n">
        <v>200</v>
      </c>
      <c r="U393" s="29">
        <f>N393*O393*T393</f>
        <v/>
      </c>
      <c r="V393" s="82">
        <f>IF(ISNUMBER($D393),$D393-WEEKDAY($D393,3),'ORDER VS WEEK DISTRIBUTION'!$G$500)</f>
        <v/>
      </c>
      <c r="W393" s="82">
        <f>MAX($V393,'ORDER VS WEEK DISTRIBUTION'!$G$500)</f>
        <v/>
      </c>
      <c r="X393" s="26">
        <f>IFERROR(VLOOKUP($J393,'ORDER VS WEEK DISTRIBUTION'!$T:$U,2,0),"")</f>
        <v/>
      </c>
      <c r="Y393" s="26">
        <f>IFERROR($T393/IF(IFERROR(VLOOKUP($I393,'ITEM CFC PER CONTAINER'!$A:$B,2,0),0)&gt;0,VLOOKUP($I393,'ITEM CFC PER CONTAINER'!$A:$B,2,0),VLOOKUP($X393,'MC MASTER'!$A:$Q,16,0)),"")</f>
        <v/>
      </c>
    </row>
    <row r="394" ht="15" customHeight="1" s="5">
      <c r="A394" s="26" t="inlineStr">
        <is>
          <t>Multitrade Overseas Pte. Ltd.</t>
        </is>
      </c>
      <c r="B394" s="26" t="inlineStr">
        <is>
          <t>MJIL/SO/26012326</t>
        </is>
      </c>
      <c r="C394" s="26" t="inlineStr">
        <is>
          <t>MJ-024/26-27 / 9 - ETKAF</t>
        </is>
      </c>
      <c r="D394" s="82" t="n">
        <v>46336</v>
      </c>
      <c r="E394" s="83">
        <f>IF(ISNUMBER($D394),EOMONTH($D394,-1)+1,"")</f>
        <v/>
      </c>
      <c r="F394" s="82" t="n">
        <v>46336</v>
      </c>
      <c r="G394" s="26" t="n">
        <v>2105</v>
      </c>
      <c r="H394" s="26">
        <f>B394&amp;I394</f>
        <v/>
      </c>
      <c r="I394" s="26" t="inlineStr">
        <is>
          <t>GV ROYAL LEMON 24/25 DC ENV TBGS WITH TSHIRT</t>
        </is>
      </c>
      <c r="J394" s="30" t="inlineStr">
        <is>
          <t>CONSTANTA ENV</t>
        </is>
      </c>
      <c r="K394" s="26">
        <f>J394&amp;"-"&amp;TEXT(W394,"dd-mmm-yy")</f>
        <v/>
      </c>
      <c r="L394" s="26">
        <f>IFERROR(VLOOKUP($M394,'ITEM MASTER'!E:H,4,0),"")</f>
        <v/>
      </c>
      <c r="M394" s="26">
        <f>IFERROR(VLOOKUP($I394,'ITEM MASTER'!B:E,4,0),"")</f>
        <v/>
      </c>
      <c r="N394" s="26">
        <f>IFERROR(VLOOKUP($I394,'ITEM MASTER'!B:F,5,0),0)</f>
        <v/>
      </c>
      <c r="O394" s="26">
        <f>IFERROR(VLOOKUP($M394,'TBGS PER CTN'!B:C,2,0),0)</f>
        <v/>
      </c>
      <c r="P394" s="26" t="n">
        <v>273</v>
      </c>
      <c r="Q394" s="26" t="n">
        <v>0</v>
      </c>
      <c r="R394" s="26" t="n">
        <v>0</v>
      </c>
      <c r="S394" s="26">
        <f>Q394+R394</f>
        <v/>
      </c>
      <c r="T394" s="29" t="n">
        <v>273</v>
      </c>
      <c r="U394" s="29">
        <f>N394*O394*T394</f>
        <v/>
      </c>
      <c r="V394" s="82">
        <f>IF(ISNUMBER($D394),$D394-WEEKDAY($D394,3),'ORDER VS WEEK DISTRIBUTION'!$G$500)</f>
        <v/>
      </c>
      <c r="W394" s="82">
        <f>MAX($V394,'ORDER VS WEEK DISTRIBUTION'!$G$500)</f>
        <v/>
      </c>
      <c r="X394" s="26">
        <f>IFERROR(VLOOKUP($J394,'ORDER VS WEEK DISTRIBUTION'!$T:$U,2,0),"")</f>
        <v/>
      </c>
      <c r="Y394" s="26">
        <f>IFERROR($T394/IF(IFERROR(VLOOKUP($I394,'ITEM CFC PER CONTAINER'!$A:$B,2,0),0)&gt;0,VLOOKUP($I394,'ITEM CFC PER CONTAINER'!$A:$B,2,0),VLOOKUP($X394,'MC MASTER'!$A:$Q,16,0)),"")</f>
        <v/>
      </c>
    </row>
    <row r="395" ht="15" customHeight="1" s="5">
      <c r="A395" s="26" t="inlineStr">
        <is>
          <t>Mlm International Fzco</t>
        </is>
      </c>
      <c r="B395" s="26" t="inlineStr">
        <is>
          <t>MJIL/SO/26037901</t>
        </is>
      </c>
      <c r="C395" s="26" t="inlineStr">
        <is>
          <t>MJ-068/26-27</t>
        </is>
      </c>
      <c r="D395" s="82" t="n">
        <v>46337</v>
      </c>
      <c r="E395" s="83">
        <f>IF(ISNUMBER($D395),EOMONTH($D395,-1)+1,"")</f>
        <v/>
      </c>
      <c r="F395" s="82" t="n">
        <v>46337</v>
      </c>
      <c r="G395" s="26" t="n">
        <v>27112</v>
      </c>
      <c r="H395" s="26">
        <f>B395&amp;I395</f>
        <v/>
      </c>
      <c r="I395" s="26" t="inlineStr">
        <is>
          <t>PADI  24/100 SC TBGS TAGLESS (2 GMS)</t>
        </is>
      </c>
      <c r="J395" s="26" t="inlineStr">
        <is>
          <t>MAISA TAGLESS</t>
        </is>
      </c>
      <c r="K395" s="26">
        <f>J395&amp;"-"&amp;TEXT(W395,"dd-mmm-yy")</f>
        <v/>
      </c>
      <c r="L395" s="26">
        <f>IFERROR(VLOOKUP($M395,'ITEM MASTER'!E:H,4,0),"")</f>
        <v/>
      </c>
      <c r="M395" s="26">
        <f>IFERROR(VLOOKUP($I395,'ITEM MASTER'!B:E,4,0),"")</f>
        <v/>
      </c>
      <c r="N395" s="26">
        <f>IFERROR(VLOOKUP($I395,'ITEM MASTER'!B:F,5,0),0)</f>
        <v/>
      </c>
      <c r="O395" s="26">
        <f>IFERROR(VLOOKUP($M395,'TBGS PER CTN'!B:C,2,0),0)</f>
        <v/>
      </c>
      <c r="P395" s="26" t="n">
        <v>2100</v>
      </c>
      <c r="Q395" s="26" t="n">
        <v>0</v>
      </c>
      <c r="R395" s="26" t="n">
        <v>0</v>
      </c>
      <c r="S395" s="26">
        <f>Q395+R395</f>
        <v/>
      </c>
      <c r="T395" s="29" t="n">
        <v>2100</v>
      </c>
      <c r="U395" s="29">
        <f>N395*O395*T395</f>
        <v/>
      </c>
      <c r="V395" s="82">
        <f>IF(ISNUMBER($D395),$D395-WEEKDAY($D395,3),'ORDER VS WEEK DISTRIBUTION'!$G$500)</f>
        <v/>
      </c>
      <c r="W395" s="82">
        <f>MAX($V395,'ORDER VS WEEK DISTRIBUTION'!$G$500)</f>
        <v/>
      </c>
      <c r="X395" s="26">
        <f>IFERROR(VLOOKUP($J395,'ORDER VS WEEK DISTRIBUTION'!$T:$U,2,0),"")</f>
        <v/>
      </c>
      <c r="Y395" s="26">
        <f>IFERROR($T395/IF(IFERROR(VLOOKUP($I395,'ITEM CFC PER CONTAINER'!$A:$B,2,0),0)&gt;0,VLOOKUP($I395,'ITEM CFC PER CONTAINER'!$A:$B,2,0),VLOOKUP($X395,'MC MASTER'!$A:$Q,16,0)),"")</f>
        <v/>
      </c>
    </row>
    <row r="396" ht="15" customHeight="1" s="5">
      <c r="A396" s="26" t="inlineStr">
        <is>
          <t>Mlm International Fzco</t>
        </is>
      </c>
      <c r="B396" s="26" t="inlineStr">
        <is>
          <t>MJIL/SO/26037901</t>
        </is>
      </c>
      <c r="C396" s="26" t="inlineStr">
        <is>
          <t>MJ-068/26-27</t>
        </is>
      </c>
      <c r="D396" s="82" t="n">
        <v>46337</v>
      </c>
      <c r="E396" s="83">
        <f>IF(ISNUMBER($D396),EOMONTH($D396,-1)+1,"")</f>
        <v/>
      </c>
      <c r="F396" s="82" t="n">
        <v>46337</v>
      </c>
      <c r="G396" s="26" t="n">
        <v>27701</v>
      </c>
      <c r="H396" s="26">
        <f>B396&amp;I396</f>
        <v/>
      </c>
      <c r="I396" s="26" t="inlineStr">
        <is>
          <t>PADI 24/25 DC ENV TBGS</t>
        </is>
      </c>
      <c r="J396" s="30" t="inlineStr">
        <is>
          <t>CONSTANTA ENV</t>
        </is>
      </c>
      <c r="K396" s="26">
        <f>J396&amp;"-"&amp;TEXT(W396,"dd-mmm-yy")</f>
        <v/>
      </c>
      <c r="L396" s="26">
        <f>IFERROR(VLOOKUP($M396,'ITEM MASTER'!E:H,4,0),"")</f>
        <v/>
      </c>
      <c r="M396" s="26">
        <f>IFERROR(VLOOKUP($I396,'ITEM MASTER'!B:E,4,0),"")</f>
        <v/>
      </c>
      <c r="N396" s="26">
        <f>IFERROR(VLOOKUP($I396,'ITEM MASTER'!B:F,5,0),0)</f>
        <v/>
      </c>
      <c r="O396" s="26">
        <f>IFERROR(VLOOKUP($M396,'TBGS PER CTN'!B:C,2,0),0)</f>
        <v/>
      </c>
      <c r="P396" s="26" t="n">
        <v>1500</v>
      </c>
      <c r="Q396" s="26" t="n">
        <v>0</v>
      </c>
      <c r="R396" s="26" t="n">
        <v>0</v>
      </c>
      <c r="S396" s="26">
        <f>Q396+R396</f>
        <v/>
      </c>
      <c r="T396" s="29" t="n">
        <v>1500</v>
      </c>
      <c r="U396" s="29">
        <f>N396*O396*T396</f>
        <v/>
      </c>
      <c r="V396" s="82">
        <f>IF(ISNUMBER($D396),$D396-WEEKDAY($D396,3),'ORDER VS WEEK DISTRIBUTION'!$G$500)</f>
        <v/>
      </c>
      <c r="W396" s="82">
        <f>MAX($V396,'ORDER VS WEEK DISTRIBUTION'!$G$500)</f>
        <v/>
      </c>
      <c r="X396" s="26">
        <f>IFERROR(VLOOKUP($J396,'ORDER VS WEEK DISTRIBUTION'!$T:$U,2,0),"")</f>
        <v/>
      </c>
      <c r="Y396" s="26">
        <f>IFERROR($T396/IF(IFERROR(VLOOKUP($I396,'ITEM CFC PER CONTAINER'!$A:$B,2,0),0)&gt;0,VLOOKUP($I396,'ITEM CFC PER CONTAINER'!$A:$B,2,0),VLOOKUP($X396,'MC MASTER'!$A:$Q,16,0)),"")</f>
        <v/>
      </c>
    </row>
    <row r="397" ht="15" customHeight="1" s="5">
      <c r="A397" s="26" t="inlineStr">
        <is>
          <t>Everest International</t>
        </is>
      </c>
      <c r="B397" s="26" t="inlineStr">
        <is>
          <t>MJIL/SO/26053781</t>
        </is>
      </c>
      <c r="C397" s="26" t="inlineStr">
        <is>
          <t>MJ-119/26-27</t>
        </is>
      </c>
      <c r="D397" s="82" t="n">
        <v>46338</v>
      </c>
      <c r="E397" s="83">
        <f>IF(ISNUMBER($D397),EOMONTH($D397,-1)+1,"")</f>
        <v/>
      </c>
      <c r="F397" s="82" t="n">
        <v>46338</v>
      </c>
      <c r="G397" s="26" t="n">
        <v>19824</v>
      </c>
      <c r="H397" s="26">
        <f>B397&amp;I397</f>
        <v/>
      </c>
      <c r="I397" s="26" t="inlineStr">
        <is>
          <t>GV SPICY GINGER 24/25 DC ENV TBGS (AR)</t>
        </is>
      </c>
      <c r="J397" s="30" t="inlineStr">
        <is>
          <t>CONSTANTA ENV</t>
        </is>
      </c>
      <c r="K397" s="26">
        <f>J397&amp;"-"&amp;TEXT(W397,"dd-mmm-yy")</f>
        <v/>
      </c>
      <c r="L397" s="26">
        <f>IFERROR(VLOOKUP($M397,'ITEM MASTER'!E:H,4,0),"")</f>
        <v/>
      </c>
      <c r="M397" s="26">
        <f>IFERROR(VLOOKUP($I397,'ITEM MASTER'!B:E,4,0),"")</f>
        <v/>
      </c>
      <c r="N397" s="26">
        <f>IFERROR(VLOOKUP($I397,'ITEM MASTER'!B:F,5,0),0)</f>
        <v/>
      </c>
      <c r="O397" s="26">
        <f>IFERROR(VLOOKUP($M397,'TBGS PER CTN'!B:C,2,0),0)</f>
        <v/>
      </c>
      <c r="P397" s="26" t="n">
        <v>1175</v>
      </c>
      <c r="Q397" s="26" t="n">
        <v>0</v>
      </c>
      <c r="R397" s="26" t="n">
        <v>0</v>
      </c>
      <c r="S397" s="26">
        <f>Q397+R397</f>
        <v/>
      </c>
      <c r="T397" s="29" t="n">
        <v>1175</v>
      </c>
      <c r="U397" s="29">
        <f>N397*O397*T397</f>
        <v/>
      </c>
      <c r="V397" s="82">
        <f>IF(ISNUMBER($D397),$D397-WEEKDAY($D397,3),'ORDER VS WEEK DISTRIBUTION'!$G$500)</f>
        <v/>
      </c>
      <c r="W397" s="82">
        <f>MAX($V397,'ORDER VS WEEK DISTRIBUTION'!$G$500)</f>
        <v/>
      </c>
      <c r="X397" s="26">
        <f>IFERROR(VLOOKUP($J397,'ORDER VS WEEK DISTRIBUTION'!$T:$U,2,0),"")</f>
        <v/>
      </c>
      <c r="Y397" s="26">
        <f>IFERROR($T397/IF(IFERROR(VLOOKUP($I397,'ITEM CFC PER CONTAINER'!$A:$B,2,0),0)&gt;0,VLOOKUP($I397,'ITEM CFC PER CONTAINER'!$A:$B,2,0),VLOOKUP($X397,'MC MASTER'!$A:$Q,16,0)),"")</f>
        <v/>
      </c>
    </row>
    <row r="398" ht="15" customHeight="1" s="5">
      <c r="A398" s="26" t="inlineStr">
        <is>
          <t>Everest International</t>
        </is>
      </c>
      <c r="B398" s="26" t="inlineStr">
        <is>
          <t>MJIL/SO/26053781</t>
        </is>
      </c>
      <c r="C398" s="26" t="inlineStr">
        <is>
          <t>MJ-119/26-27</t>
        </is>
      </c>
      <c r="D398" s="82" t="n">
        <v>46338</v>
      </c>
      <c r="E398" s="83">
        <f>IF(ISNUMBER($D398),EOMONTH($D398,-1)+1,"")</f>
        <v/>
      </c>
      <c r="F398" s="82" t="n">
        <v>46338</v>
      </c>
      <c r="G398" s="26" t="n">
        <v>21586</v>
      </c>
      <c r="H398" s="26">
        <f>B398&amp;I398</f>
        <v/>
      </c>
      <c r="I398" s="26" t="inlineStr">
        <is>
          <t>GV CLOVE 24/25 DC ENV TBGS</t>
        </is>
      </c>
      <c r="J398" s="30" t="inlineStr">
        <is>
          <t>CONSTANTA ENV</t>
        </is>
      </c>
      <c r="K398" s="26">
        <f>J398&amp;"-"&amp;TEXT(W398,"dd-mmm-yy")</f>
        <v/>
      </c>
      <c r="L398" s="26">
        <f>IFERROR(VLOOKUP($M398,'ITEM MASTER'!E:H,4,0),"")</f>
        <v/>
      </c>
      <c r="M398" s="26">
        <f>IFERROR(VLOOKUP($I398,'ITEM MASTER'!B:E,4,0),"")</f>
        <v/>
      </c>
      <c r="N398" s="26">
        <f>IFERROR(VLOOKUP($I398,'ITEM MASTER'!B:F,5,0),0)</f>
        <v/>
      </c>
      <c r="O398" s="26">
        <f>IFERROR(VLOOKUP($M398,'TBGS PER CTN'!B:C,2,0),0)</f>
        <v/>
      </c>
      <c r="P398" s="26" t="n">
        <v>1100</v>
      </c>
      <c r="Q398" s="26" t="n">
        <v>0</v>
      </c>
      <c r="R398" s="26" t="n">
        <v>0</v>
      </c>
      <c r="S398" s="26">
        <f>Q398+R398</f>
        <v/>
      </c>
      <c r="T398" s="29" t="n">
        <v>1100</v>
      </c>
      <c r="U398" s="29">
        <f>N398*O398*T398</f>
        <v/>
      </c>
      <c r="V398" s="82">
        <f>IF(ISNUMBER($D398),$D398-WEEKDAY($D398,3),'ORDER VS WEEK DISTRIBUTION'!$G$500)</f>
        <v/>
      </c>
      <c r="W398" s="82">
        <f>MAX($V398,'ORDER VS WEEK DISTRIBUTION'!$G$500)</f>
        <v/>
      </c>
      <c r="X398" s="26">
        <f>IFERROR(VLOOKUP($J398,'ORDER VS WEEK DISTRIBUTION'!$T:$U,2,0),"")</f>
        <v/>
      </c>
      <c r="Y398" s="26">
        <f>IFERROR($T398/IF(IFERROR(VLOOKUP($I398,'ITEM CFC PER CONTAINER'!$A:$B,2,0),0)&gt;0,VLOOKUP($I398,'ITEM CFC PER CONTAINER'!$A:$B,2,0),VLOOKUP($X398,'MC MASTER'!$A:$Q,16,0)),"")</f>
        <v/>
      </c>
    </row>
    <row r="399" ht="15" customHeight="1" s="5">
      <c r="A399" s="26" t="inlineStr">
        <is>
          <t>Everest International</t>
        </is>
      </c>
      <c r="B399" s="26" t="inlineStr">
        <is>
          <t>MJIL/SO/26053781</t>
        </is>
      </c>
      <c r="C399" s="26" t="inlineStr">
        <is>
          <t>MJ-119/26-27</t>
        </is>
      </c>
      <c r="D399" s="82" t="n">
        <v>46338</v>
      </c>
      <c r="E399" s="83">
        <f>IF(ISNUMBER($D399),EOMONTH($D399,-1)+1,"")</f>
        <v/>
      </c>
      <c r="F399" s="82" t="n">
        <v>46338</v>
      </c>
      <c r="G399" s="26" t="n">
        <v>2016</v>
      </c>
      <c r="H399" s="26">
        <f>B399&amp;I399</f>
        <v/>
      </c>
      <c r="I399" s="26" t="inlineStr">
        <is>
          <t>GV MINT 24/25 DC ENV TBGS</t>
        </is>
      </c>
      <c r="J399" s="30" t="inlineStr">
        <is>
          <t>CONSTANTA ENV</t>
        </is>
      </c>
      <c r="K399" s="26">
        <f>J399&amp;"-"&amp;TEXT(W399,"dd-mmm-yy")</f>
        <v/>
      </c>
      <c r="L399" s="26">
        <f>IFERROR(VLOOKUP($M399,'ITEM MASTER'!E:H,4,0),"")</f>
        <v/>
      </c>
      <c r="M399" s="26">
        <f>IFERROR(VLOOKUP($I399,'ITEM MASTER'!B:E,4,0),"")</f>
        <v/>
      </c>
      <c r="N399" s="26">
        <f>IFERROR(VLOOKUP($I399,'ITEM MASTER'!B:F,5,0),0)</f>
        <v/>
      </c>
      <c r="O399" s="26">
        <f>IFERROR(VLOOKUP($M399,'TBGS PER CTN'!B:C,2,0),0)</f>
        <v/>
      </c>
      <c r="P399" s="26" t="n">
        <v>750</v>
      </c>
      <c r="Q399" s="26" t="n">
        <v>0</v>
      </c>
      <c r="R399" s="26" t="n">
        <v>0</v>
      </c>
      <c r="S399" s="26">
        <f>Q399+R399</f>
        <v/>
      </c>
      <c r="T399" s="29" t="n">
        <v>750</v>
      </c>
      <c r="U399" s="29">
        <f>N399*O399*T399</f>
        <v/>
      </c>
      <c r="V399" s="82">
        <f>IF(ISNUMBER($D399),$D399-WEEKDAY($D399,3),'ORDER VS WEEK DISTRIBUTION'!$G$500)</f>
        <v/>
      </c>
      <c r="W399" s="82">
        <f>MAX($V399,'ORDER VS WEEK DISTRIBUTION'!$G$500)</f>
        <v/>
      </c>
      <c r="X399" s="26">
        <f>IFERROR(VLOOKUP($J399,'ORDER VS WEEK DISTRIBUTION'!$T:$U,2,0),"")</f>
        <v/>
      </c>
      <c r="Y399" s="26">
        <f>IFERROR($T399/IF(IFERROR(VLOOKUP($I399,'ITEM CFC PER CONTAINER'!$A:$B,2,0),0)&gt;0,VLOOKUP($I399,'ITEM CFC PER CONTAINER'!$A:$B,2,0),VLOOKUP($X399,'MC MASTER'!$A:$Q,16,0)),"")</f>
        <v/>
      </c>
    </row>
    <row r="400" ht="15" customHeight="1" s="5">
      <c r="A400" s="26" t="inlineStr">
        <is>
          <t>Everest International</t>
        </is>
      </c>
      <c r="B400" s="26" t="inlineStr">
        <is>
          <t>MJIL/SO/26053781</t>
        </is>
      </c>
      <c r="C400" s="26" t="inlineStr">
        <is>
          <t>MJ-119/26-27</t>
        </is>
      </c>
      <c r="D400" s="82" t="n">
        <v>46338</v>
      </c>
      <c r="E400" s="83">
        <f>IF(ISNUMBER($D400),EOMONTH($D400,-1)+1,"")</f>
        <v/>
      </c>
      <c r="F400" s="82" t="n">
        <v>46338</v>
      </c>
      <c r="G400" s="26" t="n">
        <v>26557</v>
      </c>
      <c r="H400" s="26">
        <f>B400&amp;I400</f>
        <v/>
      </c>
      <c r="I400" s="26" t="inlineStr">
        <is>
          <t>GV MANGO 24/25 DC ENV TBGS</t>
        </is>
      </c>
      <c r="J400" s="30" t="inlineStr">
        <is>
          <t>CONSTANTA ENV</t>
        </is>
      </c>
      <c r="K400" s="26">
        <f>J400&amp;"-"&amp;TEXT(W400,"dd-mmm-yy")</f>
        <v/>
      </c>
      <c r="L400" s="26">
        <f>IFERROR(VLOOKUP($M400,'ITEM MASTER'!E:H,4,0),"")</f>
        <v/>
      </c>
      <c r="M400" s="26">
        <f>IFERROR(VLOOKUP($I400,'ITEM MASTER'!B:E,4,0),"")</f>
        <v/>
      </c>
      <c r="N400" s="26">
        <f>IFERROR(VLOOKUP($I400,'ITEM MASTER'!B:F,5,0),0)</f>
        <v/>
      </c>
      <c r="O400" s="26">
        <f>IFERROR(VLOOKUP($M400,'TBGS PER CTN'!B:C,2,0),0)</f>
        <v/>
      </c>
      <c r="P400" s="26" t="n">
        <v>350</v>
      </c>
      <c r="Q400" s="26" t="n">
        <v>1</v>
      </c>
      <c r="R400" s="26" t="n">
        <v>0</v>
      </c>
      <c r="S400" s="26">
        <f>Q400+R400</f>
        <v/>
      </c>
      <c r="T400" s="29" t="n">
        <v>349</v>
      </c>
      <c r="U400" s="29">
        <f>N400*O400*T400</f>
        <v/>
      </c>
      <c r="V400" s="82">
        <f>IF(ISNUMBER($D400),$D400-WEEKDAY($D400,3),'ORDER VS WEEK DISTRIBUTION'!$G$500)</f>
        <v/>
      </c>
      <c r="W400" s="82">
        <f>MAX($V400,'ORDER VS WEEK DISTRIBUTION'!$G$500)</f>
        <v/>
      </c>
      <c r="X400" s="26">
        <f>IFERROR(VLOOKUP($J400,'ORDER VS WEEK DISTRIBUTION'!$T:$U,2,0),"")</f>
        <v/>
      </c>
      <c r="Y400" s="26">
        <f>IFERROR($T400/IF(IFERROR(VLOOKUP($I400,'ITEM CFC PER CONTAINER'!$A:$B,2,0),0)&gt;0,VLOOKUP($I400,'ITEM CFC PER CONTAINER'!$A:$B,2,0),VLOOKUP($X400,'MC MASTER'!$A:$Q,16,0)),"")</f>
        <v/>
      </c>
    </row>
    <row r="401" ht="15" customHeight="1" s="5">
      <c r="A401" s="26" t="inlineStr">
        <is>
          <t>Everest International</t>
        </is>
      </c>
      <c r="B401" s="26" t="inlineStr">
        <is>
          <t>MJIL/SO/26053781</t>
        </is>
      </c>
      <c r="C401" s="26" t="inlineStr">
        <is>
          <t>MJ-119/26-27</t>
        </is>
      </c>
      <c r="D401" s="82" t="n">
        <v>46338</v>
      </c>
      <c r="E401" s="83">
        <f>IF(ISNUMBER($D401),EOMONTH($D401,-1)+1,"")</f>
        <v/>
      </c>
      <c r="F401" s="82" t="n">
        <v>46338</v>
      </c>
      <c r="G401" s="26" t="n">
        <v>21686</v>
      </c>
      <c r="H401" s="26">
        <f>B401&amp;I401</f>
        <v/>
      </c>
      <c r="I401" s="26" t="inlineStr">
        <is>
          <t>GV GREEN TEA MORINGA 24/25 DC ENV TBGS</t>
        </is>
      </c>
      <c r="J401" s="30" t="inlineStr">
        <is>
          <t>CONSTANTA ENV</t>
        </is>
      </c>
      <c r="K401" s="26">
        <f>J401&amp;"-"&amp;TEXT(W401,"dd-mmm-yy")</f>
        <v/>
      </c>
      <c r="L401" s="26">
        <f>IFERROR(VLOOKUP($M401,'ITEM MASTER'!E:H,4,0),"")</f>
        <v/>
      </c>
      <c r="M401" s="26">
        <f>IFERROR(VLOOKUP($I401,'ITEM MASTER'!B:E,4,0),"")</f>
        <v/>
      </c>
      <c r="N401" s="26">
        <f>IFERROR(VLOOKUP($I401,'ITEM MASTER'!B:F,5,0),0)</f>
        <v/>
      </c>
      <c r="O401" s="26">
        <f>IFERROR(VLOOKUP($M401,'TBGS PER CTN'!B:C,2,0),0)</f>
        <v/>
      </c>
      <c r="P401" s="26" t="n">
        <v>350</v>
      </c>
      <c r="Q401" s="26" t="n">
        <v>1</v>
      </c>
      <c r="R401" s="26" t="n">
        <v>146</v>
      </c>
      <c r="S401" s="26">
        <f>Q401+R401</f>
        <v/>
      </c>
      <c r="T401" s="29" t="n">
        <v>203</v>
      </c>
      <c r="U401" s="29">
        <f>N401*O401*T401</f>
        <v/>
      </c>
      <c r="V401" s="82">
        <f>IF(ISNUMBER($D401),$D401-WEEKDAY($D401,3),'ORDER VS WEEK DISTRIBUTION'!$G$500)</f>
        <v/>
      </c>
      <c r="W401" s="82">
        <f>MAX($V401,'ORDER VS WEEK DISTRIBUTION'!$G$500)</f>
        <v/>
      </c>
      <c r="X401" s="26">
        <f>IFERROR(VLOOKUP($J401,'ORDER VS WEEK DISTRIBUTION'!$T:$U,2,0),"")</f>
        <v/>
      </c>
      <c r="Y401" s="26">
        <f>IFERROR($T401/IF(IFERROR(VLOOKUP($I401,'ITEM CFC PER CONTAINER'!$A:$B,2,0),0)&gt;0,VLOOKUP($I401,'ITEM CFC PER CONTAINER'!$A:$B,2,0),VLOOKUP($X401,'MC MASTER'!$A:$Q,16,0)),"")</f>
        <v/>
      </c>
    </row>
    <row r="402" ht="15" customHeight="1" s="5">
      <c r="A402" s="26" t="inlineStr">
        <is>
          <t>Everest International</t>
        </is>
      </c>
      <c r="B402" s="26" t="inlineStr">
        <is>
          <t>MJIL/SO/26053781</t>
        </is>
      </c>
      <c r="C402" s="26" t="inlineStr">
        <is>
          <t>MJ-119/26-27</t>
        </is>
      </c>
      <c r="D402" s="82" t="n">
        <v>46338</v>
      </c>
      <c r="E402" s="83">
        <f>IF(ISNUMBER($D402),EOMONTH($D402,-1)+1,"")</f>
        <v/>
      </c>
      <c r="F402" s="82" t="n">
        <v>46338</v>
      </c>
      <c r="G402" s="26" t="n">
        <v>19830</v>
      </c>
      <c r="H402" s="26">
        <f>B402&amp;I402</f>
        <v/>
      </c>
      <c r="I402" s="26" t="inlineStr">
        <is>
          <t>GV COCKTAIL 24/25 DC ENV TBGS (AR)</t>
        </is>
      </c>
      <c r="J402" s="30" t="inlineStr">
        <is>
          <t>CONSTANTA ENV</t>
        </is>
      </c>
      <c r="K402" s="26">
        <f>J402&amp;"-"&amp;TEXT(W402,"dd-mmm-yy")</f>
        <v/>
      </c>
      <c r="L402" s="26">
        <f>IFERROR(VLOOKUP($M402,'ITEM MASTER'!E:H,4,0),"")</f>
        <v/>
      </c>
      <c r="M402" s="26">
        <f>IFERROR(VLOOKUP($I402,'ITEM MASTER'!B:E,4,0),"")</f>
        <v/>
      </c>
      <c r="N402" s="26">
        <f>IFERROR(VLOOKUP($I402,'ITEM MASTER'!B:F,5,0),0)</f>
        <v/>
      </c>
      <c r="O402" s="26">
        <f>IFERROR(VLOOKUP($M402,'TBGS PER CTN'!B:C,2,0),0)</f>
        <v/>
      </c>
      <c r="P402" s="26" t="n">
        <v>350</v>
      </c>
      <c r="Q402" s="26" t="n">
        <v>1</v>
      </c>
      <c r="R402" s="26" t="n">
        <v>236</v>
      </c>
      <c r="S402" s="26">
        <f>Q402+R402</f>
        <v/>
      </c>
      <c r="T402" s="29" t="n">
        <v>113</v>
      </c>
      <c r="U402" s="29">
        <f>N402*O402*T402</f>
        <v/>
      </c>
      <c r="V402" s="82">
        <f>IF(ISNUMBER($D402),$D402-WEEKDAY($D402,3),'ORDER VS WEEK DISTRIBUTION'!$G$500)</f>
        <v/>
      </c>
      <c r="W402" s="82">
        <f>MAX($V402,'ORDER VS WEEK DISTRIBUTION'!$G$500)</f>
        <v/>
      </c>
      <c r="X402" s="26">
        <f>IFERROR(VLOOKUP($J402,'ORDER VS WEEK DISTRIBUTION'!$T:$U,2,0),"")</f>
        <v/>
      </c>
      <c r="Y402" s="26">
        <f>IFERROR($T402/IF(IFERROR(VLOOKUP($I402,'ITEM CFC PER CONTAINER'!$A:$B,2,0),0)&gt;0,VLOOKUP($I402,'ITEM CFC PER CONTAINER'!$A:$B,2,0),VLOOKUP($X402,'MC MASTER'!$A:$Q,16,0)),"")</f>
        <v/>
      </c>
    </row>
    <row r="403" ht="15" customHeight="1" s="5">
      <c r="A403" s="26" t="inlineStr">
        <is>
          <t>Everest International</t>
        </is>
      </c>
      <c r="B403" s="26" t="inlineStr">
        <is>
          <t>MJIL/SO/26053781</t>
        </is>
      </c>
      <c r="C403" s="26" t="inlineStr">
        <is>
          <t>MJ-119/26-27</t>
        </is>
      </c>
      <c r="D403" s="82" t="n">
        <v>46338</v>
      </c>
      <c r="E403" s="83">
        <f>IF(ISNUMBER($D403),EOMONTH($D403,-1)+1,"")</f>
        <v/>
      </c>
      <c r="F403" s="82" t="n">
        <v>46338</v>
      </c>
      <c r="G403" s="26" t="n">
        <v>22503</v>
      </c>
      <c r="H403" s="26">
        <f>B403&amp;I403</f>
        <v/>
      </c>
      <c r="I403" s="26" t="inlineStr">
        <is>
          <t>GV CINNAMON 24/25 DC ENV TBGS</t>
        </is>
      </c>
      <c r="J403" s="30" t="inlineStr">
        <is>
          <t>CONSTANTA ENV</t>
        </is>
      </c>
      <c r="K403" s="26">
        <f>J403&amp;"-"&amp;TEXT(W403,"dd-mmm-yy")</f>
        <v/>
      </c>
      <c r="L403" s="26">
        <f>IFERROR(VLOOKUP($M403,'ITEM MASTER'!E:H,4,0),"")</f>
        <v/>
      </c>
      <c r="M403" s="26">
        <f>IFERROR(VLOOKUP($I403,'ITEM MASTER'!B:E,4,0),"")</f>
        <v/>
      </c>
      <c r="N403" s="26">
        <f>IFERROR(VLOOKUP($I403,'ITEM MASTER'!B:F,5,0),0)</f>
        <v/>
      </c>
      <c r="O403" s="26">
        <f>IFERROR(VLOOKUP($M403,'TBGS PER CTN'!B:C,2,0),0)</f>
        <v/>
      </c>
      <c r="P403" s="26" t="n">
        <v>350</v>
      </c>
      <c r="Q403" s="26" t="n">
        <v>0</v>
      </c>
      <c r="R403" s="26" t="n">
        <v>0</v>
      </c>
      <c r="S403" s="26">
        <f>Q403+R403</f>
        <v/>
      </c>
      <c r="T403" s="29" t="n">
        <v>350</v>
      </c>
      <c r="U403" s="29">
        <f>N403*O403*T403</f>
        <v/>
      </c>
      <c r="V403" s="82">
        <f>IF(ISNUMBER($D403),$D403-WEEKDAY($D403,3),'ORDER VS WEEK DISTRIBUTION'!$G$500)</f>
        <v/>
      </c>
      <c r="W403" s="82">
        <f>MAX($V403,'ORDER VS WEEK DISTRIBUTION'!$G$500)</f>
        <v/>
      </c>
      <c r="X403" s="26">
        <f>IFERROR(VLOOKUP($J403,'ORDER VS WEEK DISTRIBUTION'!$T:$U,2,0),"")</f>
        <v/>
      </c>
      <c r="Y403" s="26">
        <f>IFERROR($T403/IF(IFERROR(VLOOKUP($I403,'ITEM CFC PER CONTAINER'!$A:$B,2,0),0)&gt;0,VLOOKUP($I403,'ITEM CFC PER CONTAINER'!$A:$B,2,0),VLOOKUP($X403,'MC MASTER'!$A:$Q,16,0)),"")</f>
        <v/>
      </c>
    </row>
    <row r="404" ht="15" customHeight="1" s="5">
      <c r="A404" s="26" t="inlineStr">
        <is>
          <t>Everest International</t>
        </is>
      </c>
      <c r="B404" s="26" t="inlineStr">
        <is>
          <t>MJIL/SO/26053781</t>
        </is>
      </c>
      <c r="C404" s="26" t="inlineStr">
        <is>
          <t>MJ-119/26-27</t>
        </is>
      </c>
      <c r="D404" s="82" t="n">
        <v>46338</v>
      </c>
      <c r="E404" s="83">
        <f>IF(ISNUMBER($D404),EOMONTH($D404,-1)+1,"")</f>
        <v/>
      </c>
      <c r="F404" s="82" t="n">
        <v>46338</v>
      </c>
      <c r="G404" s="26" t="n">
        <v>19832</v>
      </c>
      <c r="H404" s="26">
        <f>B404&amp;I404</f>
        <v/>
      </c>
      <c r="I404" s="26" t="inlineStr">
        <is>
          <t>GV GREEN LEMON 24/25 DC ENV TBGS (AR)</t>
        </is>
      </c>
      <c r="J404" s="30" t="inlineStr">
        <is>
          <t>CONSTANTA ENV</t>
        </is>
      </c>
      <c r="K404" s="26">
        <f>J404&amp;"-"&amp;TEXT(W404,"dd-mmm-yy")</f>
        <v/>
      </c>
      <c r="L404" s="26">
        <f>IFERROR(VLOOKUP($M404,'ITEM MASTER'!E:H,4,0),"")</f>
        <v/>
      </c>
      <c r="M404" s="26">
        <f>IFERROR(VLOOKUP($I404,'ITEM MASTER'!B:E,4,0),"")</f>
        <v/>
      </c>
      <c r="N404" s="26">
        <f>IFERROR(VLOOKUP($I404,'ITEM MASTER'!B:F,5,0),0)</f>
        <v/>
      </c>
      <c r="O404" s="26">
        <f>IFERROR(VLOOKUP($M404,'TBGS PER CTN'!B:C,2,0),0)</f>
        <v/>
      </c>
      <c r="P404" s="26" t="n">
        <v>350</v>
      </c>
      <c r="Q404" s="26" t="n">
        <v>0</v>
      </c>
      <c r="R404" s="26" t="n">
        <v>0</v>
      </c>
      <c r="S404" s="26">
        <f>Q404+R404</f>
        <v/>
      </c>
      <c r="T404" s="29" t="n">
        <v>350</v>
      </c>
      <c r="U404" s="29">
        <f>N404*O404*T404</f>
        <v/>
      </c>
      <c r="V404" s="82">
        <f>IF(ISNUMBER($D404),$D404-WEEKDAY($D404,3),'ORDER VS WEEK DISTRIBUTION'!$G$500)</f>
        <v/>
      </c>
      <c r="W404" s="82">
        <f>MAX($V404,'ORDER VS WEEK DISTRIBUTION'!$G$500)</f>
        <v/>
      </c>
      <c r="X404" s="26">
        <f>IFERROR(VLOOKUP($J404,'ORDER VS WEEK DISTRIBUTION'!$T:$U,2,0),"")</f>
        <v/>
      </c>
      <c r="Y404" s="26">
        <f>IFERROR($T404/IF(IFERROR(VLOOKUP($I404,'ITEM CFC PER CONTAINER'!$A:$B,2,0),0)&gt;0,VLOOKUP($I404,'ITEM CFC PER CONTAINER'!$A:$B,2,0),VLOOKUP($X404,'MC MASTER'!$A:$Q,16,0)),"")</f>
        <v/>
      </c>
    </row>
    <row r="405" ht="15" customHeight="1" s="5">
      <c r="A405" s="26" t="inlineStr">
        <is>
          <t>Everest International</t>
        </is>
      </c>
      <c r="B405" s="26" t="inlineStr">
        <is>
          <t>MJIL/SO/26053781</t>
        </is>
      </c>
      <c r="C405" s="26" t="inlineStr">
        <is>
          <t>MJ-119/26-27</t>
        </is>
      </c>
      <c r="D405" s="82" t="n">
        <v>46338</v>
      </c>
      <c r="E405" s="83">
        <f>IF(ISNUMBER($D405),EOMONTH($D405,-1)+1,"")</f>
        <v/>
      </c>
      <c r="F405" s="82" t="n">
        <v>46338</v>
      </c>
      <c r="G405" s="26" t="n">
        <v>19828</v>
      </c>
      <c r="H405" s="26">
        <f>B405&amp;I405</f>
        <v/>
      </c>
      <c r="I405" s="26" t="inlineStr">
        <is>
          <t>GV ORANGE 24/25 DC ENV TBGS (AR)</t>
        </is>
      </c>
      <c r="J405" s="30" t="inlineStr">
        <is>
          <t>CONSTANTA ENV</t>
        </is>
      </c>
      <c r="K405" s="26">
        <f>J405&amp;"-"&amp;TEXT(W405,"dd-mmm-yy")</f>
        <v/>
      </c>
      <c r="L405" s="26">
        <f>IFERROR(VLOOKUP($M405,'ITEM MASTER'!E:H,4,0),"")</f>
        <v/>
      </c>
      <c r="M405" s="26">
        <f>IFERROR(VLOOKUP($I405,'ITEM MASTER'!B:E,4,0),"")</f>
        <v/>
      </c>
      <c r="N405" s="26">
        <f>IFERROR(VLOOKUP($I405,'ITEM MASTER'!B:F,5,0),0)</f>
        <v/>
      </c>
      <c r="O405" s="26">
        <f>IFERROR(VLOOKUP($M405,'TBGS PER CTN'!B:C,2,0),0)</f>
        <v/>
      </c>
      <c r="P405" s="26" t="n">
        <v>300</v>
      </c>
      <c r="Q405" s="26" t="n">
        <v>0</v>
      </c>
      <c r="R405" s="26" t="n">
        <v>0</v>
      </c>
      <c r="S405" s="26">
        <f>Q405+R405</f>
        <v/>
      </c>
      <c r="T405" s="29" t="n">
        <v>300</v>
      </c>
      <c r="U405" s="29">
        <f>N405*O405*T405</f>
        <v/>
      </c>
      <c r="V405" s="82">
        <f>IF(ISNUMBER($D405),$D405-WEEKDAY($D405,3),'ORDER VS WEEK DISTRIBUTION'!$G$500)</f>
        <v/>
      </c>
      <c r="W405" s="82">
        <f>MAX($V405,'ORDER VS WEEK DISTRIBUTION'!$G$500)</f>
        <v/>
      </c>
      <c r="X405" s="26">
        <f>IFERROR(VLOOKUP($J405,'ORDER VS WEEK DISTRIBUTION'!$T:$U,2,0),"")</f>
        <v/>
      </c>
      <c r="Y405" s="26">
        <f>IFERROR($T405/IF(IFERROR(VLOOKUP($I405,'ITEM CFC PER CONTAINER'!$A:$B,2,0),0)&gt;0,VLOOKUP($I405,'ITEM CFC PER CONTAINER'!$A:$B,2,0),VLOOKUP($X405,'MC MASTER'!$A:$Q,16,0)),"")</f>
        <v/>
      </c>
    </row>
    <row r="406" ht="15" customHeight="1" s="5">
      <c r="A406" s="26" t="inlineStr">
        <is>
          <t>Everest International</t>
        </is>
      </c>
      <c r="B406" s="26" t="inlineStr">
        <is>
          <t>MJIL/SO/26053781</t>
        </is>
      </c>
      <c r="C406" s="26" t="inlineStr">
        <is>
          <t>MJ-119/26-27</t>
        </is>
      </c>
      <c r="D406" s="82" t="n">
        <v>46338</v>
      </c>
      <c r="E406" s="83">
        <f>IF(ISNUMBER($D406),EOMONTH($D406,-1)+1,"")</f>
        <v/>
      </c>
      <c r="F406" s="82" t="n">
        <v>46338</v>
      </c>
      <c r="G406" s="26" t="n">
        <v>21166</v>
      </c>
      <c r="H406" s="26">
        <f>B406&amp;I406</f>
        <v/>
      </c>
      <c r="I406" s="26" t="inlineStr">
        <is>
          <t>GV LEMON GRASS 24/25 DC ENV TBGS</t>
        </is>
      </c>
      <c r="J406" s="30" t="inlineStr">
        <is>
          <t>CONSTANTA ENV</t>
        </is>
      </c>
      <c r="K406" s="26">
        <f>J406&amp;"-"&amp;TEXT(W406,"dd-mmm-yy")</f>
        <v/>
      </c>
      <c r="L406" s="26">
        <f>IFERROR(VLOOKUP($M406,'ITEM MASTER'!E:H,4,0),"")</f>
        <v/>
      </c>
      <c r="M406" s="26">
        <f>IFERROR(VLOOKUP($I406,'ITEM MASTER'!B:E,4,0),"")</f>
        <v/>
      </c>
      <c r="N406" s="26">
        <f>IFERROR(VLOOKUP($I406,'ITEM MASTER'!B:F,5,0),0)</f>
        <v/>
      </c>
      <c r="O406" s="26">
        <f>IFERROR(VLOOKUP($M406,'TBGS PER CTN'!B:C,2,0),0)</f>
        <v/>
      </c>
      <c r="P406" s="26" t="n">
        <v>300</v>
      </c>
      <c r="Q406" s="26" t="n">
        <v>0</v>
      </c>
      <c r="R406" s="26" t="n">
        <v>0</v>
      </c>
      <c r="S406" s="26">
        <f>Q406+R406</f>
        <v/>
      </c>
      <c r="T406" s="29" t="n">
        <v>300</v>
      </c>
      <c r="U406" s="29">
        <f>N406*O406*T406</f>
        <v/>
      </c>
      <c r="V406" s="82">
        <f>IF(ISNUMBER($D406),$D406-WEEKDAY($D406,3),'ORDER VS WEEK DISTRIBUTION'!$G$500)</f>
        <v/>
      </c>
      <c r="W406" s="82">
        <f>MAX($V406,'ORDER VS WEEK DISTRIBUTION'!$G$500)</f>
        <v/>
      </c>
      <c r="X406" s="26">
        <f>IFERROR(VLOOKUP($J406,'ORDER VS WEEK DISTRIBUTION'!$T:$U,2,0),"")</f>
        <v/>
      </c>
      <c r="Y406" s="26">
        <f>IFERROR($T406/IF(IFERROR(VLOOKUP($I406,'ITEM CFC PER CONTAINER'!$A:$B,2,0),0)&gt;0,VLOOKUP($I406,'ITEM CFC PER CONTAINER'!$A:$B,2,0),VLOOKUP($X406,'MC MASTER'!$A:$Q,16,0)),"")</f>
        <v/>
      </c>
    </row>
    <row r="407" ht="15" customHeight="1" s="5">
      <c r="A407" s="26" t="inlineStr">
        <is>
          <t>Everest International</t>
        </is>
      </c>
      <c r="B407" s="26" t="inlineStr">
        <is>
          <t>MJIL/SO/26053781</t>
        </is>
      </c>
      <c r="C407" s="26" t="inlineStr">
        <is>
          <t>MJ-119/26-27</t>
        </is>
      </c>
      <c r="D407" s="82" t="n">
        <v>46338</v>
      </c>
      <c r="E407" s="83">
        <f>IF(ISNUMBER($D407),EOMONTH($D407,-1)+1,"")</f>
        <v/>
      </c>
      <c r="F407" s="82" t="n">
        <v>46338</v>
      </c>
      <c r="G407" s="26" t="n">
        <v>19835</v>
      </c>
      <c r="H407" s="26">
        <f>B407&amp;I407</f>
        <v/>
      </c>
      <c r="I407" s="26" t="inlineStr">
        <is>
          <t>GV CHAMOMILE 24/25 DC ENV TBGS</t>
        </is>
      </c>
      <c r="J407" s="30" t="inlineStr">
        <is>
          <t>CONSTANTA ENV</t>
        </is>
      </c>
      <c r="K407" s="26">
        <f>J407&amp;"-"&amp;TEXT(W407,"dd-mmm-yy")</f>
        <v/>
      </c>
      <c r="L407" s="26">
        <f>IFERROR(VLOOKUP($M407,'ITEM MASTER'!E:H,4,0),"")</f>
        <v/>
      </c>
      <c r="M407" s="26">
        <f>IFERROR(VLOOKUP($I407,'ITEM MASTER'!B:E,4,0),"")</f>
        <v/>
      </c>
      <c r="N407" s="26">
        <f>IFERROR(VLOOKUP($I407,'ITEM MASTER'!B:F,5,0),0)</f>
        <v/>
      </c>
      <c r="O407" s="26">
        <f>IFERROR(VLOOKUP($M407,'TBGS PER CTN'!B:C,2,0),0)</f>
        <v/>
      </c>
      <c r="P407" s="26" t="n">
        <v>300</v>
      </c>
      <c r="Q407" s="26" t="n">
        <v>0</v>
      </c>
      <c r="R407" s="26" t="n">
        <v>212</v>
      </c>
      <c r="S407" s="26">
        <f>Q407+R407</f>
        <v/>
      </c>
      <c r="T407" s="29" t="n">
        <v>88</v>
      </c>
      <c r="U407" s="29">
        <f>N407*O407*T407</f>
        <v/>
      </c>
      <c r="V407" s="82">
        <f>IF(ISNUMBER($D407),$D407-WEEKDAY($D407,3),'ORDER VS WEEK DISTRIBUTION'!$G$500)</f>
        <v/>
      </c>
      <c r="W407" s="82">
        <f>MAX($V407,'ORDER VS WEEK DISTRIBUTION'!$G$500)</f>
        <v/>
      </c>
      <c r="X407" s="26">
        <f>IFERROR(VLOOKUP($J407,'ORDER VS WEEK DISTRIBUTION'!$T:$U,2,0),"")</f>
        <v/>
      </c>
      <c r="Y407" s="26">
        <f>IFERROR($T407/IF(IFERROR(VLOOKUP($I407,'ITEM CFC PER CONTAINER'!$A:$B,2,0),0)&gt;0,VLOOKUP($I407,'ITEM CFC PER CONTAINER'!$A:$B,2,0),VLOOKUP($X407,'MC MASTER'!$A:$Q,16,0)),"")</f>
        <v/>
      </c>
    </row>
    <row r="408" ht="15" customHeight="1" s="5">
      <c r="A408" s="26" t="inlineStr">
        <is>
          <t>Everest International</t>
        </is>
      </c>
      <c r="B408" s="26" t="inlineStr">
        <is>
          <t>MJIL/SO/26053781</t>
        </is>
      </c>
      <c r="C408" s="26" t="inlineStr">
        <is>
          <t>MJ-119/26-27</t>
        </is>
      </c>
      <c r="D408" s="82" t="n">
        <v>46338</v>
      </c>
      <c r="E408" s="83">
        <f>IF(ISNUMBER($D408),EOMONTH($D408,-1)+1,"")</f>
        <v/>
      </c>
      <c r="F408" s="82" t="n">
        <v>46338</v>
      </c>
      <c r="G408" s="26" t="n">
        <v>2100</v>
      </c>
      <c r="H408" s="26">
        <f>B408&amp;I408</f>
        <v/>
      </c>
      <c r="I408" s="26" t="inlineStr">
        <is>
          <t>GV ROYAL LEMON 24/25 DC ENV TBGS</t>
        </is>
      </c>
      <c r="J408" s="30" t="inlineStr">
        <is>
          <t>CONSTANTA ENV</t>
        </is>
      </c>
      <c r="K408" s="26">
        <f>J408&amp;"-"&amp;TEXT(W408,"dd-mmm-yy")</f>
        <v/>
      </c>
      <c r="L408" s="26">
        <f>IFERROR(VLOOKUP($M408,'ITEM MASTER'!E:H,4,0),"")</f>
        <v/>
      </c>
      <c r="M408" s="26">
        <f>IFERROR(VLOOKUP($I408,'ITEM MASTER'!B:E,4,0),"")</f>
        <v/>
      </c>
      <c r="N408" s="26">
        <f>IFERROR(VLOOKUP($I408,'ITEM MASTER'!B:F,5,0),0)</f>
        <v/>
      </c>
      <c r="O408" s="26">
        <f>IFERROR(VLOOKUP($M408,'TBGS PER CTN'!B:C,2,0),0)</f>
        <v/>
      </c>
      <c r="P408" s="26" t="n">
        <v>350</v>
      </c>
      <c r="Q408" s="26" t="n">
        <v>0</v>
      </c>
      <c r="R408" s="26" t="n">
        <v>301</v>
      </c>
      <c r="S408" s="26">
        <f>Q408+R408</f>
        <v/>
      </c>
      <c r="T408" s="29" t="n">
        <v>49</v>
      </c>
      <c r="U408" s="29">
        <f>N408*O408*T408</f>
        <v/>
      </c>
      <c r="V408" s="82">
        <f>IF(ISNUMBER($D408),$D408-WEEKDAY($D408,3),'ORDER VS WEEK DISTRIBUTION'!$G$500)</f>
        <v/>
      </c>
      <c r="W408" s="82">
        <f>MAX($V408,'ORDER VS WEEK DISTRIBUTION'!$G$500)</f>
        <v/>
      </c>
      <c r="X408" s="26">
        <f>IFERROR(VLOOKUP($J408,'ORDER VS WEEK DISTRIBUTION'!$T:$U,2,0),"")</f>
        <v/>
      </c>
      <c r="Y408" s="26">
        <f>IFERROR($T408/IF(IFERROR(VLOOKUP($I408,'ITEM CFC PER CONTAINER'!$A:$B,2,0),0)&gt;0,VLOOKUP($I408,'ITEM CFC PER CONTAINER'!$A:$B,2,0),VLOOKUP($X408,'MC MASTER'!$A:$Q,16,0)),"")</f>
        <v/>
      </c>
    </row>
    <row r="409" ht="15" customHeight="1" s="5">
      <c r="A409" s="26" t="inlineStr">
        <is>
          <t>Everest International</t>
        </is>
      </c>
      <c r="B409" s="26" t="inlineStr">
        <is>
          <t>MJIL/SO/26053781</t>
        </is>
      </c>
      <c r="C409" s="26" t="inlineStr">
        <is>
          <t>MJ-119/26-27</t>
        </is>
      </c>
      <c r="D409" s="82" t="n">
        <v>46338</v>
      </c>
      <c r="E409" s="83">
        <f>IF(ISNUMBER($D409),EOMONTH($D409,-1)+1,"")</f>
        <v/>
      </c>
      <c r="F409" s="82" t="n">
        <v>46338</v>
      </c>
      <c r="G409" s="26" t="n">
        <v>21047</v>
      </c>
      <c r="H409" s="26">
        <f>B409&amp;I409</f>
        <v/>
      </c>
      <c r="I409" s="26" t="inlineStr">
        <is>
          <t>GV PINEAPPLE 24/25 DC ENV TBGS</t>
        </is>
      </c>
      <c r="J409" s="30" t="inlineStr">
        <is>
          <t>CONSTANTA ENV</t>
        </is>
      </c>
      <c r="K409" s="26">
        <f>J409&amp;"-"&amp;TEXT(W409,"dd-mmm-yy")</f>
        <v/>
      </c>
      <c r="L409" s="26">
        <f>IFERROR(VLOOKUP($M409,'ITEM MASTER'!E:H,4,0),"")</f>
        <v/>
      </c>
      <c r="M409" s="26">
        <f>IFERROR(VLOOKUP($I409,'ITEM MASTER'!B:E,4,0),"")</f>
        <v/>
      </c>
      <c r="N409" s="26">
        <f>IFERROR(VLOOKUP($I409,'ITEM MASTER'!B:F,5,0),0)</f>
        <v/>
      </c>
      <c r="O409" s="26">
        <f>IFERROR(VLOOKUP($M409,'TBGS PER CTN'!B:C,2,0),0)</f>
        <v/>
      </c>
      <c r="P409" s="26" t="n">
        <v>350</v>
      </c>
      <c r="Q409" s="26" t="n">
        <v>0</v>
      </c>
      <c r="R409" s="26" t="n">
        <v>0</v>
      </c>
      <c r="S409" s="26">
        <f>Q409+R409</f>
        <v/>
      </c>
      <c r="T409" s="29" t="n">
        <v>350</v>
      </c>
      <c r="U409" s="29">
        <f>N409*O409*T409</f>
        <v/>
      </c>
      <c r="V409" s="82">
        <f>IF(ISNUMBER($D409),$D409-WEEKDAY($D409,3),'ORDER VS WEEK DISTRIBUTION'!$G$500)</f>
        <v/>
      </c>
      <c r="W409" s="82">
        <f>MAX($V409,'ORDER VS WEEK DISTRIBUTION'!$G$500)</f>
        <v/>
      </c>
      <c r="X409" s="26">
        <f>IFERROR(VLOOKUP($J409,'ORDER VS WEEK DISTRIBUTION'!$T:$U,2,0),"")</f>
        <v/>
      </c>
      <c r="Y409" s="26">
        <f>IFERROR($T409/IF(IFERROR(VLOOKUP($I409,'ITEM CFC PER CONTAINER'!$A:$B,2,0),0)&gt;0,VLOOKUP($I409,'ITEM CFC PER CONTAINER'!$A:$B,2,0),VLOOKUP($X409,'MC MASTER'!$A:$Q,16,0)),"")</f>
        <v/>
      </c>
    </row>
    <row r="410" ht="15" customHeight="1" s="5">
      <c r="A410" s="26" t="inlineStr">
        <is>
          <t>Kaysun General Trading FZCO</t>
        </is>
      </c>
      <c r="B410" s="26" t="inlineStr">
        <is>
          <t>MJIL/SO/26019331</t>
        </is>
      </c>
      <c r="C410" s="26" t="inlineStr">
        <is>
          <t>MJ-043/26-27 / 11</t>
        </is>
      </c>
      <c r="D410" s="82" t="n">
        <v>46338</v>
      </c>
      <c r="E410" s="83">
        <f>IF(ISNUMBER($D410),EOMONTH($D410,-1)+1,"")</f>
        <v/>
      </c>
      <c r="F410" s="82" t="n">
        <v>46338</v>
      </c>
      <c r="G410" s="26" t="n">
        <v>1328</v>
      </c>
      <c r="H410" s="26">
        <f>B410&amp;I410</f>
        <v/>
      </c>
      <c r="I410" s="26" t="inlineStr">
        <is>
          <t>CHAYA 12/100 DC ENV TBGS</t>
        </is>
      </c>
      <c r="J410" s="26" t="inlineStr">
        <is>
          <t>PERFECTA ENV</t>
        </is>
      </c>
      <c r="K410" s="26">
        <f>J410&amp;"-"&amp;TEXT(W410,"dd-mmm-yy")</f>
        <v/>
      </c>
      <c r="L410" s="26">
        <f>IFERROR(VLOOKUP($M410,'ITEM MASTER'!E:H,4,0),"")</f>
        <v/>
      </c>
      <c r="M410" s="26">
        <f>IFERROR(VLOOKUP($I410,'ITEM MASTER'!B:E,4,0),"")</f>
        <v/>
      </c>
      <c r="N410" s="26">
        <f>IFERROR(VLOOKUP($I410,'ITEM MASTER'!B:F,5,0),0)</f>
        <v/>
      </c>
      <c r="O410" s="26">
        <f>IFERROR(VLOOKUP($M410,'TBGS PER CTN'!B:C,2,0),0)</f>
        <v/>
      </c>
      <c r="P410" s="26" t="n">
        <v>6640</v>
      </c>
      <c r="Q410" s="26" t="n">
        <v>0</v>
      </c>
      <c r="R410" s="26" t="n">
        <v>0</v>
      </c>
      <c r="S410" s="26">
        <f>Q410+R410</f>
        <v/>
      </c>
      <c r="T410" s="29" t="n">
        <v>6640</v>
      </c>
      <c r="U410" s="29">
        <f>N410*O410*T410</f>
        <v/>
      </c>
      <c r="V410" s="82">
        <f>IF(ISNUMBER($D410),$D410-WEEKDAY($D410,3),'ORDER VS WEEK DISTRIBUTION'!$G$500)</f>
        <v/>
      </c>
      <c r="W410" s="82">
        <f>MAX($V410,'ORDER VS WEEK DISTRIBUTION'!$G$500)</f>
        <v/>
      </c>
      <c r="X410" s="26">
        <f>IFERROR(VLOOKUP($J410,'ORDER VS WEEK DISTRIBUTION'!$T:$U,2,0),"")</f>
        <v/>
      </c>
      <c r="Y410" s="26">
        <f>IFERROR($T410/IF(IFERROR(VLOOKUP($I410,'ITEM CFC PER CONTAINER'!$A:$B,2,0),0)&gt;0,VLOOKUP($I410,'ITEM CFC PER CONTAINER'!$A:$B,2,0),VLOOKUP($X410,'MC MASTER'!$A:$Q,16,0)),"")</f>
        <v/>
      </c>
    </row>
    <row r="411" ht="15" customHeight="1" s="5">
      <c r="A411" s="26" t="inlineStr">
        <is>
          <t>MATATA TRADE FZE DMCC</t>
        </is>
      </c>
      <c r="B411" s="26" t="inlineStr">
        <is>
          <t>MJIL/SO/25066841</t>
        </is>
      </c>
      <c r="C411" s="26" t="inlineStr">
        <is>
          <t>MJ-239/25-26/ 21 &amp; 22 (MA26032)</t>
        </is>
      </c>
      <c r="D411" s="82" t="n">
        <v>46338</v>
      </c>
      <c r="E411" s="83">
        <f>IF(ISNUMBER($D411),EOMONTH($D411,-1)+1,"")</f>
        <v/>
      </c>
      <c r="F411" s="82" t="n">
        <v>46338</v>
      </c>
      <c r="G411" s="26" t="n">
        <v>23621</v>
      </c>
      <c r="H411" s="26">
        <f>B411&amp;I411</f>
        <v/>
      </c>
      <c r="I411" s="26" t="inlineStr">
        <is>
          <t>KHAIMA CRANBERRY APPLE 45/25 DC ENV TBGS</t>
        </is>
      </c>
      <c r="J411" s="30" t="inlineStr">
        <is>
          <t>CONSTANTA ENV</t>
        </is>
      </c>
      <c r="K411" s="26">
        <f>J411&amp;"-"&amp;TEXT(W411,"dd-mmm-yy")</f>
        <v/>
      </c>
      <c r="L411" s="26">
        <f>IFERROR(VLOOKUP($M411,'ITEM MASTER'!E:H,4,0),"")</f>
        <v/>
      </c>
      <c r="M411" s="26">
        <f>IFERROR(VLOOKUP($I411,'ITEM MASTER'!B:E,4,0),"")</f>
        <v/>
      </c>
      <c r="N411" s="26">
        <f>IFERROR(VLOOKUP($I411,'ITEM MASTER'!B:F,5,0),0)</f>
        <v/>
      </c>
      <c r="O411" s="26">
        <f>IFERROR(VLOOKUP($M411,'TBGS PER CTN'!B:C,2,0),0)</f>
        <v/>
      </c>
      <c r="P411" s="26" t="n">
        <v>6660</v>
      </c>
      <c r="Q411" s="26" t="n">
        <v>0</v>
      </c>
      <c r="R411" s="26" t="n">
        <v>0</v>
      </c>
      <c r="S411" s="26">
        <f>Q411+R411</f>
        <v/>
      </c>
      <c r="T411" s="29" t="n">
        <v>6660</v>
      </c>
      <c r="U411" s="29">
        <f>N411*O411*T411</f>
        <v/>
      </c>
      <c r="V411" s="82">
        <f>IF(ISNUMBER($D411),$D411-WEEKDAY($D411,3),'ORDER VS WEEK DISTRIBUTION'!$G$500)</f>
        <v/>
      </c>
      <c r="W411" s="82">
        <f>MAX($V411,'ORDER VS WEEK DISTRIBUTION'!$G$500)</f>
        <v/>
      </c>
      <c r="X411" s="26">
        <f>IFERROR(VLOOKUP($J411,'ORDER VS WEEK DISTRIBUTION'!$T:$U,2,0),"")</f>
        <v/>
      </c>
      <c r="Y411" s="26">
        <f>IFERROR($T411/IF(IFERROR(VLOOKUP($I411,'ITEM CFC PER CONTAINER'!$A:$B,2,0),0)&gt;0,VLOOKUP($I411,'ITEM CFC PER CONTAINER'!$A:$B,2,0),VLOOKUP($X411,'MC MASTER'!$A:$Q,16,0)),"")</f>
        <v/>
      </c>
    </row>
    <row r="412" ht="15" customHeight="1" s="5">
      <c r="A412" s="26" t="inlineStr">
        <is>
          <t>Dagab Inkop &amp; Logistik Ab</t>
        </is>
      </c>
      <c r="B412" s="26" t="inlineStr">
        <is>
          <t>MJIL/SO/26049727</t>
        </is>
      </c>
      <c r="C412" s="26" t="inlineStr">
        <is>
          <t>F345171472</t>
        </is>
      </c>
      <c r="D412" s="82" t="n">
        <v>46339</v>
      </c>
      <c r="E412" s="83">
        <f>IF(ISNUMBER($D412),EOMONTH($D412,-1)+1,"")</f>
        <v/>
      </c>
      <c r="F412" s="82" t="n">
        <v>46339</v>
      </c>
      <c r="G412" s="26" t="n">
        <v>1578</v>
      </c>
      <c r="H412" s="26">
        <f>B412&amp;I412</f>
        <v/>
      </c>
      <c r="I412" s="26" t="inlineStr">
        <is>
          <t>GARANT CHAI MASALA 12/150 GMS POUCH-100% RFA</t>
        </is>
      </c>
      <c r="J412" s="26" t="inlineStr">
        <is>
          <t>Pearl Pack-FFS POUCH</t>
        </is>
      </c>
      <c r="K412" s="26">
        <f>J412&amp;"-"&amp;TEXT(W412,"dd-mmm-yy")</f>
        <v/>
      </c>
      <c r="L412" s="26">
        <f>IFERROR(VLOOKUP($M412,'ITEM MASTER'!E:H,4,0),"")</f>
        <v/>
      </c>
      <c r="M412" s="26">
        <f>IFERROR(VLOOKUP($I412,'ITEM MASTER'!B:E,4,0),"")</f>
        <v/>
      </c>
      <c r="N412" s="26">
        <f>IFERROR(VLOOKUP($I412,'ITEM MASTER'!B:F,5,0),0)</f>
        <v/>
      </c>
      <c r="O412" s="26">
        <f>IFERROR(VLOOKUP($M412,'TBGS PER CTN'!B:C,2,0),0)</f>
        <v/>
      </c>
      <c r="P412" s="26" t="n">
        <v>225</v>
      </c>
      <c r="Q412" s="26" t="n">
        <v>0</v>
      </c>
      <c r="R412" s="26" t="n">
        <v>0</v>
      </c>
      <c r="S412" s="26">
        <f>Q412+R412</f>
        <v/>
      </c>
      <c r="T412" s="29" t="n">
        <v>225</v>
      </c>
      <c r="U412" s="29">
        <f>N412*O412*T412</f>
        <v/>
      </c>
      <c r="V412" s="82">
        <f>IF(ISNUMBER($D412),$D412-WEEKDAY($D412,3),'ORDER VS WEEK DISTRIBUTION'!$G$500)</f>
        <v/>
      </c>
      <c r="W412" s="82">
        <f>MAX($V412,'ORDER VS WEEK DISTRIBUTION'!$G$500)</f>
        <v/>
      </c>
      <c r="X412" s="26">
        <f>IFERROR(VLOOKUP($J412,'ORDER VS WEEK DISTRIBUTION'!$T:$U,2,0),"")</f>
        <v/>
      </c>
      <c r="Y412" s="26">
        <f>IFERROR($T412/IF(IFERROR(VLOOKUP($I412,'ITEM CFC PER CONTAINER'!$A:$B,2,0),0)&gt;0,VLOOKUP($I412,'ITEM CFC PER CONTAINER'!$A:$B,2,0),VLOOKUP($X412,'MC MASTER'!$A:$Q,16,0)),"")</f>
        <v/>
      </c>
    </row>
    <row r="413" ht="15" customHeight="1" s="5">
      <c r="A413" s="26" t="inlineStr">
        <is>
          <t>Dagab Inkop &amp; Logistik Ab</t>
        </is>
      </c>
      <c r="B413" s="26" t="inlineStr">
        <is>
          <t>MJIL/SO/26049727</t>
        </is>
      </c>
      <c r="C413" s="26" t="inlineStr">
        <is>
          <t>F345171472</t>
        </is>
      </c>
      <c r="D413" s="82" t="n">
        <v>46339</v>
      </c>
      <c r="E413" s="83">
        <f>IF(ISNUMBER($D413),EOMONTH($D413,-1)+1,"")</f>
        <v/>
      </c>
      <c r="F413" s="82" t="n">
        <v>46339</v>
      </c>
      <c r="G413" s="26" t="n">
        <v>35542</v>
      </c>
      <c r="H413" s="26">
        <f>B413&amp;I413</f>
        <v/>
      </c>
      <c r="I413" s="26" t="inlineStr">
        <is>
          <t>GARANT KAMOMILL TE 15/20 DC ENV TBGS (V2)</t>
        </is>
      </c>
      <c r="J413" s="26" t="inlineStr">
        <is>
          <t>MD20 ENV GARANT</t>
        </is>
      </c>
      <c r="K413" s="26">
        <f>J413&amp;"-"&amp;TEXT(W413,"dd-mmm-yy")</f>
        <v/>
      </c>
      <c r="L413" s="26">
        <f>IFERROR(VLOOKUP($M413,'ITEM MASTER'!E:H,4,0),"")</f>
        <v/>
      </c>
      <c r="M413" s="26">
        <f>IFERROR(VLOOKUP($I413,'ITEM MASTER'!B:E,4,0),"")</f>
        <v/>
      </c>
      <c r="N413" s="26">
        <f>IFERROR(VLOOKUP($I413,'ITEM MASTER'!B:F,5,0),0)</f>
        <v/>
      </c>
      <c r="O413" s="26">
        <f>IFERROR(VLOOKUP($M413,'TBGS PER CTN'!B:C,2,0),0)</f>
        <v/>
      </c>
      <c r="P413" s="26" t="n">
        <v>200</v>
      </c>
      <c r="Q413" s="26" t="n">
        <v>0</v>
      </c>
      <c r="R413" s="26" t="n">
        <v>0</v>
      </c>
      <c r="S413" s="26">
        <f>Q413+R413</f>
        <v/>
      </c>
      <c r="T413" s="29" t="n">
        <v>200</v>
      </c>
      <c r="U413" s="29">
        <f>N413*O413*T413</f>
        <v/>
      </c>
      <c r="V413" s="82">
        <f>IF(ISNUMBER($D413),$D413-WEEKDAY($D413,3),'ORDER VS WEEK DISTRIBUTION'!$G$500)</f>
        <v/>
      </c>
      <c r="W413" s="82">
        <f>MAX($V413,'ORDER VS WEEK DISTRIBUTION'!$G$500)</f>
        <v/>
      </c>
      <c r="X413" s="26">
        <f>IFERROR(VLOOKUP($J413,'ORDER VS WEEK DISTRIBUTION'!$T:$U,2,0),"")</f>
        <v/>
      </c>
      <c r="Y413" s="26">
        <f>IFERROR($T413/IF(IFERROR(VLOOKUP($I413,'ITEM CFC PER CONTAINER'!$A:$B,2,0),0)&gt;0,VLOOKUP($I413,'ITEM CFC PER CONTAINER'!$A:$B,2,0),VLOOKUP($X413,'MC MASTER'!$A:$Q,16,0)),"")</f>
        <v/>
      </c>
    </row>
    <row r="414" ht="15" customHeight="1" s="5">
      <c r="A414" s="26" t="inlineStr">
        <is>
          <t>Dagab Inkop &amp; Logistik Ab</t>
        </is>
      </c>
      <c r="B414" s="26" t="inlineStr">
        <is>
          <t>MJIL/SO/26049727</t>
        </is>
      </c>
      <c r="C414" s="26" t="inlineStr">
        <is>
          <t>F345171472</t>
        </is>
      </c>
      <c r="D414" s="82" t="n">
        <v>46339</v>
      </c>
      <c r="E414" s="83">
        <f>IF(ISNUMBER($D414),EOMONTH($D414,-1)+1,"")</f>
        <v/>
      </c>
      <c r="F414" s="82" t="n">
        <v>46339</v>
      </c>
      <c r="G414" s="26" t="n">
        <v>35543</v>
      </c>
      <c r="H414" s="26">
        <f>B414&amp;I414</f>
        <v/>
      </c>
      <c r="I414" s="26" t="inlineStr">
        <is>
          <t>GARANT PEPPARMYNT TE 15/20 DC ENV TBGS (v2)</t>
        </is>
      </c>
      <c r="J414" s="26" t="inlineStr">
        <is>
          <t>MD20 ENV GARANT</t>
        </is>
      </c>
      <c r="K414" s="26">
        <f>J414&amp;"-"&amp;TEXT(W414,"dd-mmm-yy")</f>
        <v/>
      </c>
      <c r="L414" s="26">
        <f>IFERROR(VLOOKUP($M414,'ITEM MASTER'!E:H,4,0),"")</f>
        <v/>
      </c>
      <c r="M414" s="26">
        <f>IFERROR(VLOOKUP($I414,'ITEM MASTER'!B:E,4,0),"")</f>
        <v/>
      </c>
      <c r="N414" s="26">
        <f>IFERROR(VLOOKUP($I414,'ITEM MASTER'!B:F,5,0),0)</f>
        <v/>
      </c>
      <c r="O414" s="26">
        <f>IFERROR(VLOOKUP($M414,'TBGS PER CTN'!B:C,2,0),0)</f>
        <v/>
      </c>
      <c r="P414" s="26" t="n">
        <v>200</v>
      </c>
      <c r="Q414" s="26" t="n">
        <v>0</v>
      </c>
      <c r="R414" s="26" t="n">
        <v>0</v>
      </c>
      <c r="S414" s="26">
        <f>Q414+R414</f>
        <v/>
      </c>
      <c r="T414" s="29" t="n">
        <v>200</v>
      </c>
      <c r="U414" s="29">
        <f>N414*O414*T414</f>
        <v/>
      </c>
      <c r="V414" s="82">
        <f>IF(ISNUMBER($D414),$D414-WEEKDAY($D414,3),'ORDER VS WEEK DISTRIBUTION'!$G$500)</f>
        <v/>
      </c>
      <c r="W414" s="82">
        <f>MAX($V414,'ORDER VS WEEK DISTRIBUTION'!$G$500)</f>
        <v/>
      </c>
      <c r="X414" s="26">
        <f>IFERROR(VLOOKUP($J414,'ORDER VS WEEK DISTRIBUTION'!$T:$U,2,0),"")</f>
        <v/>
      </c>
      <c r="Y414" s="26">
        <f>IFERROR($T414/IF(IFERROR(VLOOKUP($I414,'ITEM CFC PER CONTAINER'!$A:$B,2,0),0)&gt;0,VLOOKUP($I414,'ITEM CFC PER CONTAINER'!$A:$B,2,0),VLOOKUP($X414,'MC MASTER'!$A:$Q,16,0)),"")</f>
        <v/>
      </c>
    </row>
    <row r="415" ht="15" customHeight="1" s="5">
      <c r="A415" s="26" t="inlineStr">
        <is>
          <t>Dagab Inkop &amp; Logistik Ab</t>
        </is>
      </c>
      <c r="B415" s="26" t="inlineStr">
        <is>
          <t>MJIL/SO/26049727</t>
        </is>
      </c>
      <c r="C415" s="26" t="inlineStr">
        <is>
          <t>F345171472</t>
        </is>
      </c>
      <c r="D415" s="82" t="n">
        <v>46339</v>
      </c>
      <c r="E415" s="83">
        <f>IF(ISNUMBER($D415),EOMONTH($D415,-1)+1,"")</f>
        <v/>
      </c>
      <c r="F415" s="82" t="n">
        <v>46339</v>
      </c>
      <c r="G415" s="26" t="n">
        <v>34989</v>
      </c>
      <c r="H415" s="26">
        <f>B415&amp;I415</f>
        <v/>
      </c>
      <c r="I415" s="26" t="inlineStr">
        <is>
          <t>ELDORADO 12/100 DC TAG TBGS</t>
        </is>
      </c>
      <c r="J415" s="26" t="inlineStr">
        <is>
          <t>PERFECTA  K 45 TAG</t>
        </is>
      </c>
      <c r="K415" s="26">
        <f>J415&amp;"-"&amp;TEXT(W415,"dd-mmm-yy")</f>
        <v/>
      </c>
      <c r="L415" s="26">
        <f>IFERROR(VLOOKUP($M415,'ITEM MASTER'!E:H,4,0),"")</f>
        <v/>
      </c>
      <c r="M415" s="26">
        <f>IFERROR(VLOOKUP($I415,'ITEM MASTER'!B:E,4,0),"")</f>
        <v/>
      </c>
      <c r="N415" s="26">
        <f>IFERROR(VLOOKUP($I415,'ITEM MASTER'!B:F,5,0),0)</f>
        <v/>
      </c>
      <c r="O415" s="26">
        <f>IFERROR(VLOOKUP($M415,'TBGS PER CTN'!B:C,2,0),0)</f>
        <v/>
      </c>
      <c r="P415" s="26" t="n">
        <v>1140</v>
      </c>
      <c r="Q415" s="26" t="n">
        <v>0</v>
      </c>
      <c r="R415" s="26" t="n">
        <v>0</v>
      </c>
      <c r="S415" s="26">
        <f>Q415+R415</f>
        <v/>
      </c>
      <c r="T415" s="29" t="n">
        <v>1140</v>
      </c>
      <c r="U415" s="29">
        <f>N415*O415*T415</f>
        <v/>
      </c>
      <c r="V415" s="82">
        <f>IF(ISNUMBER($D415),$D415-WEEKDAY($D415,3),'ORDER VS WEEK DISTRIBUTION'!$G$500)</f>
        <v/>
      </c>
      <c r="W415" s="82">
        <f>MAX($V415,'ORDER VS WEEK DISTRIBUTION'!$G$500)</f>
        <v/>
      </c>
      <c r="X415" s="26">
        <f>IFERROR(VLOOKUP($J415,'ORDER VS WEEK DISTRIBUTION'!$T:$U,2,0),"")</f>
        <v/>
      </c>
      <c r="Y415" s="26">
        <f>IFERROR($T415/IF(IFERROR(VLOOKUP($I415,'ITEM CFC PER CONTAINER'!$A:$B,2,0),0)&gt;0,VLOOKUP($I415,'ITEM CFC PER CONTAINER'!$A:$B,2,0),VLOOKUP($X415,'MC MASTER'!$A:$Q,16,0)),"")</f>
        <v/>
      </c>
    </row>
    <row r="416" ht="15" customHeight="1" s="5">
      <c r="A416" s="26" t="inlineStr">
        <is>
          <t>Dagab Inkop &amp; Logistik Ab</t>
        </is>
      </c>
      <c r="B416" s="26" t="inlineStr">
        <is>
          <t>MJIL/SO/26049727</t>
        </is>
      </c>
      <c r="C416" s="26" t="inlineStr">
        <is>
          <t>F345171472</t>
        </is>
      </c>
      <c r="D416" s="82" t="n">
        <v>46339</v>
      </c>
      <c r="E416" s="83">
        <f>IF(ISNUMBER($D416),EOMONTH($D416,-1)+1,"")</f>
        <v/>
      </c>
      <c r="F416" s="82" t="n">
        <v>46339</v>
      </c>
      <c r="G416" s="26" t="n">
        <v>36050</v>
      </c>
      <c r="H416" s="26">
        <f>B416&amp;I416</f>
        <v/>
      </c>
      <c r="I416" s="26" t="inlineStr">
        <is>
          <t>GARANT EARL GREY 15/20 DC ENV TBGS-FT</t>
        </is>
      </c>
      <c r="J416" s="26" t="inlineStr">
        <is>
          <t>MD20 ENV GARANT</t>
        </is>
      </c>
      <c r="K416" s="26">
        <f>J416&amp;"-"&amp;TEXT(W416,"dd-mmm-yy")</f>
        <v/>
      </c>
      <c r="L416" s="26">
        <f>IFERROR(VLOOKUP($M416,'ITEM MASTER'!E:H,4,0),"")</f>
        <v/>
      </c>
      <c r="M416" s="26">
        <f>IFERROR(VLOOKUP($I416,'ITEM MASTER'!B:E,4,0),"")</f>
        <v/>
      </c>
      <c r="N416" s="26">
        <f>IFERROR(VLOOKUP($I416,'ITEM MASTER'!B:F,5,0),0)</f>
        <v/>
      </c>
      <c r="O416" s="26">
        <f>IFERROR(VLOOKUP($M416,'TBGS PER CTN'!B:C,2,0),0)</f>
        <v/>
      </c>
      <c r="P416" s="26" t="n">
        <v>600</v>
      </c>
      <c r="Q416" s="26" t="n">
        <v>0</v>
      </c>
      <c r="R416" s="26" t="n">
        <v>0</v>
      </c>
      <c r="S416" s="26">
        <f>Q416+R416</f>
        <v/>
      </c>
      <c r="T416" s="29" t="n">
        <v>600</v>
      </c>
      <c r="U416" s="29">
        <f>N416*O416*T416</f>
        <v/>
      </c>
      <c r="V416" s="82">
        <f>IF(ISNUMBER($D416),$D416-WEEKDAY($D416,3),'ORDER VS WEEK DISTRIBUTION'!$G$500)</f>
        <v/>
      </c>
      <c r="W416" s="82">
        <f>MAX($V416,'ORDER VS WEEK DISTRIBUTION'!$G$500)</f>
        <v/>
      </c>
      <c r="X416" s="26">
        <f>IFERROR(VLOOKUP($J416,'ORDER VS WEEK DISTRIBUTION'!$T:$U,2,0),"")</f>
        <v/>
      </c>
      <c r="Y416" s="26">
        <f>IFERROR($T416/IF(IFERROR(VLOOKUP($I416,'ITEM CFC PER CONTAINER'!$A:$B,2,0),0)&gt;0,VLOOKUP($I416,'ITEM CFC PER CONTAINER'!$A:$B,2,0),VLOOKUP($X416,'MC MASTER'!$A:$Q,16,0)),"")</f>
        <v/>
      </c>
    </row>
    <row r="417" ht="15" customHeight="1" s="5">
      <c r="A417" s="26" t="inlineStr">
        <is>
          <t>Dagab Inkop &amp; Logistik Ab</t>
        </is>
      </c>
      <c r="B417" s="26" t="inlineStr">
        <is>
          <t>MJIL/SO/26049727</t>
        </is>
      </c>
      <c r="C417" s="26" t="inlineStr">
        <is>
          <t>F345171472</t>
        </is>
      </c>
      <c r="D417" s="82" t="n">
        <v>46339</v>
      </c>
      <c r="E417" s="83">
        <f>IF(ISNUMBER($D417),EOMONTH($D417,-1)+1,"")</f>
        <v/>
      </c>
      <c r="F417" s="82" t="n">
        <v>46339</v>
      </c>
      <c r="G417" s="26" t="n">
        <v>35520</v>
      </c>
      <c r="H417" s="26">
        <f>B417&amp;I417</f>
        <v/>
      </c>
      <c r="I417" s="26" t="inlineStr">
        <is>
          <t>GARANT BLACK CURRANT 15/20 DC ENV TBGS-FT</t>
        </is>
      </c>
      <c r="J417" s="26" t="inlineStr">
        <is>
          <t>MD20 ENV GARANT</t>
        </is>
      </c>
      <c r="K417" s="26">
        <f>J417&amp;"-"&amp;TEXT(W417,"dd-mmm-yy")</f>
        <v/>
      </c>
      <c r="L417" s="26">
        <f>IFERROR(VLOOKUP($M417,'ITEM MASTER'!E:H,4,0),"")</f>
        <v/>
      </c>
      <c r="M417" s="26">
        <f>IFERROR(VLOOKUP($I417,'ITEM MASTER'!B:E,4,0),"")</f>
        <v/>
      </c>
      <c r="N417" s="26">
        <f>IFERROR(VLOOKUP($I417,'ITEM MASTER'!B:F,5,0),0)</f>
        <v/>
      </c>
      <c r="O417" s="26">
        <f>IFERROR(VLOOKUP($M417,'TBGS PER CTN'!B:C,2,0),0)</f>
        <v/>
      </c>
      <c r="P417" s="26" t="n">
        <v>900</v>
      </c>
      <c r="Q417" s="26" t="n">
        <v>0</v>
      </c>
      <c r="R417" s="26" t="n">
        <v>0</v>
      </c>
      <c r="S417" s="26">
        <f>Q417+R417</f>
        <v/>
      </c>
      <c r="T417" s="29" t="n">
        <v>900</v>
      </c>
      <c r="U417" s="29">
        <f>N417*O417*T417</f>
        <v/>
      </c>
      <c r="V417" s="82">
        <f>IF(ISNUMBER($D417),$D417-WEEKDAY($D417,3),'ORDER VS WEEK DISTRIBUTION'!$G$500)</f>
        <v/>
      </c>
      <c r="W417" s="82">
        <f>MAX($V417,'ORDER VS WEEK DISTRIBUTION'!$G$500)</f>
        <v/>
      </c>
      <c r="X417" s="26">
        <f>IFERROR(VLOOKUP($J417,'ORDER VS WEEK DISTRIBUTION'!$T:$U,2,0),"")</f>
        <v/>
      </c>
      <c r="Y417" s="26">
        <f>IFERROR($T417/IF(IFERROR(VLOOKUP($I417,'ITEM CFC PER CONTAINER'!$A:$B,2,0),0)&gt;0,VLOOKUP($I417,'ITEM CFC PER CONTAINER'!$A:$B,2,0),VLOOKUP($X417,'MC MASTER'!$A:$Q,16,0)),"")</f>
        <v/>
      </c>
    </row>
    <row r="418" ht="15" customHeight="1" s="5">
      <c r="A418" s="26" t="inlineStr">
        <is>
          <t>Llc `Jay Tea`</t>
        </is>
      </c>
      <c r="B418" s="26" t="inlineStr">
        <is>
          <t>MJIL/SO/26011157</t>
        </is>
      </c>
      <c r="C418" s="26" t="inlineStr">
        <is>
          <t>NOV- PROJECTION - STD 786</t>
        </is>
      </c>
      <c r="D418" s="82" t="n">
        <v>46342</v>
      </c>
      <c r="E418" s="83">
        <f>IF(ISNUMBER($D418),EOMONTH($D418,-1)+1,"")</f>
        <v/>
      </c>
      <c r="F418" s="82" t="n">
        <v>46342</v>
      </c>
      <c r="G418" s="26" t="n">
        <v>28591</v>
      </c>
      <c r="H418" s="26">
        <f>B418&amp;I418</f>
        <v/>
      </c>
      <c r="I418" s="26" t="inlineStr">
        <is>
          <t>STD 786 BULK, 32 KGS - PP BAGS</t>
        </is>
      </c>
      <c r="J418" s="26" t="n"/>
      <c r="K418" s="26">
        <f>J418&amp;"-"&amp;TEXT(W418,"dd-mmm-yy")</f>
        <v/>
      </c>
      <c r="L418" s="26">
        <f>IFERROR(VLOOKUP($M418,'ITEM MASTER'!E:H,4,0),"")</f>
        <v/>
      </c>
      <c r="M418" s="26">
        <f>IFERROR(VLOOKUP($I418,'ITEM MASTER'!B:E,4,0),"")</f>
        <v/>
      </c>
      <c r="N418" s="26">
        <f>IFERROR(VLOOKUP($I418,'ITEM MASTER'!B:F,5,0),0)</f>
        <v/>
      </c>
      <c r="O418" s="26">
        <f>IFERROR(VLOOKUP($M418,'TBGS PER CTN'!B:C,2,0),0)</f>
        <v/>
      </c>
      <c r="P418" s="26" t="n">
        <v>531</v>
      </c>
      <c r="Q418" s="26" t="n">
        <v>0</v>
      </c>
      <c r="R418" s="26" t="n">
        <v>0</v>
      </c>
      <c r="S418" s="26">
        <f>Q418+R418</f>
        <v/>
      </c>
      <c r="T418" s="29" t="n">
        <v>531</v>
      </c>
      <c r="U418" s="29">
        <f>N418*O418*T418</f>
        <v/>
      </c>
      <c r="V418" s="82">
        <f>IF(ISNUMBER($D418),$D418-WEEKDAY($D418,3),'ORDER VS WEEK DISTRIBUTION'!$G$500)</f>
        <v/>
      </c>
      <c r="W418" s="82">
        <f>MAX($V418,'ORDER VS WEEK DISTRIBUTION'!$G$500)</f>
        <v/>
      </c>
      <c r="X418" s="26">
        <f>IFERROR(VLOOKUP($J418,'ORDER VS WEEK DISTRIBUTION'!$T:$U,2,0),"")</f>
        <v/>
      </c>
      <c r="Y418" s="26">
        <f>IFERROR($T418/IF(IFERROR(VLOOKUP($I418,'ITEM CFC PER CONTAINER'!$A:$B,2,0),0)&gt;0,VLOOKUP($I418,'ITEM CFC PER CONTAINER'!$A:$B,2,0),VLOOKUP($X418,'MC MASTER'!$A:$Q,16,0)),"")</f>
        <v/>
      </c>
    </row>
    <row r="419" ht="15" customHeight="1" s="5">
      <c r="A419" s="26" t="inlineStr">
        <is>
          <t>Multitrade Overseas Pte. Ltd.</t>
        </is>
      </c>
      <c r="B419" s="26" t="inlineStr">
        <is>
          <t>MJIL/SO/26040201</t>
        </is>
      </c>
      <c r="C419" s="26" t="inlineStr">
        <is>
          <t>MJ-081/26-27 (BOUBACAR TANDIA)</t>
        </is>
      </c>
      <c r="D419" s="82" t="n">
        <v>46342</v>
      </c>
      <c r="E419" s="83">
        <f>IF(ISNUMBER($D419),EOMONTH($D419,-1)+1,"")</f>
        <v/>
      </c>
      <c r="F419" s="82" t="n">
        <v>46342</v>
      </c>
      <c r="G419" s="26" t="n">
        <v>17932</v>
      </c>
      <c r="H419" s="26">
        <f>B419&amp;I419</f>
        <v/>
      </c>
      <c r="I419" s="26" t="inlineStr">
        <is>
          <t>SANCHO 12/100 DC ENV TBGS</t>
        </is>
      </c>
      <c r="J419" s="26" t="inlineStr">
        <is>
          <t>C250 AF</t>
        </is>
      </c>
      <c r="K419" s="26">
        <f>J419&amp;"-"&amp;TEXT(W419,"dd-mmm-yy")</f>
        <v/>
      </c>
      <c r="L419" s="26">
        <f>IFERROR(VLOOKUP($M419,'ITEM MASTER'!E:H,4,0),"")</f>
        <v/>
      </c>
      <c r="M419" s="26">
        <f>IFERROR(VLOOKUP($I419,'ITEM MASTER'!B:E,4,0),"")</f>
        <v/>
      </c>
      <c r="N419" s="26">
        <f>IFERROR(VLOOKUP($I419,'ITEM MASTER'!B:F,5,0),0)</f>
        <v/>
      </c>
      <c r="O419" s="26">
        <f>IFERROR(VLOOKUP($M419,'TBGS PER CTN'!B:C,2,0),0)</f>
        <v/>
      </c>
      <c r="P419" s="26" t="n">
        <v>3320</v>
      </c>
      <c r="Q419" s="26" t="n">
        <v>0</v>
      </c>
      <c r="R419" s="26" t="n">
        <v>0</v>
      </c>
      <c r="S419" s="26">
        <f>Q419+R419</f>
        <v/>
      </c>
      <c r="T419" s="29" t="n">
        <v>3320</v>
      </c>
      <c r="U419" s="29">
        <f>N419*O419*T419</f>
        <v/>
      </c>
      <c r="V419" s="82">
        <f>IF(ISNUMBER($D419),$D419-WEEKDAY($D419,3),'ORDER VS WEEK DISTRIBUTION'!$G$500)</f>
        <v/>
      </c>
      <c r="W419" s="82">
        <f>MAX($V419,'ORDER VS WEEK DISTRIBUTION'!$G$500)</f>
        <v/>
      </c>
      <c r="X419" s="26">
        <f>IFERROR(VLOOKUP($J419,'ORDER VS WEEK DISTRIBUTION'!$T:$U,2,0),"")</f>
        <v/>
      </c>
      <c r="Y419" s="26">
        <f>IFERROR($T419/IF(IFERROR(VLOOKUP($I419,'ITEM CFC PER CONTAINER'!$A:$B,2,0),0)&gt;0,VLOOKUP($I419,'ITEM CFC PER CONTAINER'!$A:$B,2,0),VLOOKUP($X419,'MC MASTER'!$A:$Q,16,0)),"")</f>
        <v/>
      </c>
    </row>
    <row r="420" ht="15" customHeight="1" s="5">
      <c r="A420" s="26" t="inlineStr">
        <is>
          <t>Multitrade Overseas Pte. Ltd.</t>
        </is>
      </c>
      <c r="B420" s="26" t="inlineStr">
        <is>
          <t>MJIL/SO/26047636</t>
        </is>
      </c>
      <c r="C420" s="26" t="inlineStr">
        <is>
          <t>MJ-086/26-27 / 2 (ETKAF)</t>
        </is>
      </c>
      <c r="D420" s="82" t="n">
        <v>46342</v>
      </c>
      <c r="E420" s="83">
        <f>IF(ISNUMBER($D420),EOMONTH($D420,-1)+1,"")</f>
        <v/>
      </c>
      <c r="F420" s="82" t="n">
        <v>46342</v>
      </c>
      <c r="G420" s="26" t="n">
        <v>2023</v>
      </c>
      <c r="H420" s="26">
        <f>B420&amp;I420</f>
        <v/>
      </c>
      <c r="I420" s="26" t="inlineStr">
        <is>
          <t>GV MINT 24/25 DC ENV TBGS WITH TSHIRT</t>
        </is>
      </c>
      <c r="J420" s="30" t="inlineStr">
        <is>
          <t>CONSTANTA ENV</t>
        </is>
      </c>
      <c r="K420" s="26">
        <f>J420&amp;"-"&amp;TEXT(W420,"dd-mmm-yy")</f>
        <v/>
      </c>
      <c r="L420" s="26">
        <f>IFERROR(VLOOKUP($M420,'ITEM MASTER'!E:H,4,0),"")</f>
        <v/>
      </c>
      <c r="M420" s="26">
        <f>IFERROR(VLOOKUP($I420,'ITEM MASTER'!B:E,4,0),"")</f>
        <v/>
      </c>
      <c r="N420" s="26">
        <f>IFERROR(VLOOKUP($I420,'ITEM MASTER'!B:F,5,0),0)</f>
        <v/>
      </c>
      <c r="O420" s="26">
        <f>IFERROR(VLOOKUP($M420,'TBGS PER CTN'!B:C,2,0),0)</f>
        <v/>
      </c>
      <c r="P420" s="26" t="n">
        <v>3780</v>
      </c>
      <c r="Q420" s="26" t="n">
        <v>0</v>
      </c>
      <c r="R420" s="26" t="n">
        <v>0</v>
      </c>
      <c r="S420" s="26">
        <f>Q420+R420</f>
        <v/>
      </c>
      <c r="T420" s="29" t="n">
        <v>3780</v>
      </c>
      <c r="U420" s="29">
        <f>N420*O420*T420</f>
        <v/>
      </c>
      <c r="V420" s="82">
        <f>IF(ISNUMBER($D420),$D420-WEEKDAY($D420,3),'ORDER VS WEEK DISTRIBUTION'!$G$500)</f>
        <v/>
      </c>
      <c r="W420" s="82">
        <f>MAX($V420,'ORDER VS WEEK DISTRIBUTION'!$G$500)</f>
        <v/>
      </c>
      <c r="X420" s="26">
        <f>IFERROR(VLOOKUP($J420,'ORDER VS WEEK DISTRIBUTION'!$T:$U,2,0),"")</f>
        <v/>
      </c>
      <c r="Y420" s="26">
        <f>IFERROR($T420/IF(IFERROR(VLOOKUP($I420,'ITEM CFC PER CONTAINER'!$A:$B,2,0),0)&gt;0,VLOOKUP($I420,'ITEM CFC PER CONTAINER'!$A:$B,2,0),VLOOKUP($X420,'MC MASTER'!$A:$Q,16,0)),"")</f>
        <v/>
      </c>
    </row>
    <row r="421" ht="15" customHeight="1" s="5">
      <c r="A421" s="26" t="inlineStr">
        <is>
          <t>Multitrade Overseas Pte. Ltd.</t>
        </is>
      </c>
      <c r="B421" s="26" t="inlineStr">
        <is>
          <t>MJIL/SO/26047636</t>
        </is>
      </c>
      <c r="C421" s="26" t="inlineStr">
        <is>
          <t>MJ-086/26-27 / 2 (ETKAF)</t>
        </is>
      </c>
      <c r="D421" s="82" t="n">
        <v>46342</v>
      </c>
      <c r="E421" s="83">
        <f>IF(ISNUMBER($D421),EOMONTH($D421,-1)+1,"")</f>
        <v/>
      </c>
      <c r="F421" s="82" t="n">
        <v>46342</v>
      </c>
      <c r="G421" s="26" t="n">
        <v>1933</v>
      </c>
      <c r="H421" s="26">
        <f>B421&amp;I421</f>
        <v/>
      </c>
      <c r="I421" s="26" t="inlineStr">
        <is>
          <t>GV GARDEN STRAWBERRY 24/25 DC ENV TBGS WITH TSHIRT</t>
        </is>
      </c>
      <c r="J421" s="30" t="inlineStr">
        <is>
          <t>CONSTANTA ENV</t>
        </is>
      </c>
      <c r="K421" s="26">
        <f>J421&amp;"-"&amp;TEXT(W421,"dd-mmm-yy")</f>
        <v/>
      </c>
      <c r="L421" s="26">
        <f>IFERROR(VLOOKUP($M421,'ITEM MASTER'!E:H,4,0),"")</f>
        <v/>
      </c>
      <c r="M421" s="26">
        <f>IFERROR(VLOOKUP($I421,'ITEM MASTER'!B:E,4,0),"")</f>
        <v/>
      </c>
      <c r="N421" s="26">
        <f>IFERROR(VLOOKUP($I421,'ITEM MASTER'!B:F,5,0),0)</f>
        <v/>
      </c>
      <c r="O421" s="26">
        <f>IFERROR(VLOOKUP($M421,'TBGS PER CTN'!B:C,2,0),0)</f>
        <v/>
      </c>
      <c r="P421" s="26" t="n">
        <v>4454</v>
      </c>
      <c r="Q421" s="26" t="n">
        <v>0</v>
      </c>
      <c r="R421" s="26" t="n">
        <v>0</v>
      </c>
      <c r="S421" s="26">
        <f>Q421+R421</f>
        <v/>
      </c>
      <c r="T421" s="29" t="n">
        <v>4454</v>
      </c>
      <c r="U421" s="29">
        <f>N421*O421*T421</f>
        <v/>
      </c>
      <c r="V421" s="82">
        <f>IF(ISNUMBER($D421),$D421-WEEKDAY($D421,3),'ORDER VS WEEK DISTRIBUTION'!$G$500)</f>
        <v/>
      </c>
      <c r="W421" s="82">
        <f>MAX($V421,'ORDER VS WEEK DISTRIBUTION'!$G$500)</f>
        <v/>
      </c>
      <c r="X421" s="26">
        <f>IFERROR(VLOOKUP($J421,'ORDER VS WEEK DISTRIBUTION'!$T:$U,2,0),"")</f>
        <v/>
      </c>
      <c r="Y421" s="26">
        <f>IFERROR($T421/IF(IFERROR(VLOOKUP($I421,'ITEM CFC PER CONTAINER'!$A:$B,2,0),0)&gt;0,VLOOKUP($I421,'ITEM CFC PER CONTAINER'!$A:$B,2,0),VLOOKUP($X421,'MC MASTER'!$A:$Q,16,0)),"")</f>
        <v/>
      </c>
    </row>
    <row r="422" ht="15" customHeight="1" s="5">
      <c r="A422" s="26" t="inlineStr">
        <is>
          <t>Multitrade Overseas Pte. Ltd.</t>
        </is>
      </c>
      <c r="B422" s="26" t="inlineStr">
        <is>
          <t>MJIL/SO/26047636</t>
        </is>
      </c>
      <c r="C422" s="26" t="inlineStr">
        <is>
          <t>MJ-086/26-27 / 2 (ETKAF)</t>
        </is>
      </c>
      <c r="D422" s="82" t="n">
        <v>46342</v>
      </c>
      <c r="E422" s="83">
        <f>IF(ISNUMBER($D422),EOMONTH($D422,-1)+1,"")</f>
        <v/>
      </c>
      <c r="F422" s="82" t="n">
        <v>46342</v>
      </c>
      <c r="G422" s="26" t="n">
        <v>2131</v>
      </c>
      <c r="H422" s="26">
        <f>B422&amp;I422</f>
        <v/>
      </c>
      <c r="I422" s="26" t="inlineStr">
        <is>
          <t>GV SPICY GINGER 24/25 DC ENV TBGS WITH TSHIRT</t>
        </is>
      </c>
      <c r="J422" s="30" t="inlineStr">
        <is>
          <t>CONSTANTA ENV</t>
        </is>
      </c>
      <c r="K422" s="26">
        <f>J422&amp;"-"&amp;TEXT(W422,"dd-mmm-yy")</f>
        <v/>
      </c>
      <c r="L422" s="26">
        <f>IFERROR(VLOOKUP($M422,'ITEM MASTER'!E:H,4,0),"")</f>
        <v/>
      </c>
      <c r="M422" s="26">
        <f>IFERROR(VLOOKUP($I422,'ITEM MASTER'!B:E,4,0),"")</f>
        <v/>
      </c>
      <c r="N422" s="26">
        <f>IFERROR(VLOOKUP($I422,'ITEM MASTER'!B:F,5,0),0)</f>
        <v/>
      </c>
      <c r="O422" s="26">
        <f>IFERROR(VLOOKUP($M422,'TBGS PER CTN'!B:C,2,0),0)</f>
        <v/>
      </c>
      <c r="P422" s="26" t="n">
        <v>3000</v>
      </c>
      <c r="Q422" s="26" t="n">
        <v>0</v>
      </c>
      <c r="R422" s="26" t="n">
        <v>0</v>
      </c>
      <c r="S422" s="26">
        <f>Q422+R422</f>
        <v/>
      </c>
      <c r="T422" s="29" t="n">
        <v>3000</v>
      </c>
      <c r="U422" s="29">
        <f>N422*O422*T422</f>
        <v/>
      </c>
      <c r="V422" s="82">
        <f>IF(ISNUMBER($D422),$D422-WEEKDAY($D422,3),'ORDER VS WEEK DISTRIBUTION'!$G$500)</f>
        <v/>
      </c>
      <c r="W422" s="82">
        <f>MAX($V422,'ORDER VS WEEK DISTRIBUTION'!$G$500)</f>
        <v/>
      </c>
      <c r="X422" s="26">
        <f>IFERROR(VLOOKUP($J422,'ORDER VS WEEK DISTRIBUTION'!$T:$U,2,0),"")</f>
        <v/>
      </c>
      <c r="Y422" s="26">
        <f>IFERROR($T422/IF(IFERROR(VLOOKUP($I422,'ITEM CFC PER CONTAINER'!$A:$B,2,0),0)&gt;0,VLOOKUP($I422,'ITEM CFC PER CONTAINER'!$A:$B,2,0),VLOOKUP($X422,'MC MASTER'!$A:$Q,16,0)),"")</f>
        <v/>
      </c>
    </row>
    <row r="423" ht="15" customHeight="1" s="5">
      <c r="A423" s="26" t="inlineStr">
        <is>
          <t>Multitrade Overseas Pte. Ltd.</t>
        </is>
      </c>
      <c r="B423" s="26" t="inlineStr">
        <is>
          <t>MJIL/SO/26047636</t>
        </is>
      </c>
      <c r="C423" s="26" t="inlineStr">
        <is>
          <t>MJ-086/26-27 / 2 (ETKAF)</t>
        </is>
      </c>
      <c r="D423" s="82" t="n">
        <v>46342</v>
      </c>
      <c r="E423" s="83">
        <f>IF(ISNUMBER($D423),EOMONTH($D423,-1)+1,"")</f>
        <v/>
      </c>
      <c r="F423" s="82" t="n">
        <v>46342</v>
      </c>
      <c r="G423" s="26" t="n">
        <v>2051</v>
      </c>
      <c r="H423" s="26">
        <f>B423&amp;I423</f>
        <v/>
      </c>
      <c r="I423" s="26" t="inlineStr">
        <is>
          <t>GV ORANGE 24/25 DC ENV TBGS WITH TSHIRT</t>
        </is>
      </c>
      <c r="J423" s="30" t="inlineStr">
        <is>
          <t>CONSTANTA ENV</t>
        </is>
      </c>
      <c r="K423" s="26">
        <f>J423&amp;"-"&amp;TEXT(W423,"dd-mmm-yy")</f>
        <v/>
      </c>
      <c r="L423" s="26">
        <f>IFERROR(VLOOKUP($M423,'ITEM MASTER'!E:H,4,0),"")</f>
        <v/>
      </c>
      <c r="M423" s="26">
        <f>IFERROR(VLOOKUP($I423,'ITEM MASTER'!B:E,4,0),"")</f>
        <v/>
      </c>
      <c r="N423" s="26">
        <f>IFERROR(VLOOKUP($I423,'ITEM MASTER'!B:F,5,0),0)</f>
        <v/>
      </c>
      <c r="O423" s="26">
        <f>IFERROR(VLOOKUP($M423,'TBGS PER CTN'!B:C,2,0),0)</f>
        <v/>
      </c>
      <c r="P423" s="26" t="n">
        <v>363</v>
      </c>
      <c r="Q423" s="26" t="n">
        <v>0</v>
      </c>
      <c r="R423" s="26" t="n">
        <v>0</v>
      </c>
      <c r="S423" s="26">
        <f>Q423+R423</f>
        <v/>
      </c>
      <c r="T423" s="29" t="n">
        <v>363</v>
      </c>
      <c r="U423" s="29">
        <f>N423*O423*T423</f>
        <v/>
      </c>
      <c r="V423" s="82">
        <f>IF(ISNUMBER($D423),$D423-WEEKDAY($D423,3),'ORDER VS WEEK DISTRIBUTION'!$G$500)</f>
        <v/>
      </c>
      <c r="W423" s="82">
        <f>MAX($V423,'ORDER VS WEEK DISTRIBUTION'!$G$500)</f>
        <v/>
      </c>
      <c r="X423" s="26">
        <f>IFERROR(VLOOKUP($J423,'ORDER VS WEEK DISTRIBUTION'!$T:$U,2,0),"")</f>
        <v/>
      </c>
      <c r="Y423" s="26">
        <f>IFERROR($T423/IF(IFERROR(VLOOKUP($I423,'ITEM CFC PER CONTAINER'!$A:$B,2,0),0)&gt;0,VLOOKUP($I423,'ITEM CFC PER CONTAINER'!$A:$B,2,0),VLOOKUP($X423,'MC MASTER'!$A:$Q,16,0)),"")</f>
        <v/>
      </c>
    </row>
    <row r="424" ht="15" customHeight="1" s="5">
      <c r="A424" s="26" t="inlineStr">
        <is>
          <t>Multitrade Overseas Pte. Ltd.</t>
        </is>
      </c>
      <c r="B424" s="26" t="inlineStr">
        <is>
          <t>MJIL/SO/26047636</t>
        </is>
      </c>
      <c r="C424" s="26" t="inlineStr">
        <is>
          <t>MJ-086/26-27 / 2 (ETKAF)</t>
        </is>
      </c>
      <c r="D424" s="82" t="n">
        <v>46342</v>
      </c>
      <c r="E424" s="83">
        <f>IF(ISNUMBER($D424),EOMONTH($D424,-1)+1,"")</f>
        <v/>
      </c>
      <c r="F424" s="82" t="n">
        <v>46342</v>
      </c>
      <c r="G424" s="26" t="n">
        <v>21810</v>
      </c>
      <c r="H424" s="26">
        <f>B424&amp;I424</f>
        <v/>
      </c>
      <c r="I424" s="26" t="inlineStr">
        <is>
          <t>GV CLOVE 24/25 DC ENV TBGS WITH TSHIRT</t>
        </is>
      </c>
      <c r="J424" s="30" t="inlineStr">
        <is>
          <t>CONSTANTA ENV</t>
        </is>
      </c>
      <c r="K424" s="26">
        <f>J424&amp;"-"&amp;TEXT(W424,"dd-mmm-yy")</f>
        <v/>
      </c>
      <c r="L424" s="26">
        <f>IFERROR(VLOOKUP($M424,'ITEM MASTER'!E:H,4,0),"")</f>
        <v/>
      </c>
      <c r="M424" s="26">
        <f>IFERROR(VLOOKUP($I424,'ITEM MASTER'!B:E,4,0),"")</f>
        <v/>
      </c>
      <c r="N424" s="26">
        <f>IFERROR(VLOOKUP($I424,'ITEM MASTER'!B:F,5,0),0)</f>
        <v/>
      </c>
      <c r="O424" s="26">
        <f>IFERROR(VLOOKUP($M424,'TBGS PER CTN'!B:C,2,0),0)</f>
        <v/>
      </c>
      <c r="P424" s="26" t="n">
        <v>271</v>
      </c>
      <c r="Q424" s="26" t="n">
        <v>0</v>
      </c>
      <c r="R424" s="26" t="n">
        <v>0</v>
      </c>
      <c r="S424" s="26">
        <f>Q424+R424</f>
        <v/>
      </c>
      <c r="T424" s="29" t="n">
        <v>271</v>
      </c>
      <c r="U424" s="29">
        <f>N424*O424*T424</f>
        <v/>
      </c>
      <c r="V424" s="82">
        <f>IF(ISNUMBER($D424),$D424-WEEKDAY($D424,3),'ORDER VS WEEK DISTRIBUTION'!$G$500)</f>
        <v/>
      </c>
      <c r="W424" s="82">
        <f>MAX($V424,'ORDER VS WEEK DISTRIBUTION'!$G$500)</f>
        <v/>
      </c>
      <c r="X424" s="26">
        <f>IFERROR(VLOOKUP($J424,'ORDER VS WEEK DISTRIBUTION'!$T:$U,2,0),"")</f>
        <v/>
      </c>
      <c r="Y424" s="26">
        <f>IFERROR($T424/IF(IFERROR(VLOOKUP($I424,'ITEM CFC PER CONTAINER'!$A:$B,2,0),0)&gt;0,VLOOKUP($I424,'ITEM CFC PER CONTAINER'!$A:$B,2,0),VLOOKUP($X424,'MC MASTER'!$A:$Q,16,0)),"")</f>
        <v/>
      </c>
    </row>
    <row r="425" ht="15" customHeight="1" s="5">
      <c r="A425" s="26" t="inlineStr">
        <is>
          <t>Multitrade Overseas Pte. Ltd.</t>
        </is>
      </c>
      <c r="B425" s="26" t="inlineStr">
        <is>
          <t>MJIL/SO/26047636</t>
        </is>
      </c>
      <c r="C425" s="26" t="inlineStr">
        <is>
          <t>MJ-086/26-27 / 2 (ETKAF)</t>
        </is>
      </c>
      <c r="D425" s="82" t="n">
        <v>46342</v>
      </c>
      <c r="E425" s="83">
        <f>IF(ISNUMBER($D425),EOMONTH($D425,-1)+1,"")</f>
        <v/>
      </c>
      <c r="F425" s="82" t="n">
        <v>46342</v>
      </c>
      <c r="G425" s="26" t="n">
        <v>2105</v>
      </c>
      <c r="H425" s="26">
        <f>B425&amp;I425</f>
        <v/>
      </c>
      <c r="I425" s="26" t="inlineStr">
        <is>
          <t>GV ROYAL LEMON 24/25 DC ENV TBGS WITH TSHIRT</t>
        </is>
      </c>
      <c r="J425" s="30" t="inlineStr">
        <is>
          <t>CONSTANTA ENV</t>
        </is>
      </c>
      <c r="K425" s="26">
        <f>J425&amp;"-"&amp;TEXT(W425,"dd-mmm-yy")</f>
        <v/>
      </c>
      <c r="L425" s="26">
        <f>IFERROR(VLOOKUP($M425,'ITEM MASTER'!E:H,4,0),"")</f>
        <v/>
      </c>
      <c r="M425" s="26">
        <f>IFERROR(VLOOKUP($I425,'ITEM MASTER'!B:E,4,0),"")</f>
        <v/>
      </c>
      <c r="N425" s="26">
        <f>IFERROR(VLOOKUP($I425,'ITEM MASTER'!B:F,5,0),0)</f>
        <v/>
      </c>
      <c r="O425" s="26">
        <f>IFERROR(VLOOKUP($M425,'TBGS PER CTN'!B:C,2,0),0)</f>
        <v/>
      </c>
      <c r="P425" s="26" t="n">
        <v>323</v>
      </c>
      <c r="Q425" s="26" t="n">
        <v>0</v>
      </c>
      <c r="R425" s="26" t="n">
        <v>0</v>
      </c>
      <c r="S425" s="26">
        <f>Q425+R425</f>
        <v/>
      </c>
      <c r="T425" s="29" t="n">
        <v>323</v>
      </c>
      <c r="U425" s="29">
        <f>N425*O425*T425</f>
        <v/>
      </c>
      <c r="V425" s="82">
        <f>IF(ISNUMBER($D425),$D425-WEEKDAY($D425,3),'ORDER VS WEEK DISTRIBUTION'!$G$500)</f>
        <v/>
      </c>
      <c r="W425" s="82">
        <f>MAX($V425,'ORDER VS WEEK DISTRIBUTION'!$G$500)</f>
        <v/>
      </c>
      <c r="X425" s="26">
        <f>IFERROR(VLOOKUP($J425,'ORDER VS WEEK DISTRIBUTION'!$T:$U,2,0),"")</f>
        <v/>
      </c>
      <c r="Y425" s="26">
        <f>IFERROR($T425/IF(IFERROR(VLOOKUP($I425,'ITEM CFC PER CONTAINER'!$A:$B,2,0),0)&gt;0,VLOOKUP($I425,'ITEM CFC PER CONTAINER'!$A:$B,2,0),VLOOKUP($X425,'MC MASTER'!$A:$Q,16,0)),"")</f>
        <v/>
      </c>
    </row>
    <row r="426" ht="15" customHeight="1" s="5">
      <c r="A426" s="26" t="inlineStr">
        <is>
          <t>Multitrade Overseas Pte. Ltd.</t>
        </is>
      </c>
      <c r="B426" s="26" t="inlineStr">
        <is>
          <t>MJIL/SO/26047636</t>
        </is>
      </c>
      <c r="C426" s="26" t="inlineStr">
        <is>
          <t>MJ-086/26-27 / 2 (ETKAF)</t>
        </is>
      </c>
      <c r="D426" s="82" t="n">
        <v>46342</v>
      </c>
      <c r="E426" s="83">
        <f>IF(ISNUMBER($D426),EOMONTH($D426,-1)+1,"")</f>
        <v/>
      </c>
      <c r="F426" s="82" t="n">
        <v>46342</v>
      </c>
      <c r="G426" s="26" t="n">
        <v>21811</v>
      </c>
      <c r="H426" s="26">
        <f>B426&amp;I426</f>
        <v/>
      </c>
      <c r="I426" s="26" t="inlineStr">
        <is>
          <t>GV CINNAMON 24/25 DC ENV TBGS WITH TSHIRT</t>
        </is>
      </c>
      <c r="J426" s="30" t="inlineStr">
        <is>
          <t>CONSTANTA ENV</t>
        </is>
      </c>
      <c r="K426" s="26">
        <f>J426&amp;"-"&amp;TEXT(W426,"dd-mmm-yy")</f>
        <v/>
      </c>
      <c r="L426" s="26">
        <f>IFERROR(VLOOKUP($M426,'ITEM MASTER'!E:H,4,0),"")</f>
        <v/>
      </c>
      <c r="M426" s="26">
        <f>IFERROR(VLOOKUP($I426,'ITEM MASTER'!B:E,4,0),"")</f>
        <v/>
      </c>
      <c r="N426" s="26">
        <f>IFERROR(VLOOKUP($I426,'ITEM MASTER'!B:F,5,0),0)</f>
        <v/>
      </c>
      <c r="O426" s="26">
        <f>IFERROR(VLOOKUP($M426,'TBGS PER CTN'!B:C,2,0),0)</f>
        <v/>
      </c>
      <c r="P426" s="26" t="n">
        <v>50</v>
      </c>
      <c r="Q426" s="26" t="n">
        <v>0</v>
      </c>
      <c r="R426" s="26" t="n">
        <v>0</v>
      </c>
      <c r="S426" s="26">
        <f>Q426+R426</f>
        <v/>
      </c>
      <c r="T426" s="29" t="n">
        <v>50</v>
      </c>
      <c r="U426" s="29">
        <f>N426*O426*T426</f>
        <v/>
      </c>
      <c r="V426" s="82">
        <f>IF(ISNUMBER($D426),$D426-WEEKDAY($D426,3),'ORDER VS WEEK DISTRIBUTION'!$G$500)</f>
        <v/>
      </c>
      <c r="W426" s="82">
        <f>MAX($V426,'ORDER VS WEEK DISTRIBUTION'!$G$500)</f>
        <v/>
      </c>
      <c r="X426" s="26">
        <f>IFERROR(VLOOKUP($J426,'ORDER VS WEEK DISTRIBUTION'!$T:$U,2,0),"")</f>
        <v/>
      </c>
      <c r="Y426" s="26">
        <f>IFERROR($T426/IF(IFERROR(VLOOKUP($I426,'ITEM CFC PER CONTAINER'!$A:$B,2,0),0)&gt;0,VLOOKUP($I426,'ITEM CFC PER CONTAINER'!$A:$B,2,0),VLOOKUP($X426,'MC MASTER'!$A:$Q,16,0)),"")</f>
        <v/>
      </c>
    </row>
    <row r="427" ht="15" customHeight="1" s="5">
      <c r="A427" s="26" t="inlineStr">
        <is>
          <t>Multitrade Overseas Pte. Ltd.</t>
        </is>
      </c>
      <c r="B427" s="26" t="inlineStr">
        <is>
          <t>MJIL/SO/26048597</t>
        </is>
      </c>
      <c r="C427" s="26" t="inlineStr">
        <is>
          <t>MJ-102/26-27 (KOURAOGO)</t>
        </is>
      </c>
      <c r="D427" s="82" t="n">
        <v>46342</v>
      </c>
      <c r="E427" s="83">
        <f>IF(ISNUMBER($D427),EOMONTH($D427,-1)+1,"")</f>
        <v/>
      </c>
      <c r="F427" s="82" t="n">
        <v>46342</v>
      </c>
      <c r="G427" s="26" t="n">
        <v>23104</v>
      </c>
      <c r="H427" s="26">
        <f>B427&amp;I427</f>
        <v/>
      </c>
      <c r="I427" s="26" t="inlineStr">
        <is>
          <t>BLUE DIAMOND STRAWBERRY 24/25 DC ENV TBGS</t>
        </is>
      </c>
      <c r="J427" s="30" t="inlineStr">
        <is>
          <t>CONSTANTA ENV</t>
        </is>
      </c>
      <c r="K427" s="26">
        <f>J427&amp;"-"&amp;TEXT(W427,"dd-mmm-yy")</f>
        <v/>
      </c>
      <c r="L427" s="26">
        <f>IFERROR(VLOOKUP($M427,'ITEM MASTER'!E:H,4,0),"")</f>
        <v/>
      </c>
      <c r="M427" s="26">
        <f>IFERROR(VLOOKUP($I427,'ITEM MASTER'!B:E,4,0),"")</f>
        <v/>
      </c>
      <c r="N427" s="26">
        <f>IFERROR(VLOOKUP($I427,'ITEM MASTER'!B:F,5,0),0)</f>
        <v/>
      </c>
      <c r="O427" s="26">
        <f>IFERROR(VLOOKUP($M427,'TBGS PER CTN'!B:C,2,0),0)</f>
        <v/>
      </c>
      <c r="P427" s="26" t="n">
        <v>2000</v>
      </c>
      <c r="Q427" s="26" t="n">
        <v>0</v>
      </c>
      <c r="R427" s="26" t="n">
        <v>1</v>
      </c>
      <c r="S427" s="26">
        <f>Q427+R427</f>
        <v/>
      </c>
      <c r="T427" s="29" t="n">
        <v>1999</v>
      </c>
      <c r="U427" s="29">
        <f>N427*O427*T427</f>
        <v/>
      </c>
      <c r="V427" s="82">
        <f>IF(ISNUMBER($D427),$D427-WEEKDAY($D427,3),'ORDER VS WEEK DISTRIBUTION'!$G$500)</f>
        <v/>
      </c>
      <c r="W427" s="82">
        <f>MAX($V427,'ORDER VS WEEK DISTRIBUTION'!$G$500)</f>
        <v/>
      </c>
      <c r="X427" s="26">
        <f>IFERROR(VLOOKUP($J427,'ORDER VS WEEK DISTRIBUTION'!$T:$U,2,0),"")</f>
        <v/>
      </c>
      <c r="Y427" s="26">
        <f>IFERROR($T427/IF(IFERROR(VLOOKUP($I427,'ITEM CFC PER CONTAINER'!$A:$B,2,0),0)&gt;0,VLOOKUP($I427,'ITEM CFC PER CONTAINER'!$A:$B,2,0),VLOOKUP($X427,'MC MASTER'!$A:$Q,16,0)),"")</f>
        <v/>
      </c>
    </row>
    <row r="428" ht="15" customHeight="1" s="5">
      <c r="A428" s="26" t="inlineStr">
        <is>
          <t>Multitrade Overseas Pte. Ltd.</t>
        </is>
      </c>
      <c r="B428" s="26" t="inlineStr">
        <is>
          <t>MJIL/SO/26048597</t>
        </is>
      </c>
      <c r="C428" s="26" t="inlineStr">
        <is>
          <t>MJ-102/26-27 (KOURAOGO)</t>
        </is>
      </c>
      <c r="D428" s="82" t="n">
        <v>46342</v>
      </c>
      <c r="E428" s="83">
        <f>IF(ISNUMBER($D428),EOMONTH($D428,-1)+1,"")</f>
        <v/>
      </c>
      <c r="F428" s="82" t="n">
        <v>46342</v>
      </c>
      <c r="G428" s="26" t="n">
        <v>23100</v>
      </c>
      <c r="H428" s="26">
        <f>B428&amp;I428</f>
        <v/>
      </c>
      <c r="I428" s="26" t="inlineStr">
        <is>
          <t>BLUE DIAMOND GINGER 24/25 DC ENV TBGS</t>
        </is>
      </c>
      <c r="J428" s="30" t="inlineStr">
        <is>
          <t>CONSTANTA ENV</t>
        </is>
      </c>
      <c r="K428" s="26">
        <f>J428&amp;"-"&amp;TEXT(W428,"dd-mmm-yy")</f>
        <v/>
      </c>
      <c r="L428" s="26">
        <f>IFERROR(VLOOKUP($M428,'ITEM MASTER'!E:H,4,0),"")</f>
        <v/>
      </c>
      <c r="M428" s="26">
        <f>IFERROR(VLOOKUP($I428,'ITEM MASTER'!B:E,4,0),"")</f>
        <v/>
      </c>
      <c r="N428" s="26">
        <f>IFERROR(VLOOKUP($I428,'ITEM MASTER'!B:F,5,0),0)</f>
        <v/>
      </c>
      <c r="O428" s="26">
        <f>IFERROR(VLOOKUP($M428,'TBGS PER CTN'!B:C,2,0),0)</f>
        <v/>
      </c>
      <c r="P428" s="26" t="n">
        <v>2000</v>
      </c>
      <c r="Q428" s="26" t="n">
        <v>0</v>
      </c>
      <c r="R428" s="26" t="n">
        <v>13</v>
      </c>
      <c r="S428" s="26">
        <f>Q428+R428</f>
        <v/>
      </c>
      <c r="T428" s="29" t="n">
        <v>1987</v>
      </c>
      <c r="U428" s="29">
        <f>N428*O428*T428</f>
        <v/>
      </c>
      <c r="V428" s="82">
        <f>IF(ISNUMBER($D428),$D428-WEEKDAY($D428,3),'ORDER VS WEEK DISTRIBUTION'!$G$500)</f>
        <v/>
      </c>
      <c r="W428" s="82">
        <f>MAX($V428,'ORDER VS WEEK DISTRIBUTION'!$G$500)</f>
        <v/>
      </c>
      <c r="X428" s="26">
        <f>IFERROR(VLOOKUP($J428,'ORDER VS WEEK DISTRIBUTION'!$T:$U,2,0),"")</f>
        <v/>
      </c>
      <c r="Y428" s="26">
        <f>IFERROR($T428/IF(IFERROR(VLOOKUP($I428,'ITEM CFC PER CONTAINER'!$A:$B,2,0),0)&gt;0,VLOOKUP($I428,'ITEM CFC PER CONTAINER'!$A:$B,2,0),VLOOKUP($X428,'MC MASTER'!$A:$Q,16,0)),"")</f>
        <v/>
      </c>
    </row>
    <row r="429" ht="15" customHeight="1" s="5">
      <c r="A429" s="26" t="inlineStr">
        <is>
          <t>Multitrade Overseas Pte. Ltd.</t>
        </is>
      </c>
      <c r="B429" s="26" t="inlineStr">
        <is>
          <t>MJIL/SO/26048597</t>
        </is>
      </c>
      <c r="C429" s="26" t="inlineStr">
        <is>
          <t>MJ-102/26-27 (KOURAOGO)</t>
        </is>
      </c>
      <c r="D429" s="82" t="n">
        <v>46342</v>
      </c>
      <c r="E429" s="83">
        <f>IF(ISNUMBER($D429),EOMONTH($D429,-1)+1,"")</f>
        <v/>
      </c>
      <c r="F429" s="82" t="n">
        <v>46342</v>
      </c>
      <c r="G429" s="26" t="n">
        <v>23103</v>
      </c>
      <c r="H429" s="26">
        <f>B429&amp;I429</f>
        <v/>
      </c>
      <c r="I429" s="26" t="inlineStr">
        <is>
          <t>BLUE DIAMOND ORANGE 24/25 DC ENV TBGS</t>
        </is>
      </c>
      <c r="J429" s="30" t="inlineStr">
        <is>
          <t>CONSTANTA ENV</t>
        </is>
      </c>
      <c r="K429" s="26">
        <f>J429&amp;"-"&amp;TEXT(W429,"dd-mmm-yy")</f>
        <v/>
      </c>
      <c r="L429" s="26">
        <f>IFERROR(VLOOKUP($M429,'ITEM MASTER'!E:H,4,0),"")</f>
        <v/>
      </c>
      <c r="M429" s="26">
        <f>IFERROR(VLOOKUP($I429,'ITEM MASTER'!B:E,4,0),"")</f>
        <v/>
      </c>
      <c r="N429" s="26">
        <f>IFERROR(VLOOKUP($I429,'ITEM MASTER'!B:F,5,0),0)</f>
        <v/>
      </c>
      <c r="O429" s="26">
        <f>IFERROR(VLOOKUP($M429,'TBGS PER CTN'!B:C,2,0),0)</f>
        <v/>
      </c>
      <c r="P429" s="26" t="n">
        <v>1200</v>
      </c>
      <c r="Q429" s="26" t="n">
        <v>0</v>
      </c>
      <c r="R429" s="26" t="n">
        <v>38</v>
      </c>
      <c r="S429" s="26">
        <f>Q429+R429</f>
        <v/>
      </c>
      <c r="T429" s="29" t="n">
        <v>1162</v>
      </c>
      <c r="U429" s="29">
        <f>N429*O429*T429</f>
        <v/>
      </c>
      <c r="V429" s="82">
        <f>IF(ISNUMBER($D429),$D429-WEEKDAY($D429,3),'ORDER VS WEEK DISTRIBUTION'!$G$500)</f>
        <v/>
      </c>
      <c r="W429" s="82">
        <f>MAX($V429,'ORDER VS WEEK DISTRIBUTION'!$G$500)</f>
        <v/>
      </c>
      <c r="X429" s="26">
        <f>IFERROR(VLOOKUP($J429,'ORDER VS WEEK DISTRIBUTION'!$T:$U,2,0),"")</f>
        <v/>
      </c>
      <c r="Y429" s="26">
        <f>IFERROR($T429/IF(IFERROR(VLOOKUP($I429,'ITEM CFC PER CONTAINER'!$A:$B,2,0),0)&gt;0,VLOOKUP($I429,'ITEM CFC PER CONTAINER'!$A:$B,2,0),VLOOKUP($X429,'MC MASTER'!$A:$Q,16,0)),"")</f>
        <v/>
      </c>
    </row>
    <row r="430" ht="15" customHeight="1" s="5">
      <c r="A430" s="26" t="inlineStr">
        <is>
          <t>Multitrade Overseas Pte. Ltd.</t>
        </is>
      </c>
      <c r="B430" s="26" t="inlineStr">
        <is>
          <t>MJIL/SO/26048597</t>
        </is>
      </c>
      <c r="C430" s="26" t="inlineStr">
        <is>
          <t>MJ-102/26-27 (KOURAOGO)</t>
        </is>
      </c>
      <c r="D430" s="82" t="n">
        <v>46342</v>
      </c>
      <c r="E430" s="83">
        <f>IF(ISNUMBER($D430),EOMONTH($D430,-1)+1,"")</f>
        <v/>
      </c>
      <c r="F430" s="82" t="n">
        <v>46342</v>
      </c>
      <c r="G430" s="26" t="n">
        <v>23102</v>
      </c>
      <c r="H430" s="26">
        <f>B430&amp;I430</f>
        <v/>
      </c>
      <c r="I430" s="26" t="inlineStr">
        <is>
          <t>BLUE DIAMOND MINT 24/25 DC ENV TBGS</t>
        </is>
      </c>
      <c r="J430" s="30" t="inlineStr">
        <is>
          <t>CONSTANTA ENV</t>
        </is>
      </c>
      <c r="K430" s="26">
        <f>J430&amp;"-"&amp;TEXT(W430,"dd-mmm-yy")</f>
        <v/>
      </c>
      <c r="L430" s="26">
        <f>IFERROR(VLOOKUP($M430,'ITEM MASTER'!E:H,4,0),"")</f>
        <v/>
      </c>
      <c r="M430" s="26">
        <f>IFERROR(VLOOKUP($I430,'ITEM MASTER'!B:E,4,0),"")</f>
        <v/>
      </c>
      <c r="N430" s="26">
        <f>IFERROR(VLOOKUP($I430,'ITEM MASTER'!B:F,5,0),0)</f>
        <v/>
      </c>
      <c r="O430" s="26">
        <f>IFERROR(VLOOKUP($M430,'TBGS PER CTN'!B:C,2,0),0)</f>
        <v/>
      </c>
      <c r="P430" s="26" t="n">
        <v>1175</v>
      </c>
      <c r="Q430" s="26" t="n">
        <v>1</v>
      </c>
      <c r="R430" s="26" t="n">
        <v>3</v>
      </c>
      <c r="S430" s="26">
        <f>Q430+R430</f>
        <v/>
      </c>
      <c r="T430" s="29" t="n">
        <v>1171</v>
      </c>
      <c r="U430" s="29">
        <f>N430*O430*T430</f>
        <v/>
      </c>
      <c r="V430" s="82">
        <f>IF(ISNUMBER($D430),$D430-WEEKDAY($D430,3),'ORDER VS WEEK DISTRIBUTION'!$G$500)</f>
        <v/>
      </c>
      <c r="W430" s="82">
        <f>MAX($V430,'ORDER VS WEEK DISTRIBUTION'!$G$500)</f>
        <v/>
      </c>
      <c r="X430" s="26">
        <f>IFERROR(VLOOKUP($J430,'ORDER VS WEEK DISTRIBUTION'!$T:$U,2,0),"")</f>
        <v/>
      </c>
      <c r="Y430" s="26">
        <f>IFERROR($T430/IF(IFERROR(VLOOKUP($I430,'ITEM CFC PER CONTAINER'!$A:$B,2,0),0)&gt;0,VLOOKUP($I430,'ITEM CFC PER CONTAINER'!$A:$B,2,0),VLOOKUP($X430,'MC MASTER'!$A:$Q,16,0)),"")</f>
        <v/>
      </c>
    </row>
    <row r="431" ht="15" customHeight="1" s="5">
      <c r="A431" s="26" t="inlineStr">
        <is>
          <t>Multitrade Overseas Pte. Ltd.</t>
        </is>
      </c>
      <c r="B431" s="26" t="inlineStr">
        <is>
          <t>MJIL/SO/26049759</t>
        </is>
      </c>
      <c r="C431" s="26" t="inlineStr">
        <is>
          <t>MJ-093/26-27/ 1 (SINOU)</t>
        </is>
      </c>
      <c r="D431" s="82" t="n">
        <v>46342</v>
      </c>
      <c r="E431" s="83">
        <f>IF(ISNUMBER($D431),EOMONTH($D431,-1)+1,"")</f>
        <v/>
      </c>
      <c r="F431" s="82" t="n">
        <v>46342</v>
      </c>
      <c r="G431" s="26" t="n">
        <v>608</v>
      </c>
      <c r="H431" s="26">
        <f>B431&amp;I431</f>
        <v/>
      </c>
      <c r="I431" s="26" t="inlineStr">
        <is>
          <t>INDUS 12/100 DC ENV TBGS WITH TSHIRT</t>
        </is>
      </c>
      <c r="J431" s="30" t="inlineStr">
        <is>
          <t>CONSTANTA ENV</t>
        </is>
      </c>
      <c r="K431" s="26">
        <f>J431&amp;"-"&amp;TEXT(W431,"dd-mmm-yy")</f>
        <v/>
      </c>
      <c r="L431" s="26">
        <f>IFERROR(VLOOKUP($M431,'ITEM MASTER'!E:H,4,0),"")</f>
        <v/>
      </c>
      <c r="M431" s="26">
        <f>IFERROR(VLOOKUP($I431,'ITEM MASTER'!B:E,4,0),"")</f>
        <v/>
      </c>
      <c r="N431" s="26">
        <f>IFERROR(VLOOKUP($I431,'ITEM MASTER'!B:F,5,0),0)</f>
        <v/>
      </c>
      <c r="O431" s="26">
        <f>IFERROR(VLOOKUP($M431,'TBGS PER CTN'!B:C,2,0),0)</f>
        <v/>
      </c>
      <c r="P431" s="26" t="n">
        <v>3300</v>
      </c>
      <c r="Q431" s="26" t="n">
        <v>0</v>
      </c>
      <c r="R431" s="26" t="n">
        <v>0</v>
      </c>
      <c r="S431" s="26">
        <f>Q431+R431</f>
        <v/>
      </c>
      <c r="T431" s="29" t="n">
        <v>3300</v>
      </c>
      <c r="U431" s="29">
        <f>N431*O431*T431</f>
        <v/>
      </c>
      <c r="V431" s="82">
        <f>IF(ISNUMBER($D431),$D431-WEEKDAY($D431,3),'ORDER VS WEEK DISTRIBUTION'!$G$500)</f>
        <v/>
      </c>
      <c r="W431" s="82">
        <f>MAX($V431,'ORDER VS WEEK DISTRIBUTION'!$G$500)</f>
        <v/>
      </c>
      <c r="X431" s="26">
        <f>IFERROR(VLOOKUP($J431,'ORDER VS WEEK DISTRIBUTION'!$T:$U,2,0),"")</f>
        <v/>
      </c>
      <c r="Y431" s="26">
        <f>IFERROR($T431/IF(IFERROR(VLOOKUP($I431,'ITEM CFC PER CONTAINER'!$A:$B,2,0),0)&gt;0,VLOOKUP($I431,'ITEM CFC PER CONTAINER'!$A:$B,2,0),VLOOKUP($X431,'MC MASTER'!$A:$Q,16,0)),"")</f>
        <v/>
      </c>
    </row>
    <row r="432" ht="15" customHeight="1" s="5">
      <c r="A432" s="26" t="inlineStr">
        <is>
          <t>Multitrade Overseas Pte. Ltd.</t>
        </is>
      </c>
      <c r="B432" s="26" t="inlineStr">
        <is>
          <t>MJIL/SO/26052245</t>
        </is>
      </c>
      <c r="C432" s="26" t="inlineStr">
        <is>
          <t>MJ-101/26-27 (KOURAOGO)</t>
        </is>
      </c>
      <c r="D432" s="82" t="n">
        <v>46342</v>
      </c>
      <c r="E432" s="83">
        <f>IF(ISNUMBER($D432),EOMONTH($D432,-1)+1,"")</f>
        <v/>
      </c>
      <c r="F432" s="82" t="n">
        <v>46342</v>
      </c>
      <c r="G432" s="26" t="n">
        <v>38373</v>
      </c>
      <c r="H432" s="26">
        <f>B432&amp;I432</f>
        <v/>
      </c>
      <c r="I432" s="26" t="inlineStr">
        <is>
          <t>BLUE DIAMOND 12/100 DC ENV TBGS WITH SHOPPING BAG</t>
        </is>
      </c>
      <c r="J432" s="30" t="inlineStr">
        <is>
          <t>CONSTANTA ENV</t>
        </is>
      </c>
      <c r="K432" s="26">
        <f>J432&amp;"-"&amp;TEXT(W432,"dd-mmm-yy")</f>
        <v/>
      </c>
      <c r="L432" s="26">
        <f>IFERROR(VLOOKUP($M432,'ITEM MASTER'!E:H,4,0),"")</f>
        <v/>
      </c>
      <c r="M432" s="26">
        <f>IFERROR(VLOOKUP($I432,'ITEM MASTER'!B:E,4,0),"")</f>
        <v/>
      </c>
      <c r="N432" s="26">
        <f>IFERROR(VLOOKUP($I432,'ITEM MASTER'!B:F,5,0),0)</f>
        <v/>
      </c>
      <c r="O432" s="26">
        <f>IFERROR(VLOOKUP($M432,'TBGS PER CTN'!B:C,2,0),0)</f>
        <v/>
      </c>
      <c r="P432" s="26" t="n">
        <v>2720</v>
      </c>
      <c r="Q432" s="26" t="n">
        <v>0</v>
      </c>
      <c r="R432" s="26" t="n">
        <v>0</v>
      </c>
      <c r="S432" s="26">
        <f>Q432+R432</f>
        <v/>
      </c>
      <c r="T432" s="29" t="n">
        <v>2720</v>
      </c>
      <c r="U432" s="29">
        <f>N432*O432*T432</f>
        <v/>
      </c>
      <c r="V432" s="82">
        <f>IF(ISNUMBER($D432),$D432-WEEKDAY($D432,3),'ORDER VS WEEK DISTRIBUTION'!$G$500)</f>
        <v/>
      </c>
      <c r="W432" s="82">
        <f>MAX($V432,'ORDER VS WEEK DISTRIBUTION'!$G$500)</f>
        <v/>
      </c>
      <c r="X432" s="26">
        <f>IFERROR(VLOOKUP($J432,'ORDER VS WEEK DISTRIBUTION'!$T:$U,2,0),"")</f>
        <v/>
      </c>
      <c r="Y432" s="26">
        <f>IFERROR($T432/IF(IFERROR(VLOOKUP($I432,'ITEM CFC PER CONTAINER'!$A:$B,2,0),0)&gt;0,VLOOKUP($I432,'ITEM CFC PER CONTAINER'!$A:$B,2,0),VLOOKUP($X432,'MC MASTER'!$A:$Q,16,0)),"")</f>
        <v/>
      </c>
    </row>
    <row r="433" ht="15" customHeight="1" s="5">
      <c r="A433" s="26" t="inlineStr">
        <is>
          <t>Multitrade Overseas Pte. Ltd.</t>
        </is>
      </c>
      <c r="B433" s="26" t="inlineStr">
        <is>
          <t>MJIL/SO/26052245</t>
        </is>
      </c>
      <c r="C433" s="26" t="inlineStr">
        <is>
          <t>MJ-101/26-27 (KOURAOGO)</t>
        </is>
      </c>
      <c r="D433" s="82" t="n">
        <v>46342</v>
      </c>
      <c r="E433" s="83">
        <f>IF(ISNUMBER($D433),EOMONTH($D433,-1)+1,"")</f>
        <v/>
      </c>
      <c r="F433" s="82" t="n">
        <v>46342</v>
      </c>
      <c r="G433" s="26" t="n">
        <v>38394</v>
      </c>
      <c r="H433" s="26">
        <f>B433&amp;I433</f>
        <v/>
      </c>
      <c r="I433" s="26" t="inlineStr">
        <is>
          <t>BLUE DIAMOND 24/50 DC ENV TBGS WITH SHOPPING BAG</t>
        </is>
      </c>
      <c r="J433" s="30" t="inlineStr">
        <is>
          <t>CONSTANTA ENV</t>
        </is>
      </c>
      <c r="K433" s="26">
        <f>J433&amp;"-"&amp;TEXT(W433,"dd-mmm-yy")</f>
        <v/>
      </c>
      <c r="L433" s="26">
        <f>IFERROR(VLOOKUP($M433,'ITEM MASTER'!E:H,4,0),"")</f>
        <v/>
      </c>
      <c r="M433" s="26">
        <f>IFERROR(VLOOKUP($I433,'ITEM MASTER'!B:E,4,0),"")</f>
        <v/>
      </c>
      <c r="N433" s="26">
        <f>IFERROR(VLOOKUP($I433,'ITEM MASTER'!B:F,5,0),0)</f>
        <v/>
      </c>
      <c r="O433" s="26">
        <f>IFERROR(VLOOKUP($M433,'TBGS PER CTN'!B:C,2,0),0)</f>
        <v/>
      </c>
      <c r="P433" s="26" t="n">
        <v>600</v>
      </c>
      <c r="Q433" s="26" t="n">
        <v>0</v>
      </c>
      <c r="R433" s="26" t="n">
        <v>0</v>
      </c>
      <c r="S433" s="26">
        <f>Q433+R433</f>
        <v/>
      </c>
      <c r="T433" s="29" t="n">
        <v>600</v>
      </c>
      <c r="U433" s="29">
        <f>N433*O433*T433</f>
        <v/>
      </c>
      <c r="V433" s="82">
        <f>IF(ISNUMBER($D433),$D433-WEEKDAY($D433,3),'ORDER VS WEEK DISTRIBUTION'!$G$500)</f>
        <v/>
      </c>
      <c r="W433" s="82">
        <f>MAX($V433,'ORDER VS WEEK DISTRIBUTION'!$G$500)</f>
        <v/>
      </c>
      <c r="X433" s="26">
        <f>IFERROR(VLOOKUP($J433,'ORDER VS WEEK DISTRIBUTION'!$T:$U,2,0),"")</f>
        <v/>
      </c>
      <c r="Y433" s="26">
        <f>IFERROR($T433/IF(IFERROR(VLOOKUP($I433,'ITEM CFC PER CONTAINER'!$A:$B,2,0),0)&gt;0,VLOOKUP($I433,'ITEM CFC PER CONTAINER'!$A:$B,2,0),VLOOKUP($X433,'MC MASTER'!$A:$Q,16,0)),"")</f>
        <v/>
      </c>
    </row>
    <row r="434" ht="15" customHeight="1" s="5">
      <c r="A434" s="26" t="inlineStr">
        <is>
          <t>Plac General Trading Fzco</t>
        </is>
      </c>
      <c r="B434" s="26" t="inlineStr">
        <is>
          <t>MJIL/SO/26053763</t>
        </is>
      </c>
      <c r="C434" s="26" t="inlineStr">
        <is>
          <t>MJ-113/26-27</t>
        </is>
      </c>
      <c r="D434" s="82" t="n">
        <v>46342</v>
      </c>
      <c r="E434" s="83">
        <f>IF(ISNUMBER($D434),EOMONTH($D434,-1)+1,"")</f>
        <v/>
      </c>
      <c r="F434" s="82" t="n">
        <v>46342</v>
      </c>
      <c r="G434" s="26" t="n">
        <v>26211</v>
      </c>
      <c r="H434" s="26">
        <f>B434&amp;I434</f>
        <v/>
      </c>
      <c r="I434" s="26" t="inlineStr">
        <is>
          <t>GINNY GINGER 24/25 DC ENV TBGS</t>
        </is>
      </c>
      <c r="J434" s="30" t="inlineStr">
        <is>
          <t>CONSTANTA ENV</t>
        </is>
      </c>
      <c r="K434" s="26">
        <f>J434&amp;"-"&amp;TEXT(W434,"dd-mmm-yy")</f>
        <v/>
      </c>
      <c r="L434" s="26">
        <f>IFERROR(VLOOKUP($M434,'ITEM MASTER'!E:H,4,0),"")</f>
        <v/>
      </c>
      <c r="M434" s="26">
        <f>IFERROR(VLOOKUP($I434,'ITEM MASTER'!B:E,4,0),"")</f>
        <v/>
      </c>
      <c r="N434" s="26">
        <f>IFERROR(VLOOKUP($I434,'ITEM MASTER'!B:F,5,0),0)</f>
        <v/>
      </c>
      <c r="O434" s="26">
        <f>IFERROR(VLOOKUP($M434,'TBGS PER CTN'!B:C,2,0),0)</f>
        <v/>
      </c>
      <c r="P434" s="26" t="n">
        <v>2825</v>
      </c>
      <c r="Q434" s="26" t="n">
        <v>0</v>
      </c>
      <c r="R434" s="26" t="n">
        <v>0</v>
      </c>
      <c r="S434" s="26">
        <f>Q434+R434</f>
        <v/>
      </c>
      <c r="T434" s="29" t="n">
        <v>2825</v>
      </c>
      <c r="U434" s="29">
        <f>N434*O434*T434</f>
        <v/>
      </c>
      <c r="V434" s="82">
        <f>IF(ISNUMBER($D434),$D434-WEEKDAY($D434,3),'ORDER VS WEEK DISTRIBUTION'!$G$500)</f>
        <v/>
      </c>
      <c r="W434" s="82">
        <f>MAX($V434,'ORDER VS WEEK DISTRIBUTION'!$G$500)</f>
        <v/>
      </c>
      <c r="X434" s="26">
        <f>IFERROR(VLOOKUP($J434,'ORDER VS WEEK DISTRIBUTION'!$T:$U,2,0),"")</f>
        <v/>
      </c>
      <c r="Y434" s="26">
        <f>IFERROR($T434/IF(IFERROR(VLOOKUP($I434,'ITEM CFC PER CONTAINER'!$A:$B,2,0),0)&gt;0,VLOOKUP($I434,'ITEM CFC PER CONTAINER'!$A:$B,2,0),VLOOKUP($X434,'MC MASTER'!$A:$Q,16,0)),"")</f>
        <v/>
      </c>
    </row>
    <row r="435" ht="15" customHeight="1" s="5">
      <c r="A435" s="26" t="inlineStr">
        <is>
          <t>Plac General Trading Fzco</t>
        </is>
      </c>
      <c r="B435" s="26" t="inlineStr">
        <is>
          <t>MJIL/SO/26053763</t>
        </is>
      </c>
      <c r="C435" s="26" t="inlineStr">
        <is>
          <t>MJ-113/26-27</t>
        </is>
      </c>
      <c r="D435" s="82" t="n">
        <v>46342</v>
      </c>
      <c r="E435" s="83">
        <f>IF(ISNUMBER($D435),EOMONTH($D435,-1)+1,"")</f>
        <v/>
      </c>
      <c r="F435" s="82" t="n">
        <v>46342</v>
      </c>
      <c r="G435" s="26" t="n">
        <v>27578</v>
      </c>
      <c r="H435" s="26">
        <f>B435&amp;I435</f>
        <v/>
      </c>
      <c r="I435" s="26" t="inlineStr">
        <is>
          <t>GINNY MINT 24/25 DC ENV TBGS</t>
        </is>
      </c>
      <c r="J435" s="30" t="inlineStr">
        <is>
          <t>CONSTANTA ENV</t>
        </is>
      </c>
      <c r="K435" s="26">
        <f>J435&amp;"-"&amp;TEXT(W435,"dd-mmm-yy")</f>
        <v/>
      </c>
      <c r="L435" s="26">
        <f>IFERROR(VLOOKUP($M435,'ITEM MASTER'!E:H,4,0),"")</f>
        <v/>
      </c>
      <c r="M435" s="26">
        <f>IFERROR(VLOOKUP($I435,'ITEM MASTER'!B:E,4,0),"")</f>
        <v/>
      </c>
      <c r="N435" s="26">
        <f>IFERROR(VLOOKUP($I435,'ITEM MASTER'!B:F,5,0),0)</f>
        <v/>
      </c>
      <c r="O435" s="26">
        <f>IFERROR(VLOOKUP($M435,'TBGS PER CTN'!B:C,2,0),0)</f>
        <v/>
      </c>
      <c r="P435" s="26" t="n">
        <v>1525</v>
      </c>
      <c r="Q435" s="26" t="n">
        <v>0</v>
      </c>
      <c r="R435" s="26" t="n">
        <v>0</v>
      </c>
      <c r="S435" s="26">
        <f>Q435+R435</f>
        <v/>
      </c>
      <c r="T435" s="29" t="n">
        <v>1525</v>
      </c>
      <c r="U435" s="29">
        <f>N435*O435*T435</f>
        <v/>
      </c>
      <c r="V435" s="82">
        <f>IF(ISNUMBER($D435),$D435-WEEKDAY($D435,3),'ORDER VS WEEK DISTRIBUTION'!$G$500)</f>
        <v/>
      </c>
      <c r="W435" s="82">
        <f>MAX($V435,'ORDER VS WEEK DISTRIBUTION'!$G$500)</f>
        <v/>
      </c>
      <c r="X435" s="26">
        <f>IFERROR(VLOOKUP($J435,'ORDER VS WEEK DISTRIBUTION'!$T:$U,2,0),"")</f>
        <v/>
      </c>
      <c r="Y435" s="26">
        <f>IFERROR($T435/IF(IFERROR(VLOOKUP($I435,'ITEM CFC PER CONTAINER'!$A:$B,2,0),0)&gt;0,VLOOKUP($I435,'ITEM CFC PER CONTAINER'!$A:$B,2,0),VLOOKUP($X435,'MC MASTER'!$A:$Q,16,0)),"")</f>
        <v/>
      </c>
    </row>
    <row r="436" ht="15" customHeight="1" s="5">
      <c r="A436" s="26" t="inlineStr">
        <is>
          <t>Plac General Trading Fzco</t>
        </is>
      </c>
      <c r="B436" s="26" t="inlineStr">
        <is>
          <t>MJIL/SO/26053763</t>
        </is>
      </c>
      <c r="C436" s="26" t="inlineStr">
        <is>
          <t>MJ-113/26-27</t>
        </is>
      </c>
      <c r="D436" s="82" t="n">
        <v>46342</v>
      </c>
      <c r="E436" s="83">
        <f>IF(ISNUMBER($D436),EOMONTH($D436,-1)+1,"")</f>
        <v/>
      </c>
      <c r="F436" s="82" t="n">
        <v>46342</v>
      </c>
      <c r="G436" s="26" t="n">
        <v>27579</v>
      </c>
      <c r="H436" s="26">
        <f>B436&amp;I436</f>
        <v/>
      </c>
      <c r="I436" s="26" t="inlineStr">
        <is>
          <t>GINNY STRAWBERRY 24/25 DC ENV TBGS</t>
        </is>
      </c>
      <c r="J436" s="30" t="inlineStr">
        <is>
          <t>CONSTANTA ENV</t>
        </is>
      </c>
      <c r="K436" s="26">
        <f>J436&amp;"-"&amp;TEXT(W436,"dd-mmm-yy")</f>
        <v/>
      </c>
      <c r="L436" s="26">
        <f>IFERROR(VLOOKUP($M436,'ITEM MASTER'!E:H,4,0),"")</f>
        <v/>
      </c>
      <c r="M436" s="26">
        <f>IFERROR(VLOOKUP($I436,'ITEM MASTER'!B:E,4,0),"")</f>
        <v/>
      </c>
      <c r="N436" s="26">
        <f>IFERROR(VLOOKUP($I436,'ITEM MASTER'!B:F,5,0),0)</f>
        <v/>
      </c>
      <c r="O436" s="26">
        <f>IFERROR(VLOOKUP($M436,'TBGS PER CTN'!B:C,2,0),0)</f>
        <v/>
      </c>
      <c r="P436" s="26" t="n">
        <v>1525</v>
      </c>
      <c r="Q436" s="26" t="n">
        <v>0</v>
      </c>
      <c r="R436" s="26" t="n">
        <v>0</v>
      </c>
      <c r="S436" s="26">
        <f>Q436+R436</f>
        <v/>
      </c>
      <c r="T436" s="29" t="n">
        <v>1525</v>
      </c>
      <c r="U436" s="29">
        <f>N436*O436*T436</f>
        <v/>
      </c>
      <c r="V436" s="82">
        <f>IF(ISNUMBER($D436),$D436-WEEKDAY($D436,3),'ORDER VS WEEK DISTRIBUTION'!$G$500)</f>
        <v/>
      </c>
      <c r="W436" s="82">
        <f>MAX($V436,'ORDER VS WEEK DISTRIBUTION'!$G$500)</f>
        <v/>
      </c>
      <c r="X436" s="26">
        <f>IFERROR(VLOOKUP($J436,'ORDER VS WEEK DISTRIBUTION'!$T:$U,2,0),"")</f>
        <v/>
      </c>
      <c r="Y436" s="26">
        <f>IFERROR($T436/IF(IFERROR(VLOOKUP($I436,'ITEM CFC PER CONTAINER'!$A:$B,2,0),0)&gt;0,VLOOKUP($I436,'ITEM CFC PER CONTAINER'!$A:$B,2,0),VLOOKUP($X436,'MC MASTER'!$A:$Q,16,0)),"")</f>
        <v/>
      </c>
    </row>
    <row r="437" ht="15" customHeight="1" s="5">
      <c r="A437" s="26" t="inlineStr">
        <is>
          <t>Plac General Trading Fzco</t>
        </is>
      </c>
      <c r="B437" s="26" t="inlineStr">
        <is>
          <t>MJIL/SO/26053763</t>
        </is>
      </c>
      <c r="C437" s="26" t="inlineStr">
        <is>
          <t>MJ-113/26-27</t>
        </is>
      </c>
      <c r="D437" s="82" t="n">
        <v>46342</v>
      </c>
      <c r="E437" s="83">
        <f>IF(ISNUMBER($D437),EOMONTH($D437,-1)+1,"")</f>
        <v/>
      </c>
      <c r="F437" s="82" t="n">
        <v>46342</v>
      </c>
      <c r="G437" s="26" t="n">
        <v>27580</v>
      </c>
      <c r="H437" s="26">
        <f>B437&amp;I437</f>
        <v/>
      </c>
      <c r="I437" s="26" t="inlineStr">
        <is>
          <t>GINNY LEMON 24/25 DC ENV TBGS</t>
        </is>
      </c>
      <c r="J437" s="30" t="inlineStr">
        <is>
          <t>CONSTANTA ENV</t>
        </is>
      </c>
      <c r="K437" s="26">
        <f>J437&amp;"-"&amp;TEXT(W437,"dd-mmm-yy")</f>
        <v/>
      </c>
      <c r="L437" s="26">
        <f>IFERROR(VLOOKUP($M437,'ITEM MASTER'!E:H,4,0),"")</f>
        <v/>
      </c>
      <c r="M437" s="26">
        <f>IFERROR(VLOOKUP($I437,'ITEM MASTER'!B:E,4,0),"")</f>
        <v/>
      </c>
      <c r="N437" s="26">
        <f>IFERROR(VLOOKUP($I437,'ITEM MASTER'!B:F,5,0),0)</f>
        <v/>
      </c>
      <c r="O437" s="26">
        <f>IFERROR(VLOOKUP($M437,'TBGS PER CTN'!B:C,2,0),0)</f>
        <v/>
      </c>
      <c r="P437" s="26" t="n">
        <v>250</v>
      </c>
      <c r="Q437" s="26" t="n">
        <v>0</v>
      </c>
      <c r="R437" s="26" t="n">
        <v>0</v>
      </c>
      <c r="S437" s="26">
        <f>Q437+R437</f>
        <v/>
      </c>
      <c r="T437" s="29" t="n">
        <v>250</v>
      </c>
      <c r="U437" s="29">
        <f>N437*O437*T437</f>
        <v/>
      </c>
      <c r="V437" s="82">
        <f>IF(ISNUMBER($D437),$D437-WEEKDAY($D437,3),'ORDER VS WEEK DISTRIBUTION'!$G$500)</f>
        <v/>
      </c>
      <c r="W437" s="82">
        <f>MAX($V437,'ORDER VS WEEK DISTRIBUTION'!$G$500)</f>
        <v/>
      </c>
      <c r="X437" s="26">
        <f>IFERROR(VLOOKUP($J437,'ORDER VS WEEK DISTRIBUTION'!$T:$U,2,0),"")</f>
        <v/>
      </c>
      <c r="Y437" s="26">
        <f>IFERROR($T437/IF(IFERROR(VLOOKUP($I437,'ITEM CFC PER CONTAINER'!$A:$B,2,0),0)&gt;0,VLOOKUP($I437,'ITEM CFC PER CONTAINER'!$A:$B,2,0),VLOOKUP($X437,'MC MASTER'!$A:$Q,16,0)),"")</f>
        <v/>
      </c>
    </row>
    <row r="438" ht="15" customHeight="1" s="5">
      <c r="A438" s="26" t="inlineStr">
        <is>
          <t>Saran Enterprises Ltd.</t>
        </is>
      </c>
      <c r="B438" s="26" t="inlineStr">
        <is>
          <t>MJIL/SO/26043003</t>
        </is>
      </c>
      <c r="C438" s="26" t="inlineStr">
        <is>
          <t>PO 18082026/03 - MUS</t>
        </is>
      </c>
      <c r="D438" s="82" t="n">
        <v>46342</v>
      </c>
      <c r="E438" s="83">
        <f>IF(ISNUMBER($D438),EOMONTH($D438,-1)+1,"")</f>
        <v/>
      </c>
      <c r="F438" s="82" t="n">
        <v>46342</v>
      </c>
      <c r="G438" s="26" t="n">
        <v>34184</v>
      </c>
      <c r="H438" s="26">
        <f>B438&amp;I438</f>
        <v/>
      </c>
      <c r="I438" s="26" t="inlineStr">
        <is>
          <t>SUPER VALUE GOLD TEA 12/80 TAGLESS TBGS</t>
        </is>
      </c>
      <c r="J438" s="26" t="inlineStr">
        <is>
          <t>UNIVERSAL TWIN BAG</t>
        </is>
      </c>
      <c r="K438" s="26">
        <f>J438&amp;"-"&amp;TEXT(W438,"dd-mmm-yy")</f>
        <v/>
      </c>
      <c r="L438" s="26">
        <f>IFERROR(VLOOKUP($M438,'ITEM MASTER'!E:H,4,0),"")</f>
        <v/>
      </c>
      <c r="M438" s="26">
        <f>IFERROR(VLOOKUP($I438,'ITEM MASTER'!B:E,4,0),"")</f>
        <v/>
      </c>
      <c r="N438" s="26">
        <f>IFERROR(VLOOKUP($I438,'ITEM MASTER'!B:F,5,0),0)</f>
        <v/>
      </c>
      <c r="O438" s="26">
        <f>IFERROR(VLOOKUP($M438,'TBGS PER CTN'!B:C,2,0),0)</f>
        <v/>
      </c>
      <c r="P438" s="26" t="n">
        <v>1400</v>
      </c>
      <c r="Q438" s="26" t="n">
        <v>0</v>
      </c>
      <c r="R438" s="26" t="n">
        <v>0</v>
      </c>
      <c r="S438" s="26">
        <f>Q438+R438</f>
        <v/>
      </c>
      <c r="T438" s="29" t="n">
        <v>1400</v>
      </c>
      <c r="U438" s="29">
        <f>N438*O438*T438</f>
        <v/>
      </c>
      <c r="V438" s="82">
        <f>IF(ISNUMBER($D438),$D438-WEEKDAY($D438,3),'ORDER VS WEEK DISTRIBUTION'!$G$500)</f>
        <v/>
      </c>
      <c r="W438" s="82">
        <f>MAX($V438,'ORDER VS WEEK DISTRIBUTION'!$G$500)</f>
        <v/>
      </c>
      <c r="X438" s="26">
        <f>IFERROR(VLOOKUP($J438,'ORDER VS WEEK DISTRIBUTION'!$T:$U,2,0),"")</f>
        <v/>
      </c>
      <c r="Y438" s="26">
        <f>IFERROR($T438/IF(IFERROR(VLOOKUP($I438,'ITEM CFC PER CONTAINER'!$A:$B,2,0),0)&gt;0,VLOOKUP($I438,'ITEM CFC PER CONTAINER'!$A:$B,2,0),VLOOKUP($X438,'MC MASTER'!$A:$Q,16,0)),"")</f>
        <v/>
      </c>
    </row>
    <row r="439" ht="15" customHeight="1" s="5">
      <c r="A439" s="26" t="inlineStr">
        <is>
          <t>Saran Enterprises Ltd.</t>
        </is>
      </c>
      <c r="B439" s="26" t="inlineStr">
        <is>
          <t>MJIL/SO/26043003</t>
        </is>
      </c>
      <c r="C439" s="26" t="inlineStr">
        <is>
          <t>PO 18082026/03 - MUS</t>
        </is>
      </c>
      <c r="D439" s="82" t="n">
        <v>46342</v>
      </c>
      <c r="E439" s="83">
        <f>IF(ISNUMBER($D439),EOMONTH($D439,-1)+1,"")</f>
        <v/>
      </c>
      <c r="F439" s="82" t="n">
        <v>46342</v>
      </c>
      <c r="G439" s="26" t="n">
        <v>34185</v>
      </c>
      <c r="H439" s="26">
        <f>B439&amp;I439</f>
        <v/>
      </c>
      <c r="I439" s="26" t="inlineStr">
        <is>
          <t>CENTRA GOLD BLEND TEA 12/80 TAGLESS TBGS</t>
        </is>
      </c>
      <c r="J439" s="26" t="inlineStr">
        <is>
          <t>UNIVERSAL TWIN BAG</t>
        </is>
      </c>
      <c r="K439" s="26">
        <f>J439&amp;"-"&amp;TEXT(W439,"dd-mmm-yy")</f>
        <v/>
      </c>
      <c r="L439" s="26">
        <f>IFERROR(VLOOKUP($M439,'ITEM MASTER'!E:H,4,0),"")</f>
        <v/>
      </c>
      <c r="M439" s="26">
        <f>IFERROR(VLOOKUP($I439,'ITEM MASTER'!B:E,4,0),"")</f>
        <v/>
      </c>
      <c r="N439" s="26">
        <f>IFERROR(VLOOKUP($I439,'ITEM MASTER'!B:F,5,0),0)</f>
        <v/>
      </c>
      <c r="O439" s="26">
        <f>IFERROR(VLOOKUP($M439,'TBGS PER CTN'!B:C,2,0),0)</f>
        <v/>
      </c>
      <c r="P439" s="26" t="n">
        <v>1820</v>
      </c>
      <c r="Q439" s="26" t="n">
        <v>0</v>
      </c>
      <c r="R439" s="26" t="n">
        <v>52</v>
      </c>
      <c r="S439" s="26">
        <f>Q439+R439</f>
        <v/>
      </c>
      <c r="T439" s="29" t="n">
        <v>1768</v>
      </c>
      <c r="U439" s="29">
        <f>N439*O439*T439</f>
        <v/>
      </c>
      <c r="V439" s="82">
        <f>IF(ISNUMBER($D439),$D439-WEEKDAY($D439,3),'ORDER VS WEEK DISTRIBUTION'!$G$500)</f>
        <v/>
      </c>
      <c r="W439" s="82">
        <f>MAX($V439,'ORDER VS WEEK DISTRIBUTION'!$G$500)</f>
        <v/>
      </c>
      <c r="X439" s="26">
        <f>IFERROR(VLOOKUP($J439,'ORDER VS WEEK DISTRIBUTION'!$T:$U,2,0),"")</f>
        <v/>
      </c>
      <c r="Y439" s="26">
        <f>IFERROR($T439/IF(IFERROR(VLOOKUP($I439,'ITEM CFC PER CONTAINER'!$A:$B,2,0),0)&gt;0,VLOOKUP($I439,'ITEM CFC PER CONTAINER'!$A:$B,2,0),VLOOKUP($X439,'MC MASTER'!$A:$Q,16,0)),"")</f>
        <v/>
      </c>
    </row>
    <row r="440" ht="15" customHeight="1" s="5">
      <c r="A440" s="26" t="inlineStr">
        <is>
          <t>Kaysun General Trading FZCO</t>
        </is>
      </c>
      <c r="B440" s="26" t="inlineStr">
        <is>
          <t>MJIL/SO/26019335</t>
        </is>
      </c>
      <c r="C440" s="26" t="inlineStr">
        <is>
          <t>MJ-043/26-27 / 14</t>
        </is>
      </c>
      <c r="D440" s="82" t="n">
        <v>46344</v>
      </c>
      <c r="E440" s="83">
        <f>IF(ISNUMBER($D440),EOMONTH($D440,-1)+1,"")</f>
        <v/>
      </c>
      <c r="F440" s="82" t="n">
        <v>46344</v>
      </c>
      <c r="G440" s="26" t="n">
        <v>1328</v>
      </c>
      <c r="H440" s="26">
        <f>B440&amp;I440</f>
        <v/>
      </c>
      <c r="I440" s="26" t="inlineStr">
        <is>
          <t>CHAYA 12/100 DC ENV TBGS</t>
        </is>
      </c>
      <c r="J440" s="26" t="inlineStr">
        <is>
          <t>PERFECTA ENV</t>
        </is>
      </c>
      <c r="K440" s="26">
        <f>J440&amp;"-"&amp;TEXT(W440,"dd-mmm-yy")</f>
        <v/>
      </c>
      <c r="L440" s="26">
        <f>IFERROR(VLOOKUP($M440,'ITEM MASTER'!E:H,4,0),"")</f>
        <v/>
      </c>
      <c r="M440" s="26">
        <f>IFERROR(VLOOKUP($I440,'ITEM MASTER'!B:E,4,0),"")</f>
        <v/>
      </c>
      <c r="N440" s="26">
        <f>IFERROR(VLOOKUP($I440,'ITEM MASTER'!B:F,5,0),0)</f>
        <v/>
      </c>
      <c r="O440" s="26">
        <f>IFERROR(VLOOKUP($M440,'TBGS PER CTN'!B:C,2,0),0)</f>
        <v/>
      </c>
      <c r="P440" s="26" t="n">
        <v>6640</v>
      </c>
      <c r="Q440" s="26" t="n">
        <v>0</v>
      </c>
      <c r="R440" s="26" t="n">
        <v>0</v>
      </c>
      <c r="S440" s="26">
        <f>Q440+R440</f>
        <v/>
      </c>
      <c r="T440" s="29" t="n">
        <v>6640</v>
      </c>
      <c r="U440" s="29">
        <f>N440*O440*T440</f>
        <v/>
      </c>
      <c r="V440" s="82">
        <f>IF(ISNUMBER($D440),$D440-WEEKDAY($D440,3),'ORDER VS WEEK DISTRIBUTION'!$G$500)</f>
        <v/>
      </c>
      <c r="W440" s="82">
        <f>MAX($V440,'ORDER VS WEEK DISTRIBUTION'!$G$500)</f>
        <v/>
      </c>
      <c r="X440" s="26">
        <f>IFERROR(VLOOKUP($J440,'ORDER VS WEEK DISTRIBUTION'!$T:$U,2,0),"")</f>
        <v/>
      </c>
      <c r="Y440" s="26">
        <f>IFERROR($T440/IF(IFERROR(VLOOKUP($I440,'ITEM CFC PER CONTAINER'!$A:$B,2,0),0)&gt;0,VLOOKUP($I440,'ITEM CFC PER CONTAINER'!$A:$B,2,0),VLOOKUP($X440,'MC MASTER'!$A:$Q,16,0)),"")</f>
        <v/>
      </c>
    </row>
    <row r="441" ht="15" customHeight="1" s="5">
      <c r="A441" s="26" t="inlineStr">
        <is>
          <t>Multitrade Overseas Pte. Ltd.</t>
        </is>
      </c>
      <c r="B441" s="26" t="inlineStr">
        <is>
          <t>MJIL/SO/26012327</t>
        </is>
      </c>
      <c r="C441" s="26" t="inlineStr">
        <is>
          <t>MJ-024/26-27 / 10 - ETKAF</t>
        </is>
      </c>
      <c r="D441" s="82" t="n">
        <v>46344</v>
      </c>
      <c r="E441" s="83">
        <f>IF(ISNUMBER($D441),EOMONTH($D441,-1)+1,"")</f>
        <v/>
      </c>
      <c r="F441" s="82" t="n">
        <v>46344</v>
      </c>
      <c r="G441" s="26" t="n">
        <v>2023</v>
      </c>
      <c r="H441" s="26">
        <f>B441&amp;I441</f>
        <v/>
      </c>
      <c r="I441" s="26" t="inlineStr">
        <is>
          <t>GV MINT 24/25 DC ENV TBGS WITH TSHIRT</t>
        </is>
      </c>
      <c r="J441" s="30" t="inlineStr">
        <is>
          <t>CONSTANTA ENV</t>
        </is>
      </c>
      <c r="K441" s="26">
        <f>J441&amp;"-"&amp;TEXT(W441,"dd-mmm-yy")</f>
        <v/>
      </c>
      <c r="L441" s="26">
        <f>IFERROR(VLOOKUP($M441,'ITEM MASTER'!E:H,4,0),"")</f>
        <v/>
      </c>
      <c r="M441" s="26">
        <f>IFERROR(VLOOKUP($I441,'ITEM MASTER'!B:E,4,0),"")</f>
        <v/>
      </c>
      <c r="N441" s="26">
        <f>IFERROR(VLOOKUP($I441,'ITEM MASTER'!B:F,5,0),0)</f>
        <v/>
      </c>
      <c r="O441" s="26">
        <f>IFERROR(VLOOKUP($M441,'TBGS PER CTN'!B:C,2,0),0)</f>
        <v/>
      </c>
      <c r="P441" s="26" t="n">
        <v>2950</v>
      </c>
      <c r="Q441" s="26" t="n">
        <v>0</v>
      </c>
      <c r="R441" s="26" t="n">
        <v>0</v>
      </c>
      <c r="S441" s="26">
        <f>Q441+R441</f>
        <v/>
      </c>
      <c r="T441" s="29" t="n">
        <v>2950</v>
      </c>
      <c r="U441" s="29">
        <f>N441*O441*T441</f>
        <v/>
      </c>
      <c r="V441" s="82">
        <f>IF(ISNUMBER($D441),$D441-WEEKDAY($D441,3),'ORDER VS WEEK DISTRIBUTION'!$G$500)</f>
        <v/>
      </c>
      <c r="W441" s="82">
        <f>MAX($V441,'ORDER VS WEEK DISTRIBUTION'!$G$500)</f>
        <v/>
      </c>
      <c r="X441" s="26">
        <f>IFERROR(VLOOKUP($J441,'ORDER VS WEEK DISTRIBUTION'!$T:$U,2,0),"")</f>
        <v/>
      </c>
      <c r="Y441" s="26">
        <f>IFERROR($T441/IF(IFERROR(VLOOKUP($I441,'ITEM CFC PER CONTAINER'!$A:$B,2,0),0)&gt;0,VLOOKUP($I441,'ITEM CFC PER CONTAINER'!$A:$B,2,0),VLOOKUP($X441,'MC MASTER'!$A:$Q,16,0)),"")</f>
        <v/>
      </c>
    </row>
    <row r="442" ht="15" customHeight="1" s="5">
      <c r="A442" s="26" t="inlineStr">
        <is>
          <t>Multitrade Overseas Pte. Ltd.</t>
        </is>
      </c>
      <c r="B442" s="26" t="inlineStr">
        <is>
          <t>MJIL/SO/26012327</t>
        </is>
      </c>
      <c r="C442" s="26" t="inlineStr">
        <is>
          <t>MJ-024/26-27 / 10 - ETKAF</t>
        </is>
      </c>
      <c r="D442" s="82" t="n">
        <v>46344</v>
      </c>
      <c r="E442" s="83">
        <f>IF(ISNUMBER($D442),EOMONTH($D442,-1)+1,"")</f>
        <v/>
      </c>
      <c r="F442" s="82" t="n">
        <v>46344</v>
      </c>
      <c r="G442" s="26" t="n">
        <v>1933</v>
      </c>
      <c r="H442" s="26">
        <f>B442&amp;I442</f>
        <v/>
      </c>
      <c r="I442" s="26" t="inlineStr">
        <is>
          <t>GV GARDEN STRAWBERRY 24/25 DC ENV TBGS WITH TSHIRT</t>
        </is>
      </c>
      <c r="J442" s="30" t="inlineStr">
        <is>
          <t>CONSTANTA ENV</t>
        </is>
      </c>
      <c r="K442" s="26">
        <f>J442&amp;"-"&amp;TEXT(W442,"dd-mmm-yy")</f>
        <v/>
      </c>
      <c r="L442" s="26">
        <f>IFERROR(VLOOKUP($M442,'ITEM MASTER'!E:H,4,0),"")</f>
        <v/>
      </c>
      <c r="M442" s="26">
        <f>IFERROR(VLOOKUP($I442,'ITEM MASTER'!B:E,4,0),"")</f>
        <v/>
      </c>
      <c r="N442" s="26">
        <f>IFERROR(VLOOKUP($I442,'ITEM MASTER'!B:F,5,0),0)</f>
        <v/>
      </c>
      <c r="O442" s="26">
        <f>IFERROR(VLOOKUP($M442,'TBGS PER CTN'!B:C,2,0),0)</f>
        <v/>
      </c>
      <c r="P442" s="26" t="n">
        <v>5668</v>
      </c>
      <c r="Q442" s="26" t="n">
        <v>0</v>
      </c>
      <c r="R442" s="26" t="n">
        <v>0</v>
      </c>
      <c r="S442" s="26">
        <f>Q442+R442</f>
        <v/>
      </c>
      <c r="T442" s="29" t="n">
        <v>5668</v>
      </c>
      <c r="U442" s="29">
        <f>N442*O442*T442</f>
        <v/>
      </c>
      <c r="V442" s="82">
        <f>IF(ISNUMBER($D442),$D442-WEEKDAY($D442,3),'ORDER VS WEEK DISTRIBUTION'!$G$500)</f>
        <v/>
      </c>
      <c r="W442" s="82">
        <f>MAX($V442,'ORDER VS WEEK DISTRIBUTION'!$G$500)</f>
        <v/>
      </c>
      <c r="X442" s="26">
        <f>IFERROR(VLOOKUP($J442,'ORDER VS WEEK DISTRIBUTION'!$T:$U,2,0),"")</f>
        <v/>
      </c>
      <c r="Y442" s="26">
        <f>IFERROR($T442/IF(IFERROR(VLOOKUP($I442,'ITEM CFC PER CONTAINER'!$A:$B,2,0),0)&gt;0,VLOOKUP($I442,'ITEM CFC PER CONTAINER'!$A:$B,2,0),VLOOKUP($X442,'MC MASTER'!$A:$Q,16,0)),"")</f>
        <v/>
      </c>
    </row>
    <row r="443" ht="15" customHeight="1" s="5">
      <c r="A443" s="26" t="inlineStr">
        <is>
          <t>Multitrade Overseas Pte. Ltd.</t>
        </is>
      </c>
      <c r="B443" s="26" t="inlineStr">
        <is>
          <t>MJIL/SO/26012327</t>
        </is>
      </c>
      <c r="C443" s="26" t="inlineStr">
        <is>
          <t>MJ-024/26-27 / 10 - ETKAF</t>
        </is>
      </c>
      <c r="D443" s="82" t="n">
        <v>46344</v>
      </c>
      <c r="E443" s="83">
        <f>IF(ISNUMBER($D443),EOMONTH($D443,-1)+1,"")</f>
        <v/>
      </c>
      <c r="F443" s="82" t="n">
        <v>46344</v>
      </c>
      <c r="G443" s="26" t="n">
        <v>2131</v>
      </c>
      <c r="H443" s="26">
        <f>B443&amp;I443</f>
        <v/>
      </c>
      <c r="I443" s="26" t="inlineStr">
        <is>
          <t>GV SPICY GINGER 24/25 DC ENV TBGS WITH TSHIRT</t>
        </is>
      </c>
      <c r="J443" s="30" t="inlineStr">
        <is>
          <t>CONSTANTA ENV</t>
        </is>
      </c>
      <c r="K443" s="26">
        <f>J443&amp;"-"&amp;TEXT(W443,"dd-mmm-yy")</f>
        <v/>
      </c>
      <c r="L443" s="26">
        <f>IFERROR(VLOOKUP($M443,'ITEM MASTER'!E:H,4,0),"")</f>
        <v/>
      </c>
      <c r="M443" s="26">
        <f>IFERROR(VLOOKUP($I443,'ITEM MASTER'!B:E,4,0),"")</f>
        <v/>
      </c>
      <c r="N443" s="26">
        <f>IFERROR(VLOOKUP($I443,'ITEM MASTER'!B:F,5,0),0)</f>
        <v/>
      </c>
      <c r="O443" s="26">
        <f>IFERROR(VLOOKUP($M443,'TBGS PER CTN'!B:C,2,0),0)</f>
        <v/>
      </c>
      <c r="P443" s="26" t="n">
        <v>2950</v>
      </c>
      <c r="Q443" s="26" t="n">
        <v>0</v>
      </c>
      <c r="R443" s="26" t="n">
        <v>0</v>
      </c>
      <c r="S443" s="26">
        <f>Q443+R443</f>
        <v/>
      </c>
      <c r="T443" s="29" t="n">
        <v>2950</v>
      </c>
      <c r="U443" s="29">
        <f>N443*O443*T443</f>
        <v/>
      </c>
      <c r="V443" s="82">
        <f>IF(ISNUMBER($D443),$D443-WEEKDAY($D443,3),'ORDER VS WEEK DISTRIBUTION'!$G$500)</f>
        <v/>
      </c>
      <c r="W443" s="82">
        <f>MAX($V443,'ORDER VS WEEK DISTRIBUTION'!$G$500)</f>
        <v/>
      </c>
      <c r="X443" s="26">
        <f>IFERROR(VLOOKUP($J443,'ORDER VS WEEK DISTRIBUTION'!$T:$U,2,0),"")</f>
        <v/>
      </c>
      <c r="Y443" s="26">
        <f>IFERROR($T443/IF(IFERROR(VLOOKUP($I443,'ITEM CFC PER CONTAINER'!$A:$B,2,0),0)&gt;0,VLOOKUP($I443,'ITEM CFC PER CONTAINER'!$A:$B,2,0),VLOOKUP($X443,'MC MASTER'!$A:$Q,16,0)),"")</f>
        <v/>
      </c>
    </row>
    <row r="444" ht="15" customHeight="1" s="5">
      <c r="A444" s="26" t="inlineStr">
        <is>
          <t>Multitrade Overseas Pte. Ltd.</t>
        </is>
      </c>
      <c r="B444" s="26" t="inlineStr">
        <is>
          <t>MJIL/SO/26012327</t>
        </is>
      </c>
      <c r="C444" s="26" t="inlineStr">
        <is>
          <t>MJ-024/26-27 / 10 - ETKAF</t>
        </is>
      </c>
      <c r="D444" s="82" t="n">
        <v>46344</v>
      </c>
      <c r="E444" s="83">
        <f>IF(ISNUMBER($D444),EOMONTH($D444,-1)+1,"")</f>
        <v/>
      </c>
      <c r="F444" s="82" t="n">
        <v>46344</v>
      </c>
      <c r="G444" s="26" t="n">
        <v>2051</v>
      </c>
      <c r="H444" s="26">
        <f>B444&amp;I444</f>
        <v/>
      </c>
      <c r="I444" s="26" t="inlineStr">
        <is>
          <t>GV ORANGE 24/25 DC ENV TBGS WITH TSHIRT</t>
        </is>
      </c>
      <c r="J444" s="30" t="inlineStr">
        <is>
          <t>CONSTANTA ENV</t>
        </is>
      </c>
      <c r="K444" s="26">
        <f>J444&amp;"-"&amp;TEXT(W444,"dd-mmm-yy")</f>
        <v/>
      </c>
      <c r="L444" s="26">
        <f>IFERROR(VLOOKUP($M444,'ITEM MASTER'!E:H,4,0),"")</f>
        <v/>
      </c>
      <c r="M444" s="26">
        <f>IFERROR(VLOOKUP($I444,'ITEM MASTER'!B:E,4,0),"")</f>
        <v/>
      </c>
      <c r="N444" s="26">
        <f>IFERROR(VLOOKUP($I444,'ITEM MASTER'!B:F,5,0),0)</f>
        <v/>
      </c>
      <c r="O444" s="26">
        <f>IFERROR(VLOOKUP($M444,'TBGS PER CTN'!B:C,2,0),0)</f>
        <v/>
      </c>
      <c r="P444" s="26" t="n">
        <v>200</v>
      </c>
      <c r="Q444" s="26" t="n">
        <v>0</v>
      </c>
      <c r="R444" s="26" t="n">
        <v>0</v>
      </c>
      <c r="S444" s="26">
        <f>Q444+R444</f>
        <v/>
      </c>
      <c r="T444" s="29" t="n">
        <v>200</v>
      </c>
      <c r="U444" s="29">
        <f>N444*O444*T444</f>
        <v/>
      </c>
      <c r="V444" s="82">
        <f>IF(ISNUMBER($D444),$D444-WEEKDAY($D444,3),'ORDER VS WEEK DISTRIBUTION'!$G$500)</f>
        <v/>
      </c>
      <c r="W444" s="82">
        <f>MAX($V444,'ORDER VS WEEK DISTRIBUTION'!$G$500)</f>
        <v/>
      </c>
      <c r="X444" s="26">
        <f>IFERROR(VLOOKUP($J444,'ORDER VS WEEK DISTRIBUTION'!$T:$U,2,0),"")</f>
        <v/>
      </c>
      <c r="Y444" s="26">
        <f>IFERROR($T444/IF(IFERROR(VLOOKUP($I444,'ITEM CFC PER CONTAINER'!$A:$B,2,0),0)&gt;0,VLOOKUP($I444,'ITEM CFC PER CONTAINER'!$A:$B,2,0),VLOOKUP($X444,'MC MASTER'!$A:$Q,16,0)),"")</f>
        <v/>
      </c>
    </row>
    <row r="445" ht="15" customHeight="1" s="5">
      <c r="A445" s="26" t="inlineStr">
        <is>
          <t>Multitrade Overseas Pte. Ltd.</t>
        </is>
      </c>
      <c r="B445" s="26" t="inlineStr">
        <is>
          <t>MJIL/SO/26012327</t>
        </is>
      </c>
      <c r="C445" s="26" t="inlineStr">
        <is>
          <t>MJ-024/26-27 / 10 - ETKAF</t>
        </is>
      </c>
      <c r="D445" s="82" t="n">
        <v>46344</v>
      </c>
      <c r="E445" s="83">
        <f>IF(ISNUMBER($D445),EOMONTH($D445,-1)+1,"")</f>
        <v/>
      </c>
      <c r="F445" s="82" t="n">
        <v>46344</v>
      </c>
      <c r="G445" s="26" t="n">
        <v>21810</v>
      </c>
      <c r="H445" s="26">
        <f>B445&amp;I445</f>
        <v/>
      </c>
      <c r="I445" s="26" t="inlineStr">
        <is>
          <t>GV CLOVE 24/25 DC ENV TBGS WITH TSHIRT</t>
        </is>
      </c>
      <c r="J445" s="30" t="inlineStr">
        <is>
          <t>CONSTANTA ENV</t>
        </is>
      </c>
      <c r="K445" s="26">
        <f>J445&amp;"-"&amp;TEXT(W445,"dd-mmm-yy")</f>
        <v/>
      </c>
      <c r="L445" s="26">
        <f>IFERROR(VLOOKUP($M445,'ITEM MASTER'!E:H,4,0),"")</f>
        <v/>
      </c>
      <c r="M445" s="26">
        <f>IFERROR(VLOOKUP($I445,'ITEM MASTER'!B:E,4,0),"")</f>
        <v/>
      </c>
      <c r="N445" s="26">
        <f>IFERROR(VLOOKUP($I445,'ITEM MASTER'!B:F,5,0),0)</f>
        <v/>
      </c>
      <c r="O445" s="26">
        <f>IFERROR(VLOOKUP($M445,'TBGS PER CTN'!B:C,2,0),0)</f>
        <v/>
      </c>
      <c r="P445" s="26" t="n">
        <v>200</v>
      </c>
      <c r="Q445" s="26" t="n">
        <v>0</v>
      </c>
      <c r="R445" s="26" t="n">
        <v>0</v>
      </c>
      <c r="S445" s="26">
        <f>Q445+R445</f>
        <v/>
      </c>
      <c r="T445" s="29" t="n">
        <v>200</v>
      </c>
      <c r="U445" s="29">
        <f>N445*O445*T445</f>
        <v/>
      </c>
      <c r="V445" s="82">
        <f>IF(ISNUMBER($D445),$D445-WEEKDAY($D445,3),'ORDER VS WEEK DISTRIBUTION'!$G$500)</f>
        <v/>
      </c>
      <c r="W445" s="82">
        <f>MAX($V445,'ORDER VS WEEK DISTRIBUTION'!$G$500)</f>
        <v/>
      </c>
      <c r="X445" s="26">
        <f>IFERROR(VLOOKUP($J445,'ORDER VS WEEK DISTRIBUTION'!$T:$U,2,0),"")</f>
        <v/>
      </c>
      <c r="Y445" s="26">
        <f>IFERROR($T445/IF(IFERROR(VLOOKUP($I445,'ITEM CFC PER CONTAINER'!$A:$B,2,0),0)&gt;0,VLOOKUP($I445,'ITEM CFC PER CONTAINER'!$A:$B,2,0),VLOOKUP($X445,'MC MASTER'!$A:$Q,16,0)),"")</f>
        <v/>
      </c>
    </row>
    <row r="446" ht="15" customHeight="1" s="5">
      <c r="A446" s="26" t="inlineStr">
        <is>
          <t>Multitrade Overseas Pte. Ltd.</t>
        </is>
      </c>
      <c r="B446" s="26" t="inlineStr">
        <is>
          <t>MJIL/SO/26012327</t>
        </is>
      </c>
      <c r="C446" s="26" t="inlineStr">
        <is>
          <t>MJ-024/26-27 / 10 - ETKAF</t>
        </is>
      </c>
      <c r="D446" s="82" t="n">
        <v>46344</v>
      </c>
      <c r="E446" s="83">
        <f>IF(ISNUMBER($D446),EOMONTH($D446,-1)+1,"")</f>
        <v/>
      </c>
      <c r="F446" s="82" t="n">
        <v>46344</v>
      </c>
      <c r="G446" s="26" t="n">
        <v>2105</v>
      </c>
      <c r="H446" s="26">
        <f>B446&amp;I446</f>
        <v/>
      </c>
      <c r="I446" s="26" t="inlineStr">
        <is>
          <t>GV ROYAL LEMON 24/25 DC ENV TBGS WITH TSHIRT</t>
        </is>
      </c>
      <c r="J446" s="30" t="inlineStr">
        <is>
          <t>CONSTANTA ENV</t>
        </is>
      </c>
      <c r="K446" s="26">
        <f>J446&amp;"-"&amp;TEXT(W446,"dd-mmm-yy")</f>
        <v/>
      </c>
      <c r="L446" s="26">
        <f>IFERROR(VLOOKUP($M446,'ITEM MASTER'!E:H,4,0),"")</f>
        <v/>
      </c>
      <c r="M446" s="26">
        <f>IFERROR(VLOOKUP($I446,'ITEM MASTER'!B:E,4,0),"")</f>
        <v/>
      </c>
      <c r="N446" s="26">
        <f>IFERROR(VLOOKUP($I446,'ITEM MASTER'!B:F,5,0),0)</f>
        <v/>
      </c>
      <c r="O446" s="26">
        <f>IFERROR(VLOOKUP($M446,'TBGS PER CTN'!B:C,2,0),0)</f>
        <v/>
      </c>
      <c r="P446" s="26" t="n">
        <v>273</v>
      </c>
      <c r="Q446" s="26" t="n">
        <v>0</v>
      </c>
      <c r="R446" s="26" t="n">
        <v>0</v>
      </c>
      <c r="S446" s="26">
        <f>Q446+R446</f>
        <v/>
      </c>
      <c r="T446" s="29" t="n">
        <v>273</v>
      </c>
      <c r="U446" s="29">
        <f>N446*O446*T446</f>
        <v/>
      </c>
      <c r="V446" s="82">
        <f>IF(ISNUMBER($D446),$D446-WEEKDAY($D446,3),'ORDER VS WEEK DISTRIBUTION'!$G$500)</f>
        <v/>
      </c>
      <c r="W446" s="82">
        <f>MAX($V446,'ORDER VS WEEK DISTRIBUTION'!$G$500)</f>
        <v/>
      </c>
      <c r="X446" s="26">
        <f>IFERROR(VLOOKUP($J446,'ORDER VS WEEK DISTRIBUTION'!$T:$U,2,0),"")</f>
        <v/>
      </c>
      <c r="Y446" s="26">
        <f>IFERROR($T446/IF(IFERROR(VLOOKUP($I446,'ITEM CFC PER CONTAINER'!$A:$B,2,0),0)&gt;0,VLOOKUP($I446,'ITEM CFC PER CONTAINER'!$A:$B,2,0),VLOOKUP($X446,'MC MASTER'!$A:$Q,16,0)),"")</f>
        <v/>
      </c>
    </row>
    <row r="447" ht="15" customHeight="1" s="5">
      <c r="A447" s="26" t="inlineStr">
        <is>
          <t>Multitrade Overseas Pte. Ltd.</t>
        </is>
      </c>
      <c r="B447" s="26" t="inlineStr">
        <is>
          <t>MJIL/SO/26047645</t>
        </is>
      </c>
      <c r="C447" s="26" t="inlineStr">
        <is>
          <t>MJ-089/26-27 / 1 (ETKAF)</t>
        </is>
      </c>
      <c r="D447" s="82" t="n">
        <v>46344</v>
      </c>
      <c r="E447" s="83">
        <f>IF(ISNUMBER($D447),EOMONTH($D447,-1)+1,"")</f>
        <v/>
      </c>
      <c r="F447" s="82" t="n">
        <v>46344</v>
      </c>
      <c r="G447" s="26" t="n">
        <v>2016</v>
      </c>
      <c r="H447" s="26">
        <f>B447&amp;I447</f>
        <v/>
      </c>
      <c r="I447" s="26" t="inlineStr">
        <is>
          <t>GV MINT 24/25 DC ENV TBGS</t>
        </is>
      </c>
      <c r="J447" s="30" t="inlineStr">
        <is>
          <t>CONSTANTA ENV</t>
        </is>
      </c>
      <c r="K447" s="26">
        <f>J447&amp;"-"&amp;TEXT(W447,"dd-mmm-yy")</f>
        <v/>
      </c>
      <c r="L447" s="26">
        <f>IFERROR(VLOOKUP($M447,'ITEM MASTER'!E:H,4,0),"")</f>
        <v/>
      </c>
      <c r="M447" s="26">
        <f>IFERROR(VLOOKUP($I447,'ITEM MASTER'!B:E,4,0),"")</f>
        <v/>
      </c>
      <c r="N447" s="26">
        <f>IFERROR(VLOOKUP($I447,'ITEM MASTER'!B:F,5,0),0)</f>
        <v/>
      </c>
      <c r="O447" s="26">
        <f>IFERROR(VLOOKUP($M447,'TBGS PER CTN'!B:C,2,0),0)</f>
        <v/>
      </c>
      <c r="P447" s="26" t="n">
        <v>6000</v>
      </c>
      <c r="Q447" s="26" t="n">
        <v>0</v>
      </c>
      <c r="R447" s="26" t="n">
        <v>0</v>
      </c>
      <c r="S447" s="26">
        <f>Q447+R447</f>
        <v/>
      </c>
      <c r="T447" s="29" t="n">
        <v>6000</v>
      </c>
      <c r="U447" s="29">
        <f>N447*O447*T447</f>
        <v/>
      </c>
      <c r="V447" s="82">
        <f>IF(ISNUMBER($D447),$D447-WEEKDAY($D447,3),'ORDER VS WEEK DISTRIBUTION'!$G$500)</f>
        <v/>
      </c>
      <c r="W447" s="82">
        <f>MAX($V447,'ORDER VS WEEK DISTRIBUTION'!$G$500)</f>
        <v/>
      </c>
      <c r="X447" s="26">
        <f>IFERROR(VLOOKUP($J447,'ORDER VS WEEK DISTRIBUTION'!$T:$U,2,0),"")</f>
        <v/>
      </c>
      <c r="Y447" s="26">
        <f>IFERROR($T447/IF(IFERROR(VLOOKUP($I447,'ITEM CFC PER CONTAINER'!$A:$B,2,0),0)&gt;0,VLOOKUP($I447,'ITEM CFC PER CONTAINER'!$A:$B,2,0),VLOOKUP($X447,'MC MASTER'!$A:$Q,16,0)),"")</f>
        <v/>
      </c>
    </row>
    <row r="448" ht="15" customHeight="1" s="5">
      <c r="A448" s="26" t="inlineStr">
        <is>
          <t>Multitrade Overseas Pte. Ltd.</t>
        </is>
      </c>
      <c r="B448" s="26" t="inlineStr">
        <is>
          <t>MJIL/SO/26047645</t>
        </is>
      </c>
      <c r="C448" s="26" t="inlineStr">
        <is>
          <t>MJ-089/26-27 / 1 (ETKAF)</t>
        </is>
      </c>
      <c r="D448" s="82" t="n">
        <v>46344</v>
      </c>
      <c r="E448" s="83">
        <f>IF(ISNUMBER($D448),EOMONTH($D448,-1)+1,"")</f>
        <v/>
      </c>
      <c r="F448" s="82" t="n">
        <v>46344</v>
      </c>
      <c r="G448" s="26" t="n">
        <v>1925</v>
      </c>
      <c r="H448" s="26">
        <f>B448&amp;I448</f>
        <v/>
      </c>
      <c r="I448" s="26" t="inlineStr">
        <is>
          <t>GV GARDEN STRAWBERRY 24/25 DC ENV TBGS</t>
        </is>
      </c>
      <c r="J448" s="30" t="inlineStr">
        <is>
          <t>CONSTANTA ENV</t>
        </is>
      </c>
      <c r="K448" s="26">
        <f>J448&amp;"-"&amp;TEXT(W448,"dd-mmm-yy")</f>
        <v/>
      </c>
      <c r="L448" s="26">
        <f>IFERROR(VLOOKUP($M448,'ITEM MASTER'!E:H,4,0),"")</f>
        <v/>
      </c>
      <c r="M448" s="26">
        <f>IFERROR(VLOOKUP($I448,'ITEM MASTER'!B:E,4,0),"")</f>
        <v/>
      </c>
      <c r="N448" s="26">
        <f>IFERROR(VLOOKUP($I448,'ITEM MASTER'!B:F,5,0),0)</f>
        <v/>
      </c>
      <c r="O448" s="26">
        <f>IFERROR(VLOOKUP($M448,'TBGS PER CTN'!B:C,2,0),0)</f>
        <v/>
      </c>
      <c r="P448" s="26" t="n">
        <v>6360</v>
      </c>
      <c r="Q448" s="26" t="n">
        <v>0</v>
      </c>
      <c r="R448" s="26" t="n">
        <v>0</v>
      </c>
      <c r="S448" s="26">
        <f>Q448+R448</f>
        <v/>
      </c>
      <c r="T448" s="29" t="n">
        <v>6360</v>
      </c>
      <c r="U448" s="29">
        <f>N448*O448*T448</f>
        <v/>
      </c>
      <c r="V448" s="82">
        <f>IF(ISNUMBER($D448),$D448-WEEKDAY($D448,3),'ORDER VS WEEK DISTRIBUTION'!$G$500)</f>
        <v/>
      </c>
      <c r="W448" s="82">
        <f>MAX($V448,'ORDER VS WEEK DISTRIBUTION'!$G$500)</f>
        <v/>
      </c>
      <c r="X448" s="26">
        <f>IFERROR(VLOOKUP($J448,'ORDER VS WEEK DISTRIBUTION'!$T:$U,2,0),"")</f>
        <v/>
      </c>
      <c r="Y448" s="26">
        <f>IFERROR($T448/IF(IFERROR(VLOOKUP($I448,'ITEM CFC PER CONTAINER'!$A:$B,2,0),0)&gt;0,VLOOKUP($I448,'ITEM CFC PER CONTAINER'!$A:$B,2,0),VLOOKUP($X448,'MC MASTER'!$A:$Q,16,0)),"")</f>
        <v/>
      </c>
    </row>
    <row r="449" ht="15" customHeight="1" s="5">
      <c r="A449" s="26" t="inlineStr">
        <is>
          <t>Multitrade Overseas Pte. Ltd.</t>
        </is>
      </c>
      <c r="B449" s="26" t="inlineStr">
        <is>
          <t>MJIL/SO/26047645</t>
        </is>
      </c>
      <c r="C449" s="26" t="inlineStr">
        <is>
          <t>MJ-089/26-27 / 1 (ETKAF)</t>
        </is>
      </c>
      <c r="D449" s="82" t="n">
        <v>46344</v>
      </c>
      <c r="E449" s="83">
        <f>IF(ISNUMBER($D449),EOMONTH($D449,-1)+1,"")</f>
        <v/>
      </c>
      <c r="F449" s="82" t="n">
        <v>46344</v>
      </c>
      <c r="G449" s="26" t="n">
        <v>19824</v>
      </c>
      <c r="H449" s="26">
        <f>B449&amp;I449</f>
        <v/>
      </c>
      <c r="I449" s="26" t="inlineStr">
        <is>
          <t>GV SPICY GINGER 24/25 DC ENV TBGS (AR)</t>
        </is>
      </c>
      <c r="J449" s="30" t="inlineStr">
        <is>
          <t>CONSTANTA ENV</t>
        </is>
      </c>
      <c r="K449" s="26">
        <f>J449&amp;"-"&amp;TEXT(W449,"dd-mmm-yy")</f>
        <v/>
      </c>
      <c r="L449" s="26">
        <f>IFERROR(VLOOKUP($M449,'ITEM MASTER'!E:H,4,0),"")</f>
        <v/>
      </c>
      <c r="M449" s="26">
        <f>IFERROR(VLOOKUP($I449,'ITEM MASTER'!B:E,4,0),"")</f>
        <v/>
      </c>
      <c r="N449" s="26">
        <f>IFERROR(VLOOKUP($I449,'ITEM MASTER'!B:F,5,0),0)</f>
        <v/>
      </c>
      <c r="O449" s="26">
        <f>IFERROR(VLOOKUP($M449,'TBGS PER CTN'!B:C,2,0),0)</f>
        <v/>
      </c>
      <c r="P449" s="26" t="n">
        <v>4800</v>
      </c>
      <c r="Q449" s="26" t="n">
        <v>0</v>
      </c>
      <c r="R449" s="26" t="n">
        <v>0</v>
      </c>
      <c r="S449" s="26">
        <f>Q449+R449</f>
        <v/>
      </c>
      <c r="T449" s="29" t="n">
        <v>4800</v>
      </c>
      <c r="U449" s="29">
        <f>N449*O449*T449</f>
        <v/>
      </c>
      <c r="V449" s="82">
        <f>IF(ISNUMBER($D449),$D449-WEEKDAY($D449,3),'ORDER VS WEEK DISTRIBUTION'!$G$500)</f>
        <v/>
      </c>
      <c r="W449" s="82">
        <f>MAX($V449,'ORDER VS WEEK DISTRIBUTION'!$G$500)</f>
        <v/>
      </c>
      <c r="X449" s="26">
        <f>IFERROR(VLOOKUP($J449,'ORDER VS WEEK DISTRIBUTION'!$T:$U,2,0),"")</f>
        <v/>
      </c>
      <c r="Y449" s="26">
        <f>IFERROR($T449/IF(IFERROR(VLOOKUP($I449,'ITEM CFC PER CONTAINER'!$A:$B,2,0),0)&gt;0,VLOOKUP($I449,'ITEM CFC PER CONTAINER'!$A:$B,2,0),VLOOKUP($X449,'MC MASTER'!$A:$Q,16,0)),"")</f>
        <v/>
      </c>
    </row>
    <row r="450" ht="15" customHeight="1" s="5">
      <c r="A450" s="26" t="inlineStr">
        <is>
          <t>Multitrade Overseas Pte. Ltd.</t>
        </is>
      </c>
      <c r="B450" s="26" t="inlineStr">
        <is>
          <t>MJIL/SO/26047645</t>
        </is>
      </c>
      <c r="C450" s="26" t="inlineStr">
        <is>
          <t>MJ-089/26-27 / 1 (ETKAF)</t>
        </is>
      </c>
      <c r="D450" s="82" t="n">
        <v>46344</v>
      </c>
      <c r="E450" s="83">
        <f>IF(ISNUMBER($D450),EOMONTH($D450,-1)+1,"")</f>
        <v/>
      </c>
      <c r="F450" s="82" t="n">
        <v>46344</v>
      </c>
      <c r="G450" s="26" t="n">
        <v>19828</v>
      </c>
      <c r="H450" s="26">
        <f>B450&amp;I450</f>
        <v/>
      </c>
      <c r="I450" s="26" t="inlineStr">
        <is>
          <t>GV ORANGE 24/25 DC ENV TBGS (AR)</t>
        </is>
      </c>
      <c r="J450" s="30" t="inlineStr">
        <is>
          <t>CONSTANTA ENV</t>
        </is>
      </c>
      <c r="K450" s="26">
        <f>J450&amp;"-"&amp;TEXT(W450,"dd-mmm-yy")</f>
        <v/>
      </c>
      <c r="L450" s="26">
        <f>IFERROR(VLOOKUP($M450,'ITEM MASTER'!E:H,4,0),"")</f>
        <v/>
      </c>
      <c r="M450" s="26">
        <f>IFERROR(VLOOKUP($I450,'ITEM MASTER'!B:E,4,0),"")</f>
        <v/>
      </c>
      <c r="N450" s="26">
        <f>IFERROR(VLOOKUP($I450,'ITEM MASTER'!B:F,5,0),0)</f>
        <v/>
      </c>
      <c r="O450" s="26">
        <f>IFERROR(VLOOKUP($M450,'TBGS PER CTN'!B:C,2,0),0)</f>
        <v/>
      </c>
      <c r="P450" s="26" t="n">
        <v>1005</v>
      </c>
      <c r="Q450" s="26" t="n">
        <v>0</v>
      </c>
      <c r="R450" s="26" t="n">
        <v>0</v>
      </c>
      <c r="S450" s="26">
        <f>Q450+R450</f>
        <v/>
      </c>
      <c r="T450" s="29" t="n">
        <v>1005</v>
      </c>
      <c r="U450" s="29">
        <f>N450*O450*T450</f>
        <v/>
      </c>
      <c r="V450" s="82">
        <f>IF(ISNUMBER($D450),$D450-WEEKDAY($D450,3),'ORDER VS WEEK DISTRIBUTION'!$G$500)</f>
        <v/>
      </c>
      <c r="W450" s="82">
        <f>MAX($V450,'ORDER VS WEEK DISTRIBUTION'!$G$500)</f>
        <v/>
      </c>
      <c r="X450" s="26">
        <f>IFERROR(VLOOKUP($J450,'ORDER VS WEEK DISTRIBUTION'!$T:$U,2,0),"")</f>
        <v/>
      </c>
      <c r="Y450" s="26">
        <f>IFERROR($T450/IF(IFERROR(VLOOKUP($I450,'ITEM CFC PER CONTAINER'!$A:$B,2,0),0)&gt;0,VLOOKUP($I450,'ITEM CFC PER CONTAINER'!$A:$B,2,0),VLOOKUP($X450,'MC MASTER'!$A:$Q,16,0)),"")</f>
        <v/>
      </c>
    </row>
    <row r="451" ht="15" customHeight="1" s="5">
      <c r="A451" s="26" t="inlineStr">
        <is>
          <t>Multitrade Overseas Pte. Ltd.</t>
        </is>
      </c>
      <c r="B451" s="26" t="inlineStr">
        <is>
          <t>MJIL/SO/26047645</t>
        </is>
      </c>
      <c r="C451" s="26" t="inlineStr">
        <is>
          <t>MJ-089/26-27 / 1 (ETKAF)</t>
        </is>
      </c>
      <c r="D451" s="82" t="n">
        <v>46344</v>
      </c>
      <c r="E451" s="83">
        <f>IF(ISNUMBER($D451),EOMONTH($D451,-1)+1,"")</f>
        <v/>
      </c>
      <c r="F451" s="82" t="n">
        <v>46344</v>
      </c>
      <c r="G451" s="26" t="n">
        <v>21586</v>
      </c>
      <c r="H451" s="26">
        <f>B451&amp;I451</f>
        <v/>
      </c>
      <c r="I451" s="26" t="inlineStr">
        <is>
          <t>GV CLOVE 24/25 DC ENV TBGS</t>
        </is>
      </c>
      <c r="J451" s="30" t="inlineStr">
        <is>
          <t>CONSTANTA ENV</t>
        </is>
      </c>
      <c r="K451" s="26">
        <f>J451&amp;"-"&amp;TEXT(W451,"dd-mmm-yy")</f>
        <v/>
      </c>
      <c r="L451" s="26">
        <f>IFERROR(VLOOKUP($M451,'ITEM MASTER'!E:H,4,0),"")</f>
        <v/>
      </c>
      <c r="M451" s="26">
        <f>IFERROR(VLOOKUP($I451,'ITEM MASTER'!B:E,4,0),"")</f>
        <v/>
      </c>
      <c r="N451" s="26">
        <f>IFERROR(VLOOKUP($I451,'ITEM MASTER'!B:F,5,0),0)</f>
        <v/>
      </c>
      <c r="O451" s="26">
        <f>IFERROR(VLOOKUP($M451,'TBGS PER CTN'!B:C,2,0),0)</f>
        <v/>
      </c>
      <c r="P451" s="26" t="n">
        <v>630</v>
      </c>
      <c r="Q451" s="26" t="n">
        <v>0</v>
      </c>
      <c r="R451" s="26" t="n">
        <v>0</v>
      </c>
      <c r="S451" s="26">
        <f>Q451+R451</f>
        <v/>
      </c>
      <c r="T451" s="29" t="n">
        <v>630</v>
      </c>
      <c r="U451" s="29">
        <f>N451*O451*T451</f>
        <v/>
      </c>
      <c r="V451" s="82">
        <f>IF(ISNUMBER($D451),$D451-WEEKDAY($D451,3),'ORDER VS WEEK DISTRIBUTION'!$G$500)</f>
        <v/>
      </c>
      <c r="W451" s="82">
        <f>MAX($V451,'ORDER VS WEEK DISTRIBUTION'!$G$500)</f>
        <v/>
      </c>
      <c r="X451" s="26">
        <f>IFERROR(VLOOKUP($J451,'ORDER VS WEEK DISTRIBUTION'!$T:$U,2,0),"")</f>
        <v/>
      </c>
      <c r="Y451" s="26">
        <f>IFERROR($T451/IF(IFERROR(VLOOKUP($I451,'ITEM CFC PER CONTAINER'!$A:$B,2,0),0)&gt;0,VLOOKUP($I451,'ITEM CFC PER CONTAINER'!$A:$B,2,0),VLOOKUP($X451,'MC MASTER'!$A:$Q,16,0)),"")</f>
        <v/>
      </c>
    </row>
    <row r="452" ht="15" customHeight="1" s="5">
      <c r="A452" s="26" t="inlineStr">
        <is>
          <t>Multitrade Overseas Pte. Ltd.</t>
        </is>
      </c>
      <c r="B452" s="26" t="inlineStr">
        <is>
          <t>MJIL/SO/26047645</t>
        </is>
      </c>
      <c r="C452" s="26" t="inlineStr">
        <is>
          <t>MJ-089/26-27 / 1 (ETKAF)</t>
        </is>
      </c>
      <c r="D452" s="82" t="n">
        <v>46344</v>
      </c>
      <c r="E452" s="83">
        <f>IF(ISNUMBER($D452),EOMONTH($D452,-1)+1,"")</f>
        <v/>
      </c>
      <c r="F452" s="82" t="n">
        <v>46344</v>
      </c>
      <c r="G452" s="26" t="n">
        <v>22503</v>
      </c>
      <c r="H452" s="26">
        <f>B452&amp;I452</f>
        <v/>
      </c>
      <c r="I452" s="26" t="inlineStr">
        <is>
          <t>GV CINNAMON 24/25 DC ENV TBGS</t>
        </is>
      </c>
      <c r="J452" s="30" t="inlineStr">
        <is>
          <t>CONSTANTA ENV</t>
        </is>
      </c>
      <c r="K452" s="26">
        <f>J452&amp;"-"&amp;TEXT(W452,"dd-mmm-yy")</f>
        <v/>
      </c>
      <c r="L452" s="26">
        <f>IFERROR(VLOOKUP($M452,'ITEM MASTER'!E:H,4,0),"")</f>
        <v/>
      </c>
      <c r="M452" s="26">
        <f>IFERROR(VLOOKUP($I452,'ITEM MASTER'!B:E,4,0),"")</f>
        <v/>
      </c>
      <c r="N452" s="26">
        <f>IFERROR(VLOOKUP($I452,'ITEM MASTER'!B:F,5,0),0)</f>
        <v/>
      </c>
      <c r="O452" s="26">
        <f>IFERROR(VLOOKUP($M452,'TBGS PER CTN'!B:C,2,0),0)</f>
        <v/>
      </c>
      <c r="P452" s="26" t="n">
        <v>330</v>
      </c>
      <c r="Q452" s="26" t="n">
        <v>0</v>
      </c>
      <c r="R452" s="26" t="n">
        <v>0</v>
      </c>
      <c r="S452" s="26">
        <f>Q452+R452</f>
        <v/>
      </c>
      <c r="T452" s="29" t="n">
        <v>330</v>
      </c>
      <c r="U452" s="29">
        <f>N452*O452*T452</f>
        <v/>
      </c>
      <c r="V452" s="82">
        <f>IF(ISNUMBER($D452),$D452-WEEKDAY($D452,3),'ORDER VS WEEK DISTRIBUTION'!$G$500)</f>
        <v/>
      </c>
      <c r="W452" s="82">
        <f>MAX($V452,'ORDER VS WEEK DISTRIBUTION'!$G$500)</f>
        <v/>
      </c>
      <c r="X452" s="26">
        <f>IFERROR(VLOOKUP($J452,'ORDER VS WEEK DISTRIBUTION'!$T:$U,2,0),"")</f>
        <v/>
      </c>
      <c r="Y452" s="26">
        <f>IFERROR($T452/IF(IFERROR(VLOOKUP($I452,'ITEM CFC PER CONTAINER'!$A:$B,2,0),0)&gt;0,VLOOKUP($I452,'ITEM CFC PER CONTAINER'!$A:$B,2,0),VLOOKUP($X452,'MC MASTER'!$A:$Q,16,0)),"")</f>
        <v/>
      </c>
    </row>
    <row r="453" ht="15" customHeight="1" s="5">
      <c r="A453" s="26" t="inlineStr">
        <is>
          <t>Everest International</t>
        </is>
      </c>
      <c r="B453" s="26" t="inlineStr">
        <is>
          <t>MJIL/SO/26053782</t>
        </is>
      </c>
      <c r="C453" s="26" t="inlineStr">
        <is>
          <t>MJ-120/26-27</t>
        </is>
      </c>
      <c r="D453" s="82" t="n">
        <v>46346</v>
      </c>
      <c r="E453" s="83">
        <f>IF(ISNUMBER($D453),EOMONTH($D453,-1)+1,"")</f>
        <v/>
      </c>
      <c r="F453" s="82" t="n">
        <v>46346</v>
      </c>
      <c r="G453" s="26" t="n">
        <v>19824</v>
      </c>
      <c r="H453" s="26">
        <f>B453&amp;I453</f>
        <v/>
      </c>
      <c r="I453" s="26" t="inlineStr">
        <is>
          <t>GV SPICY GINGER 24/25 DC ENV TBGS (AR)</t>
        </is>
      </c>
      <c r="J453" s="30" t="inlineStr">
        <is>
          <t>CONSTANTA ENV</t>
        </is>
      </c>
      <c r="K453" s="26">
        <f>J453&amp;"-"&amp;TEXT(W453,"dd-mmm-yy")</f>
        <v/>
      </c>
      <c r="L453" s="26">
        <f>IFERROR(VLOOKUP($M453,'ITEM MASTER'!E:H,4,0),"")</f>
        <v/>
      </c>
      <c r="M453" s="26">
        <f>IFERROR(VLOOKUP($I453,'ITEM MASTER'!B:E,4,0),"")</f>
        <v/>
      </c>
      <c r="N453" s="26">
        <f>IFERROR(VLOOKUP($I453,'ITEM MASTER'!B:F,5,0),0)</f>
        <v/>
      </c>
      <c r="O453" s="26">
        <f>IFERROR(VLOOKUP($M453,'TBGS PER CTN'!B:C,2,0),0)</f>
        <v/>
      </c>
      <c r="P453" s="26" t="n">
        <v>1300</v>
      </c>
      <c r="Q453" s="26" t="n">
        <v>0</v>
      </c>
      <c r="R453" s="26" t="n">
        <v>0</v>
      </c>
      <c r="S453" s="26">
        <f>Q453+R453</f>
        <v/>
      </c>
      <c r="T453" s="29" t="n">
        <v>1300</v>
      </c>
      <c r="U453" s="29">
        <f>N453*O453*T453</f>
        <v/>
      </c>
      <c r="V453" s="82">
        <f>IF(ISNUMBER($D453),$D453-WEEKDAY($D453,3),'ORDER VS WEEK DISTRIBUTION'!$G$500)</f>
        <v/>
      </c>
      <c r="W453" s="82">
        <f>MAX($V453,'ORDER VS WEEK DISTRIBUTION'!$G$500)</f>
        <v/>
      </c>
      <c r="X453" s="26">
        <f>IFERROR(VLOOKUP($J453,'ORDER VS WEEK DISTRIBUTION'!$T:$U,2,0),"")</f>
        <v/>
      </c>
      <c r="Y453" s="26">
        <f>IFERROR($T453/IF(IFERROR(VLOOKUP($I453,'ITEM CFC PER CONTAINER'!$A:$B,2,0),0)&gt;0,VLOOKUP($I453,'ITEM CFC PER CONTAINER'!$A:$B,2,0),VLOOKUP($X453,'MC MASTER'!$A:$Q,16,0)),"")</f>
        <v/>
      </c>
    </row>
    <row r="454" ht="15" customHeight="1" s="5">
      <c r="A454" s="26" t="inlineStr">
        <is>
          <t>Everest International</t>
        </is>
      </c>
      <c r="B454" s="26" t="inlineStr">
        <is>
          <t>MJIL/SO/26053782</t>
        </is>
      </c>
      <c r="C454" s="26" t="inlineStr">
        <is>
          <t>MJ-120/26-27</t>
        </is>
      </c>
      <c r="D454" s="82" t="n">
        <v>46346</v>
      </c>
      <c r="E454" s="83">
        <f>IF(ISNUMBER($D454),EOMONTH($D454,-1)+1,"")</f>
        <v/>
      </c>
      <c r="F454" s="82" t="n">
        <v>46346</v>
      </c>
      <c r="G454" s="26" t="n">
        <v>21586</v>
      </c>
      <c r="H454" s="26">
        <f>B454&amp;I454</f>
        <v/>
      </c>
      <c r="I454" s="26" t="inlineStr">
        <is>
          <t>GV CLOVE 24/25 DC ENV TBGS</t>
        </is>
      </c>
      <c r="J454" s="30" t="inlineStr">
        <is>
          <t>CONSTANTA ENV</t>
        </is>
      </c>
      <c r="K454" s="26">
        <f>J454&amp;"-"&amp;TEXT(W454,"dd-mmm-yy")</f>
        <v/>
      </c>
      <c r="L454" s="26">
        <f>IFERROR(VLOOKUP($M454,'ITEM MASTER'!E:H,4,0),"")</f>
        <v/>
      </c>
      <c r="M454" s="26">
        <f>IFERROR(VLOOKUP($I454,'ITEM MASTER'!B:E,4,0),"")</f>
        <v/>
      </c>
      <c r="N454" s="26">
        <f>IFERROR(VLOOKUP($I454,'ITEM MASTER'!B:F,5,0),0)</f>
        <v/>
      </c>
      <c r="O454" s="26">
        <f>IFERROR(VLOOKUP($M454,'TBGS PER CTN'!B:C,2,0),0)</f>
        <v/>
      </c>
      <c r="P454" s="26" t="n">
        <v>1300</v>
      </c>
      <c r="Q454" s="26" t="n">
        <v>0</v>
      </c>
      <c r="R454" s="26" t="n">
        <v>0</v>
      </c>
      <c r="S454" s="26">
        <f>Q454+R454</f>
        <v/>
      </c>
      <c r="T454" s="29" t="n">
        <v>1300</v>
      </c>
      <c r="U454" s="29">
        <f>N454*O454*T454</f>
        <v/>
      </c>
      <c r="V454" s="82">
        <f>IF(ISNUMBER($D454),$D454-WEEKDAY($D454,3),'ORDER VS WEEK DISTRIBUTION'!$G$500)</f>
        <v/>
      </c>
      <c r="W454" s="82">
        <f>MAX($V454,'ORDER VS WEEK DISTRIBUTION'!$G$500)</f>
        <v/>
      </c>
      <c r="X454" s="26">
        <f>IFERROR(VLOOKUP($J454,'ORDER VS WEEK DISTRIBUTION'!$T:$U,2,0),"")</f>
        <v/>
      </c>
      <c r="Y454" s="26">
        <f>IFERROR($T454/IF(IFERROR(VLOOKUP($I454,'ITEM CFC PER CONTAINER'!$A:$B,2,0),0)&gt;0,VLOOKUP($I454,'ITEM CFC PER CONTAINER'!$A:$B,2,0),VLOOKUP($X454,'MC MASTER'!$A:$Q,16,0)),"")</f>
        <v/>
      </c>
    </row>
    <row r="455" ht="15" customHeight="1" s="5">
      <c r="A455" s="26" t="inlineStr">
        <is>
          <t>Everest International</t>
        </is>
      </c>
      <c r="B455" s="26" t="inlineStr">
        <is>
          <t>MJIL/SO/26053782</t>
        </is>
      </c>
      <c r="C455" s="26" t="inlineStr">
        <is>
          <t>MJ-120/26-27</t>
        </is>
      </c>
      <c r="D455" s="82" t="n">
        <v>46346</v>
      </c>
      <c r="E455" s="83">
        <f>IF(ISNUMBER($D455),EOMONTH($D455,-1)+1,"")</f>
        <v/>
      </c>
      <c r="F455" s="82" t="n">
        <v>46346</v>
      </c>
      <c r="G455" s="26" t="n">
        <v>2016</v>
      </c>
      <c r="H455" s="26">
        <f>B455&amp;I455</f>
        <v/>
      </c>
      <c r="I455" s="26" t="inlineStr">
        <is>
          <t>GV MINT 24/25 DC ENV TBGS</t>
        </is>
      </c>
      <c r="J455" s="30" t="inlineStr">
        <is>
          <t>CONSTANTA ENV</t>
        </is>
      </c>
      <c r="K455" s="26">
        <f>J455&amp;"-"&amp;TEXT(W455,"dd-mmm-yy")</f>
        <v/>
      </c>
      <c r="L455" s="26">
        <f>IFERROR(VLOOKUP($M455,'ITEM MASTER'!E:H,4,0),"")</f>
        <v/>
      </c>
      <c r="M455" s="26">
        <f>IFERROR(VLOOKUP($I455,'ITEM MASTER'!B:E,4,0),"")</f>
        <v/>
      </c>
      <c r="N455" s="26">
        <f>IFERROR(VLOOKUP($I455,'ITEM MASTER'!B:F,5,0),0)</f>
        <v/>
      </c>
      <c r="O455" s="26">
        <f>IFERROR(VLOOKUP($M455,'TBGS PER CTN'!B:C,2,0),0)</f>
        <v/>
      </c>
      <c r="P455" s="26" t="n">
        <v>1000</v>
      </c>
      <c r="Q455" s="26" t="n">
        <v>0</v>
      </c>
      <c r="R455" s="26" t="n">
        <v>0</v>
      </c>
      <c r="S455" s="26">
        <f>Q455+R455</f>
        <v/>
      </c>
      <c r="T455" s="29" t="n">
        <v>1000</v>
      </c>
      <c r="U455" s="29">
        <f>N455*O455*T455</f>
        <v/>
      </c>
      <c r="V455" s="82">
        <f>IF(ISNUMBER($D455),$D455-WEEKDAY($D455,3),'ORDER VS WEEK DISTRIBUTION'!$G$500)</f>
        <v/>
      </c>
      <c r="W455" s="82">
        <f>MAX($V455,'ORDER VS WEEK DISTRIBUTION'!$G$500)</f>
        <v/>
      </c>
      <c r="X455" s="26">
        <f>IFERROR(VLOOKUP($J455,'ORDER VS WEEK DISTRIBUTION'!$T:$U,2,0),"")</f>
        <v/>
      </c>
      <c r="Y455" s="26">
        <f>IFERROR($T455/IF(IFERROR(VLOOKUP($I455,'ITEM CFC PER CONTAINER'!$A:$B,2,0),0)&gt;0,VLOOKUP($I455,'ITEM CFC PER CONTAINER'!$A:$B,2,0),VLOOKUP($X455,'MC MASTER'!$A:$Q,16,0)),"")</f>
        <v/>
      </c>
    </row>
    <row r="456" ht="15" customHeight="1" s="5">
      <c r="A456" s="26" t="inlineStr">
        <is>
          <t>Everest International</t>
        </is>
      </c>
      <c r="B456" s="26" t="inlineStr">
        <is>
          <t>MJIL/SO/26053782</t>
        </is>
      </c>
      <c r="C456" s="26" t="inlineStr">
        <is>
          <t>MJ-120/26-27</t>
        </is>
      </c>
      <c r="D456" s="82" t="n">
        <v>46346</v>
      </c>
      <c r="E456" s="83">
        <f>IF(ISNUMBER($D456),EOMONTH($D456,-1)+1,"")</f>
        <v/>
      </c>
      <c r="F456" s="82" t="n">
        <v>46346</v>
      </c>
      <c r="G456" s="26" t="n">
        <v>22503</v>
      </c>
      <c r="H456" s="26">
        <f>B456&amp;I456</f>
        <v/>
      </c>
      <c r="I456" s="26" t="inlineStr">
        <is>
          <t>GV CINNAMON 24/25 DC ENV TBGS</t>
        </is>
      </c>
      <c r="J456" s="30" t="inlineStr">
        <is>
          <t>CONSTANTA ENV</t>
        </is>
      </c>
      <c r="K456" s="26">
        <f>J456&amp;"-"&amp;TEXT(W456,"dd-mmm-yy")</f>
        <v/>
      </c>
      <c r="L456" s="26">
        <f>IFERROR(VLOOKUP($M456,'ITEM MASTER'!E:H,4,0),"")</f>
        <v/>
      </c>
      <c r="M456" s="26">
        <f>IFERROR(VLOOKUP($I456,'ITEM MASTER'!B:E,4,0),"")</f>
        <v/>
      </c>
      <c r="N456" s="26">
        <f>IFERROR(VLOOKUP($I456,'ITEM MASTER'!B:F,5,0),0)</f>
        <v/>
      </c>
      <c r="O456" s="26">
        <f>IFERROR(VLOOKUP($M456,'TBGS PER CTN'!B:C,2,0),0)</f>
        <v/>
      </c>
      <c r="P456" s="26" t="n">
        <v>500</v>
      </c>
      <c r="Q456" s="26" t="n">
        <v>0</v>
      </c>
      <c r="R456" s="26" t="n">
        <v>0</v>
      </c>
      <c r="S456" s="26">
        <f>Q456+R456</f>
        <v/>
      </c>
      <c r="T456" s="29" t="n">
        <v>500</v>
      </c>
      <c r="U456" s="29">
        <f>N456*O456*T456</f>
        <v/>
      </c>
      <c r="V456" s="82">
        <f>IF(ISNUMBER($D456),$D456-WEEKDAY($D456,3),'ORDER VS WEEK DISTRIBUTION'!$G$500)</f>
        <v/>
      </c>
      <c r="W456" s="82">
        <f>MAX($V456,'ORDER VS WEEK DISTRIBUTION'!$G$500)</f>
        <v/>
      </c>
      <c r="X456" s="26">
        <f>IFERROR(VLOOKUP($J456,'ORDER VS WEEK DISTRIBUTION'!$T:$U,2,0),"")</f>
        <v/>
      </c>
      <c r="Y456" s="26">
        <f>IFERROR($T456/IF(IFERROR(VLOOKUP($I456,'ITEM CFC PER CONTAINER'!$A:$B,2,0),0)&gt;0,VLOOKUP($I456,'ITEM CFC PER CONTAINER'!$A:$B,2,0),VLOOKUP($X456,'MC MASTER'!$A:$Q,16,0)),"")</f>
        <v/>
      </c>
    </row>
    <row r="457" ht="15" customHeight="1" s="5">
      <c r="A457" s="26" t="inlineStr">
        <is>
          <t>Everest International</t>
        </is>
      </c>
      <c r="B457" s="26" t="inlineStr">
        <is>
          <t>MJIL/SO/26053782</t>
        </is>
      </c>
      <c r="C457" s="26" t="inlineStr">
        <is>
          <t>MJ-120/26-27</t>
        </is>
      </c>
      <c r="D457" s="82" t="n">
        <v>46346</v>
      </c>
      <c r="E457" s="83">
        <f>IF(ISNUMBER($D457),EOMONTH($D457,-1)+1,"")</f>
        <v/>
      </c>
      <c r="F457" s="82" t="n">
        <v>46346</v>
      </c>
      <c r="G457" s="26" t="n">
        <v>2100</v>
      </c>
      <c r="H457" s="26">
        <f>B457&amp;I457</f>
        <v/>
      </c>
      <c r="I457" s="26" t="inlineStr">
        <is>
          <t>GV ROYAL LEMON 24/25 DC ENV TBGS</t>
        </is>
      </c>
      <c r="J457" s="30" t="inlineStr">
        <is>
          <t>CONSTANTA ENV</t>
        </is>
      </c>
      <c r="K457" s="26">
        <f>J457&amp;"-"&amp;TEXT(W457,"dd-mmm-yy")</f>
        <v/>
      </c>
      <c r="L457" s="26">
        <f>IFERROR(VLOOKUP($M457,'ITEM MASTER'!E:H,4,0),"")</f>
        <v/>
      </c>
      <c r="M457" s="26">
        <f>IFERROR(VLOOKUP($I457,'ITEM MASTER'!B:E,4,0),"")</f>
        <v/>
      </c>
      <c r="N457" s="26">
        <f>IFERROR(VLOOKUP($I457,'ITEM MASTER'!B:F,5,0),0)</f>
        <v/>
      </c>
      <c r="O457" s="26">
        <f>IFERROR(VLOOKUP($M457,'TBGS PER CTN'!B:C,2,0),0)</f>
        <v/>
      </c>
      <c r="P457" s="26" t="n">
        <v>500</v>
      </c>
      <c r="Q457" s="26" t="n">
        <v>0</v>
      </c>
      <c r="R457" s="26" t="n">
        <v>0</v>
      </c>
      <c r="S457" s="26">
        <f>Q457+R457</f>
        <v/>
      </c>
      <c r="T457" s="29" t="n">
        <v>500</v>
      </c>
      <c r="U457" s="29">
        <f>N457*O457*T457</f>
        <v/>
      </c>
      <c r="V457" s="82">
        <f>IF(ISNUMBER($D457),$D457-WEEKDAY($D457,3),'ORDER VS WEEK DISTRIBUTION'!$G$500)</f>
        <v/>
      </c>
      <c r="W457" s="82">
        <f>MAX($V457,'ORDER VS WEEK DISTRIBUTION'!$G$500)</f>
        <v/>
      </c>
      <c r="X457" s="26">
        <f>IFERROR(VLOOKUP($J457,'ORDER VS WEEK DISTRIBUTION'!$T:$U,2,0),"")</f>
        <v/>
      </c>
      <c r="Y457" s="26">
        <f>IFERROR($T457/IF(IFERROR(VLOOKUP($I457,'ITEM CFC PER CONTAINER'!$A:$B,2,0),0)&gt;0,VLOOKUP($I457,'ITEM CFC PER CONTAINER'!$A:$B,2,0),VLOOKUP($X457,'MC MASTER'!$A:$Q,16,0)),"")</f>
        <v/>
      </c>
    </row>
    <row r="458" ht="15" customHeight="1" s="5">
      <c r="A458" s="26" t="inlineStr">
        <is>
          <t>Everest International</t>
        </is>
      </c>
      <c r="B458" s="26" t="inlineStr">
        <is>
          <t>MJIL/SO/26053782</t>
        </is>
      </c>
      <c r="C458" s="26" t="inlineStr">
        <is>
          <t>MJ-120/26-27</t>
        </is>
      </c>
      <c r="D458" s="82" t="n">
        <v>46346</v>
      </c>
      <c r="E458" s="83">
        <f>IF(ISNUMBER($D458),EOMONTH($D458,-1)+1,"")</f>
        <v/>
      </c>
      <c r="F458" s="82" t="n">
        <v>46346</v>
      </c>
      <c r="G458" s="26" t="n">
        <v>1955</v>
      </c>
      <c r="H458" s="26">
        <f>B458&amp;I458</f>
        <v/>
      </c>
      <c r="I458" s="26" t="inlineStr">
        <is>
          <t>GV GREEN TEA 24/25 DC ENV TBGS</t>
        </is>
      </c>
      <c r="J458" s="30" t="inlineStr">
        <is>
          <t>CONSTANTA ENV</t>
        </is>
      </c>
      <c r="K458" s="26">
        <f>J458&amp;"-"&amp;TEXT(W458,"dd-mmm-yy")</f>
        <v/>
      </c>
      <c r="L458" s="26">
        <f>IFERROR(VLOOKUP($M458,'ITEM MASTER'!E:H,4,0),"")</f>
        <v/>
      </c>
      <c r="M458" s="26">
        <f>IFERROR(VLOOKUP($I458,'ITEM MASTER'!B:E,4,0),"")</f>
        <v/>
      </c>
      <c r="N458" s="26">
        <f>IFERROR(VLOOKUP($I458,'ITEM MASTER'!B:F,5,0),0)</f>
        <v/>
      </c>
      <c r="O458" s="26">
        <f>IFERROR(VLOOKUP($M458,'TBGS PER CTN'!B:C,2,0),0)</f>
        <v/>
      </c>
      <c r="P458" s="26" t="n">
        <v>300</v>
      </c>
      <c r="Q458" s="26" t="n">
        <v>0</v>
      </c>
      <c r="R458" s="26" t="n">
        <v>175</v>
      </c>
      <c r="S458" s="26">
        <f>Q458+R458</f>
        <v/>
      </c>
      <c r="T458" s="29" t="n">
        <v>125</v>
      </c>
      <c r="U458" s="29">
        <f>N458*O458*T458</f>
        <v/>
      </c>
      <c r="V458" s="82">
        <f>IF(ISNUMBER($D458),$D458-WEEKDAY($D458,3),'ORDER VS WEEK DISTRIBUTION'!$G$500)</f>
        <v/>
      </c>
      <c r="W458" s="82">
        <f>MAX($V458,'ORDER VS WEEK DISTRIBUTION'!$G$500)</f>
        <v/>
      </c>
      <c r="X458" s="26">
        <f>IFERROR(VLOOKUP($J458,'ORDER VS WEEK DISTRIBUTION'!$T:$U,2,0),"")</f>
        <v/>
      </c>
      <c r="Y458" s="26">
        <f>IFERROR($T458/IF(IFERROR(VLOOKUP($I458,'ITEM CFC PER CONTAINER'!$A:$B,2,0),0)&gt;0,VLOOKUP($I458,'ITEM CFC PER CONTAINER'!$A:$B,2,0),VLOOKUP($X458,'MC MASTER'!$A:$Q,16,0)),"")</f>
        <v/>
      </c>
    </row>
    <row r="459" ht="15" customHeight="1" s="5">
      <c r="A459" s="26" t="inlineStr">
        <is>
          <t>Everest International</t>
        </is>
      </c>
      <c r="B459" s="26" t="inlineStr">
        <is>
          <t>MJIL/SO/26053782</t>
        </is>
      </c>
      <c r="C459" s="26" t="inlineStr">
        <is>
          <t>MJ-120/26-27</t>
        </is>
      </c>
      <c r="D459" s="82" t="n">
        <v>46346</v>
      </c>
      <c r="E459" s="83">
        <f>IF(ISNUMBER($D459),EOMONTH($D459,-1)+1,"")</f>
        <v/>
      </c>
      <c r="F459" s="82" t="n">
        <v>46346</v>
      </c>
      <c r="G459" s="26" t="n">
        <v>1925</v>
      </c>
      <c r="H459" s="26">
        <f>B459&amp;I459</f>
        <v/>
      </c>
      <c r="I459" s="26" t="inlineStr">
        <is>
          <t>GV GARDEN STRAWBERRY 24/25 DC ENV TBGS</t>
        </is>
      </c>
      <c r="J459" s="30" t="inlineStr">
        <is>
          <t>CONSTANTA ENV</t>
        </is>
      </c>
      <c r="K459" s="26">
        <f>J459&amp;"-"&amp;TEXT(W459,"dd-mmm-yy")</f>
        <v/>
      </c>
      <c r="L459" s="26">
        <f>IFERROR(VLOOKUP($M459,'ITEM MASTER'!E:H,4,0),"")</f>
        <v/>
      </c>
      <c r="M459" s="26">
        <f>IFERROR(VLOOKUP($I459,'ITEM MASTER'!B:E,4,0),"")</f>
        <v/>
      </c>
      <c r="N459" s="26">
        <f>IFERROR(VLOOKUP($I459,'ITEM MASTER'!B:F,5,0),0)</f>
        <v/>
      </c>
      <c r="O459" s="26">
        <f>IFERROR(VLOOKUP($M459,'TBGS PER CTN'!B:C,2,0),0)</f>
        <v/>
      </c>
      <c r="P459" s="26" t="n">
        <v>300</v>
      </c>
      <c r="Q459" s="26" t="n">
        <v>0</v>
      </c>
      <c r="R459" s="26" t="n">
        <v>0</v>
      </c>
      <c r="S459" s="26">
        <f>Q459+R459</f>
        <v/>
      </c>
      <c r="T459" s="29" t="n">
        <v>300</v>
      </c>
      <c r="U459" s="29">
        <f>N459*O459*T459</f>
        <v/>
      </c>
      <c r="V459" s="82">
        <f>IF(ISNUMBER($D459),$D459-WEEKDAY($D459,3),'ORDER VS WEEK DISTRIBUTION'!$G$500)</f>
        <v/>
      </c>
      <c r="W459" s="82">
        <f>MAX($V459,'ORDER VS WEEK DISTRIBUTION'!$G$500)</f>
        <v/>
      </c>
      <c r="X459" s="26">
        <f>IFERROR(VLOOKUP($J459,'ORDER VS WEEK DISTRIBUTION'!$T:$U,2,0),"")</f>
        <v/>
      </c>
      <c r="Y459" s="26">
        <f>IFERROR($T459/IF(IFERROR(VLOOKUP($I459,'ITEM CFC PER CONTAINER'!$A:$B,2,0),0)&gt;0,VLOOKUP($I459,'ITEM CFC PER CONTAINER'!$A:$B,2,0),VLOOKUP($X459,'MC MASTER'!$A:$Q,16,0)),"")</f>
        <v/>
      </c>
    </row>
    <row r="460" ht="15" customHeight="1" s="5">
      <c r="A460" s="26" t="inlineStr">
        <is>
          <t>Everest International</t>
        </is>
      </c>
      <c r="B460" s="26" t="inlineStr">
        <is>
          <t>MJIL/SO/26053782</t>
        </is>
      </c>
      <c r="C460" s="26" t="inlineStr">
        <is>
          <t>MJ-120/26-27</t>
        </is>
      </c>
      <c r="D460" s="82" t="n">
        <v>46346</v>
      </c>
      <c r="E460" s="83">
        <f>IF(ISNUMBER($D460),EOMONTH($D460,-1)+1,"")</f>
        <v/>
      </c>
      <c r="F460" s="82" t="n">
        <v>46346</v>
      </c>
      <c r="G460" s="26" t="n">
        <v>21048</v>
      </c>
      <c r="H460" s="26">
        <f>B460&amp;I460</f>
        <v/>
      </c>
      <c r="I460" s="26" t="inlineStr">
        <is>
          <t>GV TAMARIND 24/25 DC ENV TBGS</t>
        </is>
      </c>
      <c r="J460" s="30" t="inlineStr">
        <is>
          <t>CONSTANTA ENV</t>
        </is>
      </c>
      <c r="K460" s="26">
        <f>J460&amp;"-"&amp;TEXT(W460,"dd-mmm-yy")</f>
        <v/>
      </c>
      <c r="L460" s="26">
        <f>IFERROR(VLOOKUP($M460,'ITEM MASTER'!E:H,4,0),"")</f>
        <v/>
      </c>
      <c r="M460" s="26">
        <f>IFERROR(VLOOKUP($I460,'ITEM MASTER'!B:E,4,0),"")</f>
        <v/>
      </c>
      <c r="N460" s="26">
        <f>IFERROR(VLOOKUP($I460,'ITEM MASTER'!B:F,5,0),0)</f>
        <v/>
      </c>
      <c r="O460" s="26">
        <f>IFERROR(VLOOKUP($M460,'TBGS PER CTN'!B:C,2,0),0)</f>
        <v/>
      </c>
      <c r="P460" s="26" t="n">
        <v>300</v>
      </c>
      <c r="Q460" s="26" t="n">
        <v>0</v>
      </c>
      <c r="R460" s="26" t="n">
        <v>0</v>
      </c>
      <c r="S460" s="26">
        <f>Q460+R460</f>
        <v/>
      </c>
      <c r="T460" s="29" t="n">
        <v>300</v>
      </c>
      <c r="U460" s="29">
        <f>N460*O460*T460</f>
        <v/>
      </c>
      <c r="V460" s="82">
        <f>IF(ISNUMBER($D460),$D460-WEEKDAY($D460,3),'ORDER VS WEEK DISTRIBUTION'!$G$500)</f>
        <v/>
      </c>
      <c r="W460" s="82">
        <f>MAX($V460,'ORDER VS WEEK DISTRIBUTION'!$G$500)</f>
        <v/>
      </c>
      <c r="X460" s="26">
        <f>IFERROR(VLOOKUP($J460,'ORDER VS WEEK DISTRIBUTION'!$T:$U,2,0),"")</f>
        <v/>
      </c>
      <c r="Y460" s="26">
        <f>IFERROR($T460/IF(IFERROR(VLOOKUP($I460,'ITEM CFC PER CONTAINER'!$A:$B,2,0),0)&gt;0,VLOOKUP($I460,'ITEM CFC PER CONTAINER'!$A:$B,2,0),VLOOKUP($X460,'MC MASTER'!$A:$Q,16,0)),"")</f>
        <v/>
      </c>
    </row>
    <row r="461" ht="15" customHeight="1" s="5">
      <c r="A461" s="26" t="inlineStr">
        <is>
          <t>Everest International</t>
        </is>
      </c>
      <c r="B461" s="26" t="inlineStr">
        <is>
          <t>MJIL/SO/26053782</t>
        </is>
      </c>
      <c r="C461" s="26" t="inlineStr">
        <is>
          <t>MJ-120/26-27</t>
        </is>
      </c>
      <c r="D461" s="82" t="n">
        <v>46346</v>
      </c>
      <c r="E461" s="83">
        <f>IF(ISNUMBER($D461),EOMONTH($D461,-1)+1,"")</f>
        <v/>
      </c>
      <c r="F461" s="82" t="n">
        <v>46346</v>
      </c>
      <c r="G461" s="26" t="n">
        <v>21686</v>
      </c>
      <c r="H461" s="26">
        <f>B461&amp;I461</f>
        <v/>
      </c>
      <c r="I461" s="26" t="inlineStr">
        <is>
          <t>GV GREEN TEA MORINGA 24/25 DC ENV TBGS</t>
        </is>
      </c>
      <c r="J461" s="30" t="inlineStr">
        <is>
          <t>CONSTANTA ENV</t>
        </is>
      </c>
      <c r="K461" s="26">
        <f>J461&amp;"-"&amp;TEXT(W461,"dd-mmm-yy")</f>
        <v/>
      </c>
      <c r="L461" s="26">
        <f>IFERROR(VLOOKUP($M461,'ITEM MASTER'!E:H,4,0),"")</f>
        <v/>
      </c>
      <c r="M461" s="26">
        <f>IFERROR(VLOOKUP($I461,'ITEM MASTER'!B:E,4,0),"")</f>
        <v/>
      </c>
      <c r="N461" s="26">
        <f>IFERROR(VLOOKUP($I461,'ITEM MASTER'!B:F,5,0),0)</f>
        <v/>
      </c>
      <c r="O461" s="26">
        <f>IFERROR(VLOOKUP($M461,'TBGS PER CTN'!B:C,2,0),0)</f>
        <v/>
      </c>
      <c r="P461" s="26" t="n">
        <v>300</v>
      </c>
      <c r="Q461" s="26" t="n">
        <v>0</v>
      </c>
      <c r="R461" s="26" t="n">
        <v>0</v>
      </c>
      <c r="S461" s="26">
        <f>Q461+R461</f>
        <v/>
      </c>
      <c r="T461" s="29" t="n">
        <v>300</v>
      </c>
      <c r="U461" s="29">
        <f>N461*O461*T461</f>
        <v/>
      </c>
      <c r="V461" s="82">
        <f>IF(ISNUMBER($D461),$D461-WEEKDAY($D461,3),'ORDER VS WEEK DISTRIBUTION'!$G$500)</f>
        <v/>
      </c>
      <c r="W461" s="82">
        <f>MAX($V461,'ORDER VS WEEK DISTRIBUTION'!$G$500)</f>
        <v/>
      </c>
      <c r="X461" s="26">
        <f>IFERROR(VLOOKUP($J461,'ORDER VS WEEK DISTRIBUTION'!$T:$U,2,0),"")</f>
        <v/>
      </c>
      <c r="Y461" s="26">
        <f>IFERROR($T461/IF(IFERROR(VLOOKUP($I461,'ITEM CFC PER CONTAINER'!$A:$B,2,0),0)&gt;0,VLOOKUP($I461,'ITEM CFC PER CONTAINER'!$A:$B,2,0),VLOOKUP($X461,'MC MASTER'!$A:$Q,16,0)),"")</f>
        <v/>
      </c>
    </row>
    <row r="462" ht="15" customHeight="1" s="5">
      <c r="A462" s="26" t="inlineStr">
        <is>
          <t>Everest International</t>
        </is>
      </c>
      <c r="B462" s="26" t="inlineStr">
        <is>
          <t>MJIL/SO/26053782</t>
        </is>
      </c>
      <c r="C462" s="26" t="inlineStr">
        <is>
          <t>MJ-120/26-27</t>
        </is>
      </c>
      <c r="D462" s="82" t="n">
        <v>46346</v>
      </c>
      <c r="E462" s="83">
        <f>IF(ISNUMBER($D462),EOMONTH($D462,-1)+1,"")</f>
        <v/>
      </c>
      <c r="F462" s="82" t="n">
        <v>46346</v>
      </c>
      <c r="G462" s="26" t="n">
        <v>21166</v>
      </c>
      <c r="H462" s="26">
        <f>B462&amp;I462</f>
        <v/>
      </c>
      <c r="I462" s="26" t="inlineStr">
        <is>
          <t>GV LEMON GRASS 24/25 DC ENV TBGS</t>
        </is>
      </c>
      <c r="J462" s="30" t="inlineStr">
        <is>
          <t>CONSTANTA ENV</t>
        </is>
      </c>
      <c r="K462" s="26">
        <f>J462&amp;"-"&amp;TEXT(W462,"dd-mmm-yy")</f>
        <v/>
      </c>
      <c r="L462" s="26">
        <f>IFERROR(VLOOKUP($M462,'ITEM MASTER'!E:H,4,0),"")</f>
        <v/>
      </c>
      <c r="M462" s="26">
        <f>IFERROR(VLOOKUP($I462,'ITEM MASTER'!B:E,4,0),"")</f>
        <v/>
      </c>
      <c r="N462" s="26">
        <f>IFERROR(VLOOKUP($I462,'ITEM MASTER'!B:F,5,0),0)</f>
        <v/>
      </c>
      <c r="O462" s="26">
        <f>IFERROR(VLOOKUP($M462,'TBGS PER CTN'!B:C,2,0),0)</f>
        <v/>
      </c>
      <c r="P462" s="26" t="n">
        <v>300</v>
      </c>
      <c r="Q462" s="26" t="n">
        <v>0</v>
      </c>
      <c r="R462" s="26" t="n">
        <v>0</v>
      </c>
      <c r="S462" s="26">
        <f>Q462+R462</f>
        <v/>
      </c>
      <c r="T462" s="29" t="n">
        <v>300</v>
      </c>
      <c r="U462" s="29">
        <f>N462*O462*T462</f>
        <v/>
      </c>
      <c r="V462" s="82">
        <f>IF(ISNUMBER($D462),$D462-WEEKDAY($D462,3),'ORDER VS WEEK DISTRIBUTION'!$G$500)</f>
        <v/>
      </c>
      <c r="W462" s="82">
        <f>MAX($V462,'ORDER VS WEEK DISTRIBUTION'!$G$500)</f>
        <v/>
      </c>
      <c r="X462" s="26">
        <f>IFERROR(VLOOKUP($J462,'ORDER VS WEEK DISTRIBUTION'!$T:$U,2,0),"")</f>
        <v/>
      </c>
      <c r="Y462" s="26">
        <f>IFERROR($T462/IF(IFERROR(VLOOKUP($I462,'ITEM CFC PER CONTAINER'!$A:$B,2,0),0)&gt;0,VLOOKUP($I462,'ITEM CFC PER CONTAINER'!$A:$B,2,0),VLOOKUP($X462,'MC MASTER'!$A:$Q,16,0)),"")</f>
        <v/>
      </c>
    </row>
    <row r="463" ht="15" customHeight="1" s="5">
      <c r="A463" s="26" t="inlineStr">
        <is>
          <t>Everest International</t>
        </is>
      </c>
      <c r="B463" s="26" t="inlineStr">
        <is>
          <t>MJIL/SO/26053782</t>
        </is>
      </c>
      <c r="C463" s="26" t="inlineStr">
        <is>
          <t>MJ-120/26-27</t>
        </is>
      </c>
      <c r="D463" s="82" t="n">
        <v>46346</v>
      </c>
      <c r="E463" s="83">
        <f>IF(ISNUMBER($D463),EOMONTH($D463,-1)+1,"")</f>
        <v/>
      </c>
      <c r="F463" s="82" t="n">
        <v>46346</v>
      </c>
      <c r="G463" s="26" t="n">
        <v>20042</v>
      </c>
      <c r="H463" s="26">
        <f>B463&amp;I463</f>
        <v/>
      </c>
      <c r="I463" s="26" t="inlineStr">
        <is>
          <t>GV CRANBERRY APPLE 24/25 DC ENV TBGS (AR) - 2GMS</t>
        </is>
      </c>
      <c r="J463" s="30" t="inlineStr">
        <is>
          <t>CONSTANTA ENV</t>
        </is>
      </c>
      <c r="K463" s="26">
        <f>J463&amp;"-"&amp;TEXT(W463,"dd-mmm-yy")</f>
        <v/>
      </c>
      <c r="L463" s="26">
        <f>IFERROR(VLOOKUP($M463,'ITEM MASTER'!E:H,4,0),"")</f>
        <v/>
      </c>
      <c r="M463" s="26">
        <f>IFERROR(VLOOKUP($I463,'ITEM MASTER'!B:E,4,0),"")</f>
        <v/>
      </c>
      <c r="N463" s="26">
        <f>IFERROR(VLOOKUP($I463,'ITEM MASTER'!B:F,5,0),0)</f>
        <v/>
      </c>
      <c r="O463" s="26">
        <f>IFERROR(VLOOKUP($M463,'TBGS PER CTN'!B:C,2,0),0)</f>
        <v/>
      </c>
      <c r="P463" s="26" t="n">
        <v>300</v>
      </c>
      <c r="Q463" s="26" t="n">
        <v>0</v>
      </c>
      <c r="R463" s="26" t="n">
        <v>0</v>
      </c>
      <c r="S463" s="26">
        <f>Q463+R463</f>
        <v/>
      </c>
      <c r="T463" s="29" t="n">
        <v>300</v>
      </c>
      <c r="U463" s="29">
        <f>N463*O463*T463</f>
        <v/>
      </c>
      <c r="V463" s="82">
        <f>IF(ISNUMBER($D463),$D463-WEEKDAY($D463,3),'ORDER VS WEEK DISTRIBUTION'!$G$500)</f>
        <v/>
      </c>
      <c r="W463" s="82">
        <f>MAX($V463,'ORDER VS WEEK DISTRIBUTION'!$G$500)</f>
        <v/>
      </c>
      <c r="X463" s="26">
        <f>IFERROR(VLOOKUP($J463,'ORDER VS WEEK DISTRIBUTION'!$T:$U,2,0),"")</f>
        <v/>
      </c>
      <c r="Y463" s="26">
        <f>IFERROR($T463/IF(IFERROR(VLOOKUP($I463,'ITEM CFC PER CONTAINER'!$A:$B,2,0),0)&gt;0,VLOOKUP($I463,'ITEM CFC PER CONTAINER'!$A:$B,2,0),VLOOKUP($X463,'MC MASTER'!$A:$Q,16,0)),"")</f>
        <v/>
      </c>
    </row>
    <row r="464" ht="15" customHeight="1" s="5">
      <c r="A464" s="26" t="inlineStr">
        <is>
          <t>Saran Enterprises Ltd.</t>
        </is>
      </c>
      <c r="B464" s="26" t="inlineStr">
        <is>
          <t>MJIL/SO/26046416</t>
        </is>
      </c>
      <c r="C464" s="26" t="inlineStr">
        <is>
          <t>PO 07092026/02 - ICA</t>
        </is>
      </c>
      <c r="D464" s="82" t="n">
        <v>46347</v>
      </c>
      <c r="E464" s="83">
        <f>IF(ISNUMBER($D464),EOMONTH($D464,-1)+1,"")</f>
        <v/>
      </c>
      <c r="F464" s="82" t="n">
        <v>46347</v>
      </c>
      <c r="G464" s="26" t="n">
        <v>36182</v>
      </c>
      <c r="H464" s="26">
        <f>B464&amp;I464</f>
        <v/>
      </c>
      <c r="I464" s="26" t="inlineStr">
        <is>
          <t>ICA CEYLON 12/100 DC SF TAG TBGS</t>
        </is>
      </c>
      <c r="J464" s="26" t="inlineStr">
        <is>
          <t>PERFECTA  K 45 TAG</t>
        </is>
      </c>
      <c r="K464" s="26">
        <f>J464&amp;"-"&amp;TEXT(W464,"dd-mmm-yy")</f>
        <v/>
      </c>
      <c r="L464" s="26">
        <f>IFERROR(VLOOKUP($M464,'ITEM MASTER'!E:H,4,0),"")</f>
        <v/>
      </c>
      <c r="M464" s="26">
        <f>IFERROR(VLOOKUP($I464,'ITEM MASTER'!B:E,4,0),"")</f>
        <v/>
      </c>
      <c r="N464" s="26">
        <f>IFERROR(VLOOKUP($I464,'ITEM MASTER'!B:F,5,0),0)</f>
        <v/>
      </c>
      <c r="O464" s="26">
        <f>IFERROR(VLOOKUP($M464,'TBGS PER CTN'!B:C,2,0),0)</f>
        <v/>
      </c>
      <c r="P464" s="26" t="n">
        <v>448</v>
      </c>
      <c r="Q464" s="26" t="n">
        <v>0</v>
      </c>
      <c r="R464" s="26" t="n">
        <v>0</v>
      </c>
      <c r="S464" s="26">
        <f>Q464+R464</f>
        <v/>
      </c>
      <c r="T464" s="29" t="n">
        <v>448</v>
      </c>
      <c r="U464" s="29">
        <f>N464*O464*T464</f>
        <v/>
      </c>
      <c r="V464" s="82">
        <f>IF(ISNUMBER($D464),$D464-WEEKDAY($D464,3),'ORDER VS WEEK DISTRIBUTION'!$G$500)</f>
        <v/>
      </c>
      <c r="W464" s="82">
        <f>MAX($V464,'ORDER VS WEEK DISTRIBUTION'!$G$500)</f>
        <v/>
      </c>
      <c r="X464" s="26">
        <f>IFERROR(VLOOKUP($J464,'ORDER VS WEEK DISTRIBUTION'!$T:$U,2,0),"")</f>
        <v/>
      </c>
      <c r="Y464" s="26">
        <f>IFERROR($T464/IF(IFERROR(VLOOKUP($I464,'ITEM CFC PER CONTAINER'!$A:$B,2,0),0)&gt;0,VLOOKUP($I464,'ITEM CFC PER CONTAINER'!$A:$B,2,0),VLOOKUP($X464,'MC MASTER'!$A:$Q,16,0)),"")</f>
        <v/>
      </c>
    </row>
    <row r="465" ht="15" customHeight="1" s="5">
      <c r="A465" s="26" t="inlineStr">
        <is>
          <t>Saran Enterprises Ltd.</t>
        </is>
      </c>
      <c r="B465" s="26" t="inlineStr">
        <is>
          <t>MJIL/SO/26046416</t>
        </is>
      </c>
      <c r="C465" s="26" t="inlineStr">
        <is>
          <t>PO 07092026/02 - ICA</t>
        </is>
      </c>
      <c r="D465" s="82" t="n">
        <v>46347</v>
      </c>
      <c r="E465" s="83">
        <f>IF(ISNUMBER($D465),EOMONTH($D465,-1)+1,"")</f>
        <v/>
      </c>
      <c r="F465" s="82" t="n">
        <v>46347</v>
      </c>
      <c r="G465" s="26" t="n">
        <v>36186</v>
      </c>
      <c r="H465" s="26">
        <f>B465&amp;I465</f>
        <v/>
      </c>
      <c r="I465" s="26" t="inlineStr">
        <is>
          <t>ICA CHAI 12/20 DC SF ENV TBGS</t>
        </is>
      </c>
      <c r="J465" s="26" t="inlineStr">
        <is>
          <t>C250</t>
        </is>
      </c>
      <c r="K465" s="26">
        <f>J465&amp;"-"&amp;TEXT(W465,"dd-mmm-yy")</f>
        <v/>
      </c>
      <c r="L465" s="26">
        <f>IFERROR(VLOOKUP($M465,'ITEM MASTER'!E:H,4,0),"")</f>
        <v/>
      </c>
      <c r="M465" s="26">
        <f>IFERROR(VLOOKUP($I465,'ITEM MASTER'!B:E,4,0),"")</f>
        <v/>
      </c>
      <c r="N465" s="26">
        <f>IFERROR(VLOOKUP($I465,'ITEM MASTER'!B:F,5,0),0)</f>
        <v/>
      </c>
      <c r="O465" s="26">
        <f>IFERROR(VLOOKUP($M465,'TBGS PER CTN'!B:C,2,0),0)</f>
        <v/>
      </c>
      <c r="P465" s="26" t="n">
        <v>1904</v>
      </c>
      <c r="Q465" s="26" t="n">
        <v>0</v>
      </c>
      <c r="R465" s="26" t="n">
        <v>0</v>
      </c>
      <c r="S465" s="26">
        <f>Q465+R465</f>
        <v/>
      </c>
      <c r="T465" s="29" t="n">
        <v>1904</v>
      </c>
      <c r="U465" s="29">
        <f>N465*O465*T465</f>
        <v/>
      </c>
      <c r="V465" s="82">
        <f>IF(ISNUMBER($D465),$D465-WEEKDAY($D465,3),'ORDER VS WEEK DISTRIBUTION'!$G$500)</f>
        <v/>
      </c>
      <c r="W465" s="82">
        <f>MAX($V465,'ORDER VS WEEK DISTRIBUTION'!$G$500)</f>
        <v/>
      </c>
      <c r="X465" s="26">
        <f>IFERROR(VLOOKUP($J465,'ORDER VS WEEK DISTRIBUTION'!$T:$U,2,0),"")</f>
        <v/>
      </c>
      <c r="Y465" s="26">
        <f>IFERROR($T465/IF(IFERROR(VLOOKUP($I465,'ITEM CFC PER CONTAINER'!$A:$B,2,0),0)&gt;0,VLOOKUP($I465,'ITEM CFC PER CONTAINER'!$A:$B,2,0),VLOOKUP($X465,'MC MASTER'!$A:$Q,16,0)),"")</f>
        <v/>
      </c>
    </row>
    <row r="466" ht="15" customHeight="1" s="5">
      <c r="A466" s="26" t="inlineStr">
        <is>
          <t>Saran Enterprises Ltd.</t>
        </is>
      </c>
      <c r="B466" s="26" t="inlineStr">
        <is>
          <t>MJIL/SO/26046416</t>
        </is>
      </c>
      <c r="C466" s="26" t="inlineStr">
        <is>
          <t>PO 07092026/02 - ICA</t>
        </is>
      </c>
      <c r="D466" s="82" t="n">
        <v>46347</v>
      </c>
      <c r="E466" s="83">
        <f>IF(ISNUMBER($D466),EOMONTH($D466,-1)+1,"")</f>
        <v/>
      </c>
      <c r="F466" s="82" t="n">
        <v>46347</v>
      </c>
      <c r="G466" s="26" t="n">
        <v>36190</v>
      </c>
      <c r="H466" s="26">
        <f>B466&amp;I466</f>
        <v/>
      </c>
      <c r="I466" s="26" t="inlineStr">
        <is>
          <t>ICA SODERBLOM 12/20 DC SF ENV TBGS</t>
        </is>
      </c>
      <c r="J466" s="26" t="inlineStr">
        <is>
          <t>C250</t>
        </is>
      </c>
      <c r="K466" s="26">
        <f>J466&amp;"-"&amp;TEXT(W466,"dd-mmm-yy")</f>
        <v/>
      </c>
      <c r="L466" s="26">
        <f>IFERROR(VLOOKUP($M466,'ITEM MASTER'!E:H,4,0),"")</f>
        <v/>
      </c>
      <c r="M466" s="26">
        <f>IFERROR(VLOOKUP($I466,'ITEM MASTER'!B:E,4,0),"")</f>
        <v/>
      </c>
      <c r="N466" s="26">
        <f>IFERROR(VLOOKUP($I466,'ITEM MASTER'!B:F,5,0),0)</f>
        <v/>
      </c>
      <c r="O466" s="26">
        <f>IFERROR(VLOOKUP($M466,'TBGS PER CTN'!B:C,2,0),0)</f>
        <v/>
      </c>
      <c r="P466" s="26" t="n">
        <v>560</v>
      </c>
      <c r="Q466" s="26" t="n">
        <v>0</v>
      </c>
      <c r="R466" s="26" t="n">
        <v>0</v>
      </c>
      <c r="S466" s="26">
        <f>Q466+R466</f>
        <v/>
      </c>
      <c r="T466" s="29" t="n">
        <v>560</v>
      </c>
      <c r="U466" s="29">
        <f>N466*O466*T466</f>
        <v/>
      </c>
      <c r="V466" s="82">
        <f>IF(ISNUMBER($D466),$D466-WEEKDAY($D466,3),'ORDER VS WEEK DISTRIBUTION'!$G$500)</f>
        <v/>
      </c>
      <c r="W466" s="82">
        <f>MAX($V466,'ORDER VS WEEK DISTRIBUTION'!$G$500)</f>
        <v/>
      </c>
      <c r="X466" s="26">
        <f>IFERROR(VLOOKUP($J466,'ORDER VS WEEK DISTRIBUTION'!$T:$U,2,0),"")</f>
        <v/>
      </c>
      <c r="Y466" s="26">
        <f>IFERROR($T466/IF(IFERROR(VLOOKUP($I466,'ITEM CFC PER CONTAINER'!$A:$B,2,0),0)&gt;0,VLOOKUP($I466,'ITEM CFC PER CONTAINER'!$A:$B,2,0),VLOOKUP($X466,'MC MASTER'!$A:$Q,16,0)),"")</f>
        <v/>
      </c>
    </row>
    <row r="467" ht="15" customHeight="1" s="5">
      <c r="A467" s="26" t="inlineStr">
        <is>
          <t>Saran Enterprises Ltd.</t>
        </is>
      </c>
      <c r="B467" s="26" t="inlineStr">
        <is>
          <t>MJIL/SO/26046416</t>
        </is>
      </c>
      <c r="C467" s="26" t="inlineStr">
        <is>
          <t>PO 07092026/02 - ICA</t>
        </is>
      </c>
      <c r="D467" s="82" t="n">
        <v>46347</v>
      </c>
      <c r="E467" s="83">
        <f>IF(ISNUMBER($D467),EOMONTH($D467,-1)+1,"")</f>
        <v/>
      </c>
      <c r="F467" s="82" t="n">
        <v>46347</v>
      </c>
      <c r="G467" s="26" t="n">
        <v>36192</v>
      </c>
      <c r="H467" s="26">
        <f>B467&amp;I467</f>
        <v/>
      </c>
      <c r="I467" s="26" t="inlineStr">
        <is>
          <t>ICA FOREST FRUIT 12/20 DC SF ENV TBGS</t>
        </is>
      </c>
      <c r="J467" s="26" t="inlineStr">
        <is>
          <t>C250</t>
        </is>
      </c>
      <c r="K467" s="26">
        <f>J467&amp;"-"&amp;TEXT(W467,"dd-mmm-yy")</f>
        <v/>
      </c>
      <c r="L467" s="26">
        <f>IFERROR(VLOOKUP($M467,'ITEM MASTER'!E:H,4,0),"")</f>
        <v/>
      </c>
      <c r="M467" s="26">
        <f>IFERROR(VLOOKUP($I467,'ITEM MASTER'!B:E,4,0),"")</f>
        <v/>
      </c>
      <c r="N467" s="26">
        <f>IFERROR(VLOOKUP($I467,'ITEM MASTER'!B:F,5,0),0)</f>
        <v/>
      </c>
      <c r="O467" s="26">
        <f>IFERROR(VLOOKUP($M467,'TBGS PER CTN'!B:C,2,0),0)</f>
        <v/>
      </c>
      <c r="P467" s="26" t="n">
        <v>1008</v>
      </c>
      <c r="Q467" s="26" t="n">
        <v>0</v>
      </c>
      <c r="R467" s="26" t="n">
        <v>0</v>
      </c>
      <c r="S467" s="26">
        <f>Q467+R467</f>
        <v/>
      </c>
      <c r="T467" s="29" t="n">
        <v>1008</v>
      </c>
      <c r="U467" s="29">
        <f>N467*O467*T467</f>
        <v/>
      </c>
      <c r="V467" s="82">
        <f>IF(ISNUMBER($D467),$D467-WEEKDAY($D467,3),'ORDER VS WEEK DISTRIBUTION'!$G$500)</f>
        <v/>
      </c>
      <c r="W467" s="82">
        <f>MAX($V467,'ORDER VS WEEK DISTRIBUTION'!$G$500)</f>
        <v/>
      </c>
      <c r="X467" s="26">
        <f>IFERROR(VLOOKUP($J467,'ORDER VS WEEK DISTRIBUTION'!$T:$U,2,0),"")</f>
        <v/>
      </c>
      <c r="Y467" s="26">
        <f>IFERROR($T467/IF(IFERROR(VLOOKUP($I467,'ITEM CFC PER CONTAINER'!$A:$B,2,0),0)&gt;0,VLOOKUP($I467,'ITEM CFC PER CONTAINER'!$A:$B,2,0),VLOOKUP($X467,'MC MASTER'!$A:$Q,16,0)),"")</f>
        <v/>
      </c>
    </row>
    <row r="468" ht="15" customHeight="1" s="5">
      <c r="A468" s="26" t="inlineStr">
        <is>
          <t>Saran Enterprises Ltd.</t>
        </is>
      </c>
      <c r="B468" s="26" t="inlineStr">
        <is>
          <t>MJIL/SO/26046416</t>
        </is>
      </c>
      <c r="C468" s="26" t="inlineStr">
        <is>
          <t>PO 07092026/02 - ICA</t>
        </is>
      </c>
      <c r="D468" s="82" t="n">
        <v>46347</v>
      </c>
      <c r="E468" s="83">
        <f>IF(ISNUMBER($D468),EOMONTH($D468,-1)+1,"")</f>
        <v/>
      </c>
      <c r="F468" s="82" t="n">
        <v>46347</v>
      </c>
      <c r="G468" s="26" t="n">
        <v>36195</v>
      </c>
      <c r="H468" s="26">
        <f>B468&amp;I468</f>
        <v/>
      </c>
      <c r="I468" s="26" t="inlineStr">
        <is>
          <t>ICA GREEN TEA LEMON 12/20 DC SF ENV TBGS</t>
        </is>
      </c>
      <c r="J468" s="26" t="inlineStr">
        <is>
          <t>C250</t>
        </is>
      </c>
      <c r="K468" s="26">
        <f>J468&amp;"-"&amp;TEXT(W468,"dd-mmm-yy")</f>
        <v/>
      </c>
      <c r="L468" s="26">
        <f>IFERROR(VLOOKUP($M468,'ITEM MASTER'!E:H,4,0),"")</f>
        <v/>
      </c>
      <c r="M468" s="26">
        <f>IFERROR(VLOOKUP($I468,'ITEM MASTER'!B:E,4,0),"")</f>
        <v/>
      </c>
      <c r="N468" s="26">
        <f>IFERROR(VLOOKUP($I468,'ITEM MASTER'!B:F,5,0),0)</f>
        <v/>
      </c>
      <c r="O468" s="26">
        <f>IFERROR(VLOOKUP($M468,'TBGS PER CTN'!B:C,2,0),0)</f>
        <v/>
      </c>
      <c r="P468" s="26" t="n">
        <v>448</v>
      </c>
      <c r="Q468" s="26" t="n">
        <v>0</v>
      </c>
      <c r="R468" s="26" t="n">
        <v>0</v>
      </c>
      <c r="S468" s="26">
        <f>Q468+R468</f>
        <v/>
      </c>
      <c r="T468" s="29" t="n">
        <v>448</v>
      </c>
      <c r="U468" s="29">
        <f>N468*O468*T468</f>
        <v/>
      </c>
      <c r="V468" s="82">
        <f>IF(ISNUMBER($D468),$D468-WEEKDAY($D468,3),'ORDER VS WEEK DISTRIBUTION'!$G$500)</f>
        <v/>
      </c>
      <c r="W468" s="82">
        <f>MAX($V468,'ORDER VS WEEK DISTRIBUTION'!$G$500)</f>
        <v/>
      </c>
      <c r="X468" s="26">
        <f>IFERROR(VLOOKUP($J468,'ORDER VS WEEK DISTRIBUTION'!$T:$U,2,0),"")</f>
        <v/>
      </c>
      <c r="Y468" s="26">
        <f>IFERROR($T468/IF(IFERROR(VLOOKUP($I468,'ITEM CFC PER CONTAINER'!$A:$B,2,0),0)&gt;0,VLOOKUP($I468,'ITEM CFC PER CONTAINER'!$A:$B,2,0),VLOOKUP($X468,'MC MASTER'!$A:$Q,16,0)),"")</f>
        <v/>
      </c>
    </row>
    <row r="469" ht="15" customHeight="1" s="5">
      <c r="A469" s="26" t="inlineStr">
        <is>
          <t>Saran Enterprises Ltd.</t>
        </is>
      </c>
      <c r="B469" s="26" t="inlineStr">
        <is>
          <t>MJIL/SO/26046416</t>
        </is>
      </c>
      <c r="C469" s="26" t="inlineStr">
        <is>
          <t>PO 07092026/02 - ICA</t>
        </is>
      </c>
      <c r="D469" s="82" t="n">
        <v>46347</v>
      </c>
      <c r="E469" s="83">
        <f>IF(ISNUMBER($D469),EOMONTH($D469,-1)+1,"")</f>
        <v/>
      </c>
      <c r="F469" s="82" t="n">
        <v>46347</v>
      </c>
      <c r="G469" s="26" t="n">
        <v>36196</v>
      </c>
      <c r="H469" s="26">
        <f>B469&amp;I469</f>
        <v/>
      </c>
      <c r="I469" s="26" t="inlineStr">
        <is>
          <t>ICA GREEN TEA ORANGE GINGER 12/20 DC SF ENV TBGS</t>
        </is>
      </c>
      <c r="J469" s="26" t="inlineStr">
        <is>
          <t>C250</t>
        </is>
      </c>
      <c r="K469" s="26">
        <f>J469&amp;"-"&amp;TEXT(W469,"dd-mmm-yy")</f>
        <v/>
      </c>
      <c r="L469" s="26">
        <f>IFERROR(VLOOKUP($M469,'ITEM MASTER'!E:H,4,0),"")</f>
        <v/>
      </c>
      <c r="M469" s="26">
        <f>IFERROR(VLOOKUP($I469,'ITEM MASTER'!B:E,4,0),"")</f>
        <v/>
      </c>
      <c r="N469" s="26">
        <f>IFERROR(VLOOKUP($I469,'ITEM MASTER'!B:F,5,0),0)</f>
        <v/>
      </c>
      <c r="O469" s="26">
        <f>IFERROR(VLOOKUP($M469,'TBGS PER CTN'!B:C,2,0),0)</f>
        <v/>
      </c>
      <c r="P469" s="26" t="n">
        <v>784</v>
      </c>
      <c r="Q469" s="26" t="n">
        <v>0</v>
      </c>
      <c r="R469" s="26" t="n">
        <v>0</v>
      </c>
      <c r="S469" s="26">
        <f>Q469+R469</f>
        <v/>
      </c>
      <c r="T469" s="29" t="n">
        <v>784</v>
      </c>
      <c r="U469" s="29">
        <f>N469*O469*T469</f>
        <v/>
      </c>
      <c r="V469" s="82">
        <f>IF(ISNUMBER($D469),$D469-WEEKDAY($D469,3),'ORDER VS WEEK DISTRIBUTION'!$G$500)</f>
        <v/>
      </c>
      <c r="W469" s="82">
        <f>MAX($V469,'ORDER VS WEEK DISTRIBUTION'!$G$500)</f>
        <v/>
      </c>
      <c r="X469" s="26">
        <f>IFERROR(VLOOKUP($J469,'ORDER VS WEEK DISTRIBUTION'!$T:$U,2,0),"")</f>
        <v/>
      </c>
      <c r="Y469" s="26">
        <f>IFERROR($T469/IF(IFERROR(VLOOKUP($I469,'ITEM CFC PER CONTAINER'!$A:$B,2,0),0)&gt;0,VLOOKUP($I469,'ITEM CFC PER CONTAINER'!$A:$B,2,0),VLOOKUP($X469,'MC MASTER'!$A:$Q,16,0)),"")</f>
        <v/>
      </c>
    </row>
    <row r="470" ht="15" customHeight="1" s="5">
      <c r="A470" s="26" t="inlineStr">
        <is>
          <t>Kaysun General Trading FZCO</t>
        </is>
      </c>
      <c r="B470" s="26" t="inlineStr">
        <is>
          <t>MJIL/SO/26019332</t>
        </is>
      </c>
      <c r="C470" s="26" t="inlineStr">
        <is>
          <t>MJ-043/26-27 / 12</t>
        </is>
      </c>
      <c r="D470" s="82" t="n">
        <v>46349</v>
      </c>
      <c r="E470" s="83">
        <f>IF(ISNUMBER($D470),EOMONTH($D470,-1)+1,"")</f>
        <v/>
      </c>
      <c r="F470" s="82" t="n">
        <v>46349</v>
      </c>
      <c r="G470" s="26" t="n">
        <v>1328</v>
      </c>
      <c r="H470" s="26">
        <f>B470&amp;I470</f>
        <v/>
      </c>
      <c r="I470" s="26" t="inlineStr">
        <is>
          <t>CHAYA 12/100 DC ENV TBGS</t>
        </is>
      </c>
      <c r="J470" s="26" t="inlineStr">
        <is>
          <t>PERFECTA ENV</t>
        </is>
      </c>
      <c r="K470" s="26">
        <f>J470&amp;"-"&amp;TEXT(W470,"dd-mmm-yy")</f>
        <v/>
      </c>
      <c r="L470" s="26">
        <f>IFERROR(VLOOKUP($M470,'ITEM MASTER'!E:H,4,0),"")</f>
        <v/>
      </c>
      <c r="M470" s="26">
        <f>IFERROR(VLOOKUP($I470,'ITEM MASTER'!B:E,4,0),"")</f>
        <v/>
      </c>
      <c r="N470" s="26">
        <f>IFERROR(VLOOKUP($I470,'ITEM MASTER'!B:F,5,0),0)</f>
        <v/>
      </c>
      <c r="O470" s="26">
        <f>IFERROR(VLOOKUP($M470,'TBGS PER CTN'!B:C,2,0),0)</f>
        <v/>
      </c>
      <c r="P470" s="26" t="n">
        <v>6640</v>
      </c>
      <c r="Q470" s="26" t="n">
        <v>0</v>
      </c>
      <c r="R470" s="26" t="n">
        <v>0</v>
      </c>
      <c r="S470" s="26">
        <f>Q470+R470</f>
        <v/>
      </c>
      <c r="T470" s="29" t="n">
        <v>6640</v>
      </c>
      <c r="U470" s="29">
        <f>N470*O470*T470</f>
        <v/>
      </c>
      <c r="V470" s="82">
        <f>IF(ISNUMBER($D470),$D470-WEEKDAY($D470,3),'ORDER VS WEEK DISTRIBUTION'!$G$500)</f>
        <v/>
      </c>
      <c r="W470" s="82">
        <f>MAX($V470,'ORDER VS WEEK DISTRIBUTION'!$G$500)</f>
        <v/>
      </c>
      <c r="X470" s="26">
        <f>IFERROR(VLOOKUP($J470,'ORDER VS WEEK DISTRIBUTION'!$T:$U,2,0),"")</f>
        <v/>
      </c>
      <c r="Y470" s="26">
        <f>IFERROR($T470/IF(IFERROR(VLOOKUP($I470,'ITEM CFC PER CONTAINER'!$A:$B,2,0),0)&gt;0,VLOOKUP($I470,'ITEM CFC PER CONTAINER'!$A:$B,2,0),VLOOKUP($X470,'MC MASTER'!$A:$Q,16,0)),"")</f>
        <v/>
      </c>
    </row>
    <row r="471" ht="15" customHeight="1" s="5">
      <c r="A471" s="26" t="inlineStr">
        <is>
          <t>MATATA TRADE FZE DMCC</t>
        </is>
      </c>
      <c r="B471" s="26" t="inlineStr">
        <is>
          <t>MJIL/SO/25046652</t>
        </is>
      </c>
      <c r="C471" s="26" t="inlineStr">
        <is>
          <t>MJ165/2526/1(MA26195)+107(MA26196)</t>
        </is>
      </c>
      <c r="D471" s="82" t="n">
        <v>46349</v>
      </c>
      <c r="E471" s="83">
        <f>IF(ISNUMBER($D471),EOMONTH($D471,-1)+1,"")</f>
        <v/>
      </c>
      <c r="F471" s="82" t="n">
        <v>46349</v>
      </c>
      <c r="G471" s="26" t="n">
        <v>23621</v>
      </c>
      <c r="H471" s="26">
        <f>B471&amp;I471</f>
        <v/>
      </c>
      <c r="I471" s="26" t="inlineStr">
        <is>
          <t>KHAIMA CRANBERRY APPLE 45/25 DC ENV TBGS</t>
        </is>
      </c>
      <c r="J471" s="30" t="inlineStr">
        <is>
          <t>CONSTANTA ENV</t>
        </is>
      </c>
      <c r="K471" s="26">
        <f>J471&amp;"-"&amp;TEXT(W471,"dd-mmm-yy")</f>
        <v/>
      </c>
      <c r="L471" s="26">
        <f>IFERROR(VLOOKUP($M471,'ITEM MASTER'!E:H,4,0),"")</f>
        <v/>
      </c>
      <c r="M471" s="26">
        <f>IFERROR(VLOOKUP($I471,'ITEM MASTER'!B:E,4,0),"")</f>
        <v/>
      </c>
      <c r="N471" s="26">
        <f>IFERROR(VLOOKUP($I471,'ITEM MASTER'!B:F,5,0),0)</f>
        <v/>
      </c>
      <c r="O471" s="26">
        <f>IFERROR(VLOOKUP($M471,'TBGS PER CTN'!B:C,2,0),0)</f>
        <v/>
      </c>
      <c r="P471" s="26" t="n">
        <v>3330</v>
      </c>
      <c r="Q471" s="26" t="n">
        <v>0</v>
      </c>
      <c r="R471" s="26" t="n">
        <v>0</v>
      </c>
      <c r="S471" s="26">
        <f>Q471+R471</f>
        <v/>
      </c>
      <c r="T471" s="29" t="n">
        <v>3330</v>
      </c>
      <c r="U471" s="29">
        <f>N471*O471*T471</f>
        <v/>
      </c>
      <c r="V471" s="82">
        <f>IF(ISNUMBER($D471),$D471-WEEKDAY($D471,3),'ORDER VS WEEK DISTRIBUTION'!$G$500)</f>
        <v/>
      </c>
      <c r="W471" s="82">
        <f>MAX($V471,'ORDER VS WEEK DISTRIBUTION'!$G$500)</f>
        <v/>
      </c>
      <c r="X471" s="26">
        <f>IFERROR(VLOOKUP($J471,'ORDER VS WEEK DISTRIBUTION'!$T:$U,2,0),"")</f>
        <v/>
      </c>
      <c r="Y471" s="26">
        <f>IFERROR($T471/IF(IFERROR(VLOOKUP($I471,'ITEM CFC PER CONTAINER'!$A:$B,2,0),0)&gt;0,VLOOKUP($I471,'ITEM CFC PER CONTAINER'!$A:$B,2,0),VLOOKUP($X471,'MC MASTER'!$A:$Q,16,0)),"")</f>
        <v/>
      </c>
    </row>
    <row r="472" ht="15" customHeight="1" s="5">
      <c r="A472" s="26" t="inlineStr">
        <is>
          <t>MATATA TRADE FZE DMCC</t>
        </is>
      </c>
      <c r="B472" s="26" t="inlineStr">
        <is>
          <t>MJIL/SO/25046652</t>
        </is>
      </c>
      <c r="C472" s="26" t="inlineStr">
        <is>
          <t>MJ165/2526/1(MA26195)+107(MA26196)</t>
        </is>
      </c>
      <c r="D472" s="82" t="n">
        <v>46349</v>
      </c>
      <c r="E472" s="83">
        <f>IF(ISNUMBER($D472),EOMONTH($D472,-1)+1,"")</f>
        <v/>
      </c>
      <c r="F472" s="82" t="n">
        <v>46349</v>
      </c>
      <c r="G472" s="26" t="n">
        <v>34586</v>
      </c>
      <c r="H472" s="26">
        <f>B472&amp;I472</f>
        <v/>
      </c>
      <c r="I472" s="26" t="inlineStr">
        <is>
          <t>AKOUNA COFFEE 3 IN 1 (32 GMS) 12 STRIPS X 10 SACHETS WITH HANGER</t>
        </is>
      </c>
      <c r="J472" s="26" t="inlineStr">
        <is>
          <t>Pearl Pack Premix</t>
        </is>
      </c>
      <c r="K472" s="26">
        <f>J472&amp;"-"&amp;TEXT(W472,"dd-mmm-yy")</f>
        <v/>
      </c>
      <c r="L472" s="26">
        <f>IFERROR(VLOOKUP($M472,'ITEM MASTER'!E:H,4,0),"")</f>
        <v/>
      </c>
      <c r="M472" s="26">
        <f>IFERROR(VLOOKUP($I472,'ITEM MASTER'!B:E,4,0),"")</f>
        <v/>
      </c>
      <c r="N472" s="26">
        <f>IFERROR(VLOOKUP($I472,'ITEM MASTER'!B:F,5,0),0)</f>
        <v/>
      </c>
      <c r="O472" s="26">
        <f>IFERROR(VLOOKUP($M472,'TBGS PER CTN'!B:C,2,0),0)</f>
        <v/>
      </c>
      <c r="P472" s="26" t="n">
        <v>100</v>
      </c>
      <c r="Q472" s="26" t="n">
        <v>0</v>
      </c>
      <c r="R472" s="26" t="n">
        <v>100</v>
      </c>
      <c r="S472" s="26">
        <f>Q472+R472</f>
        <v/>
      </c>
      <c r="T472" s="29" t="n">
        <v>0</v>
      </c>
      <c r="U472" s="29">
        <f>N472*O472*T472</f>
        <v/>
      </c>
      <c r="V472" s="82">
        <f>IF(ISNUMBER($D472),$D472-WEEKDAY($D472,3),'ORDER VS WEEK DISTRIBUTION'!$G$500)</f>
        <v/>
      </c>
      <c r="W472" s="82">
        <f>MAX($V472,'ORDER VS WEEK DISTRIBUTION'!$G$500)</f>
        <v/>
      </c>
      <c r="X472" s="26">
        <f>IFERROR(VLOOKUP($J472,'ORDER VS WEEK DISTRIBUTION'!$T:$U,2,0),"")</f>
        <v/>
      </c>
      <c r="Y472" s="26">
        <f>IFERROR($T472/IF(IFERROR(VLOOKUP($I472,'ITEM CFC PER CONTAINER'!$A:$B,2,0),0)&gt;0,VLOOKUP($I472,'ITEM CFC PER CONTAINER'!$A:$B,2,0),VLOOKUP($X472,'MC MASTER'!$A:$Q,16,0)),"")</f>
        <v/>
      </c>
    </row>
    <row r="473" ht="15" customHeight="1" s="5">
      <c r="A473" s="26" t="inlineStr">
        <is>
          <t>Harris Freeman 1981 LLC</t>
        </is>
      </c>
      <c r="B473" s="26" t="inlineStr">
        <is>
          <t>MJIL/SO/26048110</t>
        </is>
      </c>
      <c r="C473" s="26" t="inlineStr">
        <is>
          <t>PO#122</t>
        </is>
      </c>
      <c r="D473" s="82" t="n">
        <v>46329</v>
      </c>
      <c r="E473" s="83">
        <f>IF(ISNUMBER($D473),EOMONTH($D473,-1)+1,"")</f>
        <v/>
      </c>
      <c r="F473" s="82" t="n">
        <v>46356</v>
      </c>
      <c r="G473" s="26" t="n">
        <v>20617</v>
      </c>
      <c r="H473" s="26">
        <f>B473&amp;I473</f>
        <v/>
      </c>
      <c r="I473" s="26" t="inlineStr">
        <is>
          <t>TEA INDIA 12/2 LBS POLYBAG</t>
        </is>
      </c>
      <c r="J473" s="26" t="inlineStr">
        <is>
          <t>PAKONA 250GMS/500GMS/1000GMS</t>
        </is>
      </c>
      <c r="K473" s="26">
        <f>J473&amp;"-"&amp;TEXT(W473,"dd-mmm-yy")</f>
        <v/>
      </c>
      <c r="L473" s="26">
        <f>IFERROR(VLOOKUP($M473,'ITEM MASTER'!E:H,4,0),"")</f>
        <v/>
      </c>
      <c r="M473" s="26">
        <f>IFERROR(VLOOKUP($I473,'ITEM MASTER'!B:E,4,0),"")</f>
        <v/>
      </c>
      <c r="N473" s="26">
        <f>IFERROR(VLOOKUP($I473,'ITEM MASTER'!B:F,5,0),0)</f>
        <v/>
      </c>
      <c r="O473" s="26">
        <f>IFERROR(VLOOKUP($M473,'TBGS PER CTN'!B:C,2,0),0)</f>
        <v/>
      </c>
      <c r="P473" s="26" t="n">
        <v>1760</v>
      </c>
      <c r="Q473" s="26" t="n">
        <v>0</v>
      </c>
      <c r="R473" s="26" t="n">
        <v>0</v>
      </c>
      <c r="S473" s="26">
        <f>Q473+R473</f>
        <v/>
      </c>
      <c r="T473" s="29" t="n">
        <v>1760</v>
      </c>
      <c r="U473" s="29">
        <f>N473*O473*T473</f>
        <v/>
      </c>
      <c r="V473" s="82">
        <f>IF(ISNUMBER($D473),$D473-WEEKDAY($D473,3),'ORDER VS WEEK DISTRIBUTION'!$G$500)</f>
        <v/>
      </c>
      <c r="W473" s="82">
        <f>MAX($V473,'ORDER VS WEEK DISTRIBUTION'!$G$500)</f>
        <v/>
      </c>
      <c r="X473" s="26">
        <f>IFERROR(VLOOKUP($J473,'ORDER VS WEEK DISTRIBUTION'!$T:$U,2,0),"")</f>
        <v/>
      </c>
      <c r="Y473" s="26">
        <f>IFERROR($T473/IF(IFERROR(VLOOKUP($I473,'ITEM CFC PER CONTAINER'!$A:$B,2,0),0)&gt;0,VLOOKUP($I473,'ITEM CFC PER CONTAINER'!$A:$B,2,0),VLOOKUP($X473,'MC MASTER'!$A:$Q,16,0)),"")</f>
        <v/>
      </c>
    </row>
    <row r="474" ht="15" customHeight="1" s="5">
      <c r="A474" s="26" t="inlineStr">
        <is>
          <t>Harris Freeman 1981 LLC</t>
        </is>
      </c>
      <c r="B474" s="26" t="inlineStr">
        <is>
          <t>MJIL/SO/26048110</t>
        </is>
      </c>
      <c r="C474" s="26" t="inlineStr">
        <is>
          <t>PO#122</t>
        </is>
      </c>
      <c r="D474" s="82" t="n">
        <v>46329</v>
      </c>
      <c r="E474" s="83">
        <f>IF(ISNUMBER($D474),EOMONTH($D474,-1)+1,"")</f>
        <v/>
      </c>
      <c r="F474" s="82" t="n">
        <v>46356</v>
      </c>
      <c r="G474" s="26" t="n">
        <v>20831</v>
      </c>
      <c r="H474" s="26">
        <f>B474&amp;I474</f>
        <v/>
      </c>
      <c r="I474" s="26" t="inlineStr">
        <is>
          <t>TEA INDIA 24/1 LBS POLYBAG</t>
        </is>
      </c>
      <c r="J474" s="26" t="inlineStr">
        <is>
          <t>PAKONA 250GMS/500GMS/1000GMS</t>
        </is>
      </c>
      <c r="K474" s="26">
        <f>J474&amp;"-"&amp;TEXT(W474,"dd-mmm-yy")</f>
        <v/>
      </c>
      <c r="L474" s="26">
        <f>IFERROR(VLOOKUP($M474,'ITEM MASTER'!E:H,4,0),"")</f>
        <v/>
      </c>
      <c r="M474" s="26">
        <f>IFERROR(VLOOKUP($I474,'ITEM MASTER'!B:E,4,0),"")</f>
        <v/>
      </c>
      <c r="N474" s="26">
        <f>IFERROR(VLOOKUP($I474,'ITEM MASTER'!B:F,5,0),0)</f>
        <v/>
      </c>
      <c r="O474" s="26">
        <f>IFERROR(VLOOKUP($M474,'TBGS PER CTN'!B:C,2,0),0)</f>
        <v/>
      </c>
      <c r="P474" s="26" t="n">
        <v>300</v>
      </c>
      <c r="Q474" s="26" t="n">
        <v>0</v>
      </c>
      <c r="R474" s="26" t="n">
        <v>0</v>
      </c>
      <c r="S474" s="26">
        <f>Q474+R474</f>
        <v/>
      </c>
      <c r="T474" s="29" t="n">
        <v>300</v>
      </c>
      <c r="U474" s="29">
        <f>N474*O474*T474</f>
        <v/>
      </c>
      <c r="V474" s="82">
        <f>IF(ISNUMBER($D474),$D474-WEEKDAY($D474,3),'ORDER VS WEEK DISTRIBUTION'!$G$500)</f>
        <v/>
      </c>
      <c r="W474" s="82">
        <f>MAX($V474,'ORDER VS WEEK DISTRIBUTION'!$G$500)</f>
        <v/>
      </c>
      <c r="X474" s="26">
        <f>IFERROR(VLOOKUP($J474,'ORDER VS WEEK DISTRIBUTION'!$T:$U,2,0),"")</f>
        <v/>
      </c>
      <c r="Y474" s="26">
        <f>IFERROR($T474/IF(IFERROR(VLOOKUP($I474,'ITEM CFC PER CONTAINER'!$A:$B,2,0),0)&gt;0,VLOOKUP($I474,'ITEM CFC PER CONTAINER'!$A:$B,2,0),VLOOKUP($X474,'MC MASTER'!$A:$Q,16,0)),"")</f>
        <v/>
      </c>
    </row>
    <row r="475" ht="15" customHeight="1" s="5">
      <c r="A475" s="26" t="inlineStr">
        <is>
          <t>Harris Freeman 1981 LLC</t>
        </is>
      </c>
      <c r="B475" s="26" t="inlineStr">
        <is>
          <t>MJIL/SO/26048110</t>
        </is>
      </c>
      <c r="C475" s="26" t="inlineStr">
        <is>
          <t>PO#122</t>
        </is>
      </c>
      <c r="D475" s="82" t="n">
        <v>46329</v>
      </c>
      <c r="E475" s="83">
        <f>IF(ISNUMBER($D475),EOMONTH($D475,-1)+1,"")</f>
        <v/>
      </c>
      <c r="F475" s="82" t="n">
        <v>46356</v>
      </c>
      <c r="G475" s="26" t="n">
        <v>32215</v>
      </c>
      <c r="H475" s="26">
        <f>B475&amp;I475</f>
        <v/>
      </c>
      <c r="I475" s="26" t="inlineStr">
        <is>
          <t>TEA INDIA 6-3 LB CTC TEA</t>
        </is>
      </c>
      <c r="J475" s="26" t="inlineStr">
        <is>
          <t>Pearl Pack-FFS POUCH</t>
        </is>
      </c>
      <c r="K475" s="26">
        <f>J475&amp;"-"&amp;TEXT(W475,"dd-mmm-yy")</f>
        <v/>
      </c>
      <c r="L475" s="26">
        <f>IFERROR(VLOOKUP($M475,'ITEM MASTER'!E:H,4,0),"")</f>
        <v/>
      </c>
      <c r="M475" s="26">
        <f>IFERROR(VLOOKUP($I475,'ITEM MASTER'!B:E,4,0),"")</f>
        <v/>
      </c>
      <c r="N475" s="26">
        <f>IFERROR(VLOOKUP($I475,'ITEM MASTER'!B:F,5,0),0)</f>
        <v/>
      </c>
      <c r="O475" s="26">
        <f>IFERROR(VLOOKUP($M475,'TBGS PER CTN'!B:C,2,0),0)</f>
        <v/>
      </c>
      <c r="P475" s="26" t="n">
        <v>500</v>
      </c>
      <c r="Q475" s="26" t="n">
        <v>0</v>
      </c>
      <c r="R475" s="26" t="n">
        <v>0</v>
      </c>
      <c r="S475" s="26">
        <f>Q475+R475</f>
        <v/>
      </c>
      <c r="T475" s="29" t="n">
        <v>500</v>
      </c>
      <c r="U475" s="29">
        <f>N475*O475*T475</f>
        <v/>
      </c>
      <c r="V475" s="82">
        <f>IF(ISNUMBER($D475),$D475-WEEKDAY($D475,3),'ORDER VS WEEK DISTRIBUTION'!$G$500)</f>
        <v/>
      </c>
      <c r="W475" s="82">
        <f>MAX($V475,'ORDER VS WEEK DISTRIBUTION'!$G$500)</f>
        <v/>
      </c>
      <c r="X475" s="26">
        <f>IFERROR(VLOOKUP($J475,'ORDER VS WEEK DISTRIBUTION'!$T:$U,2,0),"")</f>
        <v/>
      </c>
      <c r="Y475" s="26">
        <f>IFERROR($T475/IF(IFERROR(VLOOKUP($I475,'ITEM CFC PER CONTAINER'!$A:$B,2,0),0)&gt;0,VLOOKUP($I475,'ITEM CFC PER CONTAINER'!$A:$B,2,0),VLOOKUP($X475,'MC MASTER'!$A:$Q,16,0)),"")</f>
        <v/>
      </c>
    </row>
    <row r="476" ht="15" customHeight="1" s="5">
      <c r="A476" s="26" t="inlineStr">
        <is>
          <t>Harris Tea Co. -Us</t>
        </is>
      </c>
      <c r="B476" s="26" t="inlineStr">
        <is>
          <t>MJIL/SO/26043060</t>
        </is>
      </c>
      <c r="C476" s="26" t="inlineStr">
        <is>
          <t>NOV PROJECTION</t>
        </is>
      </c>
      <c r="D476" s="82" t="n">
        <v>46356</v>
      </c>
      <c r="E476" s="83">
        <f>IF(ISNUMBER($D476),EOMONTH($D476,-1)+1,"")</f>
        <v/>
      </c>
      <c r="F476" s="82" t="n">
        <v>46356</v>
      </c>
      <c r="G476" s="26" t="n">
        <v>32930</v>
      </c>
      <c r="H476" s="26">
        <f>B476&amp;I476</f>
        <v/>
      </c>
      <c r="I476" s="26" t="inlineStr">
        <is>
          <t>BREW360 32-3 OZ BLK RND ITBS COPACK</t>
        </is>
      </c>
      <c r="J476" s="26" t="inlineStr">
        <is>
          <t>BREW MAGIC</t>
        </is>
      </c>
      <c r="K476" s="26">
        <f>J476&amp;"-"&amp;TEXT(W476,"dd-mmm-yy")</f>
        <v/>
      </c>
      <c r="L476" s="26">
        <f>IFERROR(VLOOKUP($M476,'ITEM MASTER'!E:H,4,0),"")</f>
        <v/>
      </c>
      <c r="M476" s="26">
        <f>IFERROR(VLOOKUP($I476,'ITEM MASTER'!B:E,4,0),"")</f>
        <v/>
      </c>
      <c r="N476" s="26">
        <f>IFERROR(VLOOKUP($I476,'ITEM MASTER'!B:F,5,0),0)</f>
        <v/>
      </c>
      <c r="O476" s="26">
        <f>IFERROR(VLOOKUP($M476,'TBGS PER CTN'!B:C,2,0),0)</f>
        <v/>
      </c>
      <c r="P476" s="26" t="n">
        <v>337</v>
      </c>
      <c r="Q476" s="26" t="n">
        <v>0</v>
      </c>
      <c r="R476" s="26" t="n">
        <v>0</v>
      </c>
      <c r="S476" s="26">
        <f>Q476+R476</f>
        <v/>
      </c>
      <c r="T476" s="29" t="n">
        <v>337</v>
      </c>
      <c r="U476" s="29">
        <f>N476*O476*T476</f>
        <v/>
      </c>
      <c r="V476" s="82">
        <f>IF(ISNUMBER($D476),$D476-WEEKDAY($D476,3),'ORDER VS WEEK DISTRIBUTION'!$G$500)</f>
        <v/>
      </c>
      <c r="W476" s="82">
        <f>MAX($V476,'ORDER VS WEEK DISTRIBUTION'!$G$500)</f>
        <v/>
      </c>
      <c r="X476" s="26">
        <f>IFERROR(VLOOKUP($J476,'ORDER VS WEEK DISTRIBUTION'!$T:$U,2,0),"")</f>
        <v/>
      </c>
      <c r="Y476" s="26">
        <f>IFERROR($T476/IF(IFERROR(VLOOKUP($I476,'ITEM CFC PER CONTAINER'!$A:$B,2,0),0)&gt;0,VLOOKUP($I476,'ITEM CFC PER CONTAINER'!$A:$B,2,0),VLOOKUP($X476,'MC MASTER'!$A:$Q,16,0)),"")</f>
        <v/>
      </c>
    </row>
    <row r="477" ht="15" customHeight="1" s="5">
      <c r="A477" s="26" t="inlineStr">
        <is>
          <t>Harris Tea Co. -Us</t>
        </is>
      </c>
      <c r="B477" s="26" t="inlineStr">
        <is>
          <t>MJIL/SO/26043060</t>
        </is>
      </c>
      <c r="C477" s="26" t="inlineStr">
        <is>
          <t>NOV PROJECTION</t>
        </is>
      </c>
      <c r="D477" s="82" t="n">
        <v>46356</v>
      </c>
      <c r="E477" s="83">
        <f>IF(ISNUMBER($D477),EOMONTH($D477,-1)+1,"")</f>
        <v/>
      </c>
      <c r="F477" s="82" t="n">
        <v>46356</v>
      </c>
      <c r="G477" s="26" t="n">
        <v>37527</v>
      </c>
      <c r="H477" s="26">
        <f>B477&amp;I477</f>
        <v/>
      </c>
      <c r="I477" s="26" t="inlineStr">
        <is>
          <t>GREAT VALUE 4/20 VARIETY HERBAL TEA COLLECTIONS DC SF HS ENV TBGS</t>
        </is>
      </c>
      <c r="J477" s="26" t="inlineStr">
        <is>
          <t>MD20 HS</t>
        </is>
      </c>
      <c r="K477" s="26">
        <f>J477&amp;"-"&amp;TEXT(W477,"dd-mmm-yy")</f>
        <v/>
      </c>
      <c r="L477" s="26">
        <f>IFERROR(VLOOKUP($M477,'ITEM MASTER'!E:H,4,0),"")</f>
        <v/>
      </c>
      <c r="M477" s="26">
        <f>IFERROR(VLOOKUP($I477,'ITEM MASTER'!B:E,4,0),"")</f>
        <v/>
      </c>
      <c r="N477" s="26">
        <f>IFERROR(VLOOKUP($I477,'ITEM MASTER'!B:F,5,0),0)</f>
        <v/>
      </c>
      <c r="O477" s="26">
        <f>IFERROR(VLOOKUP($M477,'TBGS PER CTN'!B:C,2,0),0)</f>
        <v/>
      </c>
      <c r="P477" s="26" t="n">
        <v>9081</v>
      </c>
      <c r="Q477" s="26" t="n">
        <v>0</v>
      </c>
      <c r="R477" s="26" t="n">
        <v>0</v>
      </c>
      <c r="S477" s="26">
        <f>Q477+R477</f>
        <v/>
      </c>
      <c r="T477" s="29" t="n">
        <v>9081</v>
      </c>
      <c r="U477" s="29">
        <f>N477*O477*T477</f>
        <v/>
      </c>
      <c r="V477" s="82">
        <f>IF(ISNUMBER($D477),$D477-WEEKDAY($D477,3),'ORDER VS WEEK DISTRIBUTION'!$G$500)</f>
        <v/>
      </c>
      <c r="W477" s="82">
        <f>MAX($V477,'ORDER VS WEEK DISTRIBUTION'!$G$500)</f>
        <v/>
      </c>
      <c r="X477" s="26">
        <f>IFERROR(VLOOKUP($J477,'ORDER VS WEEK DISTRIBUTION'!$T:$U,2,0),"")</f>
        <v/>
      </c>
      <c r="Y477" s="26">
        <f>IFERROR($T477/IF(IFERROR(VLOOKUP($I477,'ITEM CFC PER CONTAINER'!$A:$B,2,0),0)&gt;0,VLOOKUP($I477,'ITEM CFC PER CONTAINER'!$A:$B,2,0),VLOOKUP($X477,'MC MASTER'!$A:$Q,16,0)),"")</f>
        <v/>
      </c>
    </row>
    <row r="478" ht="15" customHeight="1" s="5">
      <c r="A478" s="26" t="inlineStr">
        <is>
          <t>Harris Tea Co. -Us</t>
        </is>
      </c>
      <c r="B478" s="26" t="inlineStr">
        <is>
          <t>MJIL/SO/26043060</t>
        </is>
      </c>
      <c r="C478" s="26" t="inlineStr">
        <is>
          <t>NOV PROJECTION</t>
        </is>
      </c>
      <c r="D478" s="82" t="n">
        <v>46356</v>
      </c>
      <c r="E478" s="83">
        <f>IF(ISNUMBER($D478),EOMONTH($D478,-1)+1,"")</f>
        <v/>
      </c>
      <c r="F478" s="82" t="n">
        <v>46356</v>
      </c>
      <c r="G478" s="26" t="n">
        <v>23786</v>
      </c>
      <c r="H478" s="26">
        <f>B478&amp;I478</f>
        <v/>
      </c>
      <c r="I478" s="26" t="inlineStr">
        <is>
          <t>KEEFE 10/100 SC ENV TBGS</t>
        </is>
      </c>
      <c r="J478" s="26" t="inlineStr">
        <is>
          <t>MAISA ENV</t>
        </is>
      </c>
      <c r="K478" s="26">
        <f>J478&amp;"-"&amp;TEXT(W478,"dd-mmm-yy")</f>
        <v/>
      </c>
      <c r="L478" s="26">
        <f>IFERROR(VLOOKUP($M478,'ITEM MASTER'!E:H,4,0),"")</f>
        <v/>
      </c>
      <c r="M478" s="26">
        <f>IFERROR(VLOOKUP($I478,'ITEM MASTER'!B:E,4,0),"")</f>
        <v/>
      </c>
      <c r="N478" s="26">
        <f>IFERROR(VLOOKUP($I478,'ITEM MASTER'!B:F,5,0),0)</f>
        <v/>
      </c>
      <c r="O478" s="26">
        <f>IFERROR(VLOOKUP($M478,'TBGS PER CTN'!B:C,2,0),0)</f>
        <v/>
      </c>
      <c r="P478" s="26" t="n">
        <v>293</v>
      </c>
      <c r="Q478" s="26" t="n">
        <v>0</v>
      </c>
      <c r="R478" s="26" t="n">
        <v>69</v>
      </c>
      <c r="S478" s="26">
        <f>Q478+R478</f>
        <v/>
      </c>
      <c r="T478" s="29" t="n">
        <v>224</v>
      </c>
      <c r="U478" s="29">
        <f>N478*O478*T478</f>
        <v/>
      </c>
      <c r="V478" s="82">
        <f>IF(ISNUMBER($D478),$D478-WEEKDAY($D478,3),'ORDER VS WEEK DISTRIBUTION'!$G$500)</f>
        <v/>
      </c>
      <c r="W478" s="82">
        <f>MAX($V478,'ORDER VS WEEK DISTRIBUTION'!$G$500)</f>
        <v/>
      </c>
      <c r="X478" s="26">
        <f>IFERROR(VLOOKUP($J478,'ORDER VS WEEK DISTRIBUTION'!$T:$U,2,0),"")</f>
        <v/>
      </c>
      <c r="Y478" s="26">
        <f>IFERROR($T478/IF(IFERROR(VLOOKUP($I478,'ITEM CFC PER CONTAINER'!$A:$B,2,0),0)&gt;0,VLOOKUP($I478,'ITEM CFC PER CONTAINER'!$A:$B,2,0),VLOOKUP($X478,'MC MASTER'!$A:$Q,16,0)),"")</f>
        <v/>
      </c>
    </row>
    <row r="479" ht="15" customHeight="1" s="5">
      <c r="A479" s="26" t="inlineStr">
        <is>
          <t>Harris Tea Co. -Us</t>
        </is>
      </c>
      <c r="B479" s="26" t="inlineStr">
        <is>
          <t>MJIL/SO/26043060</t>
        </is>
      </c>
      <c r="C479" s="26" t="inlineStr">
        <is>
          <t>NOV PROJECTION</t>
        </is>
      </c>
      <c r="D479" s="82" t="n">
        <v>46356</v>
      </c>
      <c r="E479" s="83">
        <f>IF(ISNUMBER($D479),EOMONTH($D479,-1)+1,"")</f>
        <v/>
      </c>
      <c r="F479" s="82" t="n">
        <v>46356</v>
      </c>
      <c r="G479" s="26" t="n">
        <v>23604</v>
      </c>
      <c r="H479" s="26">
        <f>B479&amp;I479</f>
        <v/>
      </c>
      <c r="I479" s="26" t="inlineStr">
        <is>
          <t>KEEFE 24/48 SC ENV TBGS</t>
        </is>
      </c>
      <c r="J479" s="26" t="inlineStr">
        <is>
          <t>MAISA ENV</t>
        </is>
      </c>
      <c r="K479" s="26">
        <f>J479&amp;"-"&amp;TEXT(W479,"dd-mmm-yy")</f>
        <v/>
      </c>
      <c r="L479" s="26">
        <f>IFERROR(VLOOKUP($M479,'ITEM MASTER'!E:H,4,0),"")</f>
        <v/>
      </c>
      <c r="M479" s="26">
        <f>IFERROR(VLOOKUP($I479,'ITEM MASTER'!B:E,4,0),"")</f>
        <v/>
      </c>
      <c r="N479" s="26">
        <f>IFERROR(VLOOKUP($I479,'ITEM MASTER'!B:F,5,0),0)</f>
        <v/>
      </c>
      <c r="O479" s="26">
        <f>IFERROR(VLOOKUP($M479,'TBGS PER CTN'!B:C,2,0),0)</f>
        <v/>
      </c>
      <c r="P479" s="26" t="n">
        <v>790</v>
      </c>
      <c r="Q479" s="26" t="n">
        <v>0</v>
      </c>
      <c r="R479" s="26" t="n">
        <v>0</v>
      </c>
      <c r="S479" s="26">
        <f>Q479+R479</f>
        <v/>
      </c>
      <c r="T479" s="29" t="n">
        <v>790</v>
      </c>
      <c r="U479" s="29">
        <f>N479*O479*T479</f>
        <v/>
      </c>
      <c r="V479" s="82">
        <f>IF(ISNUMBER($D479),$D479-WEEKDAY($D479,3),'ORDER VS WEEK DISTRIBUTION'!$G$500)</f>
        <v/>
      </c>
      <c r="W479" s="82">
        <f>MAX($V479,'ORDER VS WEEK DISTRIBUTION'!$G$500)</f>
        <v/>
      </c>
      <c r="X479" s="26">
        <f>IFERROR(VLOOKUP($J479,'ORDER VS WEEK DISTRIBUTION'!$T:$U,2,0),"")</f>
        <v/>
      </c>
      <c r="Y479" s="26">
        <f>IFERROR($T479/IF(IFERROR(VLOOKUP($I479,'ITEM CFC PER CONTAINER'!$A:$B,2,0),0)&gt;0,VLOOKUP($I479,'ITEM CFC PER CONTAINER'!$A:$B,2,0),VLOOKUP($X479,'MC MASTER'!$A:$Q,16,0)),"")</f>
        <v/>
      </c>
    </row>
    <row r="480" ht="15" customHeight="1" s="5">
      <c r="A480" s="26" t="inlineStr">
        <is>
          <t>Harris Tea Co. -Us</t>
        </is>
      </c>
      <c r="B480" s="26" t="inlineStr">
        <is>
          <t>MJIL/SO/26043060</t>
        </is>
      </c>
      <c r="C480" s="26" t="inlineStr">
        <is>
          <t>NOV PROJECTION</t>
        </is>
      </c>
      <c r="D480" s="82" t="n">
        <v>46356</v>
      </c>
      <c r="E480" s="83">
        <f>IF(ISNUMBER($D480),EOMONTH($D480,-1)+1,"")</f>
        <v/>
      </c>
      <c r="F480" s="82" t="n">
        <v>46356</v>
      </c>
      <c r="G480" s="26" t="n">
        <v>23760</v>
      </c>
      <c r="H480" s="26">
        <f>B480&amp;I480</f>
        <v/>
      </c>
      <c r="I480" s="26" t="inlineStr">
        <is>
          <t>SPROUTS FARMERS MARKET ORGANIC GREEN TEA 12/100 SC ENV TBGS</t>
        </is>
      </c>
      <c r="J480" s="26" t="inlineStr">
        <is>
          <t>MAISA ENV</t>
        </is>
      </c>
      <c r="K480" s="26">
        <f>J480&amp;"-"&amp;TEXT(W480,"dd-mmm-yy")</f>
        <v/>
      </c>
      <c r="L480" s="26">
        <f>IFERROR(VLOOKUP($M480,'ITEM MASTER'!E:H,4,0),"")</f>
        <v/>
      </c>
      <c r="M480" s="26">
        <f>IFERROR(VLOOKUP($I480,'ITEM MASTER'!B:E,4,0),"")</f>
        <v/>
      </c>
      <c r="N480" s="26">
        <f>IFERROR(VLOOKUP($I480,'ITEM MASTER'!B:F,5,0),0)</f>
        <v/>
      </c>
      <c r="O480" s="26">
        <f>IFERROR(VLOOKUP($M480,'TBGS PER CTN'!B:C,2,0),0)</f>
        <v/>
      </c>
      <c r="P480" s="26" t="n">
        <v>387</v>
      </c>
      <c r="Q480" s="26" t="n">
        <v>0</v>
      </c>
      <c r="R480" s="26" t="n">
        <v>0</v>
      </c>
      <c r="S480" s="26">
        <f>Q480+R480</f>
        <v/>
      </c>
      <c r="T480" s="29" t="n">
        <v>387</v>
      </c>
      <c r="U480" s="29">
        <f>N480*O480*T480</f>
        <v/>
      </c>
      <c r="V480" s="82">
        <f>IF(ISNUMBER($D480),$D480-WEEKDAY($D480,3),'ORDER VS WEEK DISTRIBUTION'!$G$500)</f>
        <v/>
      </c>
      <c r="W480" s="82">
        <f>MAX($V480,'ORDER VS WEEK DISTRIBUTION'!$G$500)</f>
        <v/>
      </c>
      <c r="X480" s="26">
        <f>IFERROR(VLOOKUP($J480,'ORDER VS WEEK DISTRIBUTION'!$T:$U,2,0),"")</f>
        <v/>
      </c>
      <c r="Y480" s="26">
        <f>IFERROR($T480/IF(IFERROR(VLOOKUP($I480,'ITEM CFC PER CONTAINER'!$A:$B,2,0),0)&gt;0,VLOOKUP($I480,'ITEM CFC PER CONTAINER'!$A:$B,2,0),VLOOKUP($X480,'MC MASTER'!$A:$Q,16,0)),"")</f>
        <v/>
      </c>
    </row>
    <row r="481" ht="15" customHeight="1" s="5">
      <c r="A481" s="26" t="inlineStr">
        <is>
          <t>Harris Tea Co. -Us</t>
        </is>
      </c>
      <c r="B481" s="26" t="inlineStr">
        <is>
          <t>MJIL/SO/26043060</t>
        </is>
      </c>
      <c r="C481" s="26" t="inlineStr">
        <is>
          <t>NOV PROJECTION</t>
        </is>
      </c>
      <c r="D481" s="82" t="n">
        <v>46356</v>
      </c>
      <c r="E481" s="83">
        <f>IF(ISNUMBER($D481),EOMONTH($D481,-1)+1,"")</f>
        <v/>
      </c>
      <c r="F481" s="82" t="n">
        <v>46356</v>
      </c>
      <c r="G481" s="26" t="n">
        <v>23758</v>
      </c>
      <c r="H481" s="26">
        <f>B481&amp;I481</f>
        <v/>
      </c>
      <c r="I481" s="26" t="inlineStr">
        <is>
          <t>SPROUTS FARMERS MARKET ORGANIC BLACK TEA 12/100 SC ENV TBGS</t>
        </is>
      </c>
      <c r="J481" s="26" t="inlineStr">
        <is>
          <t>MAISA ENV</t>
        </is>
      </c>
      <c r="K481" s="26">
        <f>J481&amp;"-"&amp;TEXT(W481,"dd-mmm-yy")</f>
        <v/>
      </c>
      <c r="L481" s="26">
        <f>IFERROR(VLOOKUP($M481,'ITEM MASTER'!E:H,4,0),"")</f>
        <v/>
      </c>
      <c r="M481" s="26">
        <f>IFERROR(VLOOKUP($I481,'ITEM MASTER'!B:E,4,0),"")</f>
        <v/>
      </c>
      <c r="N481" s="26">
        <f>IFERROR(VLOOKUP($I481,'ITEM MASTER'!B:F,5,0),0)</f>
        <v/>
      </c>
      <c r="O481" s="26">
        <f>IFERROR(VLOOKUP($M481,'TBGS PER CTN'!B:C,2,0),0)</f>
        <v/>
      </c>
      <c r="P481" s="26" t="n">
        <v>290</v>
      </c>
      <c r="Q481" s="26" t="n">
        <v>0</v>
      </c>
      <c r="R481" s="26" t="n">
        <v>0</v>
      </c>
      <c r="S481" s="26">
        <f>Q481+R481</f>
        <v/>
      </c>
      <c r="T481" s="29" t="n">
        <v>290</v>
      </c>
      <c r="U481" s="29">
        <f>N481*O481*T481</f>
        <v/>
      </c>
      <c r="V481" s="82">
        <f>IF(ISNUMBER($D481),$D481-WEEKDAY($D481,3),'ORDER VS WEEK DISTRIBUTION'!$G$500)</f>
        <v/>
      </c>
      <c r="W481" s="82">
        <f>MAX($V481,'ORDER VS WEEK DISTRIBUTION'!$G$500)</f>
        <v/>
      </c>
      <c r="X481" s="26">
        <f>IFERROR(VLOOKUP($J481,'ORDER VS WEEK DISTRIBUTION'!$T:$U,2,0),"")</f>
        <v/>
      </c>
      <c r="Y481" s="26">
        <f>IFERROR($T481/IF(IFERROR(VLOOKUP($I481,'ITEM CFC PER CONTAINER'!$A:$B,2,0),0)&gt;0,VLOOKUP($I481,'ITEM CFC PER CONTAINER'!$A:$B,2,0),VLOOKUP($X481,'MC MASTER'!$A:$Q,16,0)),"")</f>
        <v/>
      </c>
    </row>
    <row r="482" ht="15" customHeight="1" s="5">
      <c r="A482" s="26" t="inlineStr">
        <is>
          <t>Harris Tea Co. -Us</t>
        </is>
      </c>
      <c r="B482" s="26" t="inlineStr">
        <is>
          <t>MJIL/SO/26043060</t>
        </is>
      </c>
      <c r="C482" s="26" t="inlineStr">
        <is>
          <t>NOV PROJECTION</t>
        </is>
      </c>
      <c r="D482" s="82" t="n">
        <v>46356</v>
      </c>
      <c r="E482" s="83">
        <f>IF(ISNUMBER($D482),EOMONTH($D482,-1)+1,"")</f>
        <v/>
      </c>
      <c r="F482" s="82" t="n">
        <v>46356</v>
      </c>
      <c r="G482" s="26" t="n">
        <v>23224</v>
      </c>
      <c r="H482" s="26">
        <f>B482&amp;I482</f>
        <v/>
      </c>
      <c r="I482" s="26" t="inlineStr">
        <is>
          <t>TRSCO 32-3 OZ AB RND RFA ITBS</t>
        </is>
      </c>
      <c r="J482" s="26" t="inlineStr">
        <is>
          <t>BREW MAGIC</t>
        </is>
      </c>
      <c r="K482" s="26">
        <f>J482&amp;"-"&amp;TEXT(W482,"dd-mmm-yy")</f>
        <v/>
      </c>
      <c r="L482" s="26">
        <f>IFERROR(VLOOKUP($M482,'ITEM MASTER'!E:H,4,0),"")</f>
        <v/>
      </c>
      <c r="M482" s="26">
        <f>IFERROR(VLOOKUP($I482,'ITEM MASTER'!B:E,4,0),"")</f>
        <v/>
      </c>
      <c r="N482" s="26">
        <f>IFERROR(VLOOKUP($I482,'ITEM MASTER'!B:F,5,0),0)</f>
        <v/>
      </c>
      <c r="O482" s="26">
        <f>IFERROR(VLOOKUP($M482,'TBGS PER CTN'!B:C,2,0),0)</f>
        <v/>
      </c>
      <c r="P482" s="26" t="n">
        <v>1058</v>
      </c>
      <c r="Q482" s="26" t="n">
        <v>0</v>
      </c>
      <c r="R482" s="26" t="n">
        <v>0</v>
      </c>
      <c r="S482" s="26">
        <f>Q482+R482</f>
        <v/>
      </c>
      <c r="T482" s="29" t="n">
        <v>1058</v>
      </c>
      <c r="U482" s="29">
        <f>N482*O482*T482</f>
        <v/>
      </c>
      <c r="V482" s="82">
        <f>IF(ISNUMBER($D482),$D482-WEEKDAY($D482,3),'ORDER VS WEEK DISTRIBUTION'!$G$500)</f>
        <v/>
      </c>
      <c r="W482" s="82">
        <f>MAX($V482,'ORDER VS WEEK DISTRIBUTION'!$G$500)</f>
        <v/>
      </c>
      <c r="X482" s="26">
        <f>IFERROR(VLOOKUP($J482,'ORDER VS WEEK DISTRIBUTION'!$T:$U,2,0),"")</f>
        <v/>
      </c>
      <c r="Y482" s="26">
        <f>IFERROR($T482/IF(IFERROR(VLOOKUP($I482,'ITEM CFC PER CONTAINER'!$A:$B,2,0),0)&gt;0,VLOOKUP($I482,'ITEM CFC PER CONTAINER'!$A:$B,2,0),VLOOKUP($X482,'MC MASTER'!$A:$Q,16,0)),"")</f>
        <v/>
      </c>
    </row>
    <row r="483" ht="15" customHeight="1" s="5">
      <c r="A483" s="26" t="inlineStr">
        <is>
          <t>Harris Tea Co. -Us</t>
        </is>
      </c>
      <c r="B483" s="26" t="inlineStr">
        <is>
          <t>MJIL/SO/26052221</t>
        </is>
      </c>
      <c r="C483" s="26" t="inlineStr">
        <is>
          <t>NOV 2026 PLAN</t>
        </is>
      </c>
      <c r="D483" s="82" t="n">
        <v>46356</v>
      </c>
      <c r="E483" s="83">
        <f>IF(ISNUMBER($D483),EOMONTH($D483,-1)+1,"")</f>
        <v/>
      </c>
      <c r="F483" s="82" t="n">
        <v>46356</v>
      </c>
      <c r="G483" s="26" t="n">
        <v>23758</v>
      </c>
      <c r="H483" s="26">
        <f>B483&amp;I483</f>
        <v/>
      </c>
      <c r="I483" s="26" t="inlineStr">
        <is>
          <t>SPROUTS FARMERS MARKET ORGANIC BLACK TEA 12/100 SC ENV TBGS</t>
        </is>
      </c>
      <c r="J483" s="26" t="inlineStr">
        <is>
          <t>MAISA ENV</t>
        </is>
      </c>
      <c r="K483" s="26">
        <f>J483&amp;"-"&amp;TEXT(W483,"dd-mmm-yy")</f>
        <v/>
      </c>
      <c r="L483" s="26">
        <f>IFERROR(VLOOKUP($M483,'ITEM MASTER'!E:H,4,0),"")</f>
        <v/>
      </c>
      <c r="M483" s="26">
        <f>IFERROR(VLOOKUP($I483,'ITEM MASTER'!B:E,4,0),"")</f>
        <v/>
      </c>
      <c r="N483" s="26">
        <f>IFERROR(VLOOKUP($I483,'ITEM MASTER'!B:F,5,0),0)</f>
        <v/>
      </c>
      <c r="O483" s="26">
        <f>IFERROR(VLOOKUP($M483,'TBGS PER CTN'!B:C,2,0),0)</f>
        <v/>
      </c>
      <c r="P483" s="26" t="n">
        <v>2484</v>
      </c>
      <c r="Q483" s="26" t="n">
        <v>0</v>
      </c>
      <c r="R483" s="26" t="n">
        <v>0</v>
      </c>
      <c r="S483" s="26">
        <f>Q483+R483</f>
        <v/>
      </c>
      <c r="T483" s="29" t="n">
        <v>2484</v>
      </c>
      <c r="U483" s="29">
        <f>N483*O483*T483</f>
        <v/>
      </c>
      <c r="V483" s="82">
        <f>IF(ISNUMBER($D483),$D483-WEEKDAY($D483,3),'ORDER VS WEEK DISTRIBUTION'!$G$500)</f>
        <v/>
      </c>
      <c r="W483" s="82">
        <f>MAX($V483,'ORDER VS WEEK DISTRIBUTION'!$G$500)</f>
        <v/>
      </c>
      <c r="X483" s="26">
        <f>IFERROR(VLOOKUP($J483,'ORDER VS WEEK DISTRIBUTION'!$T:$U,2,0),"")</f>
        <v/>
      </c>
      <c r="Y483" s="26">
        <f>IFERROR($T483/IF(IFERROR(VLOOKUP($I483,'ITEM CFC PER CONTAINER'!$A:$B,2,0),0)&gt;0,VLOOKUP($I483,'ITEM CFC PER CONTAINER'!$A:$B,2,0),VLOOKUP($X483,'MC MASTER'!$A:$Q,16,0)),"")</f>
        <v/>
      </c>
    </row>
    <row r="484" ht="15" customHeight="1" s="5">
      <c r="A484" s="26" t="inlineStr">
        <is>
          <t>Llc `Jay Tea`</t>
        </is>
      </c>
      <c r="B484" s="26" t="inlineStr">
        <is>
          <t>MJIL/SO/26015968</t>
        </is>
      </c>
      <c r="C484" s="26" t="inlineStr">
        <is>
          <t>NOV - PROJECTION - R135</t>
        </is>
      </c>
      <c r="D484" s="82" t="n">
        <v>46356</v>
      </c>
      <c r="E484" s="83">
        <f>IF(ISNUMBER($D484),EOMONTH($D484,-1)+1,"")</f>
        <v/>
      </c>
      <c r="F484" s="82" t="n">
        <v>46356</v>
      </c>
      <c r="G484" s="26" t="n">
        <v>32391</v>
      </c>
      <c r="H484" s="26">
        <f>B484&amp;I484</f>
        <v/>
      </c>
      <c r="I484" s="26" t="inlineStr">
        <is>
          <t>STD R 135 BULK, 30 KGS - PP BAGS</t>
        </is>
      </c>
      <c r="J484" s="26" t="n"/>
      <c r="K484" s="26">
        <f>J484&amp;"-"&amp;TEXT(W484,"dd-mmm-yy")</f>
        <v/>
      </c>
      <c r="L484" s="26">
        <f>IFERROR(VLOOKUP($M484,'ITEM MASTER'!E:H,4,0),"")</f>
        <v/>
      </c>
      <c r="M484" s="26">
        <f>IFERROR(VLOOKUP($I484,'ITEM MASTER'!B:E,4,0),"")</f>
        <v/>
      </c>
      <c r="N484" s="26">
        <f>IFERROR(VLOOKUP($I484,'ITEM MASTER'!B:F,5,0),0)</f>
        <v/>
      </c>
      <c r="O484" s="26">
        <f>IFERROR(VLOOKUP($M484,'TBGS PER CTN'!B:C,2,0),0)</f>
        <v/>
      </c>
      <c r="P484" s="26" t="n">
        <v>333</v>
      </c>
      <c r="Q484" s="26" t="n">
        <v>0</v>
      </c>
      <c r="R484" s="26" t="n">
        <v>0</v>
      </c>
      <c r="S484" s="26">
        <f>Q484+R484</f>
        <v/>
      </c>
      <c r="T484" s="29" t="n">
        <v>333</v>
      </c>
      <c r="U484" s="29">
        <f>N484*O484*T484</f>
        <v/>
      </c>
      <c r="V484" s="82">
        <f>IF(ISNUMBER($D484),$D484-WEEKDAY($D484,3),'ORDER VS WEEK DISTRIBUTION'!$G$500)</f>
        <v/>
      </c>
      <c r="W484" s="82">
        <f>MAX($V484,'ORDER VS WEEK DISTRIBUTION'!$G$500)</f>
        <v/>
      </c>
      <c r="X484" s="26">
        <f>IFERROR(VLOOKUP($J484,'ORDER VS WEEK DISTRIBUTION'!$T:$U,2,0),"")</f>
        <v/>
      </c>
      <c r="Y484" s="26">
        <f>IFERROR($T484/IF(IFERROR(VLOOKUP($I484,'ITEM CFC PER CONTAINER'!$A:$B,2,0),0)&gt;0,VLOOKUP($I484,'ITEM CFC PER CONTAINER'!$A:$B,2,0),VLOOKUP($X484,'MC MASTER'!$A:$Q,16,0)),"")</f>
        <v/>
      </c>
    </row>
    <row r="485" ht="15" customHeight="1" s="5">
      <c r="A485" s="26" t="inlineStr">
        <is>
          <t>MATATA TRADE FZE DMCC</t>
        </is>
      </c>
      <c r="B485" s="26" t="inlineStr">
        <is>
          <t>MJIL/SO/25066836</t>
        </is>
      </c>
      <c r="C485" s="26" t="inlineStr">
        <is>
          <t>MJ-239/25-26/ 16, 17 &amp; 18 (MA26151)</t>
        </is>
      </c>
      <c r="D485" s="82" t="n">
        <v>46361</v>
      </c>
      <c r="E485" s="83">
        <f>IF(ISNUMBER($D485),EOMONTH($D485,-1)+1,"")</f>
        <v/>
      </c>
      <c r="F485" s="82" t="n">
        <v>46361</v>
      </c>
      <c r="G485" s="26" t="n">
        <v>23621</v>
      </c>
      <c r="H485" s="26">
        <f>B485&amp;I485</f>
        <v/>
      </c>
      <c r="I485" s="26" t="inlineStr">
        <is>
          <t>KHAIMA CRANBERRY APPLE 45/25 DC ENV TBGS</t>
        </is>
      </c>
      <c r="J485" s="30" t="inlineStr">
        <is>
          <t>CONSTANTA ENV</t>
        </is>
      </c>
      <c r="K485" s="26">
        <f>J485&amp;"-"&amp;TEXT(W485,"dd-mmm-yy")</f>
        <v/>
      </c>
      <c r="L485" s="26">
        <f>IFERROR(VLOOKUP($M485,'ITEM MASTER'!E:H,4,0),"")</f>
        <v/>
      </c>
      <c r="M485" s="26">
        <f>IFERROR(VLOOKUP($I485,'ITEM MASTER'!B:E,4,0),"")</f>
        <v/>
      </c>
      <c r="N485" s="26">
        <f>IFERROR(VLOOKUP($I485,'ITEM MASTER'!B:F,5,0),0)</f>
        <v/>
      </c>
      <c r="O485" s="26">
        <f>IFERROR(VLOOKUP($M485,'TBGS PER CTN'!B:C,2,0),0)</f>
        <v/>
      </c>
      <c r="P485" s="26" t="n">
        <v>9990</v>
      </c>
      <c r="Q485" s="26" t="n">
        <v>0</v>
      </c>
      <c r="R485" s="26" t="n">
        <v>0</v>
      </c>
      <c r="S485" s="26">
        <f>Q485+R485</f>
        <v/>
      </c>
      <c r="T485" s="29" t="n">
        <v>9990</v>
      </c>
      <c r="U485" s="29">
        <f>N485*O485*T485</f>
        <v/>
      </c>
      <c r="V485" s="82">
        <f>IF(ISNUMBER($D485),$D485-WEEKDAY($D485,3),'ORDER VS WEEK DISTRIBUTION'!$G$500)</f>
        <v/>
      </c>
      <c r="W485" s="82">
        <f>MAX($V485,'ORDER VS WEEK DISTRIBUTION'!$G$500)</f>
        <v/>
      </c>
      <c r="X485" s="26">
        <f>IFERROR(VLOOKUP($J485,'ORDER VS WEEK DISTRIBUTION'!$T:$U,2,0),"")</f>
        <v/>
      </c>
      <c r="Y485" s="26">
        <f>IFERROR($T485/IF(IFERROR(VLOOKUP($I485,'ITEM CFC PER CONTAINER'!$A:$B,2,0),0)&gt;0,VLOOKUP($I485,'ITEM CFC PER CONTAINER'!$A:$B,2,0),VLOOKUP($X485,'MC MASTER'!$A:$Q,16,0)),"")</f>
        <v/>
      </c>
    </row>
    <row r="486" ht="15" customHeight="1" s="5">
      <c r="A486" s="26" t="inlineStr">
        <is>
          <t>MATATA TRADE FZE DMCC</t>
        </is>
      </c>
      <c r="B486" s="26" t="inlineStr">
        <is>
          <t>MJIL/SO/26046210</t>
        </is>
      </c>
      <c r="C486" s="26" t="inlineStr">
        <is>
          <t>MJ165/2526/2(MA26197)+108(MA26198)</t>
        </is>
      </c>
      <c r="D486" s="82" t="n">
        <v>46363</v>
      </c>
      <c r="E486" s="83">
        <f>IF(ISNUMBER($D486),EOMONTH($D486,-1)+1,"")</f>
        <v/>
      </c>
      <c r="F486" s="82" t="n">
        <v>46363</v>
      </c>
      <c r="G486" s="26" t="n">
        <v>23621</v>
      </c>
      <c r="H486" s="26">
        <f>B486&amp;I486</f>
        <v/>
      </c>
      <c r="I486" s="26" t="inlineStr">
        <is>
          <t>KHAIMA CRANBERRY APPLE 45/25 DC ENV TBGS</t>
        </is>
      </c>
      <c r="J486" s="30" t="inlineStr">
        <is>
          <t>CONSTANTA ENV</t>
        </is>
      </c>
      <c r="K486" s="26">
        <f>J486&amp;"-"&amp;TEXT(W486,"dd-mmm-yy")</f>
        <v/>
      </c>
      <c r="L486" s="26">
        <f>IFERROR(VLOOKUP($M486,'ITEM MASTER'!E:H,4,0),"")</f>
        <v/>
      </c>
      <c r="M486" s="26">
        <f>IFERROR(VLOOKUP($I486,'ITEM MASTER'!B:E,4,0),"")</f>
        <v/>
      </c>
      <c r="N486" s="26">
        <f>IFERROR(VLOOKUP($I486,'ITEM MASTER'!B:F,5,0),0)</f>
        <v/>
      </c>
      <c r="O486" s="26">
        <f>IFERROR(VLOOKUP($M486,'TBGS PER CTN'!B:C,2,0),0)</f>
        <v/>
      </c>
      <c r="P486" s="26" t="n">
        <v>3330</v>
      </c>
      <c r="Q486" s="26" t="n">
        <v>0</v>
      </c>
      <c r="R486" s="26" t="n">
        <v>0</v>
      </c>
      <c r="S486" s="26">
        <f>Q486+R486</f>
        <v/>
      </c>
      <c r="T486" s="29" t="n">
        <v>3330</v>
      </c>
      <c r="U486" s="29">
        <f>N486*O486*T486</f>
        <v/>
      </c>
      <c r="V486" s="82">
        <f>IF(ISNUMBER($D486),$D486-WEEKDAY($D486,3),'ORDER VS WEEK DISTRIBUTION'!$G$500)</f>
        <v/>
      </c>
      <c r="W486" s="82">
        <f>MAX($V486,'ORDER VS WEEK DISTRIBUTION'!$G$500)</f>
        <v/>
      </c>
      <c r="X486" s="26">
        <f>IFERROR(VLOOKUP($J486,'ORDER VS WEEK DISTRIBUTION'!$T:$U,2,0),"")</f>
        <v/>
      </c>
      <c r="Y486" s="26">
        <f>IFERROR($T486/IF(IFERROR(VLOOKUP($I486,'ITEM CFC PER CONTAINER'!$A:$B,2,0),0)&gt;0,VLOOKUP($I486,'ITEM CFC PER CONTAINER'!$A:$B,2,0),VLOOKUP($X486,'MC MASTER'!$A:$Q,16,0)),"")</f>
        <v/>
      </c>
    </row>
    <row r="487" ht="15" customHeight="1" s="5">
      <c r="A487" s="26" t="inlineStr">
        <is>
          <t>MATATA TRADE FZE DMCC</t>
        </is>
      </c>
      <c r="B487" s="26" t="inlineStr">
        <is>
          <t>MJIL/SO/26046210</t>
        </is>
      </c>
      <c r="C487" s="26" t="inlineStr">
        <is>
          <t>MJ165/2526/2(MA26197)+108(MA26198)</t>
        </is>
      </c>
      <c r="D487" s="82" t="n">
        <v>46363</v>
      </c>
      <c r="E487" s="83">
        <f>IF(ISNUMBER($D487),EOMONTH($D487,-1)+1,"")</f>
        <v/>
      </c>
      <c r="F487" s="82" t="n">
        <v>46363</v>
      </c>
      <c r="G487" s="26" t="n">
        <v>34586</v>
      </c>
      <c r="H487" s="26">
        <f>B487&amp;I487</f>
        <v/>
      </c>
      <c r="I487" s="26" t="inlineStr">
        <is>
          <t>AKOUNA COFFEE 3 IN 1 (32 GMS) 12 STRIPS X 10 SACHETS WITH HANGER</t>
        </is>
      </c>
      <c r="J487" s="26" t="inlineStr">
        <is>
          <t>Pearl Pack Premix</t>
        </is>
      </c>
      <c r="K487" s="26">
        <f>J487&amp;"-"&amp;TEXT(W487,"dd-mmm-yy")</f>
        <v/>
      </c>
      <c r="L487" s="26">
        <f>IFERROR(VLOOKUP($M487,'ITEM MASTER'!E:H,4,0),"")</f>
        <v/>
      </c>
      <c r="M487" s="26">
        <f>IFERROR(VLOOKUP($I487,'ITEM MASTER'!B:E,4,0),"")</f>
        <v/>
      </c>
      <c r="N487" s="26">
        <f>IFERROR(VLOOKUP($I487,'ITEM MASTER'!B:F,5,0),0)</f>
        <v/>
      </c>
      <c r="O487" s="26">
        <f>IFERROR(VLOOKUP($M487,'TBGS PER CTN'!B:C,2,0),0)</f>
        <v/>
      </c>
      <c r="P487" s="26" t="n">
        <v>100</v>
      </c>
      <c r="Q487" s="26" t="n">
        <v>0</v>
      </c>
      <c r="R487" s="26" t="n">
        <v>4</v>
      </c>
      <c r="S487" s="26">
        <f>Q487+R487</f>
        <v/>
      </c>
      <c r="T487" s="29" t="n">
        <v>96</v>
      </c>
      <c r="U487" s="29">
        <f>N487*O487*T487</f>
        <v/>
      </c>
      <c r="V487" s="82">
        <f>IF(ISNUMBER($D487),$D487-WEEKDAY($D487,3),'ORDER VS WEEK DISTRIBUTION'!$G$500)</f>
        <v/>
      </c>
      <c r="W487" s="82">
        <f>MAX($V487,'ORDER VS WEEK DISTRIBUTION'!$G$500)</f>
        <v/>
      </c>
      <c r="X487" s="26">
        <f>IFERROR(VLOOKUP($J487,'ORDER VS WEEK DISTRIBUTION'!$T:$U,2,0),"")</f>
        <v/>
      </c>
      <c r="Y487" s="26">
        <f>IFERROR($T487/IF(IFERROR(VLOOKUP($I487,'ITEM CFC PER CONTAINER'!$A:$B,2,0),0)&gt;0,VLOOKUP($I487,'ITEM CFC PER CONTAINER'!$A:$B,2,0),VLOOKUP($X487,'MC MASTER'!$A:$Q,16,0)),"")</f>
        <v/>
      </c>
    </row>
    <row r="488" ht="15" customHeight="1" s="5">
      <c r="A488" s="26" t="inlineStr">
        <is>
          <t>Llc `Jay Tea`</t>
        </is>
      </c>
      <c r="B488" s="26" t="inlineStr">
        <is>
          <t>MJIL/SO/26011158</t>
        </is>
      </c>
      <c r="C488" s="26" t="inlineStr">
        <is>
          <t>DEC- PROJECTION -STD 786</t>
        </is>
      </c>
      <c r="D488" s="82" t="n">
        <v>46371</v>
      </c>
      <c r="E488" s="83">
        <f>IF(ISNUMBER($D488),EOMONTH($D488,-1)+1,"")</f>
        <v/>
      </c>
      <c r="F488" s="82" t="n">
        <v>46371</v>
      </c>
      <c r="G488" s="26" t="n">
        <v>28591</v>
      </c>
      <c r="H488" s="26">
        <f>B488&amp;I488</f>
        <v/>
      </c>
      <c r="I488" s="26" t="inlineStr">
        <is>
          <t>STD 786 BULK, 32 KGS - PP BAGS</t>
        </is>
      </c>
      <c r="J488" s="26" t="n"/>
      <c r="K488" s="26">
        <f>J488&amp;"-"&amp;TEXT(W488,"dd-mmm-yy")</f>
        <v/>
      </c>
      <c r="L488" s="26">
        <f>IFERROR(VLOOKUP($M488,'ITEM MASTER'!E:H,4,0),"")</f>
        <v/>
      </c>
      <c r="M488" s="26">
        <f>IFERROR(VLOOKUP($I488,'ITEM MASTER'!B:E,4,0),"")</f>
        <v/>
      </c>
      <c r="N488" s="26">
        <f>IFERROR(VLOOKUP($I488,'ITEM MASTER'!B:F,5,0),0)</f>
        <v/>
      </c>
      <c r="O488" s="26">
        <f>IFERROR(VLOOKUP($M488,'TBGS PER CTN'!B:C,2,0),0)</f>
        <v/>
      </c>
      <c r="P488" s="26" t="n">
        <v>531</v>
      </c>
      <c r="Q488" s="26" t="n">
        <v>0</v>
      </c>
      <c r="R488" s="26" t="n">
        <v>0</v>
      </c>
      <c r="S488" s="26">
        <f>Q488+R488</f>
        <v/>
      </c>
      <c r="T488" s="29" t="n">
        <v>531</v>
      </c>
      <c r="U488" s="29">
        <f>N488*O488*T488</f>
        <v/>
      </c>
      <c r="V488" s="82">
        <f>IF(ISNUMBER($D488),$D488-WEEKDAY($D488,3),'ORDER VS WEEK DISTRIBUTION'!$G$500)</f>
        <v/>
      </c>
      <c r="W488" s="82">
        <f>MAX($V488,'ORDER VS WEEK DISTRIBUTION'!$G$500)</f>
        <v/>
      </c>
      <c r="X488" s="26">
        <f>IFERROR(VLOOKUP($J488,'ORDER VS WEEK DISTRIBUTION'!$T:$U,2,0),"")</f>
        <v/>
      </c>
      <c r="Y488" s="26">
        <f>IFERROR($T488/IF(IFERROR(VLOOKUP($I488,'ITEM CFC PER CONTAINER'!$A:$B,2,0),0)&gt;0,VLOOKUP($I488,'ITEM CFC PER CONTAINER'!$A:$B,2,0),VLOOKUP($X488,'MC MASTER'!$A:$Q,16,0)),"")</f>
        <v/>
      </c>
    </row>
    <row r="489" ht="15" customHeight="1" s="5">
      <c r="A489" s="26" t="inlineStr">
        <is>
          <t>White Way Sarl</t>
        </is>
      </c>
      <c r="B489" s="26" t="inlineStr">
        <is>
          <t>MJIL/SO/26053754</t>
        </is>
      </c>
      <c r="C489" s="26" t="inlineStr">
        <is>
          <t>MJ-111/26-27</t>
        </is>
      </c>
      <c r="D489" s="82" t="n">
        <v>46371</v>
      </c>
      <c r="E489" s="83">
        <f>IF(ISNUMBER($D489),EOMONTH($D489,-1)+1,"")</f>
        <v/>
      </c>
      <c r="F489" s="82" t="n">
        <v>46371</v>
      </c>
      <c r="G489" s="26" t="n">
        <v>19751</v>
      </c>
      <c r="H489" s="26">
        <f>B489&amp;I489</f>
        <v/>
      </c>
      <c r="I489" s="26" t="inlineStr">
        <is>
          <t>FESTIVA STRAWBERRY 24/25 DC ENV TBGS</t>
        </is>
      </c>
      <c r="J489" s="30" t="inlineStr">
        <is>
          <t>CONSTANTA ENV</t>
        </is>
      </c>
      <c r="K489" s="26">
        <f>J489&amp;"-"&amp;TEXT(W489,"dd-mmm-yy")</f>
        <v/>
      </c>
      <c r="L489" s="26">
        <f>IFERROR(VLOOKUP($M489,'ITEM MASTER'!E:H,4,0),"")</f>
        <v/>
      </c>
      <c r="M489" s="26">
        <f>IFERROR(VLOOKUP($I489,'ITEM MASTER'!B:E,4,0),"")</f>
        <v/>
      </c>
      <c r="N489" s="26">
        <f>IFERROR(VLOOKUP($I489,'ITEM MASTER'!B:F,5,0),0)</f>
        <v/>
      </c>
      <c r="O489" s="26">
        <f>IFERROR(VLOOKUP($M489,'TBGS PER CTN'!B:C,2,0),0)</f>
        <v/>
      </c>
      <c r="P489" s="26" t="n">
        <v>2735</v>
      </c>
      <c r="Q489" s="26" t="n">
        <v>0</v>
      </c>
      <c r="R489" s="26" t="n">
        <v>4</v>
      </c>
      <c r="S489" s="26">
        <f>Q489+R489</f>
        <v/>
      </c>
      <c r="T489" s="29" t="n">
        <v>2731</v>
      </c>
      <c r="U489" s="29">
        <f>N489*O489*T489</f>
        <v/>
      </c>
      <c r="V489" s="82">
        <f>IF(ISNUMBER($D489),$D489-WEEKDAY($D489,3),'ORDER VS WEEK DISTRIBUTION'!$G$500)</f>
        <v/>
      </c>
      <c r="W489" s="82">
        <f>MAX($V489,'ORDER VS WEEK DISTRIBUTION'!$G$500)</f>
        <v/>
      </c>
      <c r="X489" s="26">
        <f>IFERROR(VLOOKUP($J489,'ORDER VS WEEK DISTRIBUTION'!$T:$U,2,0),"")</f>
        <v/>
      </c>
      <c r="Y489" s="26">
        <f>IFERROR($T489/IF(IFERROR(VLOOKUP($I489,'ITEM CFC PER CONTAINER'!$A:$B,2,0),0)&gt;0,VLOOKUP($I489,'ITEM CFC PER CONTAINER'!$A:$B,2,0),VLOOKUP($X489,'MC MASTER'!$A:$Q,16,0)),"")</f>
        <v/>
      </c>
    </row>
    <row r="490" ht="15" customHeight="1" s="5">
      <c r="A490" s="26" t="inlineStr">
        <is>
          <t>White Way Sarl</t>
        </is>
      </c>
      <c r="B490" s="26" t="inlineStr">
        <is>
          <t>MJIL/SO/26053754</t>
        </is>
      </c>
      <c r="C490" s="26" t="inlineStr">
        <is>
          <t>MJ-111/26-27</t>
        </is>
      </c>
      <c r="D490" s="82" t="n">
        <v>46371</v>
      </c>
      <c r="E490" s="83">
        <f>IF(ISNUMBER($D490),EOMONTH($D490,-1)+1,"")</f>
        <v/>
      </c>
      <c r="F490" s="82" t="n">
        <v>46371</v>
      </c>
      <c r="G490" s="26" t="n">
        <v>19739</v>
      </c>
      <c r="H490" s="26">
        <f>B490&amp;I490</f>
        <v/>
      </c>
      <c r="I490" s="26" t="inlineStr">
        <is>
          <t>FESTIVA MINT 24/25 DC ENV TBGS</t>
        </is>
      </c>
      <c r="J490" s="30" t="inlineStr">
        <is>
          <t>CONSTANTA ENV</t>
        </is>
      </c>
      <c r="K490" s="26">
        <f>J490&amp;"-"&amp;TEXT(W490,"dd-mmm-yy")</f>
        <v/>
      </c>
      <c r="L490" s="26">
        <f>IFERROR(VLOOKUP($M490,'ITEM MASTER'!E:H,4,0),"")</f>
        <v/>
      </c>
      <c r="M490" s="26">
        <f>IFERROR(VLOOKUP($I490,'ITEM MASTER'!B:E,4,0),"")</f>
        <v/>
      </c>
      <c r="N490" s="26">
        <f>IFERROR(VLOOKUP($I490,'ITEM MASTER'!B:F,5,0),0)</f>
        <v/>
      </c>
      <c r="O490" s="26">
        <f>IFERROR(VLOOKUP($M490,'TBGS PER CTN'!B:C,2,0),0)</f>
        <v/>
      </c>
      <c r="P490" s="26" t="n">
        <v>1975</v>
      </c>
      <c r="Q490" s="26" t="n">
        <v>0</v>
      </c>
      <c r="R490" s="26" t="n">
        <v>0</v>
      </c>
      <c r="S490" s="26">
        <f>Q490+R490</f>
        <v/>
      </c>
      <c r="T490" s="29" t="n">
        <v>1975</v>
      </c>
      <c r="U490" s="29">
        <f>N490*O490*T490</f>
        <v/>
      </c>
      <c r="V490" s="82">
        <f>IF(ISNUMBER($D490),$D490-WEEKDAY($D490,3),'ORDER VS WEEK DISTRIBUTION'!$G$500)</f>
        <v/>
      </c>
      <c r="W490" s="82">
        <f>MAX($V490,'ORDER VS WEEK DISTRIBUTION'!$G$500)</f>
        <v/>
      </c>
      <c r="X490" s="26">
        <f>IFERROR(VLOOKUP($J490,'ORDER VS WEEK DISTRIBUTION'!$T:$U,2,0),"")</f>
        <v/>
      </c>
      <c r="Y490" s="26">
        <f>IFERROR($T490/IF(IFERROR(VLOOKUP($I490,'ITEM CFC PER CONTAINER'!$A:$B,2,0),0)&gt;0,VLOOKUP($I490,'ITEM CFC PER CONTAINER'!$A:$B,2,0),VLOOKUP($X490,'MC MASTER'!$A:$Q,16,0)),"")</f>
        <v/>
      </c>
    </row>
    <row r="491" ht="15" customHeight="1" s="5">
      <c r="A491" s="26" t="inlineStr">
        <is>
          <t>White Way Sarl</t>
        </is>
      </c>
      <c r="B491" s="26" t="inlineStr">
        <is>
          <t>MJIL/SO/26053754</t>
        </is>
      </c>
      <c r="C491" s="26" t="inlineStr">
        <is>
          <t>MJ-111/26-27</t>
        </is>
      </c>
      <c r="D491" s="82" t="n">
        <v>46371</v>
      </c>
      <c r="E491" s="83">
        <f>IF(ISNUMBER($D491),EOMONTH($D491,-1)+1,"")</f>
        <v/>
      </c>
      <c r="F491" s="82" t="n">
        <v>46371</v>
      </c>
      <c r="G491" s="26" t="n">
        <v>19729</v>
      </c>
      <c r="H491" s="26">
        <f>B491&amp;I491</f>
        <v/>
      </c>
      <c r="I491" s="26" t="inlineStr">
        <is>
          <t>FESTIVA GINGER 24/25 DC ENV TBGS</t>
        </is>
      </c>
      <c r="J491" s="30" t="inlineStr">
        <is>
          <t>CONSTANTA ENV</t>
        </is>
      </c>
      <c r="K491" s="26">
        <f>J491&amp;"-"&amp;TEXT(W491,"dd-mmm-yy")</f>
        <v/>
      </c>
      <c r="L491" s="26">
        <f>IFERROR(VLOOKUP($M491,'ITEM MASTER'!E:H,4,0),"")</f>
        <v/>
      </c>
      <c r="M491" s="26">
        <f>IFERROR(VLOOKUP($I491,'ITEM MASTER'!B:E,4,0),"")</f>
        <v/>
      </c>
      <c r="N491" s="26">
        <f>IFERROR(VLOOKUP($I491,'ITEM MASTER'!B:F,5,0),0)</f>
        <v/>
      </c>
      <c r="O491" s="26">
        <f>IFERROR(VLOOKUP($M491,'TBGS PER CTN'!B:C,2,0),0)</f>
        <v/>
      </c>
      <c r="P491" s="26" t="n">
        <v>1975</v>
      </c>
      <c r="Q491" s="26" t="n">
        <v>0</v>
      </c>
      <c r="R491" s="26" t="n">
        <v>1</v>
      </c>
      <c r="S491" s="26">
        <f>Q491+R491</f>
        <v/>
      </c>
      <c r="T491" s="29" t="n">
        <v>1974</v>
      </c>
      <c r="U491" s="29">
        <f>N491*O491*T491</f>
        <v/>
      </c>
      <c r="V491" s="82">
        <f>IF(ISNUMBER($D491),$D491-WEEKDAY($D491,3),'ORDER VS WEEK DISTRIBUTION'!$G$500)</f>
        <v/>
      </c>
      <c r="W491" s="82">
        <f>MAX($V491,'ORDER VS WEEK DISTRIBUTION'!$G$500)</f>
        <v/>
      </c>
      <c r="X491" s="26">
        <f>IFERROR(VLOOKUP($J491,'ORDER VS WEEK DISTRIBUTION'!$T:$U,2,0),"")</f>
        <v/>
      </c>
      <c r="Y491" s="26">
        <f>IFERROR($T491/IF(IFERROR(VLOOKUP($I491,'ITEM CFC PER CONTAINER'!$A:$B,2,0),0)&gt;0,VLOOKUP($I491,'ITEM CFC PER CONTAINER'!$A:$B,2,0),VLOOKUP($X491,'MC MASTER'!$A:$Q,16,0)),"")</f>
        <v/>
      </c>
    </row>
    <row r="492" ht="15" customHeight="1" s="5">
      <c r="A492" s="26" t="inlineStr">
        <is>
          <t>Harris Freeman 1981 LLC</t>
        </is>
      </c>
      <c r="B492" s="26" t="inlineStr">
        <is>
          <t>MJIL/SO/26048111</t>
        </is>
      </c>
      <c r="C492" s="26" t="inlineStr">
        <is>
          <t>PO# 123</t>
        </is>
      </c>
      <c r="D492" s="82" t="n">
        <v>46357</v>
      </c>
      <c r="E492" s="83">
        <f>IF(ISNUMBER($D492),EOMONTH($D492,-1)+1,"")</f>
        <v/>
      </c>
      <c r="F492" s="82" t="n">
        <v>46387</v>
      </c>
      <c r="G492" s="26" t="n">
        <v>20617</v>
      </c>
      <c r="H492" s="26">
        <f>B492&amp;I492</f>
        <v/>
      </c>
      <c r="I492" s="26" t="inlineStr">
        <is>
          <t>TEA INDIA 12/2 LBS POLYBAG</t>
        </is>
      </c>
      <c r="J492" s="26" t="inlineStr">
        <is>
          <t>PAKONA 250GMS/500GMS/1000GMS</t>
        </is>
      </c>
      <c r="K492" s="26">
        <f>J492&amp;"-"&amp;TEXT(W492,"dd-mmm-yy")</f>
        <v/>
      </c>
      <c r="L492" s="26">
        <f>IFERROR(VLOOKUP($M492,'ITEM MASTER'!E:H,4,0),"")</f>
        <v/>
      </c>
      <c r="M492" s="26">
        <f>IFERROR(VLOOKUP($I492,'ITEM MASTER'!B:E,4,0),"")</f>
        <v/>
      </c>
      <c r="N492" s="26">
        <f>IFERROR(VLOOKUP($I492,'ITEM MASTER'!B:F,5,0),0)</f>
        <v/>
      </c>
      <c r="O492" s="26">
        <f>IFERROR(VLOOKUP($M492,'TBGS PER CTN'!B:C,2,0),0)</f>
        <v/>
      </c>
      <c r="P492" s="26" t="n">
        <v>1760</v>
      </c>
      <c r="Q492" s="26" t="n">
        <v>0</v>
      </c>
      <c r="R492" s="26" t="n">
        <v>0</v>
      </c>
      <c r="S492" s="26">
        <f>Q492+R492</f>
        <v/>
      </c>
      <c r="T492" s="29" t="n">
        <v>1760</v>
      </c>
      <c r="U492" s="29">
        <f>N492*O492*T492</f>
        <v/>
      </c>
      <c r="V492" s="82">
        <f>IF(ISNUMBER($D492),$D492-WEEKDAY($D492,3),'ORDER VS WEEK DISTRIBUTION'!$G$500)</f>
        <v/>
      </c>
      <c r="W492" s="82">
        <f>MAX($V492,'ORDER VS WEEK DISTRIBUTION'!$G$500)</f>
        <v/>
      </c>
      <c r="X492" s="26">
        <f>IFERROR(VLOOKUP($J492,'ORDER VS WEEK DISTRIBUTION'!$T:$U,2,0),"")</f>
        <v/>
      </c>
      <c r="Y492" s="26">
        <f>IFERROR($T492/IF(IFERROR(VLOOKUP($I492,'ITEM CFC PER CONTAINER'!$A:$B,2,0),0)&gt;0,VLOOKUP($I492,'ITEM CFC PER CONTAINER'!$A:$B,2,0),VLOOKUP($X492,'MC MASTER'!$A:$Q,16,0)),"")</f>
        <v/>
      </c>
    </row>
    <row r="493" ht="15" customHeight="1" s="5">
      <c r="A493" s="26" t="inlineStr">
        <is>
          <t>Harris Freeman 1981 LLC</t>
        </is>
      </c>
      <c r="B493" s="26" t="inlineStr">
        <is>
          <t>MJIL/SO/26048111</t>
        </is>
      </c>
      <c r="C493" s="26" t="inlineStr">
        <is>
          <t>PO# 123</t>
        </is>
      </c>
      <c r="D493" s="82" t="n">
        <v>46357</v>
      </c>
      <c r="E493" s="83">
        <f>IF(ISNUMBER($D493),EOMONTH($D493,-1)+1,"")</f>
        <v/>
      </c>
      <c r="F493" s="82" t="n">
        <v>46387</v>
      </c>
      <c r="G493" s="26" t="n">
        <v>20831</v>
      </c>
      <c r="H493" s="26">
        <f>B493&amp;I493</f>
        <v/>
      </c>
      <c r="I493" s="26" t="inlineStr">
        <is>
          <t>TEA INDIA 24/1 LBS POLYBAG</t>
        </is>
      </c>
      <c r="J493" s="26" t="inlineStr">
        <is>
          <t>PAKONA 250GMS/500GMS/1000GMS</t>
        </is>
      </c>
      <c r="K493" s="26">
        <f>J493&amp;"-"&amp;TEXT(W493,"dd-mmm-yy")</f>
        <v/>
      </c>
      <c r="L493" s="26">
        <f>IFERROR(VLOOKUP($M493,'ITEM MASTER'!E:H,4,0),"")</f>
        <v/>
      </c>
      <c r="M493" s="26">
        <f>IFERROR(VLOOKUP($I493,'ITEM MASTER'!B:E,4,0),"")</f>
        <v/>
      </c>
      <c r="N493" s="26">
        <f>IFERROR(VLOOKUP($I493,'ITEM MASTER'!B:F,5,0),0)</f>
        <v/>
      </c>
      <c r="O493" s="26">
        <f>IFERROR(VLOOKUP($M493,'TBGS PER CTN'!B:C,2,0),0)</f>
        <v/>
      </c>
      <c r="P493" s="26" t="n">
        <v>300</v>
      </c>
      <c r="Q493" s="26" t="n">
        <v>0</v>
      </c>
      <c r="R493" s="26" t="n">
        <v>0</v>
      </c>
      <c r="S493" s="26">
        <f>Q493+R493</f>
        <v/>
      </c>
      <c r="T493" s="29" t="n">
        <v>300</v>
      </c>
      <c r="U493" s="29">
        <f>N493*O493*T493</f>
        <v/>
      </c>
      <c r="V493" s="82">
        <f>IF(ISNUMBER($D493),$D493-WEEKDAY($D493,3),'ORDER VS WEEK DISTRIBUTION'!$G$500)</f>
        <v/>
      </c>
      <c r="W493" s="82">
        <f>MAX($V493,'ORDER VS WEEK DISTRIBUTION'!$G$500)</f>
        <v/>
      </c>
      <c r="X493" s="26">
        <f>IFERROR(VLOOKUP($J493,'ORDER VS WEEK DISTRIBUTION'!$T:$U,2,0),"")</f>
        <v/>
      </c>
      <c r="Y493" s="26">
        <f>IFERROR($T493/IF(IFERROR(VLOOKUP($I493,'ITEM CFC PER CONTAINER'!$A:$B,2,0),0)&gt;0,VLOOKUP($I493,'ITEM CFC PER CONTAINER'!$A:$B,2,0),VLOOKUP($X493,'MC MASTER'!$A:$Q,16,0)),"")</f>
        <v/>
      </c>
    </row>
    <row r="494" ht="15" customHeight="1" s="5">
      <c r="A494" s="26" t="inlineStr">
        <is>
          <t>Harris Freeman 1981 LLC</t>
        </is>
      </c>
      <c r="B494" s="26" t="inlineStr">
        <is>
          <t>MJIL/SO/26048111</t>
        </is>
      </c>
      <c r="C494" s="26" t="inlineStr">
        <is>
          <t>PO# 123</t>
        </is>
      </c>
      <c r="D494" s="82" t="n">
        <v>46357</v>
      </c>
      <c r="E494" s="83">
        <f>IF(ISNUMBER($D494),EOMONTH($D494,-1)+1,"")</f>
        <v/>
      </c>
      <c r="F494" s="82" t="n">
        <v>46387</v>
      </c>
      <c r="G494" s="26" t="n">
        <v>32215</v>
      </c>
      <c r="H494" s="26">
        <f>B494&amp;I494</f>
        <v/>
      </c>
      <c r="I494" s="26" t="inlineStr">
        <is>
          <t>TEA INDIA 6-3 LB CTC TEA</t>
        </is>
      </c>
      <c r="J494" s="26" t="inlineStr">
        <is>
          <t>Pearl Pack-FFS POUCH</t>
        </is>
      </c>
      <c r="K494" s="26">
        <f>J494&amp;"-"&amp;TEXT(W494,"dd-mmm-yy")</f>
        <v/>
      </c>
      <c r="L494" s="26">
        <f>IFERROR(VLOOKUP($M494,'ITEM MASTER'!E:H,4,0),"")</f>
        <v/>
      </c>
      <c r="M494" s="26">
        <f>IFERROR(VLOOKUP($I494,'ITEM MASTER'!B:E,4,0),"")</f>
        <v/>
      </c>
      <c r="N494" s="26">
        <f>IFERROR(VLOOKUP($I494,'ITEM MASTER'!B:F,5,0),0)</f>
        <v/>
      </c>
      <c r="O494" s="26">
        <f>IFERROR(VLOOKUP($M494,'TBGS PER CTN'!B:C,2,0),0)</f>
        <v/>
      </c>
      <c r="P494" s="26" t="n">
        <v>500</v>
      </c>
      <c r="Q494" s="26" t="n">
        <v>0</v>
      </c>
      <c r="R494" s="26" t="n">
        <v>0</v>
      </c>
      <c r="S494" s="26">
        <f>Q494+R494</f>
        <v/>
      </c>
      <c r="T494" s="29" t="n">
        <v>500</v>
      </c>
      <c r="U494" s="29">
        <f>N494*O494*T494</f>
        <v/>
      </c>
      <c r="V494" s="82">
        <f>IF(ISNUMBER($D494),$D494-WEEKDAY($D494,3),'ORDER VS WEEK DISTRIBUTION'!$G$500)</f>
        <v/>
      </c>
      <c r="W494" s="82">
        <f>MAX($V494,'ORDER VS WEEK DISTRIBUTION'!$G$500)</f>
        <v/>
      </c>
      <c r="X494" s="26">
        <f>IFERROR(VLOOKUP($J494,'ORDER VS WEEK DISTRIBUTION'!$T:$U,2,0),"")</f>
        <v/>
      </c>
      <c r="Y494" s="26">
        <f>IFERROR($T494/IF(IFERROR(VLOOKUP($I494,'ITEM CFC PER CONTAINER'!$A:$B,2,0),0)&gt;0,VLOOKUP($I494,'ITEM CFC PER CONTAINER'!$A:$B,2,0),VLOOKUP($X494,'MC MASTER'!$A:$Q,16,0)),"")</f>
        <v/>
      </c>
    </row>
    <row r="495" ht="15" customHeight="1" s="5">
      <c r="A495" s="26" t="inlineStr">
        <is>
          <t>Harris Tea Co. -Us</t>
        </is>
      </c>
      <c r="B495" s="26" t="inlineStr">
        <is>
          <t>MJIL/SO/26043061</t>
        </is>
      </c>
      <c r="C495" s="26" t="inlineStr">
        <is>
          <t>DEC PROJECTION</t>
        </is>
      </c>
      <c r="D495" s="82" t="n">
        <v>46387</v>
      </c>
      <c r="E495" s="83">
        <f>IF(ISNUMBER($D495),EOMONTH($D495,-1)+1,"")</f>
        <v/>
      </c>
      <c r="F495" s="82" t="n">
        <v>46387</v>
      </c>
      <c r="G495" s="26" t="n">
        <v>32930</v>
      </c>
      <c r="H495" s="26">
        <f>B495&amp;I495</f>
        <v/>
      </c>
      <c r="I495" s="26" t="inlineStr">
        <is>
          <t>BREW360 32-3 OZ BLK RND ITBS COPACK</t>
        </is>
      </c>
      <c r="J495" s="26" t="inlineStr">
        <is>
          <t>BREW MAGIC</t>
        </is>
      </c>
      <c r="K495" s="26">
        <f>J495&amp;"-"&amp;TEXT(W495,"dd-mmm-yy")</f>
        <v/>
      </c>
      <c r="L495" s="26">
        <f>IFERROR(VLOOKUP($M495,'ITEM MASTER'!E:H,4,0),"")</f>
        <v/>
      </c>
      <c r="M495" s="26">
        <f>IFERROR(VLOOKUP($I495,'ITEM MASTER'!B:E,4,0),"")</f>
        <v/>
      </c>
      <c r="N495" s="26">
        <f>IFERROR(VLOOKUP($I495,'ITEM MASTER'!B:F,5,0),0)</f>
        <v/>
      </c>
      <c r="O495" s="26">
        <f>IFERROR(VLOOKUP($M495,'TBGS PER CTN'!B:C,2,0),0)</f>
        <v/>
      </c>
      <c r="P495" s="26" t="n">
        <v>343</v>
      </c>
      <c r="Q495" s="26" t="n">
        <v>0</v>
      </c>
      <c r="R495" s="26" t="n">
        <v>0</v>
      </c>
      <c r="S495" s="26">
        <f>Q495+R495</f>
        <v/>
      </c>
      <c r="T495" s="29" t="n">
        <v>343</v>
      </c>
      <c r="U495" s="29">
        <f>N495*O495*T495</f>
        <v/>
      </c>
      <c r="V495" s="82">
        <f>IF(ISNUMBER($D495),$D495-WEEKDAY($D495,3),'ORDER VS WEEK DISTRIBUTION'!$G$500)</f>
        <v/>
      </c>
      <c r="W495" s="82">
        <f>MAX($V495,'ORDER VS WEEK DISTRIBUTION'!$G$500)</f>
        <v/>
      </c>
      <c r="X495" s="26">
        <f>IFERROR(VLOOKUP($J495,'ORDER VS WEEK DISTRIBUTION'!$T:$U,2,0),"")</f>
        <v/>
      </c>
      <c r="Y495" s="26">
        <f>IFERROR($T495/IF(IFERROR(VLOOKUP($I495,'ITEM CFC PER CONTAINER'!$A:$B,2,0),0)&gt;0,VLOOKUP($I495,'ITEM CFC PER CONTAINER'!$A:$B,2,0),VLOOKUP($X495,'MC MASTER'!$A:$Q,16,0)),"")</f>
        <v/>
      </c>
    </row>
    <row r="496" ht="15" customHeight="1" s="5">
      <c r="A496" s="26" t="inlineStr">
        <is>
          <t>Harris Tea Co. -Us</t>
        </is>
      </c>
      <c r="B496" s="26" t="inlineStr">
        <is>
          <t>MJIL/SO/26043061</t>
        </is>
      </c>
      <c r="C496" s="26" t="inlineStr">
        <is>
          <t>DEC PROJECTION</t>
        </is>
      </c>
      <c r="D496" s="82" t="n">
        <v>46387</v>
      </c>
      <c r="E496" s="83">
        <f>IF(ISNUMBER($D496),EOMONTH($D496,-1)+1,"")</f>
        <v/>
      </c>
      <c r="F496" s="82" t="n">
        <v>46387</v>
      </c>
      <c r="G496" s="26" t="n">
        <v>37527</v>
      </c>
      <c r="H496" s="26">
        <f>B496&amp;I496</f>
        <v/>
      </c>
      <c r="I496" s="26" t="inlineStr">
        <is>
          <t>GREAT VALUE 4/20 VARIETY HERBAL TEA COLLECTIONS DC SF HS ENV TBGS</t>
        </is>
      </c>
      <c r="J496" s="26" t="inlineStr">
        <is>
          <t>MD20 HS</t>
        </is>
      </c>
      <c r="K496" s="26">
        <f>J496&amp;"-"&amp;TEXT(W496,"dd-mmm-yy")</f>
        <v/>
      </c>
      <c r="L496" s="26">
        <f>IFERROR(VLOOKUP($M496,'ITEM MASTER'!E:H,4,0),"")</f>
        <v/>
      </c>
      <c r="M496" s="26">
        <f>IFERROR(VLOOKUP($I496,'ITEM MASTER'!B:E,4,0),"")</f>
        <v/>
      </c>
      <c r="N496" s="26">
        <f>IFERROR(VLOOKUP($I496,'ITEM MASTER'!B:F,5,0),0)</f>
        <v/>
      </c>
      <c r="O496" s="26">
        <f>IFERROR(VLOOKUP($M496,'TBGS PER CTN'!B:C,2,0),0)</f>
        <v/>
      </c>
      <c r="P496" s="26" t="n">
        <v>9866</v>
      </c>
      <c r="Q496" s="26" t="n">
        <v>0</v>
      </c>
      <c r="R496" s="26" t="n">
        <v>0</v>
      </c>
      <c r="S496" s="26">
        <f>Q496+R496</f>
        <v/>
      </c>
      <c r="T496" s="29" t="n">
        <v>9866</v>
      </c>
      <c r="U496" s="29">
        <f>N496*O496*T496</f>
        <v/>
      </c>
      <c r="V496" s="82">
        <f>IF(ISNUMBER($D496),$D496-WEEKDAY($D496,3),'ORDER VS WEEK DISTRIBUTION'!$G$500)</f>
        <v/>
      </c>
      <c r="W496" s="82">
        <f>MAX($V496,'ORDER VS WEEK DISTRIBUTION'!$G$500)</f>
        <v/>
      </c>
      <c r="X496" s="26">
        <f>IFERROR(VLOOKUP($J496,'ORDER VS WEEK DISTRIBUTION'!$T:$U,2,0),"")</f>
        <v/>
      </c>
      <c r="Y496" s="26">
        <f>IFERROR($T496/IF(IFERROR(VLOOKUP($I496,'ITEM CFC PER CONTAINER'!$A:$B,2,0),0)&gt;0,VLOOKUP($I496,'ITEM CFC PER CONTAINER'!$A:$B,2,0),VLOOKUP($X496,'MC MASTER'!$A:$Q,16,0)),"")</f>
        <v/>
      </c>
    </row>
    <row r="497" ht="15" customHeight="1" s="5">
      <c r="A497" s="26" t="inlineStr">
        <is>
          <t>Harris Tea Co. -Us</t>
        </is>
      </c>
      <c r="B497" s="26" t="inlineStr">
        <is>
          <t>MJIL/SO/26043061</t>
        </is>
      </c>
      <c r="C497" s="26" t="inlineStr">
        <is>
          <t>DEC PROJECTION</t>
        </is>
      </c>
      <c r="D497" s="82" t="n">
        <v>46387</v>
      </c>
      <c r="E497" s="83">
        <f>IF(ISNUMBER($D497),EOMONTH($D497,-1)+1,"")</f>
        <v/>
      </c>
      <c r="F497" s="82" t="n">
        <v>46387</v>
      </c>
      <c r="G497" s="26" t="n">
        <v>23786</v>
      </c>
      <c r="H497" s="26">
        <f>B497&amp;I497</f>
        <v/>
      </c>
      <c r="I497" s="26" t="inlineStr">
        <is>
          <t>KEEFE 10/100 SC ENV TBGS</t>
        </is>
      </c>
      <c r="J497" s="26" t="inlineStr">
        <is>
          <t>MAISA ENV</t>
        </is>
      </c>
      <c r="K497" s="26">
        <f>J497&amp;"-"&amp;TEXT(W497,"dd-mmm-yy")</f>
        <v/>
      </c>
      <c r="L497" s="26">
        <f>IFERROR(VLOOKUP($M497,'ITEM MASTER'!E:H,4,0),"")</f>
        <v/>
      </c>
      <c r="M497" s="26">
        <f>IFERROR(VLOOKUP($I497,'ITEM MASTER'!B:E,4,0),"")</f>
        <v/>
      </c>
      <c r="N497" s="26">
        <f>IFERROR(VLOOKUP($I497,'ITEM MASTER'!B:F,5,0),0)</f>
        <v/>
      </c>
      <c r="O497" s="26">
        <f>IFERROR(VLOOKUP($M497,'TBGS PER CTN'!B:C,2,0),0)</f>
        <v/>
      </c>
      <c r="P497" s="26" t="n">
        <v>307</v>
      </c>
      <c r="Q497" s="26" t="n">
        <v>0</v>
      </c>
      <c r="R497" s="26" t="n">
        <v>0</v>
      </c>
      <c r="S497" s="26">
        <f>Q497+R497</f>
        <v/>
      </c>
      <c r="T497" s="29" t="n">
        <v>307</v>
      </c>
      <c r="U497" s="29">
        <f>N497*O497*T497</f>
        <v/>
      </c>
      <c r="V497" s="82">
        <f>IF(ISNUMBER($D497),$D497-WEEKDAY($D497,3),'ORDER VS WEEK DISTRIBUTION'!$G$500)</f>
        <v/>
      </c>
      <c r="W497" s="82">
        <f>MAX($V497,'ORDER VS WEEK DISTRIBUTION'!$G$500)</f>
        <v/>
      </c>
      <c r="X497" s="26">
        <f>IFERROR(VLOOKUP($J497,'ORDER VS WEEK DISTRIBUTION'!$T:$U,2,0),"")</f>
        <v/>
      </c>
      <c r="Y497" s="26">
        <f>IFERROR($T497/IF(IFERROR(VLOOKUP($I497,'ITEM CFC PER CONTAINER'!$A:$B,2,0),0)&gt;0,VLOOKUP($I497,'ITEM CFC PER CONTAINER'!$A:$B,2,0),VLOOKUP($X497,'MC MASTER'!$A:$Q,16,0)),"")</f>
        <v/>
      </c>
    </row>
    <row r="498" ht="15" customHeight="1" s="5">
      <c r="A498" s="26" t="inlineStr">
        <is>
          <t>Harris Tea Co. -Us</t>
        </is>
      </c>
      <c r="B498" s="26" t="inlineStr">
        <is>
          <t>MJIL/SO/26043061</t>
        </is>
      </c>
      <c r="C498" s="26" t="inlineStr">
        <is>
          <t>DEC PROJECTION</t>
        </is>
      </c>
      <c r="D498" s="82" t="n">
        <v>46387</v>
      </c>
      <c r="E498" s="83">
        <f>IF(ISNUMBER($D498),EOMONTH($D498,-1)+1,"")</f>
        <v/>
      </c>
      <c r="F498" s="82" t="n">
        <v>46387</v>
      </c>
      <c r="G498" s="26" t="n">
        <v>23604</v>
      </c>
      <c r="H498" s="26">
        <f>B498&amp;I498</f>
        <v/>
      </c>
      <c r="I498" s="26" t="inlineStr">
        <is>
          <t>KEEFE 24/48 SC ENV TBGS</t>
        </is>
      </c>
      <c r="J498" s="26" t="inlineStr">
        <is>
          <t>MAISA ENV</t>
        </is>
      </c>
      <c r="K498" s="26">
        <f>J498&amp;"-"&amp;TEXT(W498,"dd-mmm-yy")</f>
        <v/>
      </c>
      <c r="L498" s="26">
        <f>IFERROR(VLOOKUP($M498,'ITEM MASTER'!E:H,4,0),"")</f>
        <v/>
      </c>
      <c r="M498" s="26">
        <f>IFERROR(VLOOKUP($I498,'ITEM MASTER'!B:E,4,0),"")</f>
        <v/>
      </c>
      <c r="N498" s="26">
        <f>IFERROR(VLOOKUP($I498,'ITEM MASTER'!B:F,5,0),0)</f>
        <v/>
      </c>
      <c r="O498" s="26">
        <f>IFERROR(VLOOKUP($M498,'TBGS PER CTN'!B:C,2,0),0)</f>
        <v/>
      </c>
      <c r="P498" s="26" t="n">
        <v>810</v>
      </c>
      <c r="Q498" s="26" t="n">
        <v>0</v>
      </c>
      <c r="R498" s="26" t="n">
        <v>0</v>
      </c>
      <c r="S498" s="26">
        <f>Q498+R498</f>
        <v/>
      </c>
      <c r="T498" s="29" t="n">
        <v>810</v>
      </c>
      <c r="U498" s="29">
        <f>N498*O498*T498</f>
        <v/>
      </c>
      <c r="V498" s="82">
        <f>IF(ISNUMBER($D498),$D498-WEEKDAY($D498,3),'ORDER VS WEEK DISTRIBUTION'!$G$500)</f>
        <v/>
      </c>
      <c r="W498" s="82">
        <f>MAX($V498,'ORDER VS WEEK DISTRIBUTION'!$G$500)</f>
        <v/>
      </c>
      <c r="X498" s="26">
        <f>IFERROR(VLOOKUP($J498,'ORDER VS WEEK DISTRIBUTION'!$T:$U,2,0),"")</f>
        <v/>
      </c>
      <c r="Y498" s="26">
        <f>IFERROR($T498/IF(IFERROR(VLOOKUP($I498,'ITEM CFC PER CONTAINER'!$A:$B,2,0),0)&gt;0,VLOOKUP($I498,'ITEM CFC PER CONTAINER'!$A:$B,2,0),VLOOKUP($X498,'MC MASTER'!$A:$Q,16,0)),"")</f>
        <v/>
      </c>
    </row>
    <row r="499" ht="15" customHeight="1" s="5">
      <c r="A499" s="26" t="inlineStr">
        <is>
          <t>Harris Tea Co. -Us</t>
        </is>
      </c>
      <c r="B499" s="26" t="inlineStr">
        <is>
          <t>MJIL/SO/26043061</t>
        </is>
      </c>
      <c r="C499" s="26" t="inlineStr">
        <is>
          <t>DEC PROJECTION</t>
        </is>
      </c>
      <c r="D499" s="82" t="n">
        <v>46387</v>
      </c>
      <c r="E499" s="83">
        <f>IF(ISNUMBER($D499),EOMONTH($D499,-1)+1,"")</f>
        <v/>
      </c>
      <c r="F499" s="82" t="n">
        <v>46387</v>
      </c>
      <c r="G499" s="26" t="n">
        <v>23760</v>
      </c>
      <c r="H499" s="26">
        <f>B499&amp;I499</f>
        <v/>
      </c>
      <c r="I499" s="26" t="inlineStr">
        <is>
          <t>SPROUTS FARMERS MARKET ORGANIC GREEN TEA 12/100 SC ENV TBGS</t>
        </is>
      </c>
      <c r="J499" s="26" t="inlineStr">
        <is>
          <t>MAISA ENV</t>
        </is>
      </c>
      <c r="K499" s="26">
        <f>J499&amp;"-"&amp;TEXT(W499,"dd-mmm-yy")</f>
        <v/>
      </c>
      <c r="L499" s="26">
        <f>IFERROR(VLOOKUP($M499,'ITEM MASTER'!E:H,4,0),"")</f>
        <v/>
      </c>
      <c r="M499" s="26">
        <f>IFERROR(VLOOKUP($I499,'ITEM MASTER'!B:E,4,0),"")</f>
        <v/>
      </c>
      <c r="N499" s="26">
        <f>IFERROR(VLOOKUP($I499,'ITEM MASTER'!B:F,5,0),0)</f>
        <v/>
      </c>
      <c r="O499" s="26">
        <f>IFERROR(VLOOKUP($M499,'TBGS PER CTN'!B:C,2,0),0)</f>
        <v/>
      </c>
      <c r="P499" s="26" t="n">
        <v>913</v>
      </c>
      <c r="Q499" s="26" t="n">
        <v>0</v>
      </c>
      <c r="R499" s="26" t="n">
        <v>0</v>
      </c>
      <c r="S499" s="26">
        <f>Q499+R499</f>
        <v/>
      </c>
      <c r="T499" s="29" t="n">
        <v>913</v>
      </c>
      <c r="U499" s="29">
        <f>N499*O499*T499</f>
        <v/>
      </c>
      <c r="V499" s="82">
        <f>IF(ISNUMBER($D499),$D499-WEEKDAY($D499,3),'ORDER VS WEEK DISTRIBUTION'!$G$500)</f>
        <v/>
      </c>
      <c r="W499" s="82">
        <f>MAX($V499,'ORDER VS WEEK DISTRIBUTION'!$G$500)</f>
        <v/>
      </c>
      <c r="X499" s="26">
        <f>IFERROR(VLOOKUP($J499,'ORDER VS WEEK DISTRIBUTION'!$T:$U,2,0),"")</f>
        <v/>
      </c>
      <c r="Y499" s="26">
        <f>IFERROR($T499/IF(IFERROR(VLOOKUP($I499,'ITEM CFC PER CONTAINER'!$A:$B,2,0),0)&gt;0,VLOOKUP($I499,'ITEM CFC PER CONTAINER'!$A:$B,2,0),VLOOKUP($X499,'MC MASTER'!$A:$Q,16,0)),"")</f>
        <v/>
      </c>
    </row>
    <row r="500" ht="15" customHeight="1" s="5">
      <c r="A500" s="26" t="inlineStr">
        <is>
          <t>Harris Tea Co. -Us</t>
        </is>
      </c>
      <c r="B500" s="26" t="inlineStr">
        <is>
          <t>MJIL/SO/26043061</t>
        </is>
      </c>
      <c r="C500" s="26" t="inlineStr">
        <is>
          <t>DEC PROJECTION</t>
        </is>
      </c>
      <c r="D500" s="82" t="n">
        <v>46387</v>
      </c>
      <c r="E500" s="83">
        <f>IF(ISNUMBER($D500),EOMONTH($D500,-1)+1,"")</f>
        <v/>
      </c>
      <c r="F500" s="82" t="n">
        <v>46387</v>
      </c>
      <c r="G500" s="26" t="n">
        <v>23758</v>
      </c>
      <c r="H500" s="26">
        <f>B500&amp;I500</f>
        <v/>
      </c>
      <c r="I500" s="26" t="inlineStr">
        <is>
          <t>SPROUTS FARMERS MARKET ORGANIC BLACK TEA 12/100 SC ENV TBGS</t>
        </is>
      </c>
      <c r="J500" s="26" t="inlineStr">
        <is>
          <t>MAISA ENV</t>
        </is>
      </c>
      <c r="K500" s="26">
        <f>J500&amp;"-"&amp;TEXT(W500,"dd-mmm-yy")</f>
        <v/>
      </c>
      <c r="L500" s="26">
        <f>IFERROR(VLOOKUP($M500,'ITEM MASTER'!E:H,4,0),"")</f>
        <v/>
      </c>
      <c r="M500" s="26">
        <f>IFERROR(VLOOKUP($I500,'ITEM MASTER'!B:E,4,0),"")</f>
        <v/>
      </c>
      <c r="N500" s="26">
        <f>IFERROR(VLOOKUP($I500,'ITEM MASTER'!B:F,5,0),0)</f>
        <v/>
      </c>
      <c r="O500" s="26">
        <f>IFERROR(VLOOKUP($M500,'TBGS PER CTN'!B:C,2,0),0)</f>
        <v/>
      </c>
      <c r="P500" s="26" t="n">
        <v>1010</v>
      </c>
      <c r="Q500" s="26" t="n">
        <v>0</v>
      </c>
      <c r="R500" s="26" t="n">
        <v>0</v>
      </c>
      <c r="S500" s="26">
        <f>Q500+R500</f>
        <v/>
      </c>
      <c r="T500" s="29" t="n">
        <v>1010</v>
      </c>
      <c r="U500" s="29">
        <f>N500*O500*T500</f>
        <v/>
      </c>
      <c r="V500" s="82">
        <f>IF(ISNUMBER($D500),$D500-WEEKDAY($D500,3),'ORDER VS WEEK DISTRIBUTION'!$G$500)</f>
        <v/>
      </c>
      <c r="W500" s="82">
        <f>MAX($V500,'ORDER VS WEEK DISTRIBUTION'!$G$500)</f>
        <v/>
      </c>
      <c r="X500" s="26">
        <f>IFERROR(VLOOKUP($J500,'ORDER VS WEEK DISTRIBUTION'!$T:$U,2,0),"")</f>
        <v/>
      </c>
      <c r="Y500" s="26">
        <f>IFERROR($T500/IF(IFERROR(VLOOKUP($I500,'ITEM CFC PER CONTAINER'!$A:$B,2,0),0)&gt;0,VLOOKUP($I500,'ITEM CFC PER CONTAINER'!$A:$B,2,0),VLOOKUP($X500,'MC MASTER'!$A:$Q,16,0)),"")</f>
        <v/>
      </c>
    </row>
    <row r="501" ht="15" customHeight="1" s="5">
      <c r="A501" s="26" t="inlineStr">
        <is>
          <t>Harris Tea Co. -Us</t>
        </is>
      </c>
      <c r="B501" s="26" t="inlineStr">
        <is>
          <t>MJIL/SO/26043061</t>
        </is>
      </c>
      <c r="C501" s="26" t="inlineStr">
        <is>
          <t>DEC PROJECTION</t>
        </is>
      </c>
      <c r="D501" s="82" t="n">
        <v>46387</v>
      </c>
      <c r="E501" s="83">
        <f>IF(ISNUMBER($D501),EOMONTH($D501,-1)+1,"")</f>
        <v/>
      </c>
      <c r="F501" s="82" t="n">
        <v>46387</v>
      </c>
      <c r="G501" s="26" t="n">
        <v>23224</v>
      </c>
      <c r="H501" s="26">
        <f>B501&amp;I501</f>
        <v/>
      </c>
      <c r="I501" s="26" t="inlineStr">
        <is>
          <t>TRSCO 32-3 OZ AB RND RFA ITBS</t>
        </is>
      </c>
      <c r="J501" s="26" t="inlineStr">
        <is>
          <t>BREW MAGIC</t>
        </is>
      </c>
      <c r="K501" s="26">
        <f>J501&amp;"-"&amp;TEXT(W501,"dd-mmm-yy")</f>
        <v/>
      </c>
      <c r="L501" s="26">
        <f>IFERROR(VLOOKUP($M501,'ITEM MASTER'!E:H,4,0),"")</f>
        <v/>
      </c>
      <c r="M501" s="26">
        <f>IFERROR(VLOOKUP($I501,'ITEM MASTER'!B:E,4,0),"")</f>
        <v/>
      </c>
      <c r="N501" s="26">
        <f>IFERROR(VLOOKUP($I501,'ITEM MASTER'!B:F,5,0),0)</f>
        <v/>
      </c>
      <c r="O501" s="26">
        <f>IFERROR(VLOOKUP($M501,'TBGS PER CTN'!B:C,2,0),0)</f>
        <v/>
      </c>
      <c r="P501" s="26" t="n">
        <v>1108</v>
      </c>
      <c r="Q501" s="26" t="n">
        <v>0</v>
      </c>
      <c r="R501" s="26" t="n">
        <v>0</v>
      </c>
      <c r="S501" s="26">
        <f>Q501+R501</f>
        <v/>
      </c>
      <c r="T501" s="29" t="n">
        <v>1108</v>
      </c>
      <c r="U501" s="29">
        <f>N501*O501*T501</f>
        <v/>
      </c>
      <c r="V501" s="82">
        <f>IF(ISNUMBER($D501),$D501-WEEKDAY($D501,3),'ORDER VS WEEK DISTRIBUTION'!$G$500)</f>
        <v/>
      </c>
      <c r="W501" s="82">
        <f>MAX($V501,'ORDER VS WEEK DISTRIBUTION'!$G$500)</f>
        <v/>
      </c>
      <c r="X501" s="26">
        <f>IFERROR(VLOOKUP($J501,'ORDER VS WEEK DISTRIBUTION'!$T:$U,2,0),"")</f>
        <v/>
      </c>
      <c r="Y501" s="26">
        <f>IFERROR($T501/IF(IFERROR(VLOOKUP($I501,'ITEM CFC PER CONTAINER'!$A:$B,2,0),0)&gt;0,VLOOKUP($I501,'ITEM CFC PER CONTAINER'!$A:$B,2,0),VLOOKUP($X501,'MC MASTER'!$A:$Q,16,0)),"")</f>
        <v/>
      </c>
    </row>
    <row r="502" ht="15" customHeight="1" s="5">
      <c r="A502" s="26" t="inlineStr">
        <is>
          <t>Harris Tea Co. -Us</t>
        </is>
      </c>
      <c r="B502" s="26" t="inlineStr">
        <is>
          <t>MJIL/SO/26044899</t>
        </is>
      </c>
      <c r="C502" s="26" t="inlineStr">
        <is>
          <t>WALMART - DEC CONFIRM ORDER</t>
        </is>
      </c>
      <c r="D502" s="82" t="n">
        <v>46387</v>
      </c>
      <c r="E502" s="83">
        <f>IF(ISNUMBER($D502),EOMONTH($D502,-1)+1,"")</f>
        <v/>
      </c>
      <c r="F502" s="82" t="n">
        <v>46387</v>
      </c>
      <c r="G502" s="26" t="n">
        <v>37527</v>
      </c>
      <c r="H502" s="26">
        <f>B502&amp;I502</f>
        <v/>
      </c>
      <c r="I502" s="26" t="inlineStr">
        <is>
          <t>GREAT VALUE 4/20 VARIETY HERBAL TEA COLLECTIONS DC SF HS ENV TBGS</t>
        </is>
      </c>
      <c r="J502" s="26" t="inlineStr">
        <is>
          <t>MD20 HS</t>
        </is>
      </c>
      <c r="K502" s="26">
        <f>J502&amp;"-"&amp;TEXT(W502,"dd-mmm-yy")</f>
        <v/>
      </c>
      <c r="L502" s="26">
        <f>IFERROR(VLOOKUP($M502,'ITEM MASTER'!E:H,4,0),"")</f>
        <v/>
      </c>
      <c r="M502" s="26">
        <f>IFERROR(VLOOKUP($I502,'ITEM MASTER'!B:E,4,0),"")</f>
        <v/>
      </c>
      <c r="N502" s="26">
        <f>IFERROR(VLOOKUP($I502,'ITEM MASTER'!B:F,5,0),0)</f>
        <v/>
      </c>
      <c r="O502" s="26">
        <f>IFERROR(VLOOKUP($M502,'TBGS PER CTN'!B:C,2,0),0)</f>
        <v/>
      </c>
      <c r="P502" s="26" t="n">
        <v>14784</v>
      </c>
      <c r="Q502" s="26" t="n">
        <v>0</v>
      </c>
      <c r="R502" s="26" t="n">
        <v>0</v>
      </c>
      <c r="S502" s="26">
        <f>Q502+R502</f>
        <v/>
      </c>
      <c r="T502" s="29" t="n">
        <v>14784</v>
      </c>
      <c r="U502" s="29">
        <f>N502*O502*T502</f>
        <v/>
      </c>
      <c r="V502" s="82">
        <f>IF(ISNUMBER($D502),$D502-WEEKDAY($D502,3),'ORDER VS WEEK DISTRIBUTION'!$G$500)</f>
        <v/>
      </c>
      <c r="W502" s="82">
        <f>MAX($V502,'ORDER VS WEEK DISTRIBUTION'!$G$500)</f>
        <v/>
      </c>
      <c r="X502" s="26">
        <f>IFERROR(VLOOKUP($J502,'ORDER VS WEEK DISTRIBUTION'!$T:$U,2,0),"")</f>
        <v/>
      </c>
      <c r="Y502" s="26">
        <f>IFERROR($T502/IF(IFERROR(VLOOKUP($I502,'ITEM CFC PER CONTAINER'!$A:$B,2,0),0)&gt;0,VLOOKUP($I502,'ITEM CFC PER CONTAINER'!$A:$B,2,0),VLOOKUP($X502,'MC MASTER'!$A:$Q,16,0)),"")</f>
        <v/>
      </c>
    </row>
    <row r="503" ht="15" customHeight="1" s="5">
      <c r="A503" s="26" t="inlineStr">
        <is>
          <t>Llc `Jay Tea`</t>
        </is>
      </c>
      <c r="B503" s="26" t="inlineStr">
        <is>
          <t>MJIL/SO/26015969</t>
        </is>
      </c>
      <c r="C503" s="26" t="inlineStr">
        <is>
          <t>DEC- PROJECTION - R135</t>
        </is>
      </c>
      <c r="D503" s="82" t="n">
        <v>46387</v>
      </c>
      <c r="E503" s="83">
        <f>IF(ISNUMBER($D503),EOMONTH($D503,-1)+1,"")</f>
        <v/>
      </c>
      <c r="F503" s="82" t="n">
        <v>46387</v>
      </c>
      <c r="G503" s="26" t="n">
        <v>32391</v>
      </c>
      <c r="H503" s="26">
        <f>B503&amp;I503</f>
        <v/>
      </c>
      <c r="I503" s="26" t="inlineStr">
        <is>
          <t>STD R 135 BULK, 30 KGS - PP BAGS</t>
        </is>
      </c>
      <c r="J503" s="26" t="n"/>
      <c r="K503" s="26">
        <f>J503&amp;"-"&amp;TEXT(W503,"dd-mmm-yy")</f>
        <v/>
      </c>
      <c r="L503" s="26">
        <f>IFERROR(VLOOKUP($M503,'ITEM MASTER'!E:H,4,0),"")</f>
        <v/>
      </c>
      <c r="M503" s="26">
        <f>IFERROR(VLOOKUP($I503,'ITEM MASTER'!B:E,4,0),"")</f>
        <v/>
      </c>
      <c r="N503" s="26">
        <f>IFERROR(VLOOKUP($I503,'ITEM MASTER'!B:F,5,0),0)</f>
        <v/>
      </c>
      <c r="O503" s="26">
        <f>IFERROR(VLOOKUP($M503,'TBGS PER CTN'!B:C,2,0),0)</f>
        <v/>
      </c>
      <c r="P503" s="26" t="n">
        <v>333</v>
      </c>
      <c r="Q503" s="26" t="n">
        <v>0</v>
      </c>
      <c r="R503" s="26" t="n">
        <v>0</v>
      </c>
      <c r="S503" s="26">
        <f>Q503+R503</f>
        <v/>
      </c>
      <c r="T503" s="29" t="n">
        <v>333</v>
      </c>
      <c r="U503" s="29">
        <f>N503*O503*T503</f>
        <v/>
      </c>
      <c r="V503" s="82">
        <f>IF(ISNUMBER($D503),$D503-WEEKDAY($D503,3),'ORDER VS WEEK DISTRIBUTION'!$G$500)</f>
        <v/>
      </c>
      <c r="W503" s="82">
        <f>MAX($V503,'ORDER VS WEEK DISTRIBUTION'!$G$500)</f>
        <v/>
      </c>
      <c r="X503" s="26">
        <f>IFERROR(VLOOKUP($J503,'ORDER VS WEEK DISTRIBUTION'!$T:$U,2,0),"")</f>
        <v/>
      </c>
      <c r="Y503" s="26">
        <f>IFERROR($T503/IF(IFERROR(VLOOKUP($I503,'ITEM CFC PER CONTAINER'!$A:$B,2,0),0)&gt;0,VLOOKUP($I503,'ITEM CFC PER CONTAINER'!$A:$B,2,0),VLOOKUP($X503,'MC MASTER'!$A:$Q,16,0)),"")</f>
        <v/>
      </c>
    </row>
    <row r="504" ht="15" customHeight="1" s="5">
      <c r="A504" s="26" t="inlineStr">
        <is>
          <t>Harris Freeman 1981 LLC</t>
        </is>
      </c>
      <c r="B504" s="26" t="inlineStr">
        <is>
          <t>MJIL/SO/26055175</t>
        </is>
      </c>
      <c r="C504" s="26" t="inlineStr">
        <is>
          <t>PO#121</t>
        </is>
      </c>
      <c r="D504" s="82" t="n">
        <v>46307</v>
      </c>
      <c r="E504" s="83">
        <f>IF(ISNUMBER($D504),EOMONTH($D504,-1)+1,"")</f>
        <v/>
      </c>
      <c r="F504" s="26" t="inlineStr">
        <is>
          <t>No data</t>
        </is>
      </c>
      <c r="G504" s="26" t="n">
        <v>20617</v>
      </c>
      <c r="H504" s="26">
        <f>B504&amp;I504</f>
        <v/>
      </c>
      <c r="I504" s="26" t="inlineStr">
        <is>
          <t>TEA INDIA 12/2 LBS POLYBAG</t>
        </is>
      </c>
      <c r="J504" s="26" t="inlineStr">
        <is>
          <t>PAKONA 250GMS/500GMS/1000GMS</t>
        </is>
      </c>
      <c r="K504" s="26">
        <f>J504&amp;"-"&amp;TEXT(W504,"dd-mmm-yy")</f>
        <v/>
      </c>
      <c r="L504" s="26">
        <f>IFERROR(VLOOKUP($M504,'ITEM MASTER'!E:H,4,0),"")</f>
        <v/>
      </c>
      <c r="M504" s="26">
        <f>IFERROR(VLOOKUP($I504,'ITEM MASTER'!B:E,4,0),"")</f>
        <v/>
      </c>
      <c r="N504" s="26">
        <f>IFERROR(VLOOKUP($I504,'ITEM MASTER'!B:F,5,0),0)</f>
        <v/>
      </c>
      <c r="O504" s="26">
        <f>IFERROR(VLOOKUP($M504,'TBGS PER CTN'!B:C,2,0),0)</f>
        <v/>
      </c>
      <c r="P504" s="26" t="n">
        <v>2000</v>
      </c>
      <c r="Q504" s="26" t="n">
        <v>0</v>
      </c>
      <c r="R504" s="26" t="n">
        <v>0</v>
      </c>
      <c r="S504" s="26">
        <f>Q504+R504</f>
        <v/>
      </c>
      <c r="T504" s="29" t="n">
        <v>2000</v>
      </c>
      <c r="U504" s="29">
        <f>N504*O504*T504</f>
        <v/>
      </c>
      <c r="V504" s="82">
        <f>IF(ISNUMBER($D504),$D504-WEEKDAY($D504,3),'ORDER VS WEEK DISTRIBUTION'!$G$500)</f>
        <v/>
      </c>
      <c r="W504" s="82">
        <f>MAX($V504,'ORDER VS WEEK DISTRIBUTION'!$G$500)</f>
        <v/>
      </c>
      <c r="X504" s="26">
        <f>IFERROR(VLOOKUP($J504,'ORDER VS WEEK DISTRIBUTION'!$T:$U,2,0),"")</f>
        <v/>
      </c>
      <c r="Y504" s="26">
        <f>IFERROR($T504/IF(IFERROR(VLOOKUP($I504,'ITEM CFC PER CONTAINER'!$A:$B,2,0),0)&gt;0,VLOOKUP($I504,'ITEM CFC PER CONTAINER'!$A:$B,2,0),VLOOKUP($X504,'MC MASTER'!$A:$Q,16,0)),"")</f>
        <v/>
      </c>
    </row>
    <row r="505" ht="15" customHeight="1" s="5">
      <c r="A505" s="26" t="inlineStr">
        <is>
          <t>Harris Freeman 1981 LLC</t>
        </is>
      </c>
      <c r="B505" s="26" t="inlineStr">
        <is>
          <t>MJIL/SO/26055176</t>
        </is>
      </c>
      <c r="C505" s="26" t="inlineStr">
        <is>
          <t>PO# 124</t>
        </is>
      </c>
      <c r="D505" s="82" t="n">
        <v>46330</v>
      </c>
      <c r="E505" s="83">
        <f>IF(ISNUMBER($D505),EOMONTH($D505,-1)+1,"")</f>
        <v/>
      </c>
      <c r="F505" s="26" t="inlineStr">
        <is>
          <t>No data</t>
        </is>
      </c>
      <c r="G505" s="26" t="n">
        <v>20617</v>
      </c>
      <c r="H505" s="26">
        <f>B505&amp;I505</f>
        <v/>
      </c>
      <c r="I505" s="26" t="inlineStr">
        <is>
          <t>TEA INDIA 12/2 LBS POLYBAG</t>
        </is>
      </c>
      <c r="J505" s="26" t="inlineStr">
        <is>
          <t>PAKONA 250GMS/500GMS/1000GMS</t>
        </is>
      </c>
      <c r="K505" s="26">
        <f>J505&amp;"-"&amp;TEXT(W505,"dd-mmm-yy")</f>
        <v/>
      </c>
      <c r="L505" s="26">
        <f>IFERROR(VLOOKUP($M505,'ITEM MASTER'!E:H,4,0),"")</f>
        <v/>
      </c>
      <c r="M505" s="26">
        <f>IFERROR(VLOOKUP($I505,'ITEM MASTER'!B:E,4,0),"")</f>
        <v/>
      </c>
      <c r="N505" s="26">
        <f>IFERROR(VLOOKUP($I505,'ITEM MASTER'!B:F,5,0),0)</f>
        <v/>
      </c>
      <c r="O505" s="26">
        <f>IFERROR(VLOOKUP($M505,'TBGS PER CTN'!B:C,2,0),0)</f>
        <v/>
      </c>
      <c r="P505" s="26" t="n">
        <v>2000</v>
      </c>
      <c r="Q505" s="26" t="n">
        <v>0</v>
      </c>
      <c r="R505" s="26" t="n">
        <v>0</v>
      </c>
      <c r="S505" s="26">
        <f>Q505+R505</f>
        <v/>
      </c>
      <c r="T505" s="29" t="n">
        <v>2000</v>
      </c>
      <c r="U505" s="29">
        <f>N505*O505*T505</f>
        <v/>
      </c>
      <c r="V505" s="82">
        <f>IF(ISNUMBER($D505),$D505-WEEKDAY($D505,3),'ORDER VS WEEK DISTRIBUTION'!$G$500)</f>
        <v/>
      </c>
      <c r="W505" s="82">
        <f>MAX($V505,'ORDER VS WEEK DISTRIBUTION'!$G$500)</f>
        <v/>
      </c>
      <c r="X505" s="26">
        <f>IFERROR(VLOOKUP($J505,'ORDER VS WEEK DISTRIBUTION'!$T:$U,2,0),"")</f>
        <v/>
      </c>
      <c r="Y505" s="26">
        <f>IFERROR($T505/IF(IFERROR(VLOOKUP($I505,'ITEM CFC PER CONTAINER'!$A:$B,2,0),0)&gt;0,VLOOKUP($I505,'ITEM CFC PER CONTAINER'!$A:$B,2,0),VLOOKUP($X505,'MC MASTER'!$A:$Q,16,0)),"")</f>
        <v/>
      </c>
    </row>
    <row r="506" ht="15" customHeight="1" s="5">
      <c r="A506" s="26" t="inlineStr">
        <is>
          <t>Harris Freeman 1981 LLC</t>
        </is>
      </c>
      <c r="B506" s="26" t="inlineStr">
        <is>
          <t>MJIL/SO/26055177</t>
        </is>
      </c>
      <c r="C506" s="26" t="inlineStr">
        <is>
          <t>PO#126</t>
        </is>
      </c>
      <c r="D506" s="82" t="n">
        <v>46331</v>
      </c>
      <c r="E506" s="83">
        <f>IF(ISNUMBER($D506),EOMONTH($D506,-1)+1,"")</f>
        <v/>
      </c>
      <c r="F506" s="26" t="inlineStr">
        <is>
          <t>No data</t>
        </is>
      </c>
      <c r="G506" s="26" t="n">
        <v>20617</v>
      </c>
      <c r="H506" s="26">
        <f>B506&amp;I506</f>
        <v/>
      </c>
      <c r="I506" s="26" t="inlineStr">
        <is>
          <t>TEA INDIA 12/2 LBS POLYBAG</t>
        </is>
      </c>
      <c r="J506" s="26" t="inlineStr">
        <is>
          <t>PAKONA 250GMS/500GMS/1000GMS</t>
        </is>
      </c>
      <c r="K506" s="26">
        <f>J506&amp;"-"&amp;TEXT(W506,"dd-mmm-yy")</f>
        <v/>
      </c>
      <c r="L506" s="26">
        <f>IFERROR(VLOOKUP($M506,'ITEM MASTER'!E:H,4,0),"")</f>
        <v/>
      </c>
      <c r="M506" s="26">
        <f>IFERROR(VLOOKUP($I506,'ITEM MASTER'!B:E,4,0),"")</f>
        <v/>
      </c>
      <c r="N506" s="26">
        <f>IFERROR(VLOOKUP($I506,'ITEM MASTER'!B:F,5,0),0)</f>
        <v/>
      </c>
      <c r="O506" s="26">
        <f>IFERROR(VLOOKUP($M506,'TBGS PER CTN'!B:C,2,0),0)</f>
        <v/>
      </c>
      <c r="P506" s="26" t="n">
        <v>1500</v>
      </c>
      <c r="Q506" s="26" t="n">
        <v>0</v>
      </c>
      <c r="R506" s="26" t="n">
        <v>0</v>
      </c>
      <c r="S506" s="26">
        <f>Q506+R506</f>
        <v/>
      </c>
      <c r="T506" s="29" t="n">
        <v>1500</v>
      </c>
      <c r="U506" s="29">
        <f>N506*O506*T506</f>
        <v/>
      </c>
      <c r="V506" s="82">
        <f>IF(ISNUMBER($D506),$D506-WEEKDAY($D506,3),'ORDER VS WEEK DISTRIBUTION'!$G$500)</f>
        <v/>
      </c>
      <c r="W506" s="82">
        <f>MAX($V506,'ORDER VS WEEK DISTRIBUTION'!$G$500)</f>
        <v/>
      </c>
      <c r="X506" s="26">
        <f>IFERROR(VLOOKUP($J506,'ORDER VS WEEK DISTRIBUTION'!$T:$U,2,0),"")</f>
        <v/>
      </c>
      <c r="Y506" s="26">
        <f>IFERROR($T506/IF(IFERROR(VLOOKUP($I506,'ITEM CFC PER CONTAINER'!$A:$B,2,0),0)&gt;0,VLOOKUP($I506,'ITEM CFC PER CONTAINER'!$A:$B,2,0),VLOOKUP($X506,'MC MASTER'!$A:$Q,16,0)),"")</f>
        <v/>
      </c>
    </row>
    <row r="507" ht="15" customHeight="1" s="5">
      <c r="A507" s="26" t="inlineStr">
        <is>
          <t>Harris Freeman 1981 LLC</t>
        </is>
      </c>
      <c r="B507" s="26" t="inlineStr">
        <is>
          <t>MJIL/SO/26055177</t>
        </is>
      </c>
      <c r="C507" s="26" t="inlineStr">
        <is>
          <t>PO#126</t>
        </is>
      </c>
      <c r="D507" s="82" t="n">
        <v>46331</v>
      </c>
      <c r="E507" s="83">
        <f>IF(ISNUMBER($D507),EOMONTH($D507,-1)+1,"")</f>
        <v/>
      </c>
      <c r="F507" s="26" t="inlineStr">
        <is>
          <t>No data</t>
        </is>
      </c>
      <c r="G507" s="26" t="n">
        <v>20831</v>
      </c>
      <c r="H507" s="26">
        <f>B507&amp;I507</f>
        <v/>
      </c>
      <c r="I507" s="26" t="inlineStr">
        <is>
          <t>TEA INDIA 24/1 LBS POLYBAG</t>
        </is>
      </c>
      <c r="J507" s="26" t="inlineStr">
        <is>
          <t>PAKONA 250GMS/500GMS/1000GMS</t>
        </is>
      </c>
      <c r="K507" s="26">
        <f>J507&amp;"-"&amp;TEXT(W507,"dd-mmm-yy")</f>
        <v/>
      </c>
      <c r="L507" s="26">
        <f>IFERROR(VLOOKUP($M507,'ITEM MASTER'!E:H,4,0),"")</f>
        <v/>
      </c>
      <c r="M507" s="26">
        <f>IFERROR(VLOOKUP($I507,'ITEM MASTER'!B:E,4,0),"")</f>
        <v/>
      </c>
      <c r="N507" s="26">
        <f>IFERROR(VLOOKUP($I507,'ITEM MASTER'!B:F,5,0),0)</f>
        <v/>
      </c>
      <c r="O507" s="26">
        <f>IFERROR(VLOOKUP($M507,'TBGS PER CTN'!B:C,2,0),0)</f>
        <v/>
      </c>
      <c r="P507" s="26" t="n">
        <v>100</v>
      </c>
      <c r="Q507" s="26" t="n">
        <v>0</v>
      </c>
      <c r="R507" s="26" t="n">
        <v>0</v>
      </c>
      <c r="S507" s="26">
        <f>Q507+R507</f>
        <v/>
      </c>
      <c r="T507" s="29" t="n">
        <v>100</v>
      </c>
      <c r="U507" s="29">
        <f>N507*O507*T507</f>
        <v/>
      </c>
      <c r="V507" s="82">
        <f>IF(ISNUMBER($D507),$D507-WEEKDAY($D507,3),'ORDER VS WEEK DISTRIBUTION'!$G$500)</f>
        <v/>
      </c>
      <c r="W507" s="82">
        <f>MAX($V507,'ORDER VS WEEK DISTRIBUTION'!$G$500)</f>
        <v/>
      </c>
      <c r="X507" s="26">
        <f>IFERROR(VLOOKUP($J507,'ORDER VS WEEK DISTRIBUTION'!$T:$U,2,0),"")</f>
        <v/>
      </c>
      <c r="Y507" s="26">
        <f>IFERROR($T507/IF(IFERROR(VLOOKUP($I507,'ITEM CFC PER CONTAINER'!$A:$B,2,0),0)&gt;0,VLOOKUP($I507,'ITEM CFC PER CONTAINER'!$A:$B,2,0),VLOOKUP($X507,'MC MASTER'!$A:$Q,16,0)),"")</f>
        <v/>
      </c>
    </row>
    <row r="508" ht="15" customHeight="1" s="5">
      <c r="A508" s="26" t="inlineStr">
        <is>
          <t>Harris Freeman 1981 LLC</t>
        </is>
      </c>
      <c r="B508" s="26" t="inlineStr">
        <is>
          <t>MJIL/SO/26055177</t>
        </is>
      </c>
      <c r="C508" s="26" t="inlineStr">
        <is>
          <t>PO#126</t>
        </is>
      </c>
      <c r="D508" s="82" t="n">
        <v>46331</v>
      </c>
      <c r="E508" s="83">
        <f>IF(ISNUMBER($D508),EOMONTH($D508,-1)+1,"")</f>
        <v/>
      </c>
      <c r="F508" s="26" t="inlineStr">
        <is>
          <t>No data</t>
        </is>
      </c>
      <c r="G508" s="26" t="n">
        <v>32215</v>
      </c>
      <c r="H508" s="26">
        <f>B508&amp;I508</f>
        <v/>
      </c>
      <c r="I508" s="26" t="inlineStr">
        <is>
          <t>TEA INDIA 6-3 LB CTC TEA</t>
        </is>
      </c>
      <c r="J508" s="26" t="inlineStr">
        <is>
          <t>Pearl Pack-FFS POUCH</t>
        </is>
      </c>
      <c r="K508" s="26">
        <f>J508&amp;"-"&amp;TEXT(W508,"dd-mmm-yy")</f>
        <v/>
      </c>
      <c r="L508" s="26">
        <f>IFERROR(VLOOKUP($M508,'ITEM MASTER'!E:H,4,0),"")</f>
        <v/>
      </c>
      <c r="M508" s="26">
        <f>IFERROR(VLOOKUP($I508,'ITEM MASTER'!B:E,4,0),"")</f>
        <v/>
      </c>
      <c r="N508" s="26">
        <f>IFERROR(VLOOKUP($I508,'ITEM MASTER'!B:F,5,0),0)</f>
        <v/>
      </c>
      <c r="O508" s="26">
        <f>IFERROR(VLOOKUP($M508,'TBGS PER CTN'!B:C,2,0),0)</f>
        <v/>
      </c>
      <c r="P508" s="26" t="n">
        <v>300</v>
      </c>
      <c r="Q508" s="26" t="n">
        <v>0</v>
      </c>
      <c r="R508" s="26" t="n">
        <v>0</v>
      </c>
      <c r="S508" s="26">
        <f>Q508+R508</f>
        <v/>
      </c>
      <c r="T508" s="29" t="n">
        <v>300</v>
      </c>
      <c r="U508" s="29">
        <f>N508*O508*T508</f>
        <v/>
      </c>
      <c r="V508" s="82">
        <f>IF(ISNUMBER($D508),$D508-WEEKDAY($D508,3),'ORDER VS WEEK DISTRIBUTION'!$G$500)</f>
        <v/>
      </c>
      <c r="W508" s="82">
        <f>MAX($V508,'ORDER VS WEEK DISTRIBUTION'!$G$500)</f>
        <v/>
      </c>
      <c r="X508" s="26">
        <f>IFERROR(VLOOKUP($J508,'ORDER VS WEEK DISTRIBUTION'!$T:$U,2,0),"")</f>
        <v/>
      </c>
      <c r="Y508" s="26">
        <f>IFERROR($T508/IF(IFERROR(VLOOKUP($I508,'ITEM CFC PER CONTAINER'!$A:$B,2,0),0)&gt;0,VLOOKUP($I508,'ITEM CFC PER CONTAINER'!$A:$B,2,0),VLOOKUP($X508,'MC MASTER'!$A:$Q,16,0)),"")</f>
        <v/>
      </c>
    </row>
    <row r="509" ht="15" customHeight="1" s="5">
      <c r="A509" s="26" t="inlineStr">
        <is>
          <t>Harris Freeman 1981 LLC</t>
        </is>
      </c>
      <c r="B509" s="26" t="inlineStr">
        <is>
          <t>MJIL/SO/26055178</t>
        </is>
      </c>
      <c r="C509" s="26" t="inlineStr">
        <is>
          <t>PO#127</t>
        </is>
      </c>
      <c r="D509" s="82" t="n">
        <v>46335</v>
      </c>
      <c r="E509" s="83">
        <f>IF(ISNUMBER($D509),EOMONTH($D509,-1)+1,"")</f>
        <v/>
      </c>
      <c r="F509" s="26" t="inlineStr">
        <is>
          <t>No data</t>
        </is>
      </c>
      <c r="G509" s="26" t="n">
        <v>20617</v>
      </c>
      <c r="H509" s="26">
        <f>B509&amp;I509</f>
        <v/>
      </c>
      <c r="I509" s="26" t="inlineStr">
        <is>
          <t>TEA INDIA 12/2 LBS POLYBAG</t>
        </is>
      </c>
      <c r="J509" s="26" t="inlineStr">
        <is>
          <t>PAKONA 250GMS/500GMS/1000GMS</t>
        </is>
      </c>
      <c r="K509" s="26">
        <f>J509&amp;"-"&amp;TEXT(W509,"dd-mmm-yy")</f>
        <v/>
      </c>
      <c r="L509" s="26">
        <f>IFERROR(VLOOKUP($M509,'ITEM MASTER'!E:H,4,0),"")</f>
        <v/>
      </c>
      <c r="M509" s="26">
        <f>IFERROR(VLOOKUP($I509,'ITEM MASTER'!B:E,4,0),"")</f>
        <v/>
      </c>
      <c r="N509" s="26">
        <f>IFERROR(VLOOKUP($I509,'ITEM MASTER'!B:F,5,0),0)</f>
        <v/>
      </c>
      <c r="O509" s="26">
        <f>IFERROR(VLOOKUP($M509,'TBGS PER CTN'!B:C,2,0),0)</f>
        <v/>
      </c>
      <c r="P509" s="26" t="n">
        <v>2000</v>
      </c>
      <c r="Q509" s="26" t="n">
        <v>0</v>
      </c>
      <c r="R509" s="26" t="n">
        <v>0</v>
      </c>
      <c r="S509" s="26">
        <f>Q509+R509</f>
        <v/>
      </c>
      <c r="T509" s="29" t="n">
        <v>2000</v>
      </c>
      <c r="U509" s="29">
        <f>N509*O509*T509</f>
        <v/>
      </c>
      <c r="V509" s="82">
        <f>IF(ISNUMBER($D509),$D509-WEEKDAY($D509,3),'ORDER VS WEEK DISTRIBUTION'!$G$500)</f>
        <v/>
      </c>
      <c r="W509" s="82">
        <f>MAX($V509,'ORDER VS WEEK DISTRIBUTION'!$G$500)</f>
        <v/>
      </c>
      <c r="X509" s="26">
        <f>IFERROR(VLOOKUP($J509,'ORDER VS WEEK DISTRIBUTION'!$T:$U,2,0),"")</f>
        <v/>
      </c>
      <c r="Y509" s="26">
        <f>IFERROR($T509/IF(IFERROR(VLOOKUP($I509,'ITEM CFC PER CONTAINER'!$A:$B,2,0),0)&gt;0,VLOOKUP($I509,'ITEM CFC PER CONTAINER'!$A:$B,2,0),VLOOKUP($X509,'MC MASTER'!$A:$Q,16,0)),"")</f>
        <v/>
      </c>
    </row>
    <row r="510" ht="15" customHeight="1" s="5">
      <c r="A510" s="26" t="inlineStr">
        <is>
          <t>Harris Freeman 1981 LLC</t>
        </is>
      </c>
      <c r="B510" s="26" t="inlineStr">
        <is>
          <t>MJIL/SO/26055179</t>
        </is>
      </c>
      <c r="C510" s="26" t="inlineStr">
        <is>
          <t>PO# 125</t>
        </is>
      </c>
      <c r="D510" s="82" t="n">
        <v>46360</v>
      </c>
      <c r="E510" s="83">
        <f>IF(ISNUMBER($D510),EOMONTH($D510,-1)+1,"")</f>
        <v/>
      </c>
      <c r="F510" s="26" t="inlineStr">
        <is>
          <t>No data</t>
        </is>
      </c>
      <c r="G510" s="26" t="n">
        <v>20617</v>
      </c>
      <c r="H510" s="26">
        <f>B510&amp;I510</f>
        <v/>
      </c>
      <c r="I510" s="26" t="inlineStr">
        <is>
          <t>TEA INDIA 12/2 LBS POLYBAG</t>
        </is>
      </c>
      <c r="J510" s="26" t="inlineStr">
        <is>
          <t>PAKONA 250GMS/500GMS/1000GMS</t>
        </is>
      </c>
      <c r="K510" s="26">
        <f>J510&amp;"-"&amp;TEXT(W510,"dd-mmm-yy")</f>
        <v/>
      </c>
      <c r="L510" s="26">
        <f>IFERROR(VLOOKUP($M510,'ITEM MASTER'!E:H,4,0),"")</f>
        <v/>
      </c>
      <c r="M510" s="26">
        <f>IFERROR(VLOOKUP($I510,'ITEM MASTER'!B:E,4,0),"")</f>
        <v/>
      </c>
      <c r="N510" s="26">
        <f>IFERROR(VLOOKUP($I510,'ITEM MASTER'!B:F,5,0),0)</f>
        <v/>
      </c>
      <c r="O510" s="26">
        <f>IFERROR(VLOOKUP($M510,'TBGS PER CTN'!B:C,2,0),0)</f>
        <v/>
      </c>
      <c r="P510" s="26" t="n">
        <v>2000</v>
      </c>
      <c r="Q510" s="26" t="n">
        <v>0</v>
      </c>
      <c r="R510" s="26" t="n">
        <v>0</v>
      </c>
      <c r="S510" s="26">
        <f>Q510+R510</f>
        <v/>
      </c>
      <c r="T510" s="29" t="n">
        <v>2000</v>
      </c>
      <c r="U510" s="29">
        <f>N510*O510*T510</f>
        <v/>
      </c>
      <c r="V510" s="82">
        <f>IF(ISNUMBER($D510),$D510-WEEKDAY($D510,3),'ORDER VS WEEK DISTRIBUTION'!$G$500)</f>
        <v/>
      </c>
      <c r="W510" s="82">
        <f>MAX($V510,'ORDER VS WEEK DISTRIBUTION'!$G$500)</f>
        <v/>
      </c>
      <c r="X510" s="26">
        <f>IFERROR(VLOOKUP($J510,'ORDER VS WEEK DISTRIBUTION'!$T:$U,2,0),"")</f>
        <v/>
      </c>
      <c r="Y510" s="26">
        <f>IFERROR($T510/IF(IFERROR(VLOOKUP($I510,'ITEM CFC PER CONTAINER'!$A:$B,2,0),0)&gt;0,VLOOKUP($I510,'ITEM CFC PER CONTAINER'!$A:$B,2,0),VLOOKUP($X510,'MC MASTER'!$A:$Q,16,0)),"")</f>
        <v/>
      </c>
    </row>
    <row r="511" ht="15" customHeight="1" s="5">
      <c r="A511" s="26" t="inlineStr">
        <is>
          <t>Harris Freeman 1981 LLC</t>
        </is>
      </c>
      <c r="B511" s="26" t="inlineStr">
        <is>
          <t>MJIL/SO/26055240</t>
        </is>
      </c>
      <c r="C511" s="26" t="inlineStr">
        <is>
          <t>PO# 116 + PO#117 / 2</t>
        </is>
      </c>
      <c r="D511" s="82" t="n">
        <v>46326</v>
      </c>
      <c r="E511" s="83">
        <f>IF(ISNUMBER($D511),EOMONTH($D511,-1)+1,"")</f>
        <v/>
      </c>
      <c r="F511" s="26" t="inlineStr">
        <is>
          <t>No data</t>
        </is>
      </c>
      <c r="G511" s="26" t="n">
        <v>32215</v>
      </c>
      <c r="H511" s="26">
        <f>B511&amp;I511</f>
        <v/>
      </c>
      <c r="I511" s="26" t="inlineStr">
        <is>
          <t>TEA INDIA 6-3 LB CTC TEA</t>
        </is>
      </c>
      <c r="J511" s="26" t="inlineStr">
        <is>
          <t>Pearl Pack-FFS POUCH</t>
        </is>
      </c>
      <c r="K511" s="26">
        <f>J511&amp;"-"&amp;TEXT(W511,"dd-mmm-yy")</f>
        <v/>
      </c>
      <c r="L511" s="26">
        <f>IFERROR(VLOOKUP($M511,'ITEM MASTER'!E:H,4,0),"")</f>
        <v/>
      </c>
      <c r="M511" s="26">
        <f>IFERROR(VLOOKUP($I511,'ITEM MASTER'!B:E,4,0),"")</f>
        <v/>
      </c>
      <c r="N511" s="26">
        <f>IFERROR(VLOOKUP($I511,'ITEM MASTER'!B:F,5,0),0)</f>
        <v/>
      </c>
      <c r="O511" s="26">
        <f>IFERROR(VLOOKUP($M511,'TBGS PER CTN'!B:C,2,0),0)</f>
        <v/>
      </c>
      <c r="P511" s="26" t="n">
        <v>1388</v>
      </c>
      <c r="Q511" s="26" t="n">
        <v>0</v>
      </c>
      <c r="R511" s="26" t="n">
        <v>0</v>
      </c>
      <c r="S511" s="26">
        <f>Q511+R511</f>
        <v/>
      </c>
      <c r="T511" s="29" t="n">
        <v>1388</v>
      </c>
      <c r="U511" s="29">
        <f>N511*O511*T511</f>
        <v/>
      </c>
      <c r="V511" s="82">
        <f>IF(ISNUMBER($D511),$D511-WEEKDAY($D511,3),'ORDER VS WEEK DISTRIBUTION'!$G$500)</f>
        <v/>
      </c>
      <c r="W511" s="82">
        <f>MAX($V511,'ORDER VS WEEK DISTRIBUTION'!$G$500)</f>
        <v/>
      </c>
      <c r="X511" s="26">
        <f>IFERROR(VLOOKUP($J511,'ORDER VS WEEK DISTRIBUTION'!$T:$U,2,0),"")</f>
        <v/>
      </c>
      <c r="Y511" s="26">
        <f>IFERROR($T511/IF(IFERROR(VLOOKUP($I511,'ITEM CFC PER CONTAINER'!$A:$B,2,0),0)&gt;0,VLOOKUP($I511,'ITEM CFC PER CONTAINER'!$A:$B,2,0),VLOOKUP($X511,'MC MASTER'!$A:$Q,16,0)),"")</f>
        <v/>
      </c>
    </row>
    <row r="512" ht="15" customHeight="1" s="5">
      <c r="A512" s="26" t="inlineStr">
        <is>
          <t>Harris Freeman 1981 LLC</t>
        </is>
      </c>
      <c r="B512" s="26" t="inlineStr">
        <is>
          <t>MJIL/SO/26055240</t>
        </is>
      </c>
      <c r="C512" s="26" t="inlineStr">
        <is>
          <t>PO# 116 + PO#117 / 2</t>
        </is>
      </c>
      <c r="D512" s="82" t="n">
        <v>46326</v>
      </c>
      <c r="E512" s="83">
        <f>IF(ISNUMBER($D512),EOMONTH($D512,-1)+1,"")</f>
        <v/>
      </c>
      <c r="F512" s="26" t="inlineStr">
        <is>
          <t>No data</t>
        </is>
      </c>
      <c r="G512" s="26" t="n">
        <v>20617</v>
      </c>
      <c r="H512" s="26">
        <f>B512&amp;I512</f>
        <v/>
      </c>
      <c r="I512" s="26" t="inlineStr">
        <is>
          <t>TEA INDIA 12/2 LBS POLYBAG</t>
        </is>
      </c>
      <c r="J512" s="26" t="inlineStr">
        <is>
          <t>PAKONA 250GMS/500GMS/1000GMS</t>
        </is>
      </c>
      <c r="K512" s="26">
        <f>J512&amp;"-"&amp;TEXT(W512,"dd-mmm-yy")</f>
        <v/>
      </c>
      <c r="L512" s="26">
        <f>IFERROR(VLOOKUP($M512,'ITEM MASTER'!E:H,4,0),"")</f>
        <v/>
      </c>
      <c r="M512" s="26">
        <f>IFERROR(VLOOKUP($I512,'ITEM MASTER'!B:E,4,0),"")</f>
        <v/>
      </c>
      <c r="N512" s="26">
        <f>IFERROR(VLOOKUP($I512,'ITEM MASTER'!B:F,5,0),0)</f>
        <v/>
      </c>
      <c r="O512" s="26">
        <f>IFERROR(VLOOKUP($M512,'TBGS PER CTN'!B:C,2,0),0)</f>
        <v/>
      </c>
      <c r="P512" s="26" t="n">
        <v>8</v>
      </c>
      <c r="Q512" s="26" t="n">
        <v>0</v>
      </c>
      <c r="R512" s="26" t="n">
        <v>0</v>
      </c>
      <c r="S512" s="26">
        <f>Q512+R512</f>
        <v/>
      </c>
      <c r="T512" s="29" t="n">
        <v>8</v>
      </c>
      <c r="U512" s="29">
        <f>N512*O512*T512</f>
        <v/>
      </c>
      <c r="V512" s="82">
        <f>IF(ISNUMBER($D512),$D512-WEEKDAY($D512,3),'ORDER VS WEEK DISTRIBUTION'!$G$500)</f>
        <v/>
      </c>
      <c r="W512" s="82">
        <f>MAX($V512,'ORDER VS WEEK DISTRIBUTION'!$G$500)</f>
        <v/>
      </c>
      <c r="X512" s="26">
        <f>IFERROR(VLOOKUP($J512,'ORDER VS WEEK DISTRIBUTION'!$T:$U,2,0),"")</f>
        <v/>
      </c>
      <c r="Y512" s="26">
        <f>IFERROR($T512/IF(IFERROR(VLOOKUP($I512,'ITEM CFC PER CONTAINER'!$A:$B,2,0),0)&gt;0,VLOOKUP($I512,'ITEM CFC PER CONTAINER'!$A:$B,2,0),VLOOKUP($X512,'MC MASTER'!$A:$Q,16,0)),"")</f>
        <v/>
      </c>
    </row>
    <row r="513" ht="15" customHeight="1" s="5">
      <c r="A513" s="26" t="inlineStr">
        <is>
          <t>Harris Freeman 1981 LLC</t>
        </is>
      </c>
      <c r="B513" s="26" t="inlineStr">
        <is>
          <t>MJIL/SO/26055240</t>
        </is>
      </c>
      <c r="C513" s="26" t="inlineStr">
        <is>
          <t>PO# 116 + PO#117 / 2</t>
        </is>
      </c>
      <c r="D513" s="82" t="n">
        <v>46326</v>
      </c>
      <c r="E513" s="83">
        <f>IF(ISNUMBER($D513),EOMONTH($D513,-1)+1,"")</f>
        <v/>
      </c>
      <c r="F513" s="26" t="inlineStr">
        <is>
          <t>No data</t>
        </is>
      </c>
      <c r="G513" s="26" t="n">
        <v>28300</v>
      </c>
      <c r="H513" s="26">
        <f>B513&amp;I513</f>
        <v/>
      </c>
      <c r="I513" s="26" t="inlineStr">
        <is>
          <t>TEA INDIA 6/10 CHAI MMNTS INST MASALA CL (NEW)</t>
        </is>
      </c>
      <c r="J513" s="26" t="inlineStr">
        <is>
          <t>VIKING-MULTITRACK</t>
        </is>
      </c>
      <c r="K513" s="26">
        <f>J513&amp;"-"&amp;TEXT(W513,"dd-mmm-yy")</f>
        <v/>
      </c>
      <c r="L513" s="26">
        <f>IFERROR(VLOOKUP($M513,'ITEM MASTER'!E:H,4,0),"")</f>
        <v/>
      </c>
      <c r="M513" s="26">
        <f>IFERROR(VLOOKUP($I513,'ITEM MASTER'!B:E,4,0),"")</f>
        <v/>
      </c>
      <c r="N513" s="26">
        <f>IFERROR(VLOOKUP($I513,'ITEM MASTER'!B:F,5,0),0)</f>
        <v/>
      </c>
      <c r="O513" s="26">
        <f>IFERROR(VLOOKUP($M513,'TBGS PER CTN'!B:C,2,0),0)</f>
        <v/>
      </c>
      <c r="P513" s="26" t="n">
        <v>6</v>
      </c>
      <c r="Q513" s="26" t="n">
        <v>0</v>
      </c>
      <c r="R513" s="26" t="n">
        <v>0</v>
      </c>
      <c r="S513" s="26">
        <f>Q513+R513</f>
        <v/>
      </c>
      <c r="T513" s="29" t="n">
        <v>6</v>
      </c>
      <c r="U513" s="29">
        <f>N513*O513*T513</f>
        <v/>
      </c>
      <c r="V513" s="82">
        <f>IF(ISNUMBER($D513),$D513-WEEKDAY($D513,3),'ORDER VS WEEK DISTRIBUTION'!$G$500)</f>
        <v/>
      </c>
      <c r="W513" s="82">
        <f>MAX($V513,'ORDER VS WEEK DISTRIBUTION'!$G$500)</f>
        <v/>
      </c>
      <c r="X513" s="26">
        <f>IFERROR(VLOOKUP($J513,'ORDER VS WEEK DISTRIBUTION'!$T:$U,2,0),"")</f>
        <v/>
      </c>
      <c r="Y513" s="26">
        <f>IFERROR($T513/IF(IFERROR(VLOOKUP($I513,'ITEM CFC PER CONTAINER'!$A:$B,2,0),0)&gt;0,VLOOKUP($I513,'ITEM CFC PER CONTAINER'!$A:$B,2,0),VLOOKUP($X513,'MC MASTER'!$A:$Q,16,0)),"")</f>
        <v/>
      </c>
    </row>
    <row r="514" ht="15" customHeight="1" s="5">
      <c r="A514" s="26" t="inlineStr">
        <is>
          <t>Harris Freeman 1981 LLC</t>
        </is>
      </c>
      <c r="B514" s="26" t="inlineStr">
        <is>
          <t>MJIL/SO/26055240</t>
        </is>
      </c>
      <c r="C514" s="26" t="inlineStr">
        <is>
          <t>PO# 116 + PO#117 / 2</t>
        </is>
      </c>
      <c r="D514" s="82" t="n">
        <v>46326</v>
      </c>
      <c r="E514" s="83">
        <f>IF(ISNUMBER($D514),EOMONTH($D514,-1)+1,"")</f>
        <v/>
      </c>
      <c r="F514" s="26" t="inlineStr">
        <is>
          <t>No data</t>
        </is>
      </c>
      <c r="G514" s="26" t="n">
        <v>28296</v>
      </c>
      <c r="H514" s="26">
        <f>B514&amp;I514</f>
        <v/>
      </c>
      <c r="I514" s="26" t="inlineStr">
        <is>
          <t>TEA INDIA 6/10 CHAI MMNTS GNGR TRMRIC CL (NEW)</t>
        </is>
      </c>
      <c r="J514" s="26" t="inlineStr">
        <is>
          <t>VIKING-MULTITRACK</t>
        </is>
      </c>
      <c r="K514" s="26">
        <f>J514&amp;"-"&amp;TEXT(W514,"dd-mmm-yy")</f>
        <v/>
      </c>
      <c r="L514" s="26">
        <f>IFERROR(VLOOKUP($M514,'ITEM MASTER'!E:H,4,0),"")</f>
        <v/>
      </c>
      <c r="M514" s="26">
        <f>IFERROR(VLOOKUP($I514,'ITEM MASTER'!B:E,4,0),"")</f>
        <v/>
      </c>
      <c r="N514" s="26">
        <f>IFERROR(VLOOKUP($I514,'ITEM MASTER'!B:F,5,0),0)</f>
        <v/>
      </c>
      <c r="O514" s="26">
        <f>IFERROR(VLOOKUP($M514,'TBGS PER CTN'!B:C,2,0),0)</f>
        <v/>
      </c>
      <c r="P514" s="26" t="n">
        <v>15</v>
      </c>
      <c r="Q514" s="26" t="n">
        <v>15</v>
      </c>
      <c r="R514" s="26" t="n">
        <v>0</v>
      </c>
      <c r="S514" s="26">
        <f>Q514+R514</f>
        <v/>
      </c>
      <c r="T514" s="29" t="n">
        <v>0</v>
      </c>
      <c r="U514" s="29">
        <f>N514*O514*T514</f>
        <v/>
      </c>
      <c r="V514" s="82">
        <f>IF(ISNUMBER($D514),$D514-WEEKDAY($D514,3),'ORDER VS WEEK DISTRIBUTION'!$G$500)</f>
        <v/>
      </c>
      <c r="W514" s="82">
        <f>MAX($V514,'ORDER VS WEEK DISTRIBUTION'!$G$500)</f>
        <v/>
      </c>
      <c r="X514" s="26">
        <f>IFERROR(VLOOKUP($J514,'ORDER VS WEEK DISTRIBUTION'!$T:$U,2,0),"")</f>
        <v/>
      </c>
      <c r="Y514" s="26">
        <f>IFERROR($T514/IF(IFERROR(VLOOKUP($I514,'ITEM CFC PER CONTAINER'!$A:$B,2,0),0)&gt;0,VLOOKUP($I514,'ITEM CFC PER CONTAINER'!$A:$B,2,0),VLOOKUP($X514,'MC MASTER'!$A:$Q,16,0)),"")</f>
        <v/>
      </c>
    </row>
    <row r="515" ht="15" customHeight="1" s="5">
      <c r="A515" s="26" t="inlineStr">
        <is>
          <t>Harris Freeman 1981 LLC</t>
        </is>
      </c>
      <c r="B515" s="26" t="inlineStr">
        <is>
          <t>MJIL/SO/26055240</t>
        </is>
      </c>
      <c r="C515" s="26" t="inlineStr">
        <is>
          <t>PO# 116 + PO#117 / 2</t>
        </is>
      </c>
      <c r="D515" s="82" t="n">
        <v>46326</v>
      </c>
      <c r="E515" s="83">
        <f>IF(ISNUMBER($D515),EOMONTH($D515,-1)+1,"")</f>
        <v/>
      </c>
      <c r="F515" s="26" t="inlineStr">
        <is>
          <t>No data</t>
        </is>
      </c>
      <c r="G515" s="26" t="n">
        <v>28301</v>
      </c>
      <c r="H515" s="26">
        <f>B515&amp;I515</f>
        <v/>
      </c>
      <c r="I515" s="26" t="inlineStr">
        <is>
          <t>TEA INDIA 6/10 CHAI MMNTS INST MILK CL</t>
        </is>
      </c>
      <c r="J515" s="26" t="inlineStr">
        <is>
          <t>VIKING-MULTITRACK</t>
        </is>
      </c>
      <c r="K515" s="26">
        <f>J515&amp;"-"&amp;TEXT(W515,"dd-mmm-yy")</f>
        <v/>
      </c>
      <c r="L515" s="26">
        <f>IFERROR(VLOOKUP($M515,'ITEM MASTER'!E:H,4,0),"")</f>
        <v/>
      </c>
      <c r="M515" s="26">
        <f>IFERROR(VLOOKUP($I515,'ITEM MASTER'!B:E,4,0),"")</f>
        <v/>
      </c>
      <c r="N515" s="26">
        <f>IFERROR(VLOOKUP($I515,'ITEM MASTER'!B:F,5,0),0)</f>
        <v/>
      </c>
      <c r="O515" s="26">
        <f>IFERROR(VLOOKUP($M515,'TBGS PER CTN'!B:C,2,0),0)</f>
        <v/>
      </c>
      <c r="P515" s="26" t="n">
        <v>3</v>
      </c>
      <c r="Q515" s="26" t="n">
        <v>0</v>
      </c>
      <c r="R515" s="26" t="n">
        <v>3</v>
      </c>
      <c r="S515" s="26">
        <f>Q515+R515</f>
        <v/>
      </c>
      <c r="T515" s="29" t="n">
        <v>0</v>
      </c>
      <c r="U515" s="29">
        <f>N515*O515*T515</f>
        <v/>
      </c>
      <c r="V515" s="82">
        <f>IF(ISNUMBER($D515),$D515-WEEKDAY($D515,3),'ORDER VS WEEK DISTRIBUTION'!$G$500)</f>
        <v/>
      </c>
      <c r="W515" s="82">
        <f>MAX($V515,'ORDER VS WEEK DISTRIBUTION'!$G$500)</f>
        <v/>
      </c>
      <c r="X515" s="26">
        <f>IFERROR(VLOOKUP($J515,'ORDER VS WEEK DISTRIBUTION'!$T:$U,2,0),"")</f>
        <v/>
      </c>
      <c r="Y515" s="26">
        <f>IFERROR($T515/IF(IFERROR(VLOOKUP($I515,'ITEM CFC PER CONTAINER'!$A:$B,2,0),0)&gt;0,VLOOKUP($I515,'ITEM CFC PER CONTAINER'!$A:$B,2,0),VLOOKUP($X515,'MC MASTER'!$A:$Q,16,0)),"")</f>
        <v/>
      </c>
    </row>
    <row r="516" ht="15" customHeight="1" s="5">
      <c r="A516" s="26" t="inlineStr">
        <is>
          <t>Harris Freeman 1981 LLC</t>
        </is>
      </c>
      <c r="B516" s="26" t="inlineStr">
        <is>
          <t>MJIL/SO/26055240</t>
        </is>
      </c>
      <c r="C516" s="26" t="inlineStr">
        <is>
          <t>PO# 116 + PO#117 / 2</t>
        </is>
      </c>
      <c r="D516" s="82" t="n">
        <v>46326</v>
      </c>
      <c r="E516" s="83">
        <f>IF(ISNUMBER($D516),EOMONTH($D516,-1)+1,"")</f>
        <v/>
      </c>
      <c r="F516" s="26" t="inlineStr">
        <is>
          <t>No data</t>
        </is>
      </c>
      <c r="G516" s="26" t="n">
        <v>28297</v>
      </c>
      <c r="H516" s="26">
        <f>B516&amp;I516</f>
        <v/>
      </c>
      <c r="I516" s="26" t="inlineStr">
        <is>
          <t>TEA INDIA 6/10 CHAI MMNTS INST CINN CL (NEW)</t>
        </is>
      </c>
      <c r="J516" s="26" t="inlineStr">
        <is>
          <t>VIKING-MULTITRACK</t>
        </is>
      </c>
      <c r="K516" s="26">
        <f>J516&amp;"-"&amp;TEXT(W516,"dd-mmm-yy")</f>
        <v/>
      </c>
      <c r="L516" s="26">
        <f>IFERROR(VLOOKUP($M516,'ITEM MASTER'!E:H,4,0),"")</f>
        <v/>
      </c>
      <c r="M516" s="26">
        <f>IFERROR(VLOOKUP($I516,'ITEM MASTER'!B:E,4,0),"")</f>
        <v/>
      </c>
      <c r="N516" s="26">
        <f>IFERROR(VLOOKUP($I516,'ITEM MASTER'!B:F,5,0),0)</f>
        <v/>
      </c>
      <c r="O516" s="26">
        <f>IFERROR(VLOOKUP($M516,'TBGS PER CTN'!B:C,2,0),0)</f>
        <v/>
      </c>
      <c r="P516" s="26" t="n">
        <v>1</v>
      </c>
      <c r="Q516" s="26" t="n">
        <v>0</v>
      </c>
      <c r="R516" s="26" t="n">
        <v>1</v>
      </c>
      <c r="S516" s="26">
        <f>Q516+R516</f>
        <v/>
      </c>
      <c r="T516" s="29" t="n">
        <v>0</v>
      </c>
      <c r="U516" s="29">
        <f>N516*O516*T516</f>
        <v/>
      </c>
      <c r="V516" s="82">
        <f>IF(ISNUMBER($D516),$D516-WEEKDAY($D516,3),'ORDER VS WEEK DISTRIBUTION'!$G$500)</f>
        <v/>
      </c>
      <c r="W516" s="82">
        <f>MAX($V516,'ORDER VS WEEK DISTRIBUTION'!$G$500)</f>
        <v/>
      </c>
      <c r="X516" s="26">
        <f>IFERROR(VLOOKUP($J516,'ORDER VS WEEK DISTRIBUTION'!$T:$U,2,0),"")</f>
        <v/>
      </c>
      <c r="Y516" s="26">
        <f>IFERROR($T516/IF(IFERROR(VLOOKUP($I516,'ITEM CFC PER CONTAINER'!$A:$B,2,0),0)&gt;0,VLOOKUP($I516,'ITEM CFC PER CONTAINER'!$A:$B,2,0),VLOOKUP($X516,'MC MASTER'!$A:$Q,16,0)),"")</f>
        <v/>
      </c>
    </row>
    <row r="517" ht="15" customHeight="1" s="5">
      <c r="A517" s="26" t="inlineStr">
        <is>
          <t>Harris Freeman 1981 LLC</t>
        </is>
      </c>
      <c r="B517" s="26" t="inlineStr">
        <is>
          <t>MJIL/SO/26055240</t>
        </is>
      </c>
      <c r="C517" s="26" t="inlineStr">
        <is>
          <t>PO# 116 + PO#117 / 2</t>
        </is>
      </c>
      <c r="D517" s="82" t="n">
        <v>46326</v>
      </c>
      <c r="E517" s="83">
        <f>IF(ISNUMBER($D517),EOMONTH($D517,-1)+1,"")</f>
        <v/>
      </c>
      <c r="F517" s="26" t="inlineStr">
        <is>
          <t>No data</t>
        </is>
      </c>
      <c r="G517" s="26" t="n">
        <v>32932</v>
      </c>
      <c r="H517" s="26">
        <f>B517&amp;I517</f>
        <v/>
      </c>
      <c r="I517" s="26" t="inlineStr">
        <is>
          <t>TEA INDIA 6/10 CHAI MMNTS INST UNSWTND GNGR</t>
        </is>
      </c>
      <c r="J517" s="26" t="inlineStr">
        <is>
          <t>VIKING-MULTITRACK</t>
        </is>
      </c>
      <c r="K517" s="26">
        <f>J517&amp;"-"&amp;TEXT(W517,"dd-mmm-yy")</f>
        <v/>
      </c>
      <c r="L517" s="26">
        <f>IFERROR(VLOOKUP($M517,'ITEM MASTER'!E:H,4,0),"")</f>
        <v/>
      </c>
      <c r="M517" s="26">
        <f>IFERROR(VLOOKUP($I517,'ITEM MASTER'!B:E,4,0),"")</f>
        <v/>
      </c>
      <c r="N517" s="26">
        <f>IFERROR(VLOOKUP($I517,'ITEM MASTER'!B:F,5,0),0)</f>
        <v/>
      </c>
      <c r="O517" s="26">
        <f>IFERROR(VLOOKUP($M517,'TBGS PER CTN'!B:C,2,0),0)</f>
        <v/>
      </c>
      <c r="P517" s="26" t="n">
        <v>1</v>
      </c>
      <c r="Q517" s="26" t="n">
        <v>0</v>
      </c>
      <c r="R517" s="26" t="n">
        <v>1</v>
      </c>
      <c r="S517" s="26">
        <f>Q517+R517</f>
        <v/>
      </c>
      <c r="T517" s="29" t="n">
        <v>0</v>
      </c>
      <c r="U517" s="29">
        <f>N517*O517*T517</f>
        <v/>
      </c>
      <c r="V517" s="82">
        <f>IF(ISNUMBER($D517),$D517-WEEKDAY($D517,3),'ORDER VS WEEK DISTRIBUTION'!$G$500)</f>
        <v/>
      </c>
      <c r="W517" s="82">
        <f>MAX($V517,'ORDER VS WEEK DISTRIBUTION'!$G$500)</f>
        <v/>
      </c>
      <c r="X517" s="26">
        <f>IFERROR(VLOOKUP($J517,'ORDER VS WEEK DISTRIBUTION'!$T:$U,2,0),"")</f>
        <v/>
      </c>
      <c r="Y517" s="26">
        <f>IFERROR($T517/IF(IFERROR(VLOOKUP($I517,'ITEM CFC PER CONTAINER'!$A:$B,2,0),0)&gt;0,VLOOKUP($I517,'ITEM CFC PER CONTAINER'!$A:$B,2,0),VLOOKUP($X517,'MC MASTER'!$A:$Q,16,0)),"")</f>
        <v/>
      </c>
    </row>
    <row r="518" ht="15" customHeight="1" s="5">
      <c r="A518" s="26" t="inlineStr">
        <is>
          <t>Harris Freeman 1981 LLC</t>
        </is>
      </c>
      <c r="B518" s="26" t="inlineStr">
        <is>
          <t>MJIL/SO/26055240</t>
        </is>
      </c>
      <c r="C518" s="26" t="inlineStr">
        <is>
          <t>PO# 116 + PO#117 / 2</t>
        </is>
      </c>
      <c r="D518" s="82" t="n">
        <v>46326</v>
      </c>
      <c r="E518" s="83">
        <f>IF(ISNUMBER($D518),EOMONTH($D518,-1)+1,"")</f>
        <v/>
      </c>
      <c r="F518" s="26" t="inlineStr">
        <is>
          <t>No data</t>
        </is>
      </c>
      <c r="G518" s="26" t="n">
        <v>35426</v>
      </c>
      <c r="H518" s="26">
        <f>B518&amp;I518</f>
        <v/>
      </c>
      <c r="I518" s="26" t="inlineStr">
        <is>
          <t>TEA INDIA 6/10 CHAI MMNTS LEMON GRASS CL</t>
        </is>
      </c>
      <c r="J518" s="26" t="inlineStr">
        <is>
          <t>VIKING-MULTITRACK</t>
        </is>
      </c>
      <c r="K518" s="26">
        <f>J518&amp;"-"&amp;TEXT(W518,"dd-mmm-yy")</f>
        <v/>
      </c>
      <c r="L518" s="26">
        <f>IFERROR(VLOOKUP($M518,'ITEM MASTER'!E:H,4,0),"")</f>
        <v/>
      </c>
      <c r="M518" s="26">
        <f>IFERROR(VLOOKUP($I518,'ITEM MASTER'!B:E,4,0),"")</f>
        <v/>
      </c>
      <c r="N518" s="26">
        <f>IFERROR(VLOOKUP($I518,'ITEM MASTER'!B:F,5,0),0)</f>
        <v/>
      </c>
      <c r="O518" s="26">
        <f>IFERROR(VLOOKUP($M518,'TBGS PER CTN'!B:C,2,0),0)</f>
        <v/>
      </c>
      <c r="P518" s="26" t="n">
        <v>58</v>
      </c>
      <c r="Q518" s="26" t="n">
        <v>0</v>
      </c>
      <c r="R518" s="26" t="n">
        <v>58</v>
      </c>
      <c r="S518" s="26">
        <f>Q518+R518</f>
        <v/>
      </c>
      <c r="T518" s="29" t="n">
        <v>0</v>
      </c>
      <c r="U518" s="29">
        <f>N518*O518*T518</f>
        <v/>
      </c>
      <c r="V518" s="82">
        <f>IF(ISNUMBER($D518),$D518-WEEKDAY($D518,3),'ORDER VS WEEK DISTRIBUTION'!$G$500)</f>
        <v/>
      </c>
      <c r="W518" s="82">
        <f>MAX($V518,'ORDER VS WEEK DISTRIBUTION'!$G$500)</f>
        <v/>
      </c>
      <c r="X518" s="26">
        <f>IFERROR(VLOOKUP($J518,'ORDER VS WEEK DISTRIBUTION'!$T:$U,2,0),"")</f>
        <v/>
      </c>
      <c r="Y518" s="26">
        <f>IFERROR($T518/IF(IFERROR(VLOOKUP($I518,'ITEM CFC PER CONTAINER'!$A:$B,2,0),0)&gt;0,VLOOKUP($I518,'ITEM CFC PER CONTAINER'!$A:$B,2,0),VLOOKUP($X518,'MC MASTER'!$A:$Q,16,0)),"")</f>
        <v/>
      </c>
    </row>
    <row r="519" ht="15" customHeight="1" s="5">
      <c r="A519" s="26" t="inlineStr">
        <is>
          <t>Multitrade Overseas Pte. Ltd.</t>
        </is>
      </c>
      <c r="B519" s="26" t="inlineStr">
        <is>
          <t>MJIL/SO/26055194</t>
        </is>
      </c>
      <c r="C519" s="26" t="inlineStr">
        <is>
          <t>MJ-121/26-27 (SOGOCO)</t>
        </is>
      </c>
      <c r="D519" s="82" t="n">
        <v>46330</v>
      </c>
      <c r="E519" s="83">
        <f>IF(ISNUMBER($D519),EOMONTH($D519,-1)+1,"")</f>
        <v/>
      </c>
      <c r="F519" s="26" t="inlineStr">
        <is>
          <t>No data</t>
        </is>
      </c>
      <c r="G519" s="26" t="n">
        <v>21586</v>
      </c>
      <c r="H519" s="26">
        <f>B519&amp;I519</f>
        <v/>
      </c>
      <c r="I519" s="26" t="inlineStr">
        <is>
          <t>GV CLOVE 24/25 DC ENV TBGS</t>
        </is>
      </c>
      <c r="J519" s="30" t="inlineStr">
        <is>
          <t>CONSTANTA ENV</t>
        </is>
      </c>
      <c r="K519" s="26">
        <f>J519&amp;"-"&amp;TEXT(W519,"dd-mmm-yy")</f>
        <v/>
      </c>
      <c r="L519" s="26">
        <f>IFERROR(VLOOKUP($M519,'ITEM MASTER'!E:H,4,0),"")</f>
        <v/>
      </c>
      <c r="M519" s="26">
        <f>IFERROR(VLOOKUP($I519,'ITEM MASTER'!B:E,4,0),"")</f>
        <v/>
      </c>
      <c r="N519" s="26">
        <f>IFERROR(VLOOKUP($I519,'ITEM MASTER'!B:F,5,0),0)</f>
        <v/>
      </c>
      <c r="O519" s="26">
        <f>IFERROR(VLOOKUP($M519,'TBGS PER CTN'!B:C,2,0),0)</f>
        <v/>
      </c>
      <c r="P519" s="26" t="n">
        <v>1000</v>
      </c>
      <c r="Q519" s="26" t="n">
        <v>0</v>
      </c>
      <c r="R519" s="26" t="n">
        <v>0</v>
      </c>
      <c r="S519" s="26">
        <f>Q519+R519</f>
        <v/>
      </c>
      <c r="T519" s="29" t="n">
        <v>1000</v>
      </c>
      <c r="U519" s="29">
        <f>N519*O519*T519</f>
        <v/>
      </c>
      <c r="V519" s="82">
        <f>IF(ISNUMBER($D519),$D519-WEEKDAY($D519,3),'ORDER VS WEEK DISTRIBUTION'!$G$500)</f>
        <v/>
      </c>
      <c r="W519" s="82">
        <f>MAX($V519,'ORDER VS WEEK DISTRIBUTION'!$G$500)</f>
        <v/>
      </c>
      <c r="X519" s="26">
        <f>IFERROR(VLOOKUP($J519,'ORDER VS WEEK DISTRIBUTION'!$T:$U,2,0),"")</f>
        <v/>
      </c>
      <c r="Y519" s="26">
        <f>IFERROR($T519/IF(IFERROR(VLOOKUP($I519,'ITEM CFC PER CONTAINER'!$A:$B,2,0),0)&gt;0,VLOOKUP($I519,'ITEM CFC PER CONTAINER'!$A:$B,2,0),VLOOKUP($X519,'MC MASTER'!$A:$Q,16,0)),"")</f>
        <v/>
      </c>
    </row>
    <row r="520" ht="15" customHeight="1" s="5">
      <c r="A520" s="26" t="inlineStr">
        <is>
          <t>Multitrade Overseas Pte. Ltd.</t>
        </is>
      </c>
      <c r="B520" s="26" t="inlineStr">
        <is>
          <t>MJIL/SO/26055194</t>
        </is>
      </c>
      <c r="C520" s="26" t="inlineStr">
        <is>
          <t>MJ-121/26-27 (SOGOCO)</t>
        </is>
      </c>
      <c r="D520" s="82" t="n">
        <v>46330</v>
      </c>
      <c r="E520" s="83">
        <f>IF(ISNUMBER($D520),EOMONTH($D520,-1)+1,"")</f>
        <v/>
      </c>
      <c r="F520" s="26" t="inlineStr">
        <is>
          <t>No data</t>
        </is>
      </c>
      <c r="G520" s="26" t="n">
        <v>22503</v>
      </c>
      <c r="H520" s="26">
        <f>B520&amp;I520</f>
        <v/>
      </c>
      <c r="I520" s="26" t="inlineStr">
        <is>
          <t>GV CINNAMON 24/25 DC ENV TBGS</t>
        </is>
      </c>
      <c r="J520" s="30" t="inlineStr">
        <is>
          <t>CONSTANTA ENV</t>
        </is>
      </c>
      <c r="K520" s="26">
        <f>J520&amp;"-"&amp;TEXT(W520,"dd-mmm-yy")</f>
        <v/>
      </c>
      <c r="L520" s="26">
        <f>IFERROR(VLOOKUP($M520,'ITEM MASTER'!E:H,4,0),"")</f>
        <v/>
      </c>
      <c r="M520" s="26">
        <f>IFERROR(VLOOKUP($I520,'ITEM MASTER'!B:E,4,0),"")</f>
        <v/>
      </c>
      <c r="N520" s="26">
        <f>IFERROR(VLOOKUP($I520,'ITEM MASTER'!B:F,5,0),0)</f>
        <v/>
      </c>
      <c r="O520" s="26">
        <f>IFERROR(VLOOKUP($M520,'TBGS PER CTN'!B:C,2,0),0)</f>
        <v/>
      </c>
      <c r="P520" s="26" t="n">
        <v>1000</v>
      </c>
      <c r="Q520" s="26" t="n">
        <v>0</v>
      </c>
      <c r="R520" s="26" t="n">
        <v>0</v>
      </c>
      <c r="S520" s="26">
        <f>Q520+R520</f>
        <v/>
      </c>
      <c r="T520" s="29" t="n">
        <v>1000</v>
      </c>
      <c r="U520" s="29">
        <f>N520*O520*T520</f>
        <v/>
      </c>
      <c r="V520" s="82">
        <f>IF(ISNUMBER($D520),$D520-WEEKDAY($D520,3),'ORDER VS WEEK DISTRIBUTION'!$G$500)</f>
        <v/>
      </c>
      <c r="W520" s="82">
        <f>MAX($V520,'ORDER VS WEEK DISTRIBUTION'!$G$500)</f>
        <v/>
      </c>
      <c r="X520" s="26">
        <f>IFERROR(VLOOKUP($J520,'ORDER VS WEEK DISTRIBUTION'!$T:$U,2,0),"")</f>
        <v/>
      </c>
      <c r="Y520" s="26">
        <f>IFERROR($T520/IF(IFERROR(VLOOKUP($I520,'ITEM CFC PER CONTAINER'!$A:$B,2,0),0)&gt;0,VLOOKUP($I520,'ITEM CFC PER CONTAINER'!$A:$B,2,0),VLOOKUP($X520,'MC MASTER'!$A:$Q,16,0)),"")</f>
        <v/>
      </c>
    </row>
    <row r="521" ht="15" customHeight="1" s="5">
      <c r="A521" s="26" t="inlineStr">
        <is>
          <t>Multitrade Overseas Pte. Ltd.</t>
        </is>
      </c>
      <c r="B521" s="26" t="inlineStr">
        <is>
          <t>MJIL/SO/26055194</t>
        </is>
      </c>
      <c r="C521" s="26" t="inlineStr">
        <is>
          <t>MJ-121/26-27 (SOGOCO)</t>
        </is>
      </c>
      <c r="D521" s="82" t="n">
        <v>46330</v>
      </c>
      <c r="E521" s="83">
        <f>IF(ISNUMBER($D521),EOMONTH($D521,-1)+1,"")</f>
        <v/>
      </c>
      <c r="F521" s="26" t="inlineStr">
        <is>
          <t>No data</t>
        </is>
      </c>
      <c r="G521" s="26" t="n">
        <v>19824</v>
      </c>
      <c r="H521" s="26">
        <f>B521&amp;I521</f>
        <v/>
      </c>
      <c r="I521" s="26" t="inlineStr">
        <is>
          <t>GV SPICY GINGER 24/25 DC ENV TBGS (AR)</t>
        </is>
      </c>
      <c r="J521" s="30" t="inlineStr">
        <is>
          <t>CONSTANTA ENV</t>
        </is>
      </c>
      <c r="K521" s="26">
        <f>J521&amp;"-"&amp;TEXT(W521,"dd-mmm-yy")</f>
        <v/>
      </c>
      <c r="L521" s="26">
        <f>IFERROR(VLOOKUP($M521,'ITEM MASTER'!E:H,4,0),"")</f>
        <v/>
      </c>
      <c r="M521" s="26">
        <f>IFERROR(VLOOKUP($I521,'ITEM MASTER'!B:E,4,0),"")</f>
        <v/>
      </c>
      <c r="N521" s="26">
        <f>IFERROR(VLOOKUP($I521,'ITEM MASTER'!B:F,5,0),0)</f>
        <v/>
      </c>
      <c r="O521" s="26">
        <f>IFERROR(VLOOKUP($M521,'TBGS PER CTN'!B:C,2,0),0)</f>
        <v/>
      </c>
      <c r="P521" s="26" t="n">
        <v>1000</v>
      </c>
      <c r="Q521" s="26" t="n">
        <v>0</v>
      </c>
      <c r="R521" s="26" t="n">
        <v>0</v>
      </c>
      <c r="S521" s="26">
        <f>Q521+R521</f>
        <v/>
      </c>
      <c r="T521" s="29" t="n">
        <v>1000</v>
      </c>
      <c r="U521" s="29">
        <f>N521*O521*T521</f>
        <v/>
      </c>
      <c r="V521" s="82">
        <f>IF(ISNUMBER($D521),$D521-WEEKDAY($D521,3),'ORDER VS WEEK DISTRIBUTION'!$G$500)</f>
        <v/>
      </c>
      <c r="W521" s="82">
        <f>MAX($V521,'ORDER VS WEEK DISTRIBUTION'!$G$500)</f>
        <v/>
      </c>
      <c r="X521" s="26">
        <f>IFERROR(VLOOKUP($J521,'ORDER VS WEEK DISTRIBUTION'!$T:$U,2,0),"")</f>
        <v/>
      </c>
      <c r="Y521" s="26">
        <f>IFERROR($T521/IF(IFERROR(VLOOKUP($I521,'ITEM CFC PER CONTAINER'!$A:$B,2,0),0)&gt;0,VLOOKUP($I521,'ITEM CFC PER CONTAINER'!$A:$B,2,0),VLOOKUP($X521,'MC MASTER'!$A:$Q,16,0)),"")</f>
        <v/>
      </c>
    </row>
    <row r="522" ht="15" customHeight="1" s="5">
      <c r="A522" s="26" t="inlineStr">
        <is>
          <t>Multitrade Overseas Pte. Ltd.</t>
        </is>
      </c>
      <c r="B522" s="26" t="inlineStr">
        <is>
          <t>MJIL/SO/26055194</t>
        </is>
      </c>
      <c r="C522" s="26" t="inlineStr">
        <is>
          <t>MJ-121/26-27 (SOGOCO)</t>
        </is>
      </c>
      <c r="D522" s="82" t="n">
        <v>46330</v>
      </c>
      <c r="E522" s="83">
        <f>IF(ISNUMBER($D522),EOMONTH($D522,-1)+1,"")</f>
        <v/>
      </c>
      <c r="F522" s="26" t="inlineStr">
        <is>
          <t>No data</t>
        </is>
      </c>
      <c r="G522" s="26" t="n">
        <v>2100</v>
      </c>
      <c r="H522" s="26">
        <f>B522&amp;I522</f>
        <v/>
      </c>
      <c r="I522" s="26" t="inlineStr">
        <is>
          <t>GV ROYAL LEMON 24/25 DC ENV TBGS</t>
        </is>
      </c>
      <c r="J522" s="30" t="inlineStr">
        <is>
          <t>CONSTANTA ENV</t>
        </is>
      </c>
      <c r="K522" s="26">
        <f>J522&amp;"-"&amp;TEXT(W522,"dd-mmm-yy")</f>
        <v/>
      </c>
      <c r="L522" s="26">
        <f>IFERROR(VLOOKUP($M522,'ITEM MASTER'!E:H,4,0),"")</f>
        <v/>
      </c>
      <c r="M522" s="26">
        <f>IFERROR(VLOOKUP($I522,'ITEM MASTER'!B:E,4,0),"")</f>
        <v/>
      </c>
      <c r="N522" s="26">
        <f>IFERROR(VLOOKUP($I522,'ITEM MASTER'!B:F,5,0),0)</f>
        <v/>
      </c>
      <c r="O522" s="26">
        <f>IFERROR(VLOOKUP($M522,'TBGS PER CTN'!B:C,2,0),0)</f>
        <v/>
      </c>
      <c r="P522" s="26" t="n">
        <v>1000</v>
      </c>
      <c r="Q522" s="26" t="n">
        <v>0</v>
      </c>
      <c r="R522" s="26" t="n">
        <v>0</v>
      </c>
      <c r="S522" s="26">
        <f>Q522+R522</f>
        <v/>
      </c>
      <c r="T522" s="29" t="n">
        <v>1000</v>
      </c>
      <c r="U522" s="29">
        <f>N522*O522*T522</f>
        <v/>
      </c>
      <c r="V522" s="82">
        <f>IF(ISNUMBER($D522),$D522-WEEKDAY($D522,3),'ORDER VS WEEK DISTRIBUTION'!$G$500)</f>
        <v/>
      </c>
      <c r="W522" s="82">
        <f>MAX($V522,'ORDER VS WEEK DISTRIBUTION'!$G$500)</f>
        <v/>
      </c>
      <c r="X522" s="26">
        <f>IFERROR(VLOOKUP($J522,'ORDER VS WEEK DISTRIBUTION'!$T:$U,2,0),"")</f>
        <v/>
      </c>
      <c r="Y522" s="26">
        <f>IFERROR($T522/IF(IFERROR(VLOOKUP($I522,'ITEM CFC PER CONTAINER'!$A:$B,2,0),0)&gt;0,VLOOKUP($I522,'ITEM CFC PER CONTAINER'!$A:$B,2,0),VLOOKUP($X522,'MC MASTER'!$A:$Q,16,0)),"")</f>
        <v/>
      </c>
    </row>
    <row r="523" ht="15" customHeight="1" s="5">
      <c r="A523" s="26" t="inlineStr">
        <is>
          <t>Multitrade Overseas Pte. Ltd.</t>
        </is>
      </c>
      <c r="B523" s="26" t="inlineStr">
        <is>
          <t>MJIL/SO/26055194</t>
        </is>
      </c>
      <c r="C523" s="26" t="inlineStr">
        <is>
          <t>MJ-121/26-27 (SOGOCO)</t>
        </is>
      </c>
      <c r="D523" s="82" t="n">
        <v>46330</v>
      </c>
      <c r="E523" s="83">
        <f>IF(ISNUMBER($D523),EOMONTH($D523,-1)+1,"")</f>
        <v/>
      </c>
      <c r="F523" s="26" t="inlineStr">
        <is>
          <t>No data</t>
        </is>
      </c>
      <c r="G523" s="26" t="n">
        <v>1955</v>
      </c>
      <c r="H523" s="26">
        <f>B523&amp;I523</f>
        <v/>
      </c>
      <c r="I523" s="26" t="inlineStr">
        <is>
          <t>GV GREEN TEA 24/25 DC ENV TBGS</t>
        </is>
      </c>
      <c r="J523" s="30" t="inlineStr">
        <is>
          <t>CONSTANTA ENV</t>
        </is>
      </c>
      <c r="K523" s="26">
        <f>J523&amp;"-"&amp;TEXT(W523,"dd-mmm-yy")</f>
        <v/>
      </c>
      <c r="L523" s="26">
        <f>IFERROR(VLOOKUP($M523,'ITEM MASTER'!E:H,4,0),"")</f>
        <v/>
      </c>
      <c r="M523" s="26">
        <f>IFERROR(VLOOKUP($I523,'ITEM MASTER'!B:E,4,0),"")</f>
        <v/>
      </c>
      <c r="N523" s="26">
        <f>IFERROR(VLOOKUP($I523,'ITEM MASTER'!B:F,5,0),0)</f>
        <v/>
      </c>
      <c r="O523" s="26">
        <f>IFERROR(VLOOKUP($M523,'TBGS PER CTN'!B:C,2,0),0)</f>
        <v/>
      </c>
      <c r="P523" s="26" t="n">
        <v>500</v>
      </c>
      <c r="Q523" s="26" t="n">
        <v>0</v>
      </c>
      <c r="R523" s="26" t="n">
        <v>0</v>
      </c>
      <c r="S523" s="26">
        <f>Q523+R523</f>
        <v/>
      </c>
      <c r="T523" s="29" t="n">
        <v>500</v>
      </c>
      <c r="U523" s="29">
        <f>N523*O523*T523</f>
        <v/>
      </c>
      <c r="V523" s="82">
        <f>IF(ISNUMBER($D523),$D523-WEEKDAY($D523,3),'ORDER VS WEEK DISTRIBUTION'!$G$500)</f>
        <v/>
      </c>
      <c r="W523" s="82">
        <f>MAX($V523,'ORDER VS WEEK DISTRIBUTION'!$G$500)</f>
        <v/>
      </c>
      <c r="X523" s="26">
        <f>IFERROR(VLOOKUP($J523,'ORDER VS WEEK DISTRIBUTION'!$T:$U,2,0),"")</f>
        <v/>
      </c>
      <c r="Y523" s="26">
        <f>IFERROR($T523/IF(IFERROR(VLOOKUP($I523,'ITEM CFC PER CONTAINER'!$A:$B,2,0),0)&gt;0,VLOOKUP($I523,'ITEM CFC PER CONTAINER'!$A:$B,2,0),VLOOKUP($X523,'MC MASTER'!$A:$Q,16,0)),"")</f>
        <v/>
      </c>
    </row>
    <row r="524" ht="15" customHeight="1" s="5">
      <c r="A524" s="26" t="inlineStr">
        <is>
          <t>Multitrade Overseas Pte. Ltd.</t>
        </is>
      </c>
      <c r="B524" s="26" t="inlineStr">
        <is>
          <t>MJIL/SO/26055194</t>
        </is>
      </c>
      <c r="C524" s="26" t="inlineStr">
        <is>
          <t>MJ-121/26-27 (SOGOCO)</t>
        </is>
      </c>
      <c r="D524" s="82" t="n">
        <v>46330</v>
      </c>
      <c r="E524" s="83">
        <f>IF(ISNUMBER($D524),EOMONTH($D524,-1)+1,"")</f>
        <v/>
      </c>
      <c r="F524" s="26" t="inlineStr">
        <is>
          <t>No data</t>
        </is>
      </c>
      <c r="G524" s="26" t="n">
        <v>21166</v>
      </c>
      <c r="H524" s="26">
        <f>B524&amp;I524</f>
        <v/>
      </c>
      <c r="I524" s="26" t="inlineStr">
        <is>
          <t>GV LEMON GRASS 24/25 DC ENV TBGS</t>
        </is>
      </c>
      <c r="J524" s="30" t="inlineStr">
        <is>
          <t>CONSTANTA ENV</t>
        </is>
      </c>
      <c r="K524" s="26">
        <f>J524&amp;"-"&amp;TEXT(W524,"dd-mmm-yy")</f>
        <v/>
      </c>
      <c r="L524" s="26">
        <f>IFERROR(VLOOKUP($M524,'ITEM MASTER'!E:H,4,0),"")</f>
        <v/>
      </c>
      <c r="M524" s="26">
        <f>IFERROR(VLOOKUP($I524,'ITEM MASTER'!B:E,4,0),"")</f>
        <v/>
      </c>
      <c r="N524" s="26">
        <f>IFERROR(VLOOKUP($I524,'ITEM MASTER'!B:F,5,0),0)</f>
        <v/>
      </c>
      <c r="O524" s="26">
        <f>IFERROR(VLOOKUP($M524,'TBGS PER CTN'!B:C,2,0),0)</f>
        <v/>
      </c>
      <c r="P524" s="26" t="n">
        <v>250</v>
      </c>
      <c r="Q524" s="26" t="n">
        <v>0</v>
      </c>
      <c r="R524" s="26" t="n">
        <v>0</v>
      </c>
      <c r="S524" s="26">
        <f>Q524+R524</f>
        <v/>
      </c>
      <c r="T524" s="29" t="n">
        <v>250</v>
      </c>
      <c r="U524" s="29">
        <f>N524*O524*T524</f>
        <v/>
      </c>
      <c r="V524" s="82">
        <f>IF(ISNUMBER($D524),$D524-WEEKDAY($D524,3),'ORDER VS WEEK DISTRIBUTION'!$G$500)</f>
        <v/>
      </c>
      <c r="W524" s="82">
        <f>MAX($V524,'ORDER VS WEEK DISTRIBUTION'!$G$500)</f>
        <v/>
      </c>
      <c r="X524" s="26">
        <f>IFERROR(VLOOKUP($J524,'ORDER VS WEEK DISTRIBUTION'!$T:$U,2,0),"")</f>
        <v/>
      </c>
      <c r="Y524" s="26">
        <f>IFERROR($T524/IF(IFERROR(VLOOKUP($I524,'ITEM CFC PER CONTAINER'!$A:$B,2,0),0)&gt;0,VLOOKUP($I524,'ITEM CFC PER CONTAINER'!$A:$B,2,0),VLOOKUP($X524,'MC MASTER'!$A:$Q,16,0)),"")</f>
        <v/>
      </c>
    </row>
    <row r="525" ht="15" customHeight="1" s="5">
      <c r="A525" s="26" t="inlineStr">
        <is>
          <t>Multitrade Overseas Pte. Ltd.</t>
        </is>
      </c>
      <c r="B525" s="26" t="inlineStr">
        <is>
          <t>MJIL/SO/26055194</t>
        </is>
      </c>
      <c r="C525" s="26" t="inlineStr">
        <is>
          <t>MJ-121/26-27 (SOGOCO)</t>
        </is>
      </c>
      <c r="D525" s="82" t="n">
        <v>46330</v>
      </c>
      <c r="E525" s="83">
        <f>IF(ISNUMBER($D525),EOMONTH($D525,-1)+1,"")</f>
        <v/>
      </c>
      <c r="F525" s="26" t="inlineStr">
        <is>
          <t>No data</t>
        </is>
      </c>
      <c r="G525" s="26" t="n">
        <v>21686</v>
      </c>
      <c r="H525" s="26">
        <f>B525&amp;I525</f>
        <v/>
      </c>
      <c r="I525" s="26" t="inlineStr">
        <is>
          <t>GV GREEN TEA MORINGA 24/25 DC ENV TBGS</t>
        </is>
      </c>
      <c r="J525" s="30" t="inlineStr">
        <is>
          <t>CONSTANTA ENV</t>
        </is>
      </c>
      <c r="K525" s="26">
        <f>J525&amp;"-"&amp;TEXT(W525,"dd-mmm-yy")</f>
        <v/>
      </c>
      <c r="L525" s="26">
        <f>IFERROR(VLOOKUP($M525,'ITEM MASTER'!E:H,4,0),"")</f>
        <v/>
      </c>
      <c r="M525" s="26">
        <f>IFERROR(VLOOKUP($I525,'ITEM MASTER'!B:E,4,0),"")</f>
        <v/>
      </c>
      <c r="N525" s="26">
        <f>IFERROR(VLOOKUP($I525,'ITEM MASTER'!B:F,5,0),0)</f>
        <v/>
      </c>
      <c r="O525" s="26">
        <f>IFERROR(VLOOKUP($M525,'TBGS PER CTN'!B:C,2,0),0)</f>
        <v/>
      </c>
      <c r="P525" s="26" t="n">
        <v>250</v>
      </c>
      <c r="Q525" s="26" t="n">
        <v>0</v>
      </c>
      <c r="R525" s="26" t="n">
        <v>0</v>
      </c>
      <c r="S525" s="26">
        <f>Q525+R525</f>
        <v/>
      </c>
      <c r="T525" s="29" t="n">
        <v>250</v>
      </c>
      <c r="U525" s="29">
        <f>N525*O525*T525</f>
        <v/>
      </c>
      <c r="V525" s="82">
        <f>IF(ISNUMBER($D525),$D525-WEEKDAY($D525,3),'ORDER VS WEEK DISTRIBUTION'!$G$500)</f>
        <v/>
      </c>
      <c r="W525" s="82">
        <f>MAX($V525,'ORDER VS WEEK DISTRIBUTION'!$G$500)</f>
        <v/>
      </c>
      <c r="X525" s="26">
        <f>IFERROR(VLOOKUP($J525,'ORDER VS WEEK DISTRIBUTION'!$T:$U,2,0),"")</f>
        <v/>
      </c>
      <c r="Y525" s="26">
        <f>IFERROR($T525/IF(IFERROR(VLOOKUP($I525,'ITEM CFC PER CONTAINER'!$A:$B,2,0),0)&gt;0,VLOOKUP($I525,'ITEM CFC PER CONTAINER'!$A:$B,2,0),VLOOKUP($X525,'MC MASTER'!$A:$Q,16,0)),"")</f>
        <v/>
      </c>
    </row>
    <row r="526" ht="15" customHeight="1" s="5">
      <c r="A526" s="26" t="inlineStr">
        <is>
          <t>Multitrade Overseas Pte. Ltd.</t>
        </is>
      </c>
      <c r="B526" s="26" t="inlineStr">
        <is>
          <t>MJIL/SO/26055194</t>
        </is>
      </c>
      <c r="C526" s="26" t="inlineStr">
        <is>
          <t>MJ-121/26-27 (SOGOCO)</t>
        </is>
      </c>
      <c r="D526" s="82" t="n">
        <v>46330</v>
      </c>
      <c r="E526" s="83">
        <f>IF(ISNUMBER($D526),EOMONTH($D526,-1)+1,"")</f>
        <v/>
      </c>
      <c r="F526" s="26" t="inlineStr">
        <is>
          <t>No data</t>
        </is>
      </c>
      <c r="G526" s="26" t="n">
        <v>19832</v>
      </c>
      <c r="H526" s="26">
        <f>B526&amp;I526</f>
        <v/>
      </c>
      <c r="I526" s="26" t="inlineStr">
        <is>
          <t>GV GREEN LEMON 24/25 DC ENV TBGS (AR)</t>
        </is>
      </c>
      <c r="J526" s="30" t="inlineStr">
        <is>
          <t>CONSTANTA ENV</t>
        </is>
      </c>
      <c r="K526" s="26">
        <f>J526&amp;"-"&amp;TEXT(W526,"dd-mmm-yy")</f>
        <v/>
      </c>
      <c r="L526" s="26">
        <f>IFERROR(VLOOKUP($M526,'ITEM MASTER'!E:H,4,0),"")</f>
        <v/>
      </c>
      <c r="M526" s="26">
        <f>IFERROR(VLOOKUP($I526,'ITEM MASTER'!B:E,4,0),"")</f>
        <v/>
      </c>
      <c r="N526" s="26">
        <f>IFERROR(VLOOKUP($I526,'ITEM MASTER'!B:F,5,0),0)</f>
        <v/>
      </c>
      <c r="O526" s="26">
        <f>IFERROR(VLOOKUP($M526,'TBGS PER CTN'!B:C,2,0),0)</f>
        <v/>
      </c>
      <c r="P526" s="26" t="n">
        <v>250</v>
      </c>
      <c r="Q526" s="26" t="n">
        <v>0</v>
      </c>
      <c r="R526" s="26" t="n">
        <v>0</v>
      </c>
      <c r="S526" s="26">
        <f>Q526+R526</f>
        <v/>
      </c>
      <c r="T526" s="29" t="n">
        <v>250</v>
      </c>
      <c r="U526" s="29">
        <f>N526*O526*T526</f>
        <v/>
      </c>
      <c r="V526" s="82">
        <f>IF(ISNUMBER($D526),$D526-WEEKDAY($D526,3),'ORDER VS WEEK DISTRIBUTION'!$G$500)</f>
        <v/>
      </c>
      <c r="W526" s="82">
        <f>MAX($V526,'ORDER VS WEEK DISTRIBUTION'!$G$500)</f>
        <v/>
      </c>
      <c r="X526" s="26">
        <f>IFERROR(VLOOKUP($J526,'ORDER VS WEEK DISTRIBUTION'!$T:$U,2,0),"")</f>
        <v/>
      </c>
      <c r="Y526" s="26">
        <f>IFERROR($T526/IF(IFERROR(VLOOKUP($I526,'ITEM CFC PER CONTAINER'!$A:$B,2,0),0)&gt;0,VLOOKUP($I526,'ITEM CFC PER CONTAINER'!$A:$B,2,0),VLOOKUP($X526,'MC MASTER'!$A:$Q,16,0)),"")</f>
        <v/>
      </c>
    </row>
    <row r="527" ht="15" customHeight="1" s="5">
      <c r="A527" s="26" t="inlineStr">
        <is>
          <t>Multitrade Overseas Pte. Ltd.</t>
        </is>
      </c>
      <c r="B527" s="26" t="inlineStr">
        <is>
          <t>MJIL/SO/26055194</t>
        </is>
      </c>
      <c r="C527" s="26" t="inlineStr">
        <is>
          <t>MJ-121/26-27 (SOGOCO)</t>
        </is>
      </c>
      <c r="D527" s="82" t="n">
        <v>46330</v>
      </c>
      <c r="E527" s="83">
        <f>IF(ISNUMBER($D527),EOMONTH($D527,-1)+1,"")</f>
        <v/>
      </c>
      <c r="F527" s="26" t="inlineStr">
        <is>
          <t>No data</t>
        </is>
      </c>
      <c r="G527" s="26" t="n">
        <v>2016</v>
      </c>
      <c r="H527" s="26">
        <f>B527&amp;I527</f>
        <v/>
      </c>
      <c r="I527" s="26" t="inlineStr">
        <is>
          <t>GV MINT 24/25 DC ENV TBGS</t>
        </is>
      </c>
      <c r="J527" s="30" t="inlineStr">
        <is>
          <t>CONSTANTA ENV</t>
        </is>
      </c>
      <c r="K527" s="26">
        <f>J527&amp;"-"&amp;TEXT(W527,"dd-mmm-yy")</f>
        <v/>
      </c>
      <c r="L527" s="26">
        <f>IFERROR(VLOOKUP($M527,'ITEM MASTER'!E:H,4,0),"")</f>
        <v/>
      </c>
      <c r="M527" s="26">
        <f>IFERROR(VLOOKUP($I527,'ITEM MASTER'!B:E,4,0),"")</f>
        <v/>
      </c>
      <c r="N527" s="26">
        <f>IFERROR(VLOOKUP($I527,'ITEM MASTER'!B:F,5,0),0)</f>
        <v/>
      </c>
      <c r="O527" s="26">
        <f>IFERROR(VLOOKUP($M527,'TBGS PER CTN'!B:C,2,0),0)</f>
        <v/>
      </c>
      <c r="P527" s="26" t="n">
        <v>250</v>
      </c>
      <c r="Q527" s="26" t="n">
        <v>0</v>
      </c>
      <c r="R527" s="26" t="n">
        <v>0</v>
      </c>
      <c r="S527" s="26">
        <f>Q527+R527</f>
        <v/>
      </c>
      <c r="T527" s="29" t="n">
        <v>250</v>
      </c>
      <c r="U527" s="29">
        <f>N527*O527*T527</f>
        <v/>
      </c>
      <c r="V527" s="82">
        <f>IF(ISNUMBER($D527),$D527-WEEKDAY($D527,3),'ORDER VS WEEK DISTRIBUTION'!$G$500)</f>
        <v/>
      </c>
      <c r="W527" s="82">
        <f>MAX($V527,'ORDER VS WEEK DISTRIBUTION'!$G$500)</f>
        <v/>
      </c>
      <c r="X527" s="26">
        <f>IFERROR(VLOOKUP($J527,'ORDER VS WEEK DISTRIBUTION'!$T:$U,2,0),"")</f>
        <v/>
      </c>
      <c r="Y527" s="26">
        <f>IFERROR($T527/IF(IFERROR(VLOOKUP($I527,'ITEM CFC PER CONTAINER'!$A:$B,2,0),0)&gt;0,VLOOKUP($I527,'ITEM CFC PER CONTAINER'!$A:$B,2,0),VLOOKUP($X527,'MC MASTER'!$A:$Q,16,0)),"")</f>
        <v/>
      </c>
    </row>
    <row r="528" ht="15" customHeight="1" s="5">
      <c r="A528" s="26" t="inlineStr">
        <is>
          <t>Multitrade Overseas Pte. Ltd.</t>
        </is>
      </c>
      <c r="B528" s="26" t="inlineStr">
        <is>
          <t>MJIL/SO/26055194</t>
        </is>
      </c>
      <c r="C528" s="26" t="inlineStr">
        <is>
          <t>MJ-121/26-27 (SOGOCO)</t>
        </is>
      </c>
      <c r="D528" s="82" t="n">
        <v>46330</v>
      </c>
      <c r="E528" s="83">
        <f>IF(ISNUMBER($D528),EOMONTH($D528,-1)+1,"")</f>
        <v/>
      </c>
      <c r="F528" s="26" t="inlineStr">
        <is>
          <t>No data</t>
        </is>
      </c>
      <c r="G528" s="26" t="n">
        <v>1925</v>
      </c>
      <c r="H528" s="26">
        <f>B528&amp;I528</f>
        <v/>
      </c>
      <c r="I528" s="26" t="inlineStr">
        <is>
          <t>GV GARDEN STRAWBERRY 24/25 DC ENV TBGS</t>
        </is>
      </c>
      <c r="J528" s="30" t="inlineStr">
        <is>
          <t>CONSTANTA ENV</t>
        </is>
      </c>
      <c r="K528" s="26">
        <f>J528&amp;"-"&amp;TEXT(W528,"dd-mmm-yy")</f>
        <v/>
      </c>
      <c r="L528" s="26">
        <f>IFERROR(VLOOKUP($M528,'ITEM MASTER'!E:H,4,0),"")</f>
        <v/>
      </c>
      <c r="M528" s="26">
        <f>IFERROR(VLOOKUP($I528,'ITEM MASTER'!B:E,4,0),"")</f>
        <v/>
      </c>
      <c r="N528" s="26">
        <f>IFERROR(VLOOKUP($I528,'ITEM MASTER'!B:F,5,0),0)</f>
        <v/>
      </c>
      <c r="O528" s="26">
        <f>IFERROR(VLOOKUP($M528,'TBGS PER CTN'!B:C,2,0),0)</f>
        <v/>
      </c>
      <c r="P528" s="26" t="n">
        <v>250</v>
      </c>
      <c r="Q528" s="26" t="n">
        <v>0</v>
      </c>
      <c r="R528" s="26" t="n">
        <v>0</v>
      </c>
      <c r="S528" s="26">
        <f>Q528+R528</f>
        <v/>
      </c>
      <c r="T528" s="29" t="n">
        <v>250</v>
      </c>
      <c r="U528" s="29">
        <f>N528*O528*T528</f>
        <v/>
      </c>
      <c r="V528" s="82">
        <f>IF(ISNUMBER($D528),$D528-WEEKDAY($D528,3),'ORDER VS WEEK DISTRIBUTION'!$G$500)</f>
        <v/>
      </c>
      <c r="W528" s="82">
        <f>MAX($V528,'ORDER VS WEEK DISTRIBUTION'!$G$500)</f>
        <v/>
      </c>
      <c r="X528" s="26">
        <f>IFERROR(VLOOKUP($J528,'ORDER VS WEEK DISTRIBUTION'!$T:$U,2,0),"")</f>
        <v/>
      </c>
      <c r="Y528" s="26">
        <f>IFERROR($T528/IF(IFERROR(VLOOKUP($I528,'ITEM CFC PER CONTAINER'!$A:$B,2,0),0)&gt;0,VLOOKUP($I528,'ITEM CFC PER CONTAINER'!$A:$B,2,0),VLOOKUP($X528,'MC MASTER'!$A:$Q,16,0)),"")</f>
        <v/>
      </c>
    </row>
    <row r="529" ht="15" customHeight="1" s="5">
      <c r="A529" s="26" t="inlineStr">
        <is>
          <t>Multitrade Overseas Pte. Ltd.</t>
        </is>
      </c>
      <c r="B529" s="26" t="inlineStr">
        <is>
          <t>MJIL/SO/26055194</t>
        </is>
      </c>
      <c r="C529" s="26" t="inlineStr">
        <is>
          <t>MJ-121/26-27 (SOGOCO)</t>
        </is>
      </c>
      <c r="D529" s="82" t="n">
        <v>46330</v>
      </c>
      <c r="E529" s="83">
        <f>IF(ISNUMBER($D529),EOMONTH($D529,-1)+1,"")</f>
        <v/>
      </c>
      <c r="F529" s="26" t="inlineStr">
        <is>
          <t>No data</t>
        </is>
      </c>
      <c r="G529" s="26" t="n">
        <v>31018</v>
      </c>
      <c r="H529" s="26">
        <f>B529&amp;I529</f>
        <v/>
      </c>
      <c r="I529" s="26" t="inlineStr">
        <is>
          <t>JAY GV 24/25 DC TAG TBGS</t>
        </is>
      </c>
      <c r="J529" s="26" t="inlineStr">
        <is>
          <t>CONSTANTA TAG D</t>
        </is>
      </c>
      <c r="K529" s="26">
        <f>J529&amp;"-"&amp;TEXT(W529,"dd-mmm-yy")</f>
        <v/>
      </c>
      <c r="L529" s="26">
        <f>IFERROR(VLOOKUP($M529,'ITEM MASTER'!E:H,4,0),"")</f>
        <v/>
      </c>
      <c r="M529" s="26">
        <f>IFERROR(VLOOKUP($I529,'ITEM MASTER'!B:E,4,0),"")</f>
        <v/>
      </c>
      <c r="N529" s="26">
        <f>IFERROR(VLOOKUP($I529,'ITEM MASTER'!B:F,5,0),0)</f>
        <v/>
      </c>
      <c r="O529" s="26">
        <f>IFERROR(VLOOKUP($M529,'TBGS PER CTN'!B:C,2,0),0)</f>
        <v/>
      </c>
      <c r="P529" s="26" t="n">
        <v>850</v>
      </c>
      <c r="Q529" s="26" t="n">
        <v>0</v>
      </c>
      <c r="R529" s="26" t="n">
        <v>0</v>
      </c>
      <c r="S529" s="26">
        <f>Q529+R529</f>
        <v/>
      </c>
      <c r="T529" s="29" t="n">
        <v>850</v>
      </c>
      <c r="U529" s="29">
        <f>N529*O529*T529</f>
        <v/>
      </c>
      <c r="V529" s="82">
        <f>IF(ISNUMBER($D529),$D529-WEEKDAY($D529,3),'ORDER VS WEEK DISTRIBUTION'!$G$500)</f>
        <v/>
      </c>
      <c r="W529" s="82">
        <f>MAX($V529,'ORDER VS WEEK DISTRIBUTION'!$G$500)</f>
        <v/>
      </c>
      <c r="X529" s="26">
        <f>IFERROR(VLOOKUP($J529,'ORDER VS WEEK DISTRIBUTION'!$T:$U,2,0),"")</f>
        <v/>
      </c>
      <c r="Y529" s="26">
        <f>IFERROR($T529/IF(IFERROR(VLOOKUP($I529,'ITEM CFC PER CONTAINER'!$A:$B,2,0),0)&gt;0,VLOOKUP($I529,'ITEM CFC PER CONTAINER'!$A:$B,2,0),VLOOKUP($X529,'MC MASTER'!$A:$Q,16,0)),"")</f>
        <v/>
      </c>
    </row>
    <row r="530" ht="15" customHeight="1" s="5">
      <c r="A530" s="26" t="inlineStr">
        <is>
          <t>Saran Enterprises Ltd.</t>
        </is>
      </c>
      <c r="B530" s="26" t="inlineStr">
        <is>
          <t>MJIL/SO/26054924</t>
        </is>
      </c>
      <c r="C530" s="26" t="inlineStr">
        <is>
          <t>PO 24092026/01 - JUMBO</t>
        </is>
      </c>
      <c r="D530" s="82" t="n">
        <v>46349</v>
      </c>
      <c r="E530" s="83">
        <f>IF(ISNUMBER($D530),EOMONTH($D530,-1)+1,"")</f>
        <v/>
      </c>
      <c r="F530" s="26" t="inlineStr">
        <is>
          <t>No data</t>
        </is>
      </c>
      <c r="G530" s="26" t="n">
        <v>5520</v>
      </c>
      <c r="H530" s="26">
        <f>B530&amp;I530</f>
        <v/>
      </c>
      <c r="I530" s="26" t="inlineStr">
        <is>
          <t>JUMBO GREEN LEMON 12/20 DC SF ENV TBGS</t>
        </is>
      </c>
      <c r="J530" s="26" t="inlineStr">
        <is>
          <t>C250</t>
        </is>
      </c>
      <c r="K530" s="26">
        <f>J530&amp;"-"&amp;TEXT(W530,"dd-mmm-yy")</f>
        <v/>
      </c>
      <c r="L530" s="26">
        <f>IFERROR(VLOOKUP($M530,'ITEM MASTER'!E:H,4,0),"")</f>
        <v/>
      </c>
      <c r="M530" s="26">
        <f>IFERROR(VLOOKUP($I530,'ITEM MASTER'!B:E,4,0),"")</f>
        <v/>
      </c>
      <c r="N530" s="26">
        <f>IFERROR(VLOOKUP($I530,'ITEM MASTER'!B:F,5,0),0)</f>
        <v/>
      </c>
      <c r="O530" s="26">
        <f>IFERROR(VLOOKUP($M530,'TBGS PER CTN'!B:C,2,0),0)</f>
        <v/>
      </c>
      <c r="P530" s="26" t="n">
        <v>240</v>
      </c>
      <c r="Q530" s="26" t="n">
        <v>32</v>
      </c>
      <c r="R530" s="26" t="n">
        <v>56</v>
      </c>
      <c r="S530" s="26">
        <f>Q530+R530</f>
        <v/>
      </c>
      <c r="T530" s="29" t="n">
        <v>152</v>
      </c>
      <c r="U530" s="29">
        <f>N530*O530*T530</f>
        <v/>
      </c>
      <c r="V530" s="82">
        <f>IF(ISNUMBER($D530),$D530-WEEKDAY($D530,3),'ORDER VS WEEK DISTRIBUTION'!$G$500)</f>
        <v/>
      </c>
      <c r="W530" s="82">
        <f>MAX($V530,'ORDER VS WEEK DISTRIBUTION'!$G$500)</f>
        <v/>
      </c>
      <c r="X530" s="26">
        <f>IFERROR(VLOOKUP($J530,'ORDER VS WEEK DISTRIBUTION'!$T:$U,2,0),"")</f>
        <v/>
      </c>
      <c r="Y530" s="26">
        <f>IFERROR($T530/IF(IFERROR(VLOOKUP($I530,'ITEM CFC PER CONTAINER'!$A:$B,2,0),0)&gt;0,VLOOKUP($I530,'ITEM CFC PER CONTAINER'!$A:$B,2,0),VLOOKUP($X530,'MC MASTER'!$A:$Q,16,0)),"")</f>
        <v/>
      </c>
    </row>
    <row r="531" ht="15" customHeight="1" s="5">
      <c r="A531" s="26" t="inlineStr">
        <is>
          <t>Saran Enterprises Ltd.</t>
        </is>
      </c>
      <c r="B531" s="26" t="inlineStr">
        <is>
          <t>MJIL/SO/26054924</t>
        </is>
      </c>
      <c r="C531" s="26" t="inlineStr">
        <is>
          <t>PO 24092026/01 - JUMBO</t>
        </is>
      </c>
      <c r="D531" s="82" t="n">
        <v>46349</v>
      </c>
      <c r="E531" s="83">
        <f>IF(ISNUMBER($D531),EOMONTH($D531,-1)+1,"")</f>
        <v/>
      </c>
      <c r="F531" s="26" t="inlineStr">
        <is>
          <t>No data</t>
        </is>
      </c>
      <c r="G531" s="26" t="n">
        <v>5523</v>
      </c>
      <c r="H531" s="26">
        <f>B531&amp;I531</f>
        <v/>
      </c>
      <c r="I531" s="26" t="inlineStr">
        <is>
          <t>JUMBO GREEN TEA CRANBERRY 12/20 DC SF ENV TBGS</t>
        </is>
      </c>
      <c r="J531" s="26" t="inlineStr">
        <is>
          <t>C250</t>
        </is>
      </c>
      <c r="K531" s="26">
        <f>J531&amp;"-"&amp;TEXT(W531,"dd-mmm-yy")</f>
        <v/>
      </c>
      <c r="L531" s="26">
        <f>IFERROR(VLOOKUP($M531,'ITEM MASTER'!E:H,4,0),"")</f>
        <v/>
      </c>
      <c r="M531" s="26">
        <f>IFERROR(VLOOKUP($I531,'ITEM MASTER'!B:E,4,0),"")</f>
        <v/>
      </c>
      <c r="N531" s="26">
        <f>IFERROR(VLOOKUP($I531,'ITEM MASTER'!B:F,5,0),0)</f>
        <v/>
      </c>
      <c r="O531" s="26">
        <f>IFERROR(VLOOKUP($M531,'TBGS PER CTN'!B:C,2,0),0)</f>
        <v/>
      </c>
      <c r="P531" s="26" t="n">
        <v>360</v>
      </c>
      <c r="Q531" s="26" t="n">
        <v>0</v>
      </c>
      <c r="R531" s="26" t="n">
        <v>0</v>
      </c>
      <c r="S531" s="26">
        <f>Q531+R531</f>
        <v/>
      </c>
      <c r="T531" s="29" t="n">
        <v>360</v>
      </c>
      <c r="U531" s="29">
        <f>N531*O531*T531</f>
        <v/>
      </c>
      <c r="V531" s="82">
        <f>IF(ISNUMBER($D531),$D531-WEEKDAY($D531,3),'ORDER VS WEEK DISTRIBUTION'!$G$500)</f>
        <v/>
      </c>
      <c r="W531" s="82">
        <f>MAX($V531,'ORDER VS WEEK DISTRIBUTION'!$G$500)</f>
        <v/>
      </c>
      <c r="X531" s="26">
        <f>IFERROR(VLOOKUP($J531,'ORDER VS WEEK DISTRIBUTION'!$T:$U,2,0),"")</f>
        <v/>
      </c>
      <c r="Y531" s="26">
        <f>IFERROR($T531/IF(IFERROR(VLOOKUP($I531,'ITEM CFC PER CONTAINER'!$A:$B,2,0),0)&gt;0,VLOOKUP($I531,'ITEM CFC PER CONTAINER'!$A:$B,2,0),VLOOKUP($X531,'MC MASTER'!$A:$Q,16,0)),"")</f>
        <v/>
      </c>
    </row>
    <row r="532" ht="15" customHeight="1" s="5">
      <c r="A532" s="26" t="inlineStr">
        <is>
          <t>Saran Enterprises Ltd.</t>
        </is>
      </c>
      <c r="B532" s="26" t="inlineStr">
        <is>
          <t>MJIL/SO/26054924</t>
        </is>
      </c>
      <c r="C532" s="26" t="inlineStr">
        <is>
          <t>PO 24092026/01 - JUMBO</t>
        </is>
      </c>
      <c r="D532" s="82" t="n">
        <v>46349</v>
      </c>
      <c r="E532" s="83">
        <f>IF(ISNUMBER($D532),EOMONTH($D532,-1)+1,"")</f>
        <v/>
      </c>
      <c r="F532" s="26" t="inlineStr">
        <is>
          <t>No data</t>
        </is>
      </c>
      <c r="G532" s="26" t="n">
        <v>5526</v>
      </c>
      <c r="H532" s="26">
        <f>B532&amp;I532</f>
        <v/>
      </c>
      <c r="I532" s="26" t="inlineStr">
        <is>
          <t>JUMBO GREEN TEA PURE ORIGINAL 12/20 DC SF ENV TBGS</t>
        </is>
      </c>
      <c r="J532" s="26" t="inlineStr">
        <is>
          <t>C250</t>
        </is>
      </c>
      <c r="K532" s="26">
        <f>J532&amp;"-"&amp;TEXT(W532,"dd-mmm-yy")</f>
        <v/>
      </c>
      <c r="L532" s="26">
        <f>IFERROR(VLOOKUP($M532,'ITEM MASTER'!E:H,4,0),"")</f>
        <v/>
      </c>
      <c r="M532" s="26">
        <f>IFERROR(VLOOKUP($I532,'ITEM MASTER'!B:E,4,0),"")</f>
        <v/>
      </c>
      <c r="N532" s="26">
        <f>IFERROR(VLOOKUP($I532,'ITEM MASTER'!B:F,5,0),0)</f>
        <v/>
      </c>
      <c r="O532" s="26">
        <f>IFERROR(VLOOKUP($M532,'TBGS PER CTN'!B:C,2,0),0)</f>
        <v/>
      </c>
      <c r="P532" s="26" t="n">
        <v>1320</v>
      </c>
      <c r="Q532" s="26" t="n">
        <v>0</v>
      </c>
      <c r="R532" s="26" t="n">
        <v>0</v>
      </c>
      <c r="S532" s="26">
        <f>Q532+R532</f>
        <v/>
      </c>
      <c r="T532" s="29" t="n">
        <v>1320</v>
      </c>
      <c r="U532" s="29">
        <f>N532*O532*T532</f>
        <v/>
      </c>
      <c r="V532" s="82">
        <f>IF(ISNUMBER($D532),$D532-WEEKDAY($D532,3),'ORDER VS WEEK DISTRIBUTION'!$G$500)</f>
        <v/>
      </c>
      <c r="W532" s="82">
        <f>MAX($V532,'ORDER VS WEEK DISTRIBUTION'!$G$500)</f>
        <v/>
      </c>
      <c r="X532" s="26">
        <f>IFERROR(VLOOKUP($J532,'ORDER VS WEEK DISTRIBUTION'!$T:$U,2,0),"")</f>
        <v/>
      </c>
      <c r="Y532" s="26">
        <f>IFERROR($T532/IF(IFERROR(VLOOKUP($I532,'ITEM CFC PER CONTAINER'!$A:$B,2,0),0)&gt;0,VLOOKUP($I532,'ITEM CFC PER CONTAINER'!$A:$B,2,0),VLOOKUP($X532,'MC MASTER'!$A:$Q,16,0)),"")</f>
        <v/>
      </c>
    </row>
    <row r="533" ht="15" customHeight="1" s="5">
      <c r="A533" s="26" t="inlineStr">
        <is>
          <t>Saran Enterprises Ltd.</t>
        </is>
      </c>
      <c r="B533" s="26" t="inlineStr">
        <is>
          <t>MJIL/SO/26054924</t>
        </is>
      </c>
      <c r="C533" s="26" t="inlineStr">
        <is>
          <t>PO 24092026/01 - JUMBO</t>
        </is>
      </c>
      <c r="D533" s="82" t="n">
        <v>46349</v>
      </c>
      <c r="E533" s="83">
        <f>IF(ISNUMBER($D533),EOMONTH($D533,-1)+1,"")</f>
        <v/>
      </c>
      <c r="F533" s="26" t="inlineStr">
        <is>
          <t>No data</t>
        </is>
      </c>
      <c r="G533" s="26" t="n">
        <v>5532</v>
      </c>
      <c r="H533" s="26">
        <f>B533&amp;I533</f>
        <v/>
      </c>
      <c r="I533" s="26" t="inlineStr">
        <is>
          <t>JUMBO ROOIBOS HONEY 12/20 DC SF ENV TBGS</t>
        </is>
      </c>
      <c r="J533" s="26" t="inlineStr">
        <is>
          <t>MD20 ENV</t>
        </is>
      </c>
      <c r="K533" s="26">
        <f>J533&amp;"-"&amp;TEXT(W533,"dd-mmm-yy")</f>
        <v/>
      </c>
      <c r="L533" s="26">
        <f>IFERROR(VLOOKUP($M533,'ITEM MASTER'!E:H,4,0),"")</f>
        <v/>
      </c>
      <c r="M533" s="26">
        <f>IFERROR(VLOOKUP($I533,'ITEM MASTER'!B:E,4,0),"")</f>
        <v/>
      </c>
      <c r="N533" s="26">
        <f>IFERROR(VLOOKUP($I533,'ITEM MASTER'!B:F,5,0),0)</f>
        <v/>
      </c>
      <c r="O533" s="26">
        <f>IFERROR(VLOOKUP($M533,'TBGS PER CTN'!B:C,2,0),0)</f>
        <v/>
      </c>
      <c r="P533" s="26" t="n">
        <v>240</v>
      </c>
      <c r="Q533" s="26" t="n">
        <v>0</v>
      </c>
      <c r="R533" s="26" t="n">
        <v>0</v>
      </c>
      <c r="S533" s="26">
        <f>Q533+R533</f>
        <v/>
      </c>
      <c r="T533" s="29" t="n">
        <v>240</v>
      </c>
      <c r="U533" s="29">
        <f>N533*O533*T533</f>
        <v/>
      </c>
      <c r="V533" s="82">
        <f>IF(ISNUMBER($D533),$D533-WEEKDAY($D533,3),'ORDER VS WEEK DISTRIBUTION'!$G$500)</f>
        <v/>
      </c>
      <c r="W533" s="82">
        <f>MAX($V533,'ORDER VS WEEK DISTRIBUTION'!$G$500)</f>
        <v/>
      </c>
      <c r="X533" s="26">
        <f>IFERROR(VLOOKUP($J533,'ORDER VS WEEK DISTRIBUTION'!$T:$U,2,0),"")</f>
        <v/>
      </c>
      <c r="Y533" s="26">
        <f>IFERROR($T533/IF(IFERROR(VLOOKUP($I533,'ITEM CFC PER CONTAINER'!$A:$B,2,0),0)&gt;0,VLOOKUP($I533,'ITEM CFC PER CONTAINER'!$A:$B,2,0),VLOOKUP($X533,'MC MASTER'!$A:$Q,16,0)),"")</f>
        <v/>
      </c>
    </row>
    <row r="534" ht="15" customHeight="1" s="5">
      <c r="A534" s="26" t="inlineStr">
        <is>
          <t>Saran Enterprises Ltd.</t>
        </is>
      </c>
      <c r="B534" s="26" t="inlineStr">
        <is>
          <t>MJIL/SO/26054924</t>
        </is>
      </c>
      <c r="C534" s="26" t="inlineStr">
        <is>
          <t>PO 24092026/01 - JUMBO</t>
        </is>
      </c>
      <c r="D534" s="82" t="n">
        <v>46349</v>
      </c>
      <c r="E534" s="83">
        <f>IF(ISNUMBER($D534),EOMONTH($D534,-1)+1,"")</f>
        <v/>
      </c>
      <c r="F534" s="26" t="inlineStr">
        <is>
          <t>No data</t>
        </is>
      </c>
      <c r="G534" s="26" t="n">
        <v>5533</v>
      </c>
      <c r="H534" s="26">
        <f>B534&amp;I534</f>
        <v/>
      </c>
      <c r="I534" s="26" t="inlineStr">
        <is>
          <t>JUMBO ROOIBOS MANGO PEACH 12/20 DC SF ENV TBGS</t>
        </is>
      </c>
      <c r="J534" s="26" t="inlineStr">
        <is>
          <t>C250</t>
        </is>
      </c>
      <c r="K534" s="26">
        <f>J534&amp;"-"&amp;TEXT(W534,"dd-mmm-yy")</f>
        <v/>
      </c>
      <c r="L534" s="26">
        <f>IFERROR(VLOOKUP($M534,'ITEM MASTER'!E:H,4,0),"")</f>
        <v/>
      </c>
      <c r="M534" s="26">
        <f>IFERROR(VLOOKUP($I534,'ITEM MASTER'!B:E,4,0),"")</f>
        <v/>
      </c>
      <c r="N534" s="26">
        <f>IFERROR(VLOOKUP($I534,'ITEM MASTER'!B:F,5,0),0)</f>
        <v/>
      </c>
      <c r="O534" s="26">
        <f>IFERROR(VLOOKUP($M534,'TBGS PER CTN'!B:C,2,0),0)</f>
        <v/>
      </c>
      <c r="P534" s="26" t="n">
        <v>240</v>
      </c>
      <c r="Q534" s="26" t="n">
        <v>0</v>
      </c>
      <c r="R534" s="26" t="n">
        <v>0</v>
      </c>
      <c r="S534" s="26">
        <f>Q534+R534</f>
        <v/>
      </c>
      <c r="T534" s="29" t="n">
        <v>240</v>
      </c>
      <c r="U534" s="29">
        <f>N534*O534*T534</f>
        <v/>
      </c>
      <c r="V534" s="82">
        <f>IF(ISNUMBER($D534),$D534-WEEKDAY($D534,3),'ORDER VS WEEK DISTRIBUTION'!$G$500)</f>
        <v/>
      </c>
      <c r="W534" s="82">
        <f>MAX($V534,'ORDER VS WEEK DISTRIBUTION'!$G$500)</f>
        <v/>
      </c>
      <c r="X534" s="26">
        <f>IFERROR(VLOOKUP($J534,'ORDER VS WEEK DISTRIBUTION'!$T:$U,2,0),"")</f>
        <v/>
      </c>
      <c r="Y534" s="26">
        <f>IFERROR($T534/IF(IFERROR(VLOOKUP($I534,'ITEM CFC PER CONTAINER'!$A:$B,2,0),0)&gt;0,VLOOKUP($I534,'ITEM CFC PER CONTAINER'!$A:$B,2,0),VLOOKUP($X534,'MC MASTER'!$A:$Q,16,0)),"")</f>
        <v/>
      </c>
    </row>
    <row r="535" ht="15" customHeight="1" s="5">
      <c r="A535" s="26" t="inlineStr">
        <is>
          <t>Saran Enterprises Ltd.</t>
        </is>
      </c>
      <c r="B535" s="26" t="inlineStr">
        <is>
          <t>MJIL/SO/26054924</t>
        </is>
      </c>
      <c r="C535" s="26" t="inlineStr">
        <is>
          <t>PO 24092026/01 - JUMBO</t>
        </is>
      </c>
      <c r="D535" s="82" t="n">
        <v>46349</v>
      </c>
      <c r="E535" s="83">
        <f>IF(ISNUMBER($D535),EOMONTH($D535,-1)+1,"")</f>
        <v/>
      </c>
      <c r="F535" s="26" t="inlineStr">
        <is>
          <t>No data</t>
        </is>
      </c>
      <c r="G535" s="26" t="n">
        <v>5534</v>
      </c>
      <c r="H535" s="26">
        <f>B535&amp;I535</f>
        <v/>
      </c>
      <c r="I535" s="26" t="inlineStr">
        <is>
          <t>JUMBO ROOIBOS ORIGINAL 12/20 DC SF ENV TBGS</t>
        </is>
      </c>
      <c r="J535" s="26" t="inlineStr">
        <is>
          <t>MD20 ENV</t>
        </is>
      </c>
      <c r="K535" s="26">
        <f>J535&amp;"-"&amp;TEXT(W535,"dd-mmm-yy")</f>
        <v/>
      </c>
      <c r="L535" s="26">
        <f>IFERROR(VLOOKUP($M535,'ITEM MASTER'!E:H,4,0),"")</f>
        <v/>
      </c>
      <c r="M535" s="26">
        <f>IFERROR(VLOOKUP($I535,'ITEM MASTER'!B:E,4,0),"")</f>
        <v/>
      </c>
      <c r="N535" s="26">
        <f>IFERROR(VLOOKUP($I535,'ITEM MASTER'!B:F,5,0),0)</f>
        <v/>
      </c>
      <c r="O535" s="26">
        <f>IFERROR(VLOOKUP($M535,'TBGS PER CTN'!B:C,2,0),0)</f>
        <v/>
      </c>
      <c r="P535" s="26" t="n">
        <v>360</v>
      </c>
      <c r="Q535" s="26" t="n">
        <v>0</v>
      </c>
      <c r="R535" s="26" t="n">
        <v>0</v>
      </c>
      <c r="S535" s="26">
        <f>Q535+R535</f>
        <v/>
      </c>
      <c r="T535" s="29" t="n">
        <v>360</v>
      </c>
      <c r="U535" s="29">
        <f>N535*O535*T535</f>
        <v/>
      </c>
      <c r="V535" s="82">
        <f>IF(ISNUMBER($D535),$D535-WEEKDAY($D535,3),'ORDER VS WEEK DISTRIBUTION'!$G$500)</f>
        <v/>
      </c>
      <c r="W535" s="82">
        <f>MAX($V535,'ORDER VS WEEK DISTRIBUTION'!$G$500)</f>
        <v/>
      </c>
      <c r="X535" s="26">
        <f>IFERROR(VLOOKUP($J535,'ORDER VS WEEK DISTRIBUTION'!$T:$U,2,0),"")</f>
        <v/>
      </c>
      <c r="Y535" s="26">
        <f>IFERROR($T535/IF(IFERROR(VLOOKUP($I535,'ITEM CFC PER CONTAINER'!$A:$B,2,0),0)&gt;0,VLOOKUP($I535,'ITEM CFC PER CONTAINER'!$A:$B,2,0),VLOOKUP($X535,'MC MASTER'!$A:$Q,16,0)),"")</f>
        <v/>
      </c>
    </row>
    <row r="536" ht="15" customHeight="1" s="5">
      <c r="A536" s="26" t="inlineStr">
        <is>
          <t>Saran Enterprises Ltd.</t>
        </is>
      </c>
      <c r="B536" s="26" t="inlineStr">
        <is>
          <t>MJIL/SO/26054924</t>
        </is>
      </c>
      <c r="C536" s="26" t="inlineStr">
        <is>
          <t>PO 24092026/01 - JUMBO</t>
        </is>
      </c>
      <c r="D536" s="82" t="n">
        <v>46349</v>
      </c>
      <c r="E536" s="83">
        <f>IF(ISNUMBER($D536),EOMONTH($D536,-1)+1,"")</f>
        <v/>
      </c>
      <c r="F536" s="26" t="inlineStr">
        <is>
          <t>No data</t>
        </is>
      </c>
      <c r="G536" s="26" t="n">
        <v>5535</v>
      </c>
      <c r="H536" s="26">
        <f>B536&amp;I536</f>
        <v/>
      </c>
      <c r="I536" s="26" t="inlineStr">
        <is>
          <t>JUMBO STRAWBERRY 12/20 DC SF ENV TBGS</t>
        </is>
      </c>
      <c r="J536" s="26" t="inlineStr">
        <is>
          <t>C250</t>
        </is>
      </c>
      <c r="K536" s="26">
        <f>J536&amp;"-"&amp;TEXT(W536,"dd-mmm-yy")</f>
        <v/>
      </c>
      <c r="L536" s="26">
        <f>IFERROR(VLOOKUP($M536,'ITEM MASTER'!E:H,4,0),"")</f>
        <v/>
      </c>
      <c r="M536" s="26">
        <f>IFERROR(VLOOKUP($I536,'ITEM MASTER'!B:E,4,0),"")</f>
        <v/>
      </c>
      <c r="N536" s="26">
        <f>IFERROR(VLOOKUP($I536,'ITEM MASTER'!B:F,5,0),0)</f>
        <v/>
      </c>
      <c r="O536" s="26">
        <f>IFERROR(VLOOKUP($M536,'TBGS PER CTN'!B:C,2,0),0)</f>
        <v/>
      </c>
      <c r="P536" s="26" t="n">
        <v>600</v>
      </c>
      <c r="Q536" s="26" t="n">
        <v>0</v>
      </c>
      <c r="R536" s="26" t="n">
        <v>0</v>
      </c>
      <c r="S536" s="26">
        <f>Q536+R536</f>
        <v/>
      </c>
      <c r="T536" s="29" t="n">
        <v>600</v>
      </c>
      <c r="U536" s="29">
        <f>N536*O536*T536</f>
        <v/>
      </c>
      <c r="V536" s="82">
        <f>IF(ISNUMBER($D536),$D536-WEEKDAY($D536,3),'ORDER VS WEEK DISTRIBUTION'!$G$500)</f>
        <v/>
      </c>
      <c r="W536" s="82">
        <f>MAX($V536,'ORDER VS WEEK DISTRIBUTION'!$G$500)</f>
        <v/>
      </c>
      <c r="X536" s="26">
        <f>IFERROR(VLOOKUP($J536,'ORDER VS WEEK DISTRIBUTION'!$T:$U,2,0),"")</f>
        <v/>
      </c>
      <c r="Y536" s="26">
        <f>IFERROR($T536/IF(IFERROR(VLOOKUP($I536,'ITEM CFC PER CONTAINER'!$A:$B,2,0),0)&gt;0,VLOOKUP($I536,'ITEM CFC PER CONTAINER'!$A:$B,2,0),VLOOKUP($X536,'MC MASTER'!$A:$Q,16,0)),"")</f>
        <v/>
      </c>
    </row>
    <row r="537" ht="15" customHeight="1" s="5">
      <c r="A537" s="26" t="inlineStr">
        <is>
          <t>Saran Enterprises Ltd.</t>
        </is>
      </c>
      <c r="B537" s="26" t="inlineStr">
        <is>
          <t>MJIL/SO/26054924</t>
        </is>
      </c>
      <c r="C537" s="26" t="inlineStr">
        <is>
          <t>PO 24092026/01 - JUMBO</t>
        </is>
      </c>
      <c r="D537" s="82" t="n">
        <v>46349</v>
      </c>
      <c r="E537" s="83">
        <f>IF(ISNUMBER($D537),EOMONTH($D537,-1)+1,"")</f>
        <v/>
      </c>
      <c r="F537" s="26" t="inlineStr">
        <is>
          <t>No data</t>
        </is>
      </c>
      <c r="G537" s="26" t="n">
        <v>5519</v>
      </c>
      <c r="H537" s="26">
        <f>B537&amp;I537</f>
        <v/>
      </c>
      <c r="I537" s="26" t="inlineStr">
        <is>
          <t>JUMBO FOREST FRUITS 12/20 DC SF ENV TBGS</t>
        </is>
      </c>
      <c r="J537" s="26" t="inlineStr">
        <is>
          <t>C250</t>
        </is>
      </c>
      <c r="K537" s="26">
        <f>J537&amp;"-"&amp;TEXT(W537,"dd-mmm-yy")</f>
        <v/>
      </c>
      <c r="L537" s="26">
        <f>IFERROR(VLOOKUP($M537,'ITEM MASTER'!E:H,4,0),"")</f>
        <v/>
      </c>
      <c r="M537" s="26">
        <f>IFERROR(VLOOKUP($I537,'ITEM MASTER'!B:E,4,0),"")</f>
        <v/>
      </c>
      <c r="N537" s="26">
        <f>IFERROR(VLOOKUP($I537,'ITEM MASTER'!B:F,5,0),0)</f>
        <v/>
      </c>
      <c r="O537" s="26">
        <f>IFERROR(VLOOKUP($M537,'TBGS PER CTN'!B:C,2,0),0)</f>
        <v/>
      </c>
      <c r="P537" s="26" t="n">
        <v>600</v>
      </c>
      <c r="Q537" s="26" t="n">
        <v>0</v>
      </c>
      <c r="R537" s="26" t="n">
        <v>21</v>
      </c>
      <c r="S537" s="26">
        <f>Q537+R537</f>
        <v/>
      </c>
      <c r="T537" s="29" t="n">
        <v>579</v>
      </c>
      <c r="U537" s="29">
        <f>N537*O537*T537</f>
        <v/>
      </c>
      <c r="V537" s="82">
        <f>IF(ISNUMBER($D537),$D537-WEEKDAY($D537,3),'ORDER VS WEEK DISTRIBUTION'!$G$500)</f>
        <v/>
      </c>
      <c r="W537" s="82">
        <f>MAX($V537,'ORDER VS WEEK DISTRIBUTION'!$G$500)</f>
        <v/>
      </c>
      <c r="X537" s="26">
        <f>IFERROR(VLOOKUP($J537,'ORDER VS WEEK DISTRIBUTION'!$T:$U,2,0),"")</f>
        <v/>
      </c>
      <c r="Y537" s="26">
        <f>IFERROR($T537/IF(IFERROR(VLOOKUP($I537,'ITEM CFC PER CONTAINER'!$A:$B,2,0),0)&gt;0,VLOOKUP($I537,'ITEM CFC PER CONTAINER'!$A:$B,2,0),VLOOKUP($X537,'MC MASTER'!$A:$Q,16,0)),"")</f>
        <v/>
      </c>
    </row>
    <row r="538" ht="15" customHeight="1" s="5">
      <c r="A538" s="26" t="inlineStr">
        <is>
          <t>Saran Enterprises Ltd.</t>
        </is>
      </c>
      <c r="B538" s="26" t="inlineStr">
        <is>
          <t>MJIL/SO/26054924</t>
        </is>
      </c>
      <c r="C538" s="26" t="inlineStr">
        <is>
          <t>PO 24092026/01 - JUMBO</t>
        </is>
      </c>
      <c r="D538" s="82" t="n">
        <v>46349</v>
      </c>
      <c r="E538" s="83">
        <f>IF(ISNUMBER($D538),EOMONTH($D538,-1)+1,"")</f>
        <v/>
      </c>
      <c r="F538" s="26" t="inlineStr">
        <is>
          <t>No data</t>
        </is>
      </c>
      <c r="G538" s="26" t="n">
        <v>5513</v>
      </c>
      <c r="H538" s="26">
        <f>B538&amp;I538</f>
        <v/>
      </c>
      <c r="I538" s="26" t="inlineStr">
        <is>
          <t>JUMBO ENGELESE MELANGE 12/20 DC SF ENV TBGS</t>
        </is>
      </c>
      <c r="J538" s="26" t="inlineStr">
        <is>
          <t>C250</t>
        </is>
      </c>
      <c r="K538" s="26">
        <f>J538&amp;"-"&amp;TEXT(W538,"dd-mmm-yy")</f>
        <v/>
      </c>
      <c r="L538" s="26">
        <f>IFERROR(VLOOKUP($M538,'ITEM MASTER'!E:H,4,0),"")</f>
        <v/>
      </c>
      <c r="M538" s="26">
        <f>IFERROR(VLOOKUP($I538,'ITEM MASTER'!B:E,4,0),"")</f>
        <v/>
      </c>
      <c r="N538" s="26">
        <f>IFERROR(VLOOKUP($I538,'ITEM MASTER'!B:F,5,0),0)</f>
        <v/>
      </c>
      <c r="O538" s="26">
        <f>IFERROR(VLOOKUP($M538,'TBGS PER CTN'!B:C,2,0),0)</f>
        <v/>
      </c>
      <c r="P538" s="26" t="n">
        <v>480</v>
      </c>
      <c r="Q538" s="26" t="n">
        <v>0</v>
      </c>
      <c r="R538" s="26" t="n">
        <v>0</v>
      </c>
      <c r="S538" s="26">
        <f>Q538+R538</f>
        <v/>
      </c>
      <c r="T538" s="29" t="n">
        <v>480</v>
      </c>
      <c r="U538" s="29">
        <f>N538*O538*T538</f>
        <v/>
      </c>
      <c r="V538" s="82">
        <f>IF(ISNUMBER($D538),$D538-WEEKDAY($D538,3),'ORDER VS WEEK DISTRIBUTION'!$G$500)</f>
        <v/>
      </c>
      <c r="W538" s="82">
        <f>MAX($V538,'ORDER VS WEEK DISTRIBUTION'!$G$500)</f>
        <v/>
      </c>
      <c r="X538" s="26">
        <f>IFERROR(VLOOKUP($J538,'ORDER VS WEEK DISTRIBUTION'!$T:$U,2,0),"")</f>
        <v/>
      </c>
      <c r="Y538" s="26">
        <f>IFERROR($T538/IF(IFERROR(VLOOKUP($I538,'ITEM CFC PER CONTAINER'!$A:$B,2,0),0)&gt;0,VLOOKUP($I538,'ITEM CFC PER CONTAINER'!$A:$B,2,0),VLOOKUP($X538,'MC MASTER'!$A:$Q,16,0)),"")</f>
        <v/>
      </c>
    </row>
    <row r="539" ht="15" customHeight="1" s="5">
      <c r="A539" s="26" t="inlineStr">
        <is>
          <t>Saran Enterprises Ltd.</t>
        </is>
      </c>
      <c r="B539" s="26" t="inlineStr">
        <is>
          <t>MJIL/SO/26054924</t>
        </is>
      </c>
      <c r="C539" s="26" t="inlineStr">
        <is>
          <t>PO 24092026/01 - JUMBO</t>
        </is>
      </c>
      <c r="D539" s="82" t="n">
        <v>46349</v>
      </c>
      <c r="E539" s="83">
        <f>IF(ISNUMBER($D539),EOMONTH($D539,-1)+1,"")</f>
        <v/>
      </c>
      <c r="F539" s="26" t="inlineStr">
        <is>
          <t>No data</t>
        </is>
      </c>
      <c r="G539" s="26" t="n">
        <v>5516</v>
      </c>
      <c r="H539" s="26">
        <f>B539&amp;I539</f>
        <v/>
      </c>
      <c r="I539" s="26" t="inlineStr">
        <is>
          <t>JUMBO ENGELESE MELANGE 12/40 DC SF TAG TBGS</t>
        </is>
      </c>
      <c r="J539" s="26" t="inlineStr">
        <is>
          <t>C250F3 HS</t>
        </is>
      </c>
      <c r="K539" s="26">
        <f>J539&amp;"-"&amp;TEXT(W539,"dd-mmm-yy")</f>
        <v/>
      </c>
      <c r="L539" s="26">
        <f>IFERROR(VLOOKUP($M539,'ITEM MASTER'!E:H,4,0),"")</f>
        <v/>
      </c>
      <c r="M539" s="26">
        <f>IFERROR(VLOOKUP($I539,'ITEM MASTER'!B:E,4,0),"")</f>
        <v/>
      </c>
      <c r="N539" s="26">
        <f>IFERROR(VLOOKUP($I539,'ITEM MASTER'!B:F,5,0),0)</f>
        <v/>
      </c>
      <c r="O539" s="26">
        <f>IFERROR(VLOOKUP($M539,'TBGS PER CTN'!B:C,2,0),0)</f>
        <v/>
      </c>
      <c r="P539" s="26" t="n">
        <v>720</v>
      </c>
      <c r="Q539" s="26" t="n">
        <v>0</v>
      </c>
      <c r="R539" s="26" t="n">
        <v>0</v>
      </c>
      <c r="S539" s="26">
        <f>Q539+R539</f>
        <v/>
      </c>
      <c r="T539" s="29" t="n">
        <v>720</v>
      </c>
      <c r="U539" s="29">
        <f>N539*O539*T539</f>
        <v/>
      </c>
      <c r="V539" s="82">
        <f>IF(ISNUMBER($D539),$D539-WEEKDAY($D539,3),'ORDER VS WEEK DISTRIBUTION'!$G$500)</f>
        <v/>
      </c>
      <c r="W539" s="82">
        <f>MAX($V539,'ORDER VS WEEK DISTRIBUTION'!$G$500)</f>
        <v/>
      </c>
      <c r="X539" s="26">
        <f>IFERROR(VLOOKUP($J539,'ORDER VS WEEK DISTRIBUTION'!$T:$U,2,0),"")</f>
        <v/>
      </c>
      <c r="Y539" s="26">
        <f>IFERROR($T539/IF(IFERROR(VLOOKUP($I539,'ITEM CFC PER CONTAINER'!$A:$B,2,0),0)&gt;0,VLOOKUP($I539,'ITEM CFC PER CONTAINER'!$A:$B,2,0),VLOOKUP($X539,'MC MASTER'!$A:$Q,16,0)),"")</f>
        <v/>
      </c>
    </row>
    <row r="540" ht="15" customHeight="1" s="5">
      <c r="A540" s="26" t="inlineStr">
        <is>
          <t>Saran Enterprises Ltd.</t>
        </is>
      </c>
      <c r="B540" s="26" t="inlineStr">
        <is>
          <t>MJIL/SO/26054924</t>
        </is>
      </c>
      <c r="C540" s="26" t="inlineStr">
        <is>
          <t>PO 24092026/01 - JUMBO</t>
        </is>
      </c>
      <c r="D540" s="82" t="n">
        <v>46349</v>
      </c>
      <c r="E540" s="83">
        <f>IF(ISNUMBER($D540),EOMONTH($D540,-1)+1,"")</f>
        <v/>
      </c>
      <c r="F540" s="26" t="inlineStr">
        <is>
          <t>No data</t>
        </is>
      </c>
      <c r="G540" s="26" t="n">
        <v>5529</v>
      </c>
      <c r="H540" s="26">
        <f>B540&amp;I540</f>
        <v/>
      </c>
      <c r="I540" s="26" t="inlineStr">
        <is>
          <t>JUMBO ORANGE 12/20 DC SF ENV TBGS</t>
        </is>
      </c>
      <c r="J540" s="26" t="inlineStr">
        <is>
          <t>C250</t>
        </is>
      </c>
      <c r="K540" s="26">
        <f>J540&amp;"-"&amp;TEXT(W540,"dd-mmm-yy")</f>
        <v/>
      </c>
      <c r="L540" s="26">
        <f>IFERROR(VLOOKUP($M540,'ITEM MASTER'!E:H,4,0),"")</f>
        <v/>
      </c>
      <c r="M540" s="26">
        <f>IFERROR(VLOOKUP($I540,'ITEM MASTER'!B:E,4,0),"")</f>
        <v/>
      </c>
      <c r="N540" s="26">
        <f>IFERROR(VLOOKUP($I540,'ITEM MASTER'!B:F,5,0),0)</f>
        <v/>
      </c>
      <c r="O540" s="26">
        <f>IFERROR(VLOOKUP($M540,'TBGS PER CTN'!B:C,2,0),0)</f>
        <v/>
      </c>
      <c r="P540" s="26" t="n">
        <v>360</v>
      </c>
      <c r="Q540" s="26" t="n">
        <v>0</v>
      </c>
      <c r="R540" s="26" t="n">
        <v>0</v>
      </c>
      <c r="S540" s="26">
        <f>Q540+R540</f>
        <v/>
      </c>
      <c r="T540" s="29" t="n">
        <v>360</v>
      </c>
      <c r="U540" s="29">
        <f>N540*O540*T540</f>
        <v/>
      </c>
      <c r="V540" s="82">
        <f>IF(ISNUMBER($D540),$D540-WEEKDAY($D540,3),'ORDER VS WEEK DISTRIBUTION'!$G$500)</f>
        <v/>
      </c>
      <c r="W540" s="82">
        <f>MAX($V540,'ORDER VS WEEK DISTRIBUTION'!$G$500)</f>
        <v/>
      </c>
      <c r="X540" s="26">
        <f>IFERROR(VLOOKUP($J540,'ORDER VS WEEK DISTRIBUTION'!$T:$U,2,0),"")</f>
        <v/>
      </c>
      <c r="Y540" s="26">
        <f>IFERROR($T540/IF(IFERROR(VLOOKUP($I540,'ITEM CFC PER CONTAINER'!$A:$B,2,0),0)&gt;0,VLOOKUP($I540,'ITEM CFC PER CONTAINER'!$A:$B,2,0),VLOOKUP($X540,'MC MASTER'!$A:$Q,16,0)),"")</f>
        <v/>
      </c>
    </row>
    <row r="541" ht="15" customHeight="1" s="5">
      <c r="A541" s="26" t="inlineStr">
        <is>
          <t>Saran Enterprises Ltd.</t>
        </is>
      </c>
      <c r="B541" s="26" t="inlineStr">
        <is>
          <t>MJIL/SO/26054924</t>
        </is>
      </c>
      <c r="C541" s="26" t="inlineStr">
        <is>
          <t>PO 24092026/01 - JUMBO</t>
        </is>
      </c>
      <c r="D541" s="82" t="n">
        <v>46349</v>
      </c>
      <c r="E541" s="83">
        <f>IF(ISNUMBER($D541),EOMONTH($D541,-1)+1,"")</f>
        <v/>
      </c>
      <c r="F541" s="26" t="inlineStr">
        <is>
          <t>No data</t>
        </is>
      </c>
      <c r="G541" s="26" t="n">
        <v>5530</v>
      </c>
      <c r="H541" s="26">
        <f>B541&amp;I541</f>
        <v/>
      </c>
      <c r="I541" s="26" t="inlineStr">
        <is>
          <t>JUMBO ORANGE VARIATION 12/20 DC SF ENV TBGS</t>
        </is>
      </c>
      <c r="J541" s="26" t="inlineStr">
        <is>
          <t>C250</t>
        </is>
      </c>
      <c r="K541" s="26">
        <f>J541&amp;"-"&amp;TEXT(W541,"dd-mmm-yy")</f>
        <v/>
      </c>
      <c r="L541" s="26">
        <f>IFERROR(VLOOKUP($M541,'ITEM MASTER'!E:H,4,0),"")</f>
        <v/>
      </c>
      <c r="M541" s="26">
        <f>IFERROR(VLOOKUP($I541,'ITEM MASTER'!B:E,4,0),"")</f>
        <v/>
      </c>
      <c r="N541" s="26">
        <f>IFERROR(VLOOKUP($I541,'ITEM MASTER'!B:F,5,0),0)</f>
        <v/>
      </c>
      <c r="O541" s="26">
        <f>IFERROR(VLOOKUP($M541,'TBGS PER CTN'!B:C,2,0),0)</f>
        <v/>
      </c>
      <c r="P541" s="26" t="n">
        <v>600</v>
      </c>
      <c r="Q541" s="26" t="n">
        <v>0</v>
      </c>
      <c r="R541" s="26" t="n">
        <v>0</v>
      </c>
      <c r="S541" s="26">
        <f>Q541+R541</f>
        <v/>
      </c>
      <c r="T541" s="29" t="n">
        <v>600</v>
      </c>
      <c r="U541" s="29">
        <f>N541*O541*T541</f>
        <v/>
      </c>
      <c r="V541" s="82">
        <f>IF(ISNUMBER($D541),$D541-WEEKDAY($D541,3),'ORDER VS WEEK DISTRIBUTION'!$G$500)</f>
        <v/>
      </c>
      <c r="W541" s="82">
        <f>MAX($V541,'ORDER VS WEEK DISTRIBUTION'!$G$500)</f>
        <v/>
      </c>
      <c r="X541" s="26">
        <f>IFERROR(VLOOKUP($J541,'ORDER VS WEEK DISTRIBUTION'!$T:$U,2,0),"")</f>
        <v/>
      </c>
      <c r="Y541" s="26">
        <f>IFERROR($T541/IF(IFERROR(VLOOKUP($I541,'ITEM CFC PER CONTAINER'!$A:$B,2,0),0)&gt;0,VLOOKUP($I541,'ITEM CFC PER CONTAINER'!$A:$B,2,0),VLOOKUP($X541,'MC MASTER'!$A:$Q,16,0)),"")</f>
        <v/>
      </c>
    </row>
    <row r="542" ht="15" customHeight="1" s="5">
      <c r="A542" s="26" t="inlineStr">
        <is>
          <t>Saran Enterprises Ltd.</t>
        </is>
      </c>
      <c r="B542" s="26" t="inlineStr">
        <is>
          <t>MJIL/SO/26054924</t>
        </is>
      </c>
      <c r="C542" s="26" t="inlineStr">
        <is>
          <t>PO 24092026/01 - JUMBO</t>
        </is>
      </c>
      <c r="D542" s="82" t="n">
        <v>46349</v>
      </c>
      <c r="E542" s="83">
        <f>IF(ISNUMBER($D542),EOMONTH($D542,-1)+1,"")</f>
        <v/>
      </c>
      <c r="F542" s="26" t="inlineStr">
        <is>
          <t>No data</t>
        </is>
      </c>
      <c r="G542" s="26" t="n">
        <v>5531</v>
      </c>
      <c r="H542" s="26">
        <f>B542&amp;I542</f>
        <v/>
      </c>
      <c r="I542" s="26" t="inlineStr">
        <is>
          <t>JUMBO RED VARIATION 12/20 DC SF ENV TBGS</t>
        </is>
      </c>
      <c r="J542" s="26" t="inlineStr">
        <is>
          <t>MD20 ENV</t>
        </is>
      </c>
      <c r="K542" s="26">
        <f>J542&amp;"-"&amp;TEXT(W542,"dd-mmm-yy")</f>
        <v/>
      </c>
      <c r="L542" s="26">
        <f>IFERROR(VLOOKUP($M542,'ITEM MASTER'!E:H,4,0),"")</f>
        <v/>
      </c>
      <c r="M542" s="26">
        <f>IFERROR(VLOOKUP($I542,'ITEM MASTER'!B:E,4,0),"")</f>
        <v/>
      </c>
      <c r="N542" s="26">
        <f>IFERROR(VLOOKUP($I542,'ITEM MASTER'!B:F,5,0),0)</f>
        <v/>
      </c>
      <c r="O542" s="26">
        <f>IFERROR(VLOOKUP($M542,'TBGS PER CTN'!B:C,2,0),0)</f>
        <v/>
      </c>
      <c r="P542" s="26" t="n">
        <v>600</v>
      </c>
      <c r="Q542" s="26" t="n">
        <v>0</v>
      </c>
      <c r="R542" s="26" t="n">
        <v>0</v>
      </c>
      <c r="S542" s="26">
        <f>Q542+R542</f>
        <v/>
      </c>
      <c r="T542" s="29" t="n">
        <v>600</v>
      </c>
      <c r="U542" s="29">
        <f>N542*O542*T542</f>
        <v/>
      </c>
      <c r="V542" s="82">
        <f>IF(ISNUMBER($D542),$D542-WEEKDAY($D542,3),'ORDER VS WEEK DISTRIBUTION'!$G$500)</f>
        <v/>
      </c>
      <c r="W542" s="82">
        <f>MAX($V542,'ORDER VS WEEK DISTRIBUTION'!$G$500)</f>
        <v/>
      </c>
      <c r="X542" s="26">
        <f>IFERROR(VLOOKUP($J542,'ORDER VS WEEK DISTRIBUTION'!$T:$U,2,0),"")</f>
        <v/>
      </c>
      <c r="Y542" s="26">
        <f>IFERROR($T542/IF(IFERROR(VLOOKUP($I542,'ITEM CFC PER CONTAINER'!$A:$B,2,0),0)&gt;0,VLOOKUP($I542,'ITEM CFC PER CONTAINER'!$A:$B,2,0),VLOOKUP($X542,'MC MASTER'!$A:$Q,16,0)),"")</f>
        <v/>
      </c>
    </row>
    <row r="543" ht="15" customHeight="1" s="5">
      <c r="A543" s="26" t="inlineStr">
        <is>
          <t>Saran Enterprises Ltd.</t>
        </is>
      </c>
      <c r="B543" s="26" t="inlineStr">
        <is>
          <t>MJIL/SO/26054932</t>
        </is>
      </c>
      <c r="C543" s="26" t="inlineStr">
        <is>
          <t>PO 24092026/02 - JUMBO</t>
        </is>
      </c>
      <c r="D543" s="82" t="n">
        <v>46349</v>
      </c>
      <c r="E543" s="83">
        <f>IF(ISNUMBER($D543),EOMONTH($D543,-1)+1,"")</f>
        <v/>
      </c>
      <c r="F543" s="26" t="inlineStr">
        <is>
          <t>No data</t>
        </is>
      </c>
      <c r="G543" s="26" t="n">
        <v>5520</v>
      </c>
      <c r="H543" s="26">
        <f>B543&amp;I543</f>
        <v/>
      </c>
      <c r="I543" s="26" t="inlineStr">
        <is>
          <t>JUMBO GREEN LEMON 12/20 DC SF ENV TBGS</t>
        </is>
      </c>
      <c r="J543" s="26" t="inlineStr">
        <is>
          <t>C250</t>
        </is>
      </c>
      <c r="K543" s="26">
        <f>J543&amp;"-"&amp;TEXT(W543,"dd-mmm-yy")</f>
        <v/>
      </c>
      <c r="L543" s="26">
        <f>IFERROR(VLOOKUP($M543,'ITEM MASTER'!E:H,4,0),"")</f>
        <v/>
      </c>
      <c r="M543" s="26">
        <f>IFERROR(VLOOKUP($I543,'ITEM MASTER'!B:E,4,0),"")</f>
        <v/>
      </c>
      <c r="N543" s="26">
        <f>IFERROR(VLOOKUP($I543,'ITEM MASTER'!B:F,5,0),0)</f>
        <v/>
      </c>
      <c r="O543" s="26">
        <f>IFERROR(VLOOKUP($M543,'TBGS PER CTN'!B:C,2,0),0)</f>
        <v/>
      </c>
      <c r="P543" s="26" t="n">
        <v>240</v>
      </c>
      <c r="Q543" s="26" t="n">
        <v>0</v>
      </c>
      <c r="R543" s="26" t="n">
        <v>0</v>
      </c>
      <c r="S543" s="26">
        <f>Q543+R543</f>
        <v/>
      </c>
      <c r="T543" s="29" t="n">
        <v>240</v>
      </c>
      <c r="U543" s="29">
        <f>N543*O543*T543</f>
        <v/>
      </c>
      <c r="V543" s="82">
        <f>IF(ISNUMBER($D543),$D543-WEEKDAY($D543,3),'ORDER VS WEEK DISTRIBUTION'!$G$500)</f>
        <v/>
      </c>
      <c r="W543" s="82">
        <f>MAX($V543,'ORDER VS WEEK DISTRIBUTION'!$G$500)</f>
        <v/>
      </c>
      <c r="X543" s="26">
        <f>IFERROR(VLOOKUP($J543,'ORDER VS WEEK DISTRIBUTION'!$T:$U,2,0),"")</f>
        <v/>
      </c>
      <c r="Y543" s="26">
        <f>IFERROR($T543/IF(IFERROR(VLOOKUP($I543,'ITEM CFC PER CONTAINER'!$A:$B,2,0),0)&gt;0,VLOOKUP($I543,'ITEM CFC PER CONTAINER'!$A:$B,2,0),VLOOKUP($X543,'MC MASTER'!$A:$Q,16,0)),"")</f>
        <v/>
      </c>
    </row>
    <row r="544" ht="15" customHeight="1" s="5">
      <c r="A544" s="26" t="inlineStr">
        <is>
          <t>Saran Enterprises Ltd.</t>
        </is>
      </c>
      <c r="B544" s="26" t="inlineStr">
        <is>
          <t>MJIL/SO/26054932</t>
        </is>
      </c>
      <c r="C544" s="26" t="inlineStr">
        <is>
          <t>PO 24092026/02 - JUMBO</t>
        </is>
      </c>
      <c r="D544" s="82" t="n">
        <v>46349</v>
      </c>
      <c r="E544" s="83">
        <f>IF(ISNUMBER($D544),EOMONTH($D544,-1)+1,"")</f>
        <v/>
      </c>
      <c r="F544" s="26" t="inlineStr">
        <is>
          <t>No data</t>
        </is>
      </c>
      <c r="G544" s="26" t="n">
        <v>5523</v>
      </c>
      <c r="H544" s="26">
        <f>B544&amp;I544</f>
        <v/>
      </c>
      <c r="I544" s="26" t="inlineStr">
        <is>
          <t>JUMBO GREEN TEA CRANBERRY 12/20 DC SF ENV TBGS</t>
        </is>
      </c>
      <c r="J544" s="26" t="inlineStr">
        <is>
          <t>C250</t>
        </is>
      </c>
      <c r="K544" s="26">
        <f>J544&amp;"-"&amp;TEXT(W544,"dd-mmm-yy")</f>
        <v/>
      </c>
      <c r="L544" s="26">
        <f>IFERROR(VLOOKUP($M544,'ITEM MASTER'!E:H,4,0),"")</f>
        <v/>
      </c>
      <c r="M544" s="26">
        <f>IFERROR(VLOOKUP($I544,'ITEM MASTER'!B:E,4,0),"")</f>
        <v/>
      </c>
      <c r="N544" s="26">
        <f>IFERROR(VLOOKUP($I544,'ITEM MASTER'!B:F,5,0),0)</f>
        <v/>
      </c>
      <c r="O544" s="26">
        <f>IFERROR(VLOOKUP($M544,'TBGS PER CTN'!B:C,2,0),0)</f>
        <v/>
      </c>
      <c r="P544" s="26" t="n">
        <v>240</v>
      </c>
      <c r="Q544" s="26" t="n">
        <v>0</v>
      </c>
      <c r="R544" s="26" t="n">
        <v>0</v>
      </c>
      <c r="S544" s="26">
        <f>Q544+R544</f>
        <v/>
      </c>
      <c r="T544" s="29" t="n">
        <v>240</v>
      </c>
      <c r="U544" s="29">
        <f>N544*O544*T544</f>
        <v/>
      </c>
      <c r="V544" s="82">
        <f>IF(ISNUMBER($D544),$D544-WEEKDAY($D544,3),'ORDER VS WEEK DISTRIBUTION'!$G$500)</f>
        <v/>
      </c>
      <c r="W544" s="82">
        <f>MAX($V544,'ORDER VS WEEK DISTRIBUTION'!$G$500)</f>
        <v/>
      </c>
      <c r="X544" s="26">
        <f>IFERROR(VLOOKUP($J544,'ORDER VS WEEK DISTRIBUTION'!$T:$U,2,0),"")</f>
        <v/>
      </c>
      <c r="Y544" s="26">
        <f>IFERROR($T544/IF(IFERROR(VLOOKUP($I544,'ITEM CFC PER CONTAINER'!$A:$B,2,0),0)&gt;0,VLOOKUP($I544,'ITEM CFC PER CONTAINER'!$A:$B,2,0),VLOOKUP($X544,'MC MASTER'!$A:$Q,16,0)),"")</f>
        <v/>
      </c>
    </row>
    <row r="545" ht="15" customHeight="1" s="5">
      <c r="A545" s="26" t="inlineStr">
        <is>
          <t>Saran Enterprises Ltd.</t>
        </is>
      </c>
      <c r="B545" s="26" t="inlineStr">
        <is>
          <t>MJIL/SO/26054932</t>
        </is>
      </c>
      <c r="C545" s="26" t="inlineStr">
        <is>
          <t>PO 24092026/02 - JUMBO</t>
        </is>
      </c>
      <c r="D545" s="82" t="n">
        <v>46349</v>
      </c>
      <c r="E545" s="83">
        <f>IF(ISNUMBER($D545),EOMONTH($D545,-1)+1,"")</f>
        <v/>
      </c>
      <c r="F545" s="26" t="inlineStr">
        <is>
          <t>No data</t>
        </is>
      </c>
      <c r="G545" s="26" t="n">
        <v>5526</v>
      </c>
      <c r="H545" s="26">
        <f>B545&amp;I545</f>
        <v/>
      </c>
      <c r="I545" s="26" t="inlineStr">
        <is>
          <t>JUMBO GREEN TEA PURE ORIGINAL 12/20 DC SF ENV TBGS</t>
        </is>
      </c>
      <c r="J545" s="26" t="inlineStr">
        <is>
          <t>C250</t>
        </is>
      </c>
      <c r="K545" s="26">
        <f>J545&amp;"-"&amp;TEXT(W545,"dd-mmm-yy")</f>
        <v/>
      </c>
      <c r="L545" s="26">
        <f>IFERROR(VLOOKUP($M545,'ITEM MASTER'!E:H,4,0),"")</f>
        <v/>
      </c>
      <c r="M545" s="26">
        <f>IFERROR(VLOOKUP($I545,'ITEM MASTER'!B:E,4,0),"")</f>
        <v/>
      </c>
      <c r="N545" s="26">
        <f>IFERROR(VLOOKUP($I545,'ITEM MASTER'!B:F,5,0),0)</f>
        <v/>
      </c>
      <c r="O545" s="26">
        <f>IFERROR(VLOOKUP($M545,'TBGS PER CTN'!B:C,2,0),0)</f>
        <v/>
      </c>
      <c r="P545" s="26" t="n">
        <v>1440</v>
      </c>
      <c r="Q545" s="26" t="n">
        <v>0</v>
      </c>
      <c r="R545" s="26" t="n">
        <v>0</v>
      </c>
      <c r="S545" s="26">
        <f>Q545+R545</f>
        <v/>
      </c>
      <c r="T545" s="29" t="n">
        <v>1440</v>
      </c>
      <c r="U545" s="29">
        <f>N545*O545*T545</f>
        <v/>
      </c>
      <c r="V545" s="82">
        <f>IF(ISNUMBER($D545),$D545-WEEKDAY($D545,3),'ORDER VS WEEK DISTRIBUTION'!$G$500)</f>
        <v/>
      </c>
      <c r="W545" s="82">
        <f>MAX($V545,'ORDER VS WEEK DISTRIBUTION'!$G$500)</f>
        <v/>
      </c>
      <c r="X545" s="26">
        <f>IFERROR(VLOOKUP($J545,'ORDER VS WEEK DISTRIBUTION'!$T:$U,2,0),"")</f>
        <v/>
      </c>
      <c r="Y545" s="26">
        <f>IFERROR($T545/IF(IFERROR(VLOOKUP($I545,'ITEM CFC PER CONTAINER'!$A:$B,2,0),0)&gt;0,VLOOKUP($I545,'ITEM CFC PER CONTAINER'!$A:$B,2,0),VLOOKUP($X545,'MC MASTER'!$A:$Q,16,0)),"")</f>
        <v/>
      </c>
    </row>
    <row r="546" ht="15" customHeight="1" s="5">
      <c r="A546" s="26" t="inlineStr">
        <is>
          <t>Saran Enterprises Ltd.</t>
        </is>
      </c>
      <c r="B546" s="26" t="inlineStr">
        <is>
          <t>MJIL/SO/26054932</t>
        </is>
      </c>
      <c r="C546" s="26" t="inlineStr">
        <is>
          <t>PO 24092026/02 - JUMBO</t>
        </is>
      </c>
      <c r="D546" s="82" t="n">
        <v>46349</v>
      </c>
      <c r="E546" s="83">
        <f>IF(ISNUMBER($D546),EOMONTH($D546,-1)+1,"")</f>
        <v/>
      </c>
      <c r="F546" s="26" t="inlineStr">
        <is>
          <t>No data</t>
        </is>
      </c>
      <c r="G546" s="26" t="n">
        <v>5532</v>
      </c>
      <c r="H546" s="26">
        <f>B546&amp;I546</f>
        <v/>
      </c>
      <c r="I546" s="26" t="inlineStr">
        <is>
          <t>JUMBO ROOIBOS HONEY 12/20 DC SF ENV TBGS</t>
        </is>
      </c>
      <c r="J546" s="26" t="inlineStr">
        <is>
          <t>MD20 ENV</t>
        </is>
      </c>
      <c r="K546" s="26">
        <f>J546&amp;"-"&amp;TEXT(W546,"dd-mmm-yy")</f>
        <v/>
      </c>
      <c r="L546" s="26">
        <f>IFERROR(VLOOKUP($M546,'ITEM MASTER'!E:H,4,0),"")</f>
        <v/>
      </c>
      <c r="M546" s="26">
        <f>IFERROR(VLOOKUP($I546,'ITEM MASTER'!B:E,4,0),"")</f>
        <v/>
      </c>
      <c r="N546" s="26">
        <f>IFERROR(VLOOKUP($I546,'ITEM MASTER'!B:F,5,0),0)</f>
        <v/>
      </c>
      <c r="O546" s="26">
        <f>IFERROR(VLOOKUP($M546,'TBGS PER CTN'!B:C,2,0),0)</f>
        <v/>
      </c>
      <c r="P546" s="26" t="n">
        <v>360</v>
      </c>
      <c r="Q546" s="26" t="n">
        <v>0</v>
      </c>
      <c r="R546" s="26" t="n">
        <v>0</v>
      </c>
      <c r="S546" s="26">
        <f>Q546+R546</f>
        <v/>
      </c>
      <c r="T546" s="29" t="n">
        <v>360</v>
      </c>
      <c r="U546" s="29">
        <f>N546*O546*T546</f>
        <v/>
      </c>
      <c r="V546" s="82">
        <f>IF(ISNUMBER($D546),$D546-WEEKDAY($D546,3),'ORDER VS WEEK DISTRIBUTION'!$G$500)</f>
        <v/>
      </c>
      <c r="W546" s="82">
        <f>MAX($V546,'ORDER VS WEEK DISTRIBUTION'!$G$500)</f>
        <v/>
      </c>
      <c r="X546" s="26">
        <f>IFERROR(VLOOKUP($J546,'ORDER VS WEEK DISTRIBUTION'!$T:$U,2,0),"")</f>
        <v/>
      </c>
      <c r="Y546" s="26">
        <f>IFERROR($T546/IF(IFERROR(VLOOKUP($I546,'ITEM CFC PER CONTAINER'!$A:$B,2,0),0)&gt;0,VLOOKUP($I546,'ITEM CFC PER CONTAINER'!$A:$B,2,0),VLOOKUP($X546,'MC MASTER'!$A:$Q,16,0)),"")</f>
        <v/>
      </c>
    </row>
    <row r="547" ht="15" customHeight="1" s="5">
      <c r="A547" s="26" t="inlineStr">
        <is>
          <t>Saran Enterprises Ltd.</t>
        </is>
      </c>
      <c r="B547" s="26" t="inlineStr">
        <is>
          <t>MJIL/SO/26054932</t>
        </is>
      </c>
      <c r="C547" s="26" t="inlineStr">
        <is>
          <t>PO 24092026/02 - JUMBO</t>
        </is>
      </c>
      <c r="D547" s="82" t="n">
        <v>46349</v>
      </c>
      <c r="E547" s="83">
        <f>IF(ISNUMBER($D547),EOMONTH($D547,-1)+1,"")</f>
        <v/>
      </c>
      <c r="F547" s="26" t="inlineStr">
        <is>
          <t>No data</t>
        </is>
      </c>
      <c r="G547" s="26" t="n">
        <v>5533</v>
      </c>
      <c r="H547" s="26">
        <f>B547&amp;I547</f>
        <v/>
      </c>
      <c r="I547" s="26" t="inlineStr">
        <is>
          <t>JUMBO ROOIBOS MANGO PEACH 12/20 DC SF ENV TBGS</t>
        </is>
      </c>
      <c r="J547" s="26" t="inlineStr">
        <is>
          <t>C250</t>
        </is>
      </c>
      <c r="K547" s="26">
        <f>J547&amp;"-"&amp;TEXT(W547,"dd-mmm-yy")</f>
        <v/>
      </c>
      <c r="L547" s="26">
        <f>IFERROR(VLOOKUP($M547,'ITEM MASTER'!E:H,4,0),"")</f>
        <v/>
      </c>
      <c r="M547" s="26">
        <f>IFERROR(VLOOKUP($I547,'ITEM MASTER'!B:E,4,0),"")</f>
        <v/>
      </c>
      <c r="N547" s="26">
        <f>IFERROR(VLOOKUP($I547,'ITEM MASTER'!B:F,5,0),0)</f>
        <v/>
      </c>
      <c r="O547" s="26">
        <f>IFERROR(VLOOKUP($M547,'TBGS PER CTN'!B:C,2,0),0)</f>
        <v/>
      </c>
      <c r="P547" s="26" t="n">
        <v>240</v>
      </c>
      <c r="Q547" s="26" t="n">
        <v>0</v>
      </c>
      <c r="R547" s="26" t="n">
        <v>0</v>
      </c>
      <c r="S547" s="26">
        <f>Q547+R547</f>
        <v/>
      </c>
      <c r="T547" s="29" t="n">
        <v>240</v>
      </c>
      <c r="U547" s="29">
        <f>N547*O547*T547</f>
        <v/>
      </c>
      <c r="V547" s="82">
        <f>IF(ISNUMBER($D547),$D547-WEEKDAY($D547,3),'ORDER VS WEEK DISTRIBUTION'!$G$500)</f>
        <v/>
      </c>
      <c r="W547" s="82">
        <f>MAX($V547,'ORDER VS WEEK DISTRIBUTION'!$G$500)</f>
        <v/>
      </c>
      <c r="X547" s="26">
        <f>IFERROR(VLOOKUP($J547,'ORDER VS WEEK DISTRIBUTION'!$T:$U,2,0),"")</f>
        <v/>
      </c>
      <c r="Y547" s="26">
        <f>IFERROR($T547/IF(IFERROR(VLOOKUP($I547,'ITEM CFC PER CONTAINER'!$A:$B,2,0),0)&gt;0,VLOOKUP($I547,'ITEM CFC PER CONTAINER'!$A:$B,2,0),VLOOKUP($X547,'MC MASTER'!$A:$Q,16,0)),"")</f>
        <v/>
      </c>
    </row>
    <row r="548" ht="15" customHeight="1" s="5">
      <c r="A548" s="26" t="inlineStr">
        <is>
          <t>Saran Enterprises Ltd.</t>
        </is>
      </c>
      <c r="B548" s="26" t="inlineStr">
        <is>
          <t>MJIL/SO/26054932</t>
        </is>
      </c>
      <c r="C548" s="26" t="inlineStr">
        <is>
          <t>PO 24092026/02 - JUMBO</t>
        </is>
      </c>
      <c r="D548" s="82" t="n">
        <v>46349</v>
      </c>
      <c r="E548" s="83">
        <f>IF(ISNUMBER($D548),EOMONTH($D548,-1)+1,"")</f>
        <v/>
      </c>
      <c r="F548" s="26" t="inlineStr">
        <is>
          <t>No data</t>
        </is>
      </c>
      <c r="G548" s="26" t="n">
        <v>5534</v>
      </c>
      <c r="H548" s="26">
        <f>B548&amp;I548</f>
        <v/>
      </c>
      <c r="I548" s="26" t="inlineStr">
        <is>
          <t>JUMBO ROOIBOS ORIGINAL 12/20 DC SF ENV TBGS</t>
        </is>
      </c>
      <c r="J548" s="26" t="inlineStr">
        <is>
          <t>MD20 ENV</t>
        </is>
      </c>
      <c r="K548" s="26">
        <f>J548&amp;"-"&amp;TEXT(W548,"dd-mmm-yy")</f>
        <v/>
      </c>
      <c r="L548" s="26">
        <f>IFERROR(VLOOKUP($M548,'ITEM MASTER'!E:H,4,0),"")</f>
        <v/>
      </c>
      <c r="M548" s="26">
        <f>IFERROR(VLOOKUP($I548,'ITEM MASTER'!B:E,4,0),"")</f>
        <v/>
      </c>
      <c r="N548" s="26">
        <f>IFERROR(VLOOKUP($I548,'ITEM MASTER'!B:F,5,0),0)</f>
        <v/>
      </c>
      <c r="O548" s="26">
        <f>IFERROR(VLOOKUP($M548,'TBGS PER CTN'!B:C,2,0),0)</f>
        <v/>
      </c>
      <c r="P548" s="26" t="n">
        <v>240</v>
      </c>
      <c r="Q548" s="26" t="n">
        <v>0</v>
      </c>
      <c r="R548" s="26" t="n">
        <v>0</v>
      </c>
      <c r="S548" s="26">
        <f>Q548+R548</f>
        <v/>
      </c>
      <c r="T548" s="29" t="n">
        <v>240</v>
      </c>
      <c r="U548" s="29">
        <f>N548*O548*T548</f>
        <v/>
      </c>
      <c r="V548" s="82">
        <f>IF(ISNUMBER($D548),$D548-WEEKDAY($D548,3),'ORDER VS WEEK DISTRIBUTION'!$G$500)</f>
        <v/>
      </c>
      <c r="W548" s="82">
        <f>MAX($V548,'ORDER VS WEEK DISTRIBUTION'!$G$500)</f>
        <v/>
      </c>
      <c r="X548" s="26">
        <f>IFERROR(VLOOKUP($J548,'ORDER VS WEEK DISTRIBUTION'!$T:$U,2,0),"")</f>
        <v/>
      </c>
      <c r="Y548" s="26">
        <f>IFERROR($T548/IF(IFERROR(VLOOKUP($I548,'ITEM CFC PER CONTAINER'!$A:$B,2,0),0)&gt;0,VLOOKUP($I548,'ITEM CFC PER CONTAINER'!$A:$B,2,0),VLOOKUP($X548,'MC MASTER'!$A:$Q,16,0)),"")</f>
        <v/>
      </c>
    </row>
    <row r="549" ht="15" customHeight="1" s="5">
      <c r="A549" s="26" t="inlineStr">
        <is>
          <t>Saran Enterprises Ltd.</t>
        </is>
      </c>
      <c r="B549" s="26" t="inlineStr">
        <is>
          <t>MJIL/SO/26054932</t>
        </is>
      </c>
      <c r="C549" s="26" t="inlineStr">
        <is>
          <t>PO 24092026/02 - JUMBO</t>
        </is>
      </c>
      <c r="D549" s="82" t="n">
        <v>46349</v>
      </c>
      <c r="E549" s="83">
        <f>IF(ISNUMBER($D549),EOMONTH($D549,-1)+1,"")</f>
        <v/>
      </c>
      <c r="F549" s="26" t="inlineStr">
        <is>
          <t>No data</t>
        </is>
      </c>
      <c r="G549" s="26" t="n">
        <v>5535</v>
      </c>
      <c r="H549" s="26">
        <f>B549&amp;I549</f>
        <v/>
      </c>
      <c r="I549" s="26" t="inlineStr">
        <is>
          <t>JUMBO STRAWBERRY 12/20 DC SF ENV TBGS</t>
        </is>
      </c>
      <c r="J549" s="26" t="inlineStr">
        <is>
          <t>C250</t>
        </is>
      </c>
      <c r="K549" s="26">
        <f>J549&amp;"-"&amp;TEXT(W549,"dd-mmm-yy")</f>
        <v/>
      </c>
      <c r="L549" s="26">
        <f>IFERROR(VLOOKUP($M549,'ITEM MASTER'!E:H,4,0),"")</f>
        <v/>
      </c>
      <c r="M549" s="26">
        <f>IFERROR(VLOOKUP($I549,'ITEM MASTER'!B:E,4,0),"")</f>
        <v/>
      </c>
      <c r="N549" s="26">
        <f>IFERROR(VLOOKUP($I549,'ITEM MASTER'!B:F,5,0),0)</f>
        <v/>
      </c>
      <c r="O549" s="26">
        <f>IFERROR(VLOOKUP($M549,'TBGS PER CTN'!B:C,2,0),0)</f>
        <v/>
      </c>
      <c r="P549" s="26" t="n">
        <v>480</v>
      </c>
      <c r="Q549" s="26" t="n">
        <v>0</v>
      </c>
      <c r="R549" s="26" t="n">
        <v>0</v>
      </c>
      <c r="S549" s="26">
        <f>Q549+R549</f>
        <v/>
      </c>
      <c r="T549" s="29" t="n">
        <v>480</v>
      </c>
      <c r="U549" s="29">
        <f>N549*O549*T549</f>
        <v/>
      </c>
      <c r="V549" s="82">
        <f>IF(ISNUMBER($D549),$D549-WEEKDAY($D549,3),'ORDER VS WEEK DISTRIBUTION'!$G$500)</f>
        <v/>
      </c>
      <c r="W549" s="82">
        <f>MAX($V549,'ORDER VS WEEK DISTRIBUTION'!$G$500)</f>
        <v/>
      </c>
      <c r="X549" s="26">
        <f>IFERROR(VLOOKUP($J549,'ORDER VS WEEK DISTRIBUTION'!$T:$U,2,0),"")</f>
        <v/>
      </c>
      <c r="Y549" s="26">
        <f>IFERROR($T549/IF(IFERROR(VLOOKUP($I549,'ITEM CFC PER CONTAINER'!$A:$B,2,0),0)&gt;0,VLOOKUP($I549,'ITEM CFC PER CONTAINER'!$A:$B,2,0),VLOOKUP($X549,'MC MASTER'!$A:$Q,16,0)),"")</f>
        <v/>
      </c>
    </row>
    <row r="550" ht="15" customHeight="1" s="5">
      <c r="A550" s="26" t="inlineStr">
        <is>
          <t>Saran Enterprises Ltd.</t>
        </is>
      </c>
      <c r="B550" s="26" t="inlineStr">
        <is>
          <t>MJIL/SO/26054932</t>
        </is>
      </c>
      <c r="C550" s="26" t="inlineStr">
        <is>
          <t>PO 24092026/02 - JUMBO</t>
        </is>
      </c>
      <c r="D550" s="82" t="n">
        <v>46349</v>
      </c>
      <c r="E550" s="83">
        <f>IF(ISNUMBER($D550),EOMONTH($D550,-1)+1,"")</f>
        <v/>
      </c>
      <c r="F550" s="26" t="inlineStr">
        <is>
          <t>No data</t>
        </is>
      </c>
      <c r="G550" s="26" t="n">
        <v>5519</v>
      </c>
      <c r="H550" s="26">
        <f>B550&amp;I550</f>
        <v/>
      </c>
      <c r="I550" s="26" t="inlineStr">
        <is>
          <t>JUMBO FOREST FRUITS 12/20 DC SF ENV TBGS</t>
        </is>
      </c>
      <c r="J550" s="26" t="inlineStr">
        <is>
          <t>C250</t>
        </is>
      </c>
      <c r="K550" s="26">
        <f>J550&amp;"-"&amp;TEXT(W550,"dd-mmm-yy")</f>
        <v/>
      </c>
      <c r="L550" s="26">
        <f>IFERROR(VLOOKUP($M550,'ITEM MASTER'!E:H,4,0),"")</f>
        <v/>
      </c>
      <c r="M550" s="26">
        <f>IFERROR(VLOOKUP($I550,'ITEM MASTER'!B:E,4,0),"")</f>
        <v/>
      </c>
      <c r="N550" s="26">
        <f>IFERROR(VLOOKUP($I550,'ITEM MASTER'!B:F,5,0),0)</f>
        <v/>
      </c>
      <c r="O550" s="26">
        <f>IFERROR(VLOOKUP($M550,'TBGS PER CTN'!B:C,2,0),0)</f>
        <v/>
      </c>
      <c r="P550" s="26" t="n">
        <v>600</v>
      </c>
      <c r="Q550" s="26" t="n">
        <v>0</v>
      </c>
      <c r="R550" s="26" t="n">
        <v>0</v>
      </c>
      <c r="S550" s="26">
        <f>Q550+R550</f>
        <v/>
      </c>
      <c r="T550" s="29" t="n">
        <v>600</v>
      </c>
      <c r="U550" s="29">
        <f>N550*O550*T550</f>
        <v/>
      </c>
      <c r="V550" s="82">
        <f>IF(ISNUMBER($D550),$D550-WEEKDAY($D550,3),'ORDER VS WEEK DISTRIBUTION'!$G$500)</f>
        <v/>
      </c>
      <c r="W550" s="82">
        <f>MAX($V550,'ORDER VS WEEK DISTRIBUTION'!$G$500)</f>
        <v/>
      </c>
      <c r="X550" s="26">
        <f>IFERROR(VLOOKUP($J550,'ORDER VS WEEK DISTRIBUTION'!$T:$U,2,0),"")</f>
        <v/>
      </c>
      <c r="Y550" s="26">
        <f>IFERROR($T550/IF(IFERROR(VLOOKUP($I550,'ITEM CFC PER CONTAINER'!$A:$B,2,0),0)&gt;0,VLOOKUP($I550,'ITEM CFC PER CONTAINER'!$A:$B,2,0),VLOOKUP($X550,'MC MASTER'!$A:$Q,16,0)),"")</f>
        <v/>
      </c>
    </row>
    <row r="551" ht="15" customHeight="1" s="5">
      <c r="A551" s="26" t="inlineStr">
        <is>
          <t>Saran Enterprises Ltd.</t>
        </is>
      </c>
      <c r="B551" s="26" t="inlineStr">
        <is>
          <t>MJIL/SO/26054932</t>
        </is>
      </c>
      <c r="C551" s="26" t="inlineStr">
        <is>
          <t>PO 24092026/02 - JUMBO</t>
        </is>
      </c>
      <c r="D551" s="82" t="n">
        <v>46349</v>
      </c>
      <c r="E551" s="83">
        <f>IF(ISNUMBER($D551),EOMONTH($D551,-1)+1,"")</f>
        <v/>
      </c>
      <c r="F551" s="26" t="inlineStr">
        <is>
          <t>No data</t>
        </is>
      </c>
      <c r="G551" s="26" t="n">
        <v>5512</v>
      </c>
      <c r="H551" s="26">
        <f>B551&amp;I551</f>
        <v/>
      </c>
      <c r="I551" s="26" t="inlineStr">
        <is>
          <t>JUMBO EARL GREY 12/20 DC SF TAG TBGS</t>
        </is>
      </c>
      <c r="J551" s="26" t="inlineStr">
        <is>
          <t>MD 20 4GM</t>
        </is>
      </c>
      <c r="K551" s="26">
        <f>J551&amp;"-"&amp;TEXT(W551,"dd-mmm-yy")</f>
        <v/>
      </c>
      <c r="L551" s="26">
        <f>IFERROR(VLOOKUP($M551,'ITEM MASTER'!E:H,4,0),"")</f>
        <v/>
      </c>
      <c r="M551" s="26">
        <f>IFERROR(VLOOKUP($I551,'ITEM MASTER'!B:E,4,0),"")</f>
        <v/>
      </c>
      <c r="N551" s="26">
        <f>IFERROR(VLOOKUP($I551,'ITEM MASTER'!B:F,5,0),0)</f>
        <v/>
      </c>
      <c r="O551" s="26">
        <f>IFERROR(VLOOKUP($M551,'TBGS PER CTN'!B:C,2,0),0)</f>
        <v/>
      </c>
      <c r="P551" s="26" t="n">
        <v>144</v>
      </c>
      <c r="Q551" s="26" t="n">
        <v>5</v>
      </c>
      <c r="R551" s="26" t="n">
        <v>120</v>
      </c>
      <c r="S551" s="26">
        <f>Q551+R551</f>
        <v/>
      </c>
      <c r="T551" s="29" t="n">
        <v>19</v>
      </c>
      <c r="U551" s="29">
        <f>N551*O551*T551</f>
        <v/>
      </c>
      <c r="V551" s="82">
        <f>IF(ISNUMBER($D551),$D551-WEEKDAY($D551,3),'ORDER VS WEEK DISTRIBUTION'!$G$500)</f>
        <v/>
      </c>
      <c r="W551" s="82">
        <f>MAX($V551,'ORDER VS WEEK DISTRIBUTION'!$G$500)</f>
        <v/>
      </c>
      <c r="X551" s="26">
        <f>IFERROR(VLOOKUP($J551,'ORDER VS WEEK DISTRIBUTION'!$T:$U,2,0),"")</f>
        <v/>
      </c>
      <c r="Y551" s="26">
        <f>IFERROR($T551/IF(IFERROR(VLOOKUP($I551,'ITEM CFC PER CONTAINER'!$A:$B,2,0),0)&gt;0,VLOOKUP($I551,'ITEM CFC PER CONTAINER'!$A:$B,2,0),VLOOKUP($X551,'MC MASTER'!$A:$Q,16,0)),"")</f>
        <v/>
      </c>
    </row>
    <row r="552" ht="15" customHeight="1" s="5">
      <c r="A552" s="26" t="inlineStr">
        <is>
          <t>Saran Enterprises Ltd.</t>
        </is>
      </c>
      <c r="B552" s="26" t="inlineStr">
        <is>
          <t>MJIL/SO/26054932</t>
        </is>
      </c>
      <c r="C552" s="26" t="inlineStr">
        <is>
          <t>PO 24092026/02 - JUMBO</t>
        </is>
      </c>
      <c r="D552" s="82" t="n">
        <v>46349</v>
      </c>
      <c r="E552" s="83">
        <f>IF(ISNUMBER($D552),EOMONTH($D552,-1)+1,"")</f>
        <v/>
      </c>
      <c r="F552" s="26" t="inlineStr">
        <is>
          <t>No data</t>
        </is>
      </c>
      <c r="G552" s="26" t="n">
        <v>5513</v>
      </c>
      <c r="H552" s="26">
        <f>B552&amp;I552</f>
        <v/>
      </c>
      <c r="I552" s="26" t="inlineStr">
        <is>
          <t>JUMBO ENGELESE MELANGE 12/20 DC SF ENV TBGS</t>
        </is>
      </c>
      <c r="J552" s="26" t="inlineStr">
        <is>
          <t>C250</t>
        </is>
      </c>
      <c r="K552" s="26">
        <f>J552&amp;"-"&amp;TEXT(W552,"dd-mmm-yy")</f>
        <v/>
      </c>
      <c r="L552" s="26">
        <f>IFERROR(VLOOKUP($M552,'ITEM MASTER'!E:H,4,0),"")</f>
        <v/>
      </c>
      <c r="M552" s="26">
        <f>IFERROR(VLOOKUP($I552,'ITEM MASTER'!B:E,4,0),"")</f>
        <v/>
      </c>
      <c r="N552" s="26">
        <f>IFERROR(VLOOKUP($I552,'ITEM MASTER'!B:F,5,0),0)</f>
        <v/>
      </c>
      <c r="O552" s="26">
        <f>IFERROR(VLOOKUP($M552,'TBGS PER CTN'!B:C,2,0),0)</f>
        <v/>
      </c>
      <c r="P552" s="26" t="n">
        <v>480</v>
      </c>
      <c r="Q552" s="26" t="n">
        <v>0</v>
      </c>
      <c r="R552" s="26" t="n">
        <v>0</v>
      </c>
      <c r="S552" s="26">
        <f>Q552+R552</f>
        <v/>
      </c>
      <c r="T552" s="29" t="n">
        <v>480</v>
      </c>
      <c r="U552" s="29">
        <f>N552*O552*T552</f>
        <v/>
      </c>
      <c r="V552" s="82">
        <f>IF(ISNUMBER($D552),$D552-WEEKDAY($D552,3),'ORDER VS WEEK DISTRIBUTION'!$G$500)</f>
        <v/>
      </c>
      <c r="W552" s="82">
        <f>MAX($V552,'ORDER VS WEEK DISTRIBUTION'!$G$500)</f>
        <v/>
      </c>
      <c r="X552" s="26">
        <f>IFERROR(VLOOKUP($J552,'ORDER VS WEEK DISTRIBUTION'!$T:$U,2,0),"")</f>
        <v/>
      </c>
      <c r="Y552" s="26">
        <f>IFERROR($T552/IF(IFERROR(VLOOKUP($I552,'ITEM CFC PER CONTAINER'!$A:$B,2,0),0)&gt;0,VLOOKUP($I552,'ITEM CFC PER CONTAINER'!$A:$B,2,0),VLOOKUP($X552,'MC MASTER'!$A:$Q,16,0)),"")</f>
        <v/>
      </c>
    </row>
    <row r="553" ht="15" customHeight="1" s="5">
      <c r="A553" s="26" t="inlineStr">
        <is>
          <t>Saran Enterprises Ltd.</t>
        </is>
      </c>
      <c r="B553" s="26" t="inlineStr">
        <is>
          <t>MJIL/SO/26054932</t>
        </is>
      </c>
      <c r="C553" s="26" t="inlineStr">
        <is>
          <t>PO 24092026/02 - JUMBO</t>
        </is>
      </c>
      <c r="D553" s="82" t="n">
        <v>46349</v>
      </c>
      <c r="E553" s="83">
        <f>IF(ISNUMBER($D553),EOMONTH($D553,-1)+1,"")</f>
        <v/>
      </c>
      <c r="F553" s="26" t="inlineStr">
        <is>
          <t>No data</t>
        </is>
      </c>
      <c r="G553" s="26" t="n">
        <v>5516</v>
      </c>
      <c r="H553" s="26">
        <f>B553&amp;I553</f>
        <v/>
      </c>
      <c r="I553" s="26" t="inlineStr">
        <is>
          <t>JUMBO ENGELESE MELANGE 12/40 DC SF TAG TBGS</t>
        </is>
      </c>
      <c r="J553" s="26" t="inlineStr">
        <is>
          <t>C250F3 HS</t>
        </is>
      </c>
      <c r="K553" s="26">
        <f>J553&amp;"-"&amp;TEXT(W553,"dd-mmm-yy")</f>
        <v/>
      </c>
      <c r="L553" s="26">
        <f>IFERROR(VLOOKUP($M553,'ITEM MASTER'!E:H,4,0),"")</f>
        <v/>
      </c>
      <c r="M553" s="26">
        <f>IFERROR(VLOOKUP($I553,'ITEM MASTER'!B:E,4,0),"")</f>
        <v/>
      </c>
      <c r="N553" s="26">
        <f>IFERROR(VLOOKUP($I553,'ITEM MASTER'!B:F,5,0),0)</f>
        <v/>
      </c>
      <c r="O553" s="26">
        <f>IFERROR(VLOOKUP($M553,'TBGS PER CTN'!B:C,2,0),0)</f>
        <v/>
      </c>
      <c r="P553" s="26" t="n">
        <v>720</v>
      </c>
      <c r="Q553" s="26" t="n">
        <v>0</v>
      </c>
      <c r="R553" s="26" t="n">
        <v>0</v>
      </c>
      <c r="S553" s="26">
        <f>Q553+R553</f>
        <v/>
      </c>
      <c r="T553" s="29" t="n">
        <v>720</v>
      </c>
      <c r="U553" s="29">
        <f>N553*O553*T553</f>
        <v/>
      </c>
      <c r="V553" s="82">
        <f>IF(ISNUMBER($D553),$D553-WEEKDAY($D553,3),'ORDER VS WEEK DISTRIBUTION'!$G$500)</f>
        <v/>
      </c>
      <c r="W553" s="82">
        <f>MAX($V553,'ORDER VS WEEK DISTRIBUTION'!$G$500)</f>
        <v/>
      </c>
      <c r="X553" s="26">
        <f>IFERROR(VLOOKUP($J553,'ORDER VS WEEK DISTRIBUTION'!$T:$U,2,0),"")</f>
        <v/>
      </c>
      <c r="Y553" s="26">
        <f>IFERROR($T553/IF(IFERROR(VLOOKUP($I553,'ITEM CFC PER CONTAINER'!$A:$B,2,0),0)&gt;0,VLOOKUP($I553,'ITEM CFC PER CONTAINER'!$A:$B,2,0),VLOOKUP($X553,'MC MASTER'!$A:$Q,16,0)),"")</f>
        <v/>
      </c>
    </row>
    <row r="554" ht="15" customHeight="1" s="5">
      <c r="A554" s="26" t="inlineStr">
        <is>
          <t>Saran Enterprises Ltd.</t>
        </is>
      </c>
      <c r="B554" s="26" t="inlineStr">
        <is>
          <t>MJIL/SO/26054932</t>
        </is>
      </c>
      <c r="C554" s="26" t="inlineStr">
        <is>
          <t>PO 24092026/02 - JUMBO</t>
        </is>
      </c>
      <c r="D554" s="82" t="n">
        <v>46349</v>
      </c>
      <c r="E554" s="83">
        <f>IF(ISNUMBER($D554),EOMONTH($D554,-1)+1,"")</f>
        <v/>
      </c>
      <c r="F554" s="26" t="inlineStr">
        <is>
          <t>No data</t>
        </is>
      </c>
      <c r="G554" s="26" t="n">
        <v>5529</v>
      </c>
      <c r="H554" s="26">
        <f>B554&amp;I554</f>
        <v/>
      </c>
      <c r="I554" s="26" t="inlineStr">
        <is>
          <t>JUMBO ORANGE 12/20 DC SF ENV TBGS</t>
        </is>
      </c>
      <c r="J554" s="26" t="inlineStr">
        <is>
          <t>C250</t>
        </is>
      </c>
      <c r="K554" s="26">
        <f>J554&amp;"-"&amp;TEXT(W554,"dd-mmm-yy")</f>
        <v/>
      </c>
      <c r="L554" s="26">
        <f>IFERROR(VLOOKUP($M554,'ITEM MASTER'!E:H,4,0),"")</f>
        <v/>
      </c>
      <c r="M554" s="26">
        <f>IFERROR(VLOOKUP($I554,'ITEM MASTER'!B:E,4,0),"")</f>
        <v/>
      </c>
      <c r="N554" s="26">
        <f>IFERROR(VLOOKUP($I554,'ITEM MASTER'!B:F,5,0),0)</f>
        <v/>
      </c>
      <c r="O554" s="26">
        <f>IFERROR(VLOOKUP($M554,'TBGS PER CTN'!B:C,2,0),0)</f>
        <v/>
      </c>
      <c r="P554" s="26" t="n">
        <v>360</v>
      </c>
      <c r="Q554" s="26" t="n">
        <v>0</v>
      </c>
      <c r="R554" s="26" t="n">
        <v>0</v>
      </c>
      <c r="S554" s="26">
        <f>Q554+R554</f>
        <v/>
      </c>
      <c r="T554" s="29" t="n">
        <v>360</v>
      </c>
      <c r="U554" s="29">
        <f>N554*O554*T554</f>
        <v/>
      </c>
      <c r="V554" s="82">
        <f>IF(ISNUMBER($D554),$D554-WEEKDAY($D554,3),'ORDER VS WEEK DISTRIBUTION'!$G$500)</f>
        <v/>
      </c>
      <c r="W554" s="82">
        <f>MAX($V554,'ORDER VS WEEK DISTRIBUTION'!$G$500)</f>
        <v/>
      </c>
      <c r="X554" s="26">
        <f>IFERROR(VLOOKUP($J554,'ORDER VS WEEK DISTRIBUTION'!$T:$U,2,0),"")</f>
        <v/>
      </c>
      <c r="Y554" s="26">
        <f>IFERROR($T554/IF(IFERROR(VLOOKUP($I554,'ITEM CFC PER CONTAINER'!$A:$B,2,0),0)&gt;0,VLOOKUP($I554,'ITEM CFC PER CONTAINER'!$A:$B,2,0),VLOOKUP($X554,'MC MASTER'!$A:$Q,16,0)),"")</f>
        <v/>
      </c>
    </row>
    <row r="555" ht="15" customHeight="1" s="5">
      <c r="A555" s="26" t="inlineStr">
        <is>
          <t>Saran Enterprises Ltd.</t>
        </is>
      </c>
      <c r="B555" s="26" t="inlineStr">
        <is>
          <t>MJIL/SO/26054932</t>
        </is>
      </c>
      <c r="C555" s="26" t="inlineStr">
        <is>
          <t>PO 24092026/02 - JUMBO</t>
        </is>
      </c>
      <c r="D555" s="82" t="n">
        <v>46349</v>
      </c>
      <c r="E555" s="83">
        <f>IF(ISNUMBER($D555),EOMONTH($D555,-1)+1,"")</f>
        <v/>
      </c>
      <c r="F555" s="26" t="inlineStr">
        <is>
          <t>No data</t>
        </is>
      </c>
      <c r="G555" s="26" t="n">
        <v>5530</v>
      </c>
      <c r="H555" s="26">
        <f>B555&amp;I555</f>
        <v/>
      </c>
      <c r="I555" s="26" t="inlineStr">
        <is>
          <t>JUMBO ORANGE VARIATION 12/20 DC SF ENV TBGS</t>
        </is>
      </c>
      <c r="J555" s="26" t="inlineStr">
        <is>
          <t>C250</t>
        </is>
      </c>
      <c r="K555" s="26">
        <f>J555&amp;"-"&amp;TEXT(W555,"dd-mmm-yy")</f>
        <v/>
      </c>
      <c r="L555" s="26">
        <f>IFERROR(VLOOKUP($M555,'ITEM MASTER'!E:H,4,0),"")</f>
        <v/>
      </c>
      <c r="M555" s="26">
        <f>IFERROR(VLOOKUP($I555,'ITEM MASTER'!B:E,4,0),"")</f>
        <v/>
      </c>
      <c r="N555" s="26">
        <f>IFERROR(VLOOKUP($I555,'ITEM MASTER'!B:F,5,0),0)</f>
        <v/>
      </c>
      <c r="O555" s="26">
        <f>IFERROR(VLOOKUP($M555,'TBGS PER CTN'!B:C,2,0),0)</f>
        <v/>
      </c>
      <c r="P555" s="26" t="n">
        <v>600</v>
      </c>
      <c r="Q555" s="26" t="n">
        <v>0</v>
      </c>
      <c r="R555" s="26" t="n">
        <v>0</v>
      </c>
      <c r="S555" s="26">
        <f>Q555+R555</f>
        <v/>
      </c>
      <c r="T555" s="29" t="n">
        <v>600</v>
      </c>
      <c r="U555" s="29">
        <f>N555*O555*T555</f>
        <v/>
      </c>
      <c r="V555" s="82">
        <f>IF(ISNUMBER($D555),$D555-WEEKDAY($D555,3),'ORDER VS WEEK DISTRIBUTION'!$G$500)</f>
        <v/>
      </c>
      <c r="W555" s="82">
        <f>MAX($V555,'ORDER VS WEEK DISTRIBUTION'!$G$500)</f>
        <v/>
      </c>
      <c r="X555" s="26">
        <f>IFERROR(VLOOKUP($J555,'ORDER VS WEEK DISTRIBUTION'!$T:$U,2,0),"")</f>
        <v/>
      </c>
      <c r="Y555" s="26">
        <f>IFERROR($T555/IF(IFERROR(VLOOKUP($I555,'ITEM CFC PER CONTAINER'!$A:$B,2,0),0)&gt;0,VLOOKUP($I555,'ITEM CFC PER CONTAINER'!$A:$B,2,0),VLOOKUP($X555,'MC MASTER'!$A:$Q,16,0)),"")</f>
        <v/>
      </c>
    </row>
    <row r="556" ht="15" customHeight="1" s="5">
      <c r="A556" s="26" t="inlineStr">
        <is>
          <t>Saran Enterprises Ltd.</t>
        </is>
      </c>
      <c r="B556" s="26" t="inlineStr">
        <is>
          <t>MJIL/SO/26054932</t>
        </is>
      </c>
      <c r="C556" s="26" t="inlineStr">
        <is>
          <t>PO 24092026/02 - JUMBO</t>
        </is>
      </c>
      <c r="D556" s="82" t="n">
        <v>46349</v>
      </c>
      <c r="E556" s="83">
        <f>IF(ISNUMBER($D556),EOMONTH($D556,-1)+1,"")</f>
        <v/>
      </c>
      <c r="F556" s="26" t="inlineStr">
        <is>
          <t>No data</t>
        </is>
      </c>
      <c r="G556" s="26" t="n">
        <v>5531</v>
      </c>
      <c r="H556" s="26">
        <f>B556&amp;I556</f>
        <v/>
      </c>
      <c r="I556" s="26" t="inlineStr">
        <is>
          <t>JUMBO RED VARIATION 12/20 DC SF ENV TBGS</t>
        </is>
      </c>
      <c r="J556" s="26" t="inlineStr">
        <is>
          <t>MD20 ENV</t>
        </is>
      </c>
      <c r="K556" s="26">
        <f>J556&amp;"-"&amp;TEXT(W556,"dd-mmm-yy")</f>
        <v/>
      </c>
      <c r="L556" s="26">
        <f>IFERROR(VLOOKUP($M556,'ITEM MASTER'!E:H,4,0),"")</f>
        <v/>
      </c>
      <c r="M556" s="26">
        <f>IFERROR(VLOOKUP($I556,'ITEM MASTER'!B:E,4,0),"")</f>
        <v/>
      </c>
      <c r="N556" s="26">
        <f>IFERROR(VLOOKUP($I556,'ITEM MASTER'!B:F,5,0),0)</f>
        <v/>
      </c>
      <c r="O556" s="26">
        <f>IFERROR(VLOOKUP($M556,'TBGS PER CTN'!B:C,2,0),0)</f>
        <v/>
      </c>
      <c r="P556" s="26" t="n">
        <v>600</v>
      </c>
      <c r="Q556" s="26" t="n">
        <v>0</v>
      </c>
      <c r="R556" s="26" t="n">
        <v>0</v>
      </c>
      <c r="S556" s="26">
        <f>Q556+R556</f>
        <v/>
      </c>
      <c r="T556" s="29" t="n">
        <v>600</v>
      </c>
      <c r="U556" s="29">
        <f>N556*O556*T556</f>
        <v/>
      </c>
      <c r="V556" s="82">
        <f>IF(ISNUMBER($D556),$D556-WEEKDAY($D556,3),'ORDER VS WEEK DISTRIBUTION'!$G$500)</f>
        <v/>
      </c>
      <c r="W556" s="82">
        <f>MAX($V556,'ORDER VS WEEK DISTRIBUTION'!$G$500)</f>
        <v/>
      </c>
      <c r="X556" s="26">
        <f>IFERROR(VLOOKUP($J556,'ORDER VS WEEK DISTRIBUTION'!$T:$U,2,0),"")</f>
        <v/>
      </c>
      <c r="Y556" s="26">
        <f>IFERROR($T556/IF(IFERROR(VLOOKUP($I556,'ITEM CFC PER CONTAINER'!$A:$B,2,0),0)&gt;0,VLOOKUP($I556,'ITEM CFC PER CONTAINER'!$A:$B,2,0),VLOOKUP($X556,'MC MASTER'!$A:$Q,16,0)),"")</f>
        <v/>
      </c>
    </row>
    <row r="557" ht="15" customHeight="1" s="5">
      <c r="A557" s="26" t="inlineStr">
        <is>
          <t>Saran Enterprises Ltd.</t>
        </is>
      </c>
      <c r="B557" s="26" t="inlineStr">
        <is>
          <t>MJIL/SO/26054937</t>
        </is>
      </c>
      <c r="C557" s="26" t="inlineStr">
        <is>
          <t>PO 24092026/01 - ALDI</t>
        </is>
      </c>
      <c r="D557" s="82" t="n">
        <v>46328</v>
      </c>
      <c r="E557" s="83">
        <f>IF(ISNUMBER($D557),EOMONTH($D557,-1)+1,"")</f>
        <v/>
      </c>
      <c r="F557" s="26" t="inlineStr">
        <is>
          <t>No data</t>
        </is>
      </c>
      <c r="G557" s="26" t="n">
        <v>26909</v>
      </c>
      <c r="H557" s="26">
        <f>B557&amp;I557</f>
        <v/>
      </c>
      <c r="I557" s="26" t="inlineStr">
        <is>
          <t>ALDI VRUCHTENTHEE 24/20 DC SF ENV TBGS</t>
        </is>
      </c>
      <c r="J557" s="26" t="inlineStr">
        <is>
          <t>VARIETIES PACK</t>
        </is>
      </c>
      <c r="K557" s="26">
        <f>J557&amp;"-"&amp;TEXT(W557,"dd-mmm-yy")</f>
        <v/>
      </c>
      <c r="L557" s="26">
        <f>IFERROR(VLOOKUP($M557,'ITEM MASTER'!E:H,4,0),"")</f>
        <v/>
      </c>
      <c r="M557" s="26">
        <f>IFERROR(VLOOKUP($I557,'ITEM MASTER'!B:E,4,0),"")</f>
        <v/>
      </c>
      <c r="N557" s="26">
        <f>IFERROR(VLOOKUP($I557,'ITEM MASTER'!B:F,5,0),0)</f>
        <v/>
      </c>
      <c r="O557" s="26">
        <f>IFERROR(VLOOKUP($M557,'TBGS PER CTN'!B:C,2,0),0)</f>
        <v/>
      </c>
      <c r="P557" s="26" t="n">
        <v>3136</v>
      </c>
      <c r="Q557" s="26" t="n">
        <v>0</v>
      </c>
      <c r="R557" s="26" t="n">
        <v>0</v>
      </c>
      <c r="S557" s="26">
        <f>Q557+R557</f>
        <v/>
      </c>
      <c r="T557" s="29" t="n">
        <v>3136</v>
      </c>
      <c r="U557" s="29">
        <f>N557*O557*T557</f>
        <v/>
      </c>
      <c r="V557" s="82">
        <f>IF(ISNUMBER($D557),$D557-WEEKDAY($D557,3),'ORDER VS WEEK DISTRIBUTION'!$G$500)</f>
        <v/>
      </c>
      <c r="W557" s="82">
        <f>MAX($V557,'ORDER VS WEEK DISTRIBUTION'!$G$500)</f>
        <v/>
      </c>
      <c r="X557" s="26">
        <f>IFERROR(VLOOKUP($J557,'ORDER VS WEEK DISTRIBUTION'!$T:$U,2,0),"")</f>
        <v/>
      </c>
      <c r="Y557" s="26">
        <f>IFERROR($T557/IF(IFERROR(VLOOKUP($I557,'ITEM CFC PER CONTAINER'!$A:$B,2,0),0)&gt;0,VLOOKUP($I557,'ITEM CFC PER CONTAINER'!$A:$B,2,0),VLOOKUP($X557,'MC MASTER'!$A:$Q,16,0)),"")</f>
        <v/>
      </c>
    </row>
    <row r="558" ht="15" customHeight="1" s="5">
      <c r="A558" s="26" t="inlineStr">
        <is>
          <t>Saran Enterprises Ltd.</t>
        </is>
      </c>
      <c r="B558" s="26" t="inlineStr">
        <is>
          <t>MJIL/SO/26054938</t>
        </is>
      </c>
      <c r="C558" s="26" t="inlineStr">
        <is>
          <t>PO 14092026/01 - JUMBO</t>
        </is>
      </c>
      <c r="D558" s="82" t="n">
        <v>46335</v>
      </c>
      <c r="E558" s="83">
        <f>IF(ISNUMBER($D558),EOMONTH($D558,-1)+1,"")</f>
        <v/>
      </c>
      <c r="F558" s="26" t="inlineStr">
        <is>
          <t>No data</t>
        </is>
      </c>
      <c r="G558" s="26" t="n">
        <v>5533</v>
      </c>
      <c r="H558" s="26">
        <f>B558&amp;I558</f>
        <v/>
      </c>
      <c r="I558" s="26" t="inlineStr">
        <is>
          <t>JUMBO ROOIBOS MANGO PEACH 12/20 DC SF ENV TBGS</t>
        </is>
      </c>
      <c r="J558" s="26" t="inlineStr">
        <is>
          <t>C250</t>
        </is>
      </c>
      <c r="K558" s="26">
        <f>J558&amp;"-"&amp;TEXT(W558,"dd-mmm-yy")</f>
        <v/>
      </c>
      <c r="L558" s="26">
        <f>IFERROR(VLOOKUP($M558,'ITEM MASTER'!E:H,4,0),"")</f>
        <v/>
      </c>
      <c r="M558" s="26">
        <f>IFERROR(VLOOKUP($I558,'ITEM MASTER'!B:E,4,0),"")</f>
        <v/>
      </c>
      <c r="N558" s="26">
        <f>IFERROR(VLOOKUP($I558,'ITEM MASTER'!B:F,5,0),0)</f>
        <v/>
      </c>
      <c r="O558" s="26">
        <f>IFERROR(VLOOKUP($M558,'TBGS PER CTN'!B:C,2,0),0)</f>
        <v/>
      </c>
      <c r="P558" s="26" t="n">
        <v>480</v>
      </c>
      <c r="Q558" s="26" t="n">
        <v>0</v>
      </c>
      <c r="R558" s="26" t="n">
        <v>0</v>
      </c>
      <c r="S558" s="26">
        <f>Q558+R558</f>
        <v/>
      </c>
      <c r="T558" s="29" t="n">
        <v>480</v>
      </c>
      <c r="U558" s="29">
        <f>N558*O558*T558</f>
        <v/>
      </c>
      <c r="V558" s="82">
        <f>IF(ISNUMBER($D558),$D558-WEEKDAY($D558,3),'ORDER VS WEEK DISTRIBUTION'!$G$500)</f>
        <v/>
      </c>
      <c r="W558" s="82">
        <f>MAX($V558,'ORDER VS WEEK DISTRIBUTION'!$G$500)</f>
        <v/>
      </c>
      <c r="X558" s="26">
        <f>IFERROR(VLOOKUP($J558,'ORDER VS WEEK DISTRIBUTION'!$T:$U,2,0),"")</f>
        <v/>
      </c>
      <c r="Y558" s="26">
        <f>IFERROR($T558/IF(IFERROR(VLOOKUP($I558,'ITEM CFC PER CONTAINER'!$A:$B,2,0),0)&gt;0,VLOOKUP($I558,'ITEM CFC PER CONTAINER'!$A:$B,2,0),VLOOKUP($X558,'MC MASTER'!$A:$Q,16,0)),"")</f>
        <v/>
      </c>
    </row>
    <row r="559" ht="15" customHeight="1" s="5">
      <c r="A559" s="26" t="inlineStr">
        <is>
          <t>Saran Enterprises Ltd.</t>
        </is>
      </c>
      <c r="B559" s="26" t="inlineStr">
        <is>
          <t>MJIL/SO/26054938</t>
        </is>
      </c>
      <c r="C559" s="26" t="inlineStr">
        <is>
          <t>PO 14092026/01 - JUMBO</t>
        </is>
      </c>
      <c r="D559" s="82" t="n">
        <v>46335</v>
      </c>
      <c r="E559" s="83">
        <f>IF(ISNUMBER($D559),EOMONTH($D559,-1)+1,"")</f>
        <v/>
      </c>
      <c r="F559" s="26" t="inlineStr">
        <is>
          <t>No data</t>
        </is>
      </c>
      <c r="G559" s="26" t="n">
        <v>5534</v>
      </c>
      <c r="H559" s="26">
        <f>B559&amp;I559</f>
        <v/>
      </c>
      <c r="I559" s="26" t="inlineStr">
        <is>
          <t>JUMBO ROOIBOS ORIGINAL 12/20 DC SF ENV TBGS</t>
        </is>
      </c>
      <c r="J559" s="26" t="inlineStr">
        <is>
          <t>MD20 ENV</t>
        </is>
      </c>
      <c r="K559" s="26">
        <f>J559&amp;"-"&amp;TEXT(W559,"dd-mmm-yy")</f>
        <v/>
      </c>
      <c r="L559" s="26">
        <f>IFERROR(VLOOKUP($M559,'ITEM MASTER'!E:H,4,0),"")</f>
        <v/>
      </c>
      <c r="M559" s="26">
        <f>IFERROR(VLOOKUP($I559,'ITEM MASTER'!B:E,4,0),"")</f>
        <v/>
      </c>
      <c r="N559" s="26">
        <f>IFERROR(VLOOKUP($I559,'ITEM MASTER'!B:F,5,0),0)</f>
        <v/>
      </c>
      <c r="O559" s="26">
        <f>IFERROR(VLOOKUP($M559,'TBGS PER CTN'!B:C,2,0),0)</f>
        <v/>
      </c>
      <c r="P559" s="26" t="n">
        <v>600</v>
      </c>
      <c r="Q559" s="26" t="n">
        <v>0</v>
      </c>
      <c r="R559" s="26" t="n">
        <v>0</v>
      </c>
      <c r="S559" s="26">
        <f>Q559+R559</f>
        <v/>
      </c>
      <c r="T559" s="29" t="n">
        <v>600</v>
      </c>
      <c r="U559" s="29">
        <f>N559*O559*T559</f>
        <v/>
      </c>
      <c r="V559" s="82">
        <f>IF(ISNUMBER($D559),$D559-WEEKDAY($D559,3),'ORDER VS WEEK DISTRIBUTION'!$G$500)</f>
        <v/>
      </c>
      <c r="W559" s="82">
        <f>MAX($V559,'ORDER VS WEEK DISTRIBUTION'!$G$500)</f>
        <v/>
      </c>
      <c r="X559" s="26">
        <f>IFERROR(VLOOKUP($J559,'ORDER VS WEEK DISTRIBUTION'!$T:$U,2,0),"")</f>
        <v/>
      </c>
      <c r="Y559" s="26">
        <f>IFERROR($T559/IF(IFERROR(VLOOKUP($I559,'ITEM CFC PER CONTAINER'!$A:$B,2,0),0)&gt;0,VLOOKUP($I559,'ITEM CFC PER CONTAINER'!$A:$B,2,0),VLOOKUP($X559,'MC MASTER'!$A:$Q,16,0)),"")</f>
        <v/>
      </c>
    </row>
    <row r="560" ht="15" customHeight="1" s="5">
      <c r="A560" s="26" t="inlineStr">
        <is>
          <t>Saran Enterprises Ltd.</t>
        </is>
      </c>
      <c r="B560" s="26" t="inlineStr">
        <is>
          <t>MJIL/SO/26054938</t>
        </is>
      </c>
      <c r="C560" s="26" t="inlineStr">
        <is>
          <t>PO 14092026/01 - JUMBO</t>
        </is>
      </c>
      <c r="D560" s="82" t="n">
        <v>46335</v>
      </c>
      <c r="E560" s="83">
        <f>IF(ISNUMBER($D560),EOMONTH($D560,-1)+1,"")</f>
        <v/>
      </c>
      <c r="F560" s="26" t="inlineStr">
        <is>
          <t>No data</t>
        </is>
      </c>
      <c r="G560" s="26" t="n">
        <v>5512</v>
      </c>
      <c r="H560" s="26">
        <f>B560&amp;I560</f>
        <v/>
      </c>
      <c r="I560" s="26" t="inlineStr">
        <is>
          <t>JUMBO EARL GREY 12/20 DC SF TAG TBGS</t>
        </is>
      </c>
      <c r="J560" s="26" t="inlineStr">
        <is>
          <t>MD 20 4GM</t>
        </is>
      </c>
      <c r="K560" s="26">
        <f>J560&amp;"-"&amp;TEXT(W560,"dd-mmm-yy")</f>
        <v/>
      </c>
      <c r="L560" s="26">
        <f>IFERROR(VLOOKUP($M560,'ITEM MASTER'!E:H,4,0),"")</f>
        <v/>
      </c>
      <c r="M560" s="26">
        <f>IFERROR(VLOOKUP($I560,'ITEM MASTER'!B:E,4,0),"")</f>
        <v/>
      </c>
      <c r="N560" s="26">
        <f>IFERROR(VLOOKUP($I560,'ITEM MASTER'!B:F,5,0),0)</f>
        <v/>
      </c>
      <c r="O560" s="26">
        <f>IFERROR(VLOOKUP($M560,'TBGS PER CTN'!B:C,2,0),0)</f>
        <v/>
      </c>
      <c r="P560" s="26" t="n">
        <v>864</v>
      </c>
      <c r="Q560" s="26" t="n">
        <v>0</v>
      </c>
      <c r="R560" s="26" t="n">
        <v>0</v>
      </c>
      <c r="S560" s="26">
        <f>Q560+R560</f>
        <v/>
      </c>
      <c r="T560" s="29" t="n">
        <v>864</v>
      </c>
      <c r="U560" s="29">
        <f>N560*O560*T560</f>
        <v/>
      </c>
      <c r="V560" s="82">
        <f>IF(ISNUMBER($D560),$D560-WEEKDAY($D560,3),'ORDER VS WEEK DISTRIBUTION'!$G$500)</f>
        <v/>
      </c>
      <c r="W560" s="82">
        <f>MAX($V560,'ORDER VS WEEK DISTRIBUTION'!$G$500)</f>
        <v/>
      </c>
      <c r="X560" s="26">
        <f>IFERROR(VLOOKUP($J560,'ORDER VS WEEK DISTRIBUTION'!$T:$U,2,0),"")</f>
        <v/>
      </c>
      <c r="Y560" s="26">
        <f>IFERROR($T560/IF(IFERROR(VLOOKUP($I560,'ITEM CFC PER CONTAINER'!$A:$B,2,0),0)&gt;0,VLOOKUP($I560,'ITEM CFC PER CONTAINER'!$A:$B,2,0),VLOOKUP($X560,'MC MASTER'!$A:$Q,16,0)),"")</f>
        <v/>
      </c>
    </row>
    <row r="561" ht="15" customHeight="1" s="5">
      <c r="A561" s="26" t="inlineStr">
        <is>
          <t>Saran Enterprises Ltd.</t>
        </is>
      </c>
      <c r="B561" s="26" t="inlineStr">
        <is>
          <t>MJIL/SO/26054938</t>
        </is>
      </c>
      <c r="C561" s="26" t="inlineStr">
        <is>
          <t>PO 14092026/01 - JUMBO</t>
        </is>
      </c>
      <c r="D561" s="82" t="n">
        <v>46335</v>
      </c>
      <c r="E561" s="83">
        <f>IF(ISNUMBER($D561),EOMONTH($D561,-1)+1,"")</f>
        <v/>
      </c>
      <c r="F561" s="26" t="inlineStr">
        <is>
          <t>No data</t>
        </is>
      </c>
      <c r="G561" s="26" t="n">
        <v>5513</v>
      </c>
      <c r="H561" s="26">
        <f>B561&amp;I561</f>
        <v/>
      </c>
      <c r="I561" s="26" t="inlineStr">
        <is>
          <t>JUMBO ENGELESE MELANGE 12/20 DC SF ENV TBGS</t>
        </is>
      </c>
      <c r="J561" s="26" t="inlineStr">
        <is>
          <t>C250</t>
        </is>
      </c>
      <c r="K561" s="26">
        <f>J561&amp;"-"&amp;TEXT(W561,"dd-mmm-yy")</f>
        <v/>
      </c>
      <c r="L561" s="26">
        <f>IFERROR(VLOOKUP($M561,'ITEM MASTER'!E:H,4,0),"")</f>
        <v/>
      </c>
      <c r="M561" s="26">
        <f>IFERROR(VLOOKUP($I561,'ITEM MASTER'!B:E,4,0),"")</f>
        <v/>
      </c>
      <c r="N561" s="26">
        <f>IFERROR(VLOOKUP($I561,'ITEM MASTER'!B:F,5,0),0)</f>
        <v/>
      </c>
      <c r="O561" s="26">
        <f>IFERROR(VLOOKUP($M561,'TBGS PER CTN'!B:C,2,0),0)</f>
        <v/>
      </c>
      <c r="P561" s="26" t="n">
        <v>1560</v>
      </c>
      <c r="Q561" s="26" t="n">
        <v>0</v>
      </c>
      <c r="R561" s="26" t="n">
        <v>0</v>
      </c>
      <c r="S561" s="26">
        <f>Q561+R561</f>
        <v/>
      </c>
      <c r="T561" s="29" t="n">
        <v>1560</v>
      </c>
      <c r="U561" s="29">
        <f>N561*O561*T561</f>
        <v/>
      </c>
      <c r="V561" s="82">
        <f>IF(ISNUMBER($D561),$D561-WEEKDAY($D561,3),'ORDER VS WEEK DISTRIBUTION'!$G$500)</f>
        <v/>
      </c>
      <c r="W561" s="82">
        <f>MAX($V561,'ORDER VS WEEK DISTRIBUTION'!$G$500)</f>
        <v/>
      </c>
      <c r="X561" s="26">
        <f>IFERROR(VLOOKUP($J561,'ORDER VS WEEK DISTRIBUTION'!$T:$U,2,0),"")</f>
        <v/>
      </c>
      <c r="Y561" s="26">
        <f>IFERROR($T561/IF(IFERROR(VLOOKUP($I561,'ITEM CFC PER CONTAINER'!$A:$B,2,0),0)&gt;0,VLOOKUP($I561,'ITEM CFC PER CONTAINER'!$A:$B,2,0),VLOOKUP($X561,'MC MASTER'!$A:$Q,16,0)),"")</f>
        <v/>
      </c>
    </row>
    <row r="562" ht="15" customHeight="1" s="5">
      <c r="A562" s="26" t="inlineStr">
        <is>
          <t>Saran Enterprises Ltd.</t>
        </is>
      </c>
      <c r="B562" s="26" t="inlineStr">
        <is>
          <t>MJIL/SO/26054938</t>
        </is>
      </c>
      <c r="C562" s="26" t="inlineStr">
        <is>
          <t>PO 14092026/01 - JUMBO</t>
        </is>
      </c>
      <c r="D562" s="82" t="n">
        <v>46335</v>
      </c>
      <c r="E562" s="83">
        <f>IF(ISNUMBER($D562),EOMONTH($D562,-1)+1,"")</f>
        <v/>
      </c>
      <c r="F562" s="26" t="inlineStr">
        <is>
          <t>No data</t>
        </is>
      </c>
      <c r="G562" s="26" t="n">
        <v>5516</v>
      </c>
      <c r="H562" s="26">
        <f>B562&amp;I562</f>
        <v/>
      </c>
      <c r="I562" s="26" t="inlineStr">
        <is>
          <t>JUMBO ENGELESE MELANGE 12/40 DC SF TAG TBGS</t>
        </is>
      </c>
      <c r="J562" s="26" t="inlineStr">
        <is>
          <t>C250F3 HS</t>
        </is>
      </c>
      <c r="K562" s="26">
        <f>J562&amp;"-"&amp;TEXT(W562,"dd-mmm-yy")</f>
        <v/>
      </c>
      <c r="L562" s="26">
        <f>IFERROR(VLOOKUP($M562,'ITEM MASTER'!E:H,4,0),"")</f>
        <v/>
      </c>
      <c r="M562" s="26">
        <f>IFERROR(VLOOKUP($I562,'ITEM MASTER'!B:E,4,0),"")</f>
        <v/>
      </c>
      <c r="N562" s="26">
        <f>IFERROR(VLOOKUP($I562,'ITEM MASTER'!B:F,5,0),0)</f>
        <v/>
      </c>
      <c r="O562" s="26">
        <f>IFERROR(VLOOKUP($M562,'TBGS PER CTN'!B:C,2,0),0)</f>
        <v/>
      </c>
      <c r="P562" s="26" t="n">
        <v>1008</v>
      </c>
      <c r="Q562" s="26" t="n">
        <v>0</v>
      </c>
      <c r="R562" s="26" t="n">
        <v>0</v>
      </c>
      <c r="S562" s="26">
        <f>Q562+R562</f>
        <v/>
      </c>
      <c r="T562" s="29" t="n">
        <v>1008</v>
      </c>
      <c r="U562" s="29">
        <f>N562*O562*T562</f>
        <v/>
      </c>
      <c r="V562" s="82">
        <f>IF(ISNUMBER($D562),$D562-WEEKDAY($D562,3),'ORDER VS WEEK DISTRIBUTION'!$G$500)</f>
        <v/>
      </c>
      <c r="W562" s="82">
        <f>MAX($V562,'ORDER VS WEEK DISTRIBUTION'!$G$500)</f>
        <v/>
      </c>
      <c r="X562" s="26">
        <f>IFERROR(VLOOKUP($J562,'ORDER VS WEEK DISTRIBUTION'!$T:$U,2,0),"")</f>
        <v/>
      </c>
      <c r="Y562" s="26">
        <f>IFERROR($T562/IF(IFERROR(VLOOKUP($I562,'ITEM CFC PER CONTAINER'!$A:$B,2,0),0)&gt;0,VLOOKUP($I562,'ITEM CFC PER CONTAINER'!$A:$B,2,0),VLOOKUP($X562,'MC MASTER'!$A:$Q,16,0)),"")</f>
        <v/>
      </c>
    </row>
    <row r="563" ht="15" customHeight="1" s="5">
      <c r="A563" s="26" t="inlineStr">
        <is>
          <t>Saran Enterprises Ltd.</t>
        </is>
      </c>
      <c r="B563" s="26" t="inlineStr">
        <is>
          <t>MJIL/SO/26054938</t>
        </is>
      </c>
      <c r="C563" s="26" t="inlineStr">
        <is>
          <t>PO 14092026/01 - JUMBO</t>
        </is>
      </c>
      <c r="D563" s="82" t="n">
        <v>46335</v>
      </c>
      <c r="E563" s="83">
        <f>IF(ISNUMBER($D563),EOMONTH($D563,-1)+1,"")</f>
        <v/>
      </c>
      <c r="F563" s="26" t="inlineStr">
        <is>
          <t>No data</t>
        </is>
      </c>
      <c r="G563" s="26" t="n">
        <v>5530</v>
      </c>
      <c r="H563" s="26">
        <f>B563&amp;I563</f>
        <v/>
      </c>
      <c r="I563" s="26" t="inlineStr">
        <is>
          <t>JUMBO ORANGE VARIATION 12/20 DC SF ENV TBGS</t>
        </is>
      </c>
      <c r="J563" s="26" t="inlineStr">
        <is>
          <t>C250</t>
        </is>
      </c>
      <c r="K563" s="26">
        <f>J563&amp;"-"&amp;TEXT(W563,"dd-mmm-yy")</f>
        <v/>
      </c>
      <c r="L563" s="26">
        <f>IFERROR(VLOOKUP($M563,'ITEM MASTER'!E:H,4,0),"")</f>
        <v/>
      </c>
      <c r="M563" s="26">
        <f>IFERROR(VLOOKUP($I563,'ITEM MASTER'!B:E,4,0),"")</f>
        <v/>
      </c>
      <c r="N563" s="26">
        <f>IFERROR(VLOOKUP($I563,'ITEM MASTER'!B:F,5,0),0)</f>
        <v/>
      </c>
      <c r="O563" s="26">
        <f>IFERROR(VLOOKUP($M563,'TBGS PER CTN'!B:C,2,0),0)</f>
        <v/>
      </c>
      <c r="P563" s="26" t="n">
        <v>1080</v>
      </c>
      <c r="Q563" s="26" t="n">
        <v>0</v>
      </c>
      <c r="R563" s="26" t="n">
        <v>0</v>
      </c>
      <c r="S563" s="26">
        <f>Q563+R563</f>
        <v/>
      </c>
      <c r="T563" s="29" t="n">
        <v>1080</v>
      </c>
      <c r="U563" s="29">
        <f>N563*O563*T563</f>
        <v/>
      </c>
      <c r="V563" s="82">
        <f>IF(ISNUMBER($D563),$D563-WEEKDAY($D563,3),'ORDER VS WEEK DISTRIBUTION'!$G$500)</f>
        <v/>
      </c>
      <c r="W563" s="82">
        <f>MAX($V563,'ORDER VS WEEK DISTRIBUTION'!$G$500)</f>
        <v/>
      </c>
      <c r="X563" s="26">
        <f>IFERROR(VLOOKUP($J563,'ORDER VS WEEK DISTRIBUTION'!$T:$U,2,0),"")</f>
        <v/>
      </c>
      <c r="Y563" s="26">
        <f>IFERROR($T563/IF(IFERROR(VLOOKUP($I563,'ITEM CFC PER CONTAINER'!$A:$B,2,0),0)&gt;0,VLOOKUP($I563,'ITEM CFC PER CONTAINER'!$A:$B,2,0),VLOOKUP($X563,'MC MASTER'!$A:$Q,16,0)),"")</f>
        <v/>
      </c>
    </row>
    <row r="564" ht="15" customHeight="1" s="5">
      <c r="A564" s="26" t="inlineStr">
        <is>
          <t>Saran Enterprises Ltd.</t>
        </is>
      </c>
      <c r="B564" s="26" t="inlineStr">
        <is>
          <t>MJIL/SO/26054938</t>
        </is>
      </c>
      <c r="C564" s="26" t="inlineStr">
        <is>
          <t>PO 14092026/01 - JUMBO</t>
        </is>
      </c>
      <c r="D564" s="82" t="n">
        <v>46335</v>
      </c>
      <c r="E564" s="83">
        <f>IF(ISNUMBER($D564),EOMONTH($D564,-1)+1,"")</f>
        <v/>
      </c>
      <c r="F564" s="26" t="inlineStr">
        <is>
          <t>No data</t>
        </is>
      </c>
      <c r="G564" s="26" t="n">
        <v>5531</v>
      </c>
      <c r="H564" s="26">
        <f>B564&amp;I564</f>
        <v/>
      </c>
      <c r="I564" s="26" t="inlineStr">
        <is>
          <t>JUMBO RED VARIATION 12/20 DC SF ENV TBGS</t>
        </is>
      </c>
      <c r="J564" s="26" t="inlineStr">
        <is>
          <t>MD20 ENV</t>
        </is>
      </c>
      <c r="K564" s="26">
        <f>J564&amp;"-"&amp;TEXT(W564,"dd-mmm-yy")</f>
        <v/>
      </c>
      <c r="L564" s="26">
        <f>IFERROR(VLOOKUP($M564,'ITEM MASTER'!E:H,4,0),"")</f>
        <v/>
      </c>
      <c r="M564" s="26">
        <f>IFERROR(VLOOKUP($I564,'ITEM MASTER'!B:E,4,0),"")</f>
        <v/>
      </c>
      <c r="N564" s="26">
        <f>IFERROR(VLOOKUP($I564,'ITEM MASTER'!B:F,5,0),0)</f>
        <v/>
      </c>
      <c r="O564" s="26">
        <f>IFERROR(VLOOKUP($M564,'TBGS PER CTN'!B:C,2,0),0)</f>
        <v/>
      </c>
      <c r="P564" s="26" t="n">
        <v>1080</v>
      </c>
      <c r="Q564" s="26" t="n">
        <v>0</v>
      </c>
      <c r="R564" s="26" t="n">
        <v>0</v>
      </c>
      <c r="S564" s="26">
        <f>Q564+R564</f>
        <v/>
      </c>
      <c r="T564" s="29" t="n">
        <v>1080</v>
      </c>
      <c r="U564" s="29">
        <f>N564*O564*T564</f>
        <v/>
      </c>
      <c r="V564" s="82">
        <f>IF(ISNUMBER($D564),$D564-WEEKDAY($D564,3),'ORDER VS WEEK DISTRIBUTION'!$G$500)</f>
        <v/>
      </c>
      <c r="W564" s="82">
        <f>MAX($V564,'ORDER VS WEEK DISTRIBUTION'!$G$500)</f>
        <v/>
      </c>
      <c r="X564" s="26">
        <f>IFERROR(VLOOKUP($J564,'ORDER VS WEEK DISTRIBUTION'!$T:$U,2,0),"")</f>
        <v/>
      </c>
      <c r="Y564" s="26">
        <f>IFERROR($T564/IF(IFERROR(VLOOKUP($I564,'ITEM CFC PER CONTAINER'!$A:$B,2,0),0)&gt;0,VLOOKUP($I564,'ITEM CFC PER CONTAINER'!$A:$B,2,0),VLOOKUP($X564,'MC MASTER'!$A:$Q,16,0)),"")</f>
        <v/>
      </c>
    </row>
    <row r="565" ht="15" customHeight="1" s="5">
      <c r="A565" s="26" t="inlineStr">
        <is>
          <t>Saran Enterprises Ltd.</t>
        </is>
      </c>
      <c r="B565" s="26" t="inlineStr">
        <is>
          <t>MJIL/SO/26054943</t>
        </is>
      </c>
      <c r="C565" s="26" t="inlineStr">
        <is>
          <t>PO 14092026/02 - JUMBO</t>
        </is>
      </c>
      <c r="D565" s="82" t="n">
        <v>46335</v>
      </c>
      <c r="E565" s="83">
        <f>IF(ISNUMBER($D565),EOMONTH($D565,-1)+1,"")</f>
        <v/>
      </c>
      <c r="F565" s="26" t="inlineStr">
        <is>
          <t>No data</t>
        </is>
      </c>
      <c r="G565" s="26" t="n">
        <v>5533</v>
      </c>
      <c r="H565" s="26">
        <f>B565&amp;I565</f>
        <v/>
      </c>
      <c r="I565" s="26" t="inlineStr">
        <is>
          <t>JUMBO ROOIBOS MANGO PEACH 12/20 DC SF ENV TBGS</t>
        </is>
      </c>
      <c r="J565" s="26" t="inlineStr">
        <is>
          <t>C250</t>
        </is>
      </c>
      <c r="K565" s="26">
        <f>J565&amp;"-"&amp;TEXT(W565,"dd-mmm-yy")</f>
        <v/>
      </c>
      <c r="L565" s="26">
        <f>IFERROR(VLOOKUP($M565,'ITEM MASTER'!E:H,4,0),"")</f>
        <v/>
      </c>
      <c r="M565" s="26">
        <f>IFERROR(VLOOKUP($I565,'ITEM MASTER'!B:E,4,0),"")</f>
        <v/>
      </c>
      <c r="N565" s="26">
        <f>IFERROR(VLOOKUP($I565,'ITEM MASTER'!B:F,5,0),0)</f>
        <v/>
      </c>
      <c r="O565" s="26">
        <f>IFERROR(VLOOKUP($M565,'TBGS PER CTN'!B:C,2,0),0)</f>
        <v/>
      </c>
      <c r="P565" s="26" t="n">
        <v>480</v>
      </c>
      <c r="Q565" s="26" t="n">
        <v>0</v>
      </c>
      <c r="R565" s="26" t="n">
        <v>0</v>
      </c>
      <c r="S565" s="26">
        <f>Q565+R565</f>
        <v/>
      </c>
      <c r="T565" s="29" t="n">
        <v>480</v>
      </c>
      <c r="U565" s="29">
        <f>N565*O565*T565</f>
        <v/>
      </c>
      <c r="V565" s="82">
        <f>IF(ISNUMBER($D565),$D565-WEEKDAY($D565,3),'ORDER VS WEEK DISTRIBUTION'!$G$500)</f>
        <v/>
      </c>
      <c r="W565" s="82">
        <f>MAX($V565,'ORDER VS WEEK DISTRIBUTION'!$G$500)</f>
        <v/>
      </c>
      <c r="X565" s="26">
        <f>IFERROR(VLOOKUP($J565,'ORDER VS WEEK DISTRIBUTION'!$T:$U,2,0),"")</f>
        <v/>
      </c>
      <c r="Y565" s="26">
        <f>IFERROR($T565/IF(IFERROR(VLOOKUP($I565,'ITEM CFC PER CONTAINER'!$A:$B,2,0),0)&gt;0,VLOOKUP($I565,'ITEM CFC PER CONTAINER'!$A:$B,2,0),VLOOKUP($X565,'MC MASTER'!$A:$Q,16,0)),"")</f>
        <v/>
      </c>
    </row>
    <row r="566" ht="15" customHeight="1" s="5">
      <c r="A566" s="26" t="inlineStr">
        <is>
          <t>Saran Enterprises Ltd.</t>
        </is>
      </c>
      <c r="B566" s="26" t="inlineStr">
        <is>
          <t>MJIL/SO/26054943</t>
        </is>
      </c>
      <c r="C566" s="26" t="inlineStr">
        <is>
          <t>PO 14092026/02 - JUMBO</t>
        </is>
      </c>
      <c r="D566" s="82" t="n">
        <v>46335</v>
      </c>
      <c r="E566" s="83">
        <f>IF(ISNUMBER($D566),EOMONTH($D566,-1)+1,"")</f>
        <v/>
      </c>
      <c r="F566" s="26" t="inlineStr">
        <is>
          <t>No data</t>
        </is>
      </c>
      <c r="G566" s="26" t="n">
        <v>5534</v>
      </c>
      <c r="H566" s="26">
        <f>B566&amp;I566</f>
        <v/>
      </c>
      <c r="I566" s="26" t="inlineStr">
        <is>
          <t>JUMBO ROOIBOS ORIGINAL 12/20 DC SF ENV TBGS</t>
        </is>
      </c>
      <c r="J566" s="26" t="inlineStr">
        <is>
          <t>MD20 ENV</t>
        </is>
      </c>
      <c r="K566" s="26">
        <f>J566&amp;"-"&amp;TEXT(W566,"dd-mmm-yy")</f>
        <v/>
      </c>
      <c r="L566" s="26">
        <f>IFERROR(VLOOKUP($M566,'ITEM MASTER'!E:H,4,0),"")</f>
        <v/>
      </c>
      <c r="M566" s="26">
        <f>IFERROR(VLOOKUP($I566,'ITEM MASTER'!B:E,4,0),"")</f>
        <v/>
      </c>
      <c r="N566" s="26">
        <f>IFERROR(VLOOKUP($I566,'ITEM MASTER'!B:F,5,0),0)</f>
        <v/>
      </c>
      <c r="O566" s="26">
        <f>IFERROR(VLOOKUP($M566,'TBGS PER CTN'!B:C,2,0),0)</f>
        <v/>
      </c>
      <c r="P566" s="26" t="n">
        <v>600</v>
      </c>
      <c r="Q566" s="26" t="n">
        <v>0</v>
      </c>
      <c r="R566" s="26" t="n">
        <v>0</v>
      </c>
      <c r="S566" s="26">
        <f>Q566+R566</f>
        <v/>
      </c>
      <c r="T566" s="29" t="n">
        <v>600</v>
      </c>
      <c r="U566" s="29">
        <f>N566*O566*T566</f>
        <v/>
      </c>
      <c r="V566" s="82">
        <f>IF(ISNUMBER($D566),$D566-WEEKDAY($D566,3),'ORDER VS WEEK DISTRIBUTION'!$G$500)</f>
        <v/>
      </c>
      <c r="W566" s="82">
        <f>MAX($V566,'ORDER VS WEEK DISTRIBUTION'!$G$500)</f>
        <v/>
      </c>
      <c r="X566" s="26">
        <f>IFERROR(VLOOKUP($J566,'ORDER VS WEEK DISTRIBUTION'!$T:$U,2,0),"")</f>
        <v/>
      </c>
      <c r="Y566" s="26">
        <f>IFERROR($T566/IF(IFERROR(VLOOKUP($I566,'ITEM CFC PER CONTAINER'!$A:$B,2,0),0)&gt;0,VLOOKUP($I566,'ITEM CFC PER CONTAINER'!$A:$B,2,0),VLOOKUP($X566,'MC MASTER'!$A:$Q,16,0)),"")</f>
        <v/>
      </c>
    </row>
    <row r="567" ht="15" customHeight="1" s="5">
      <c r="A567" s="26" t="inlineStr">
        <is>
          <t>Saran Enterprises Ltd.</t>
        </is>
      </c>
      <c r="B567" s="26" t="inlineStr">
        <is>
          <t>MJIL/SO/26054943</t>
        </is>
      </c>
      <c r="C567" s="26" t="inlineStr">
        <is>
          <t>PO 14092026/02 - JUMBO</t>
        </is>
      </c>
      <c r="D567" s="82" t="n">
        <v>46335</v>
      </c>
      <c r="E567" s="83">
        <f>IF(ISNUMBER($D567),EOMONTH($D567,-1)+1,"")</f>
        <v/>
      </c>
      <c r="F567" s="26" t="inlineStr">
        <is>
          <t>No data</t>
        </is>
      </c>
      <c r="G567" s="26" t="n">
        <v>5512</v>
      </c>
      <c r="H567" s="26">
        <f>B567&amp;I567</f>
        <v/>
      </c>
      <c r="I567" s="26" t="inlineStr">
        <is>
          <t>JUMBO EARL GREY 12/20 DC SF TAG TBGS</t>
        </is>
      </c>
      <c r="J567" s="26" t="inlineStr">
        <is>
          <t>MD 20 4GM</t>
        </is>
      </c>
      <c r="K567" s="26">
        <f>J567&amp;"-"&amp;TEXT(W567,"dd-mmm-yy")</f>
        <v/>
      </c>
      <c r="L567" s="26">
        <f>IFERROR(VLOOKUP($M567,'ITEM MASTER'!E:H,4,0),"")</f>
        <v/>
      </c>
      <c r="M567" s="26">
        <f>IFERROR(VLOOKUP($I567,'ITEM MASTER'!B:E,4,0),"")</f>
        <v/>
      </c>
      <c r="N567" s="26">
        <f>IFERROR(VLOOKUP($I567,'ITEM MASTER'!B:F,5,0),0)</f>
        <v/>
      </c>
      <c r="O567" s="26">
        <f>IFERROR(VLOOKUP($M567,'TBGS PER CTN'!B:C,2,0),0)</f>
        <v/>
      </c>
      <c r="P567" s="26" t="n">
        <v>864</v>
      </c>
      <c r="Q567" s="26" t="n">
        <v>0</v>
      </c>
      <c r="R567" s="26" t="n">
        <v>0</v>
      </c>
      <c r="S567" s="26">
        <f>Q567+R567</f>
        <v/>
      </c>
      <c r="T567" s="29" t="n">
        <v>864</v>
      </c>
      <c r="U567" s="29">
        <f>N567*O567*T567</f>
        <v/>
      </c>
      <c r="V567" s="82">
        <f>IF(ISNUMBER($D567),$D567-WEEKDAY($D567,3),'ORDER VS WEEK DISTRIBUTION'!$G$500)</f>
        <v/>
      </c>
      <c r="W567" s="82">
        <f>MAX($V567,'ORDER VS WEEK DISTRIBUTION'!$G$500)</f>
        <v/>
      </c>
      <c r="X567" s="26">
        <f>IFERROR(VLOOKUP($J567,'ORDER VS WEEK DISTRIBUTION'!$T:$U,2,0),"")</f>
        <v/>
      </c>
      <c r="Y567" s="26">
        <f>IFERROR($T567/IF(IFERROR(VLOOKUP($I567,'ITEM CFC PER CONTAINER'!$A:$B,2,0),0)&gt;0,VLOOKUP($I567,'ITEM CFC PER CONTAINER'!$A:$B,2,0),VLOOKUP($X567,'MC MASTER'!$A:$Q,16,0)),"")</f>
        <v/>
      </c>
    </row>
    <row r="568" ht="15" customHeight="1" s="5">
      <c r="A568" s="26" t="inlineStr">
        <is>
          <t>Saran Enterprises Ltd.</t>
        </is>
      </c>
      <c r="B568" s="26" t="inlineStr">
        <is>
          <t>MJIL/SO/26054943</t>
        </is>
      </c>
      <c r="C568" s="26" t="inlineStr">
        <is>
          <t>PO 14092026/02 - JUMBO</t>
        </is>
      </c>
      <c r="D568" s="82" t="n">
        <v>46335</v>
      </c>
      <c r="E568" s="83">
        <f>IF(ISNUMBER($D568),EOMONTH($D568,-1)+1,"")</f>
        <v/>
      </c>
      <c r="F568" s="26" t="inlineStr">
        <is>
          <t>No data</t>
        </is>
      </c>
      <c r="G568" s="26" t="n">
        <v>5513</v>
      </c>
      <c r="H568" s="26">
        <f>B568&amp;I568</f>
        <v/>
      </c>
      <c r="I568" s="26" t="inlineStr">
        <is>
          <t>JUMBO ENGELESE MELANGE 12/20 DC SF ENV TBGS</t>
        </is>
      </c>
      <c r="J568" s="26" t="inlineStr">
        <is>
          <t>C250</t>
        </is>
      </c>
      <c r="K568" s="26">
        <f>J568&amp;"-"&amp;TEXT(W568,"dd-mmm-yy")</f>
        <v/>
      </c>
      <c r="L568" s="26">
        <f>IFERROR(VLOOKUP($M568,'ITEM MASTER'!E:H,4,0),"")</f>
        <v/>
      </c>
      <c r="M568" s="26">
        <f>IFERROR(VLOOKUP($I568,'ITEM MASTER'!B:E,4,0),"")</f>
        <v/>
      </c>
      <c r="N568" s="26">
        <f>IFERROR(VLOOKUP($I568,'ITEM MASTER'!B:F,5,0),0)</f>
        <v/>
      </c>
      <c r="O568" s="26">
        <f>IFERROR(VLOOKUP($M568,'TBGS PER CTN'!B:C,2,0),0)</f>
        <v/>
      </c>
      <c r="P568" s="26" t="n">
        <v>1560</v>
      </c>
      <c r="Q568" s="26" t="n">
        <v>0</v>
      </c>
      <c r="R568" s="26" t="n">
        <v>0</v>
      </c>
      <c r="S568" s="26">
        <f>Q568+R568</f>
        <v/>
      </c>
      <c r="T568" s="29" t="n">
        <v>1560</v>
      </c>
      <c r="U568" s="29">
        <f>N568*O568*T568</f>
        <v/>
      </c>
      <c r="V568" s="82">
        <f>IF(ISNUMBER($D568),$D568-WEEKDAY($D568,3),'ORDER VS WEEK DISTRIBUTION'!$G$500)</f>
        <v/>
      </c>
      <c r="W568" s="82">
        <f>MAX($V568,'ORDER VS WEEK DISTRIBUTION'!$G$500)</f>
        <v/>
      </c>
      <c r="X568" s="26">
        <f>IFERROR(VLOOKUP($J568,'ORDER VS WEEK DISTRIBUTION'!$T:$U,2,0),"")</f>
        <v/>
      </c>
      <c r="Y568" s="26">
        <f>IFERROR($T568/IF(IFERROR(VLOOKUP($I568,'ITEM CFC PER CONTAINER'!$A:$B,2,0),0)&gt;0,VLOOKUP($I568,'ITEM CFC PER CONTAINER'!$A:$B,2,0),VLOOKUP($X568,'MC MASTER'!$A:$Q,16,0)),"")</f>
        <v/>
      </c>
    </row>
    <row r="569" ht="15" customHeight="1" s="5">
      <c r="A569" s="26" t="inlineStr">
        <is>
          <t>Saran Enterprises Ltd.</t>
        </is>
      </c>
      <c r="B569" s="26" t="inlineStr">
        <is>
          <t>MJIL/SO/26054943</t>
        </is>
      </c>
      <c r="C569" s="26" t="inlineStr">
        <is>
          <t>PO 14092026/02 - JUMBO</t>
        </is>
      </c>
      <c r="D569" s="82" t="n">
        <v>46335</v>
      </c>
      <c r="E569" s="83">
        <f>IF(ISNUMBER($D569),EOMONTH($D569,-1)+1,"")</f>
        <v/>
      </c>
      <c r="F569" s="26" t="inlineStr">
        <is>
          <t>No data</t>
        </is>
      </c>
      <c r="G569" s="26" t="n">
        <v>5530</v>
      </c>
      <c r="H569" s="26">
        <f>B569&amp;I569</f>
        <v/>
      </c>
      <c r="I569" s="26" t="inlineStr">
        <is>
          <t>JUMBO ORANGE VARIATION 12/20 DC SF ENV TBGS</t>
        </is>
      </c>
      <c r="J569" s="26" t="inlineStr">
        <is>
          <t>C250</t>
        </is>
      </c>
      <c r="K569" s="26">
        <f>J569&amp;"-"&amp;TEXT(W569,"dd-mmm-yy")</f>
        <v/>
      </c>
      <c r="L569" s="26">
        <f>IFERROR(VLOOKUP($M569,'ITEM MASTER'!E:H,4,0),"")</f>
        <v/>
      </c>
      <c r="M569" s="26">
        <f>IFERROR(VLOOKUP($I569,'ITEM MASTER'!B:E,4,0),"")</f>
        <v/>
      </c>
      <c r="N569" s="26">
        <f>IFERROR(VLOOKUP($I569,'ITEM MASTER'!B:F,5,0),0)</f>
        <v/>
      </c>
      <c r="O569" s="26">
        <f>IFERROR(VLOOKUP($M569,'TBGS PER CTN'!B:C,2,0),0)</f>
        <v/>
      </c>
      <c r="P569" s="26" t="n">
        <v>1080</v>
      </c>
      <c r="Q569" s="26" t="n">
        <v>0</v>
      </c>
      <c r="R569" s="26" t="n">
        <v>0</v>
      </c>
      <c r="S569" s="26">
        <f>Q569+R569</f>
        <v/>
      </c>
      <c r="T569" s="29" t="n">
        <v>1080</v>
      </c>
      <c r="U569" s="29">
        <f>N569*O569*T569</f>
        <v/>
      </c>
      <c r="V569" s="82">
        <f>IF(ISNUMBER($D569),$D569-WEEKDAY($D569,3),'ORDER VS WEEK DISTRIBUTION'!$G$500)</f>
        <v/>
      </c>
      <c r="W569" s="82">
        <f>MAX($V569,'ORDER VS WEEK DISTRIBUTION'!$G$500)</f>
        <v/>
      </c>
      <c r="X569" s="26">
        <f>IFERROR(VLOOKUP($J569,'ORDER VS WEEK DISTRIBUTION'!$T:$U,2,0),"")</f>
        <v/>
      </c>
      <c r="Y569" s="26">
        <f>IFERROR($T569/IF(IFERROR(VLOOKUP($I569,'ITEM CFC PER CONTAINER'!$A:$B,2,0),0)&gt;0,VLOOKUP($I569,'ITEM CFC PER CONTAINER'!$A:$B,2,0),VLOOKUP($X569,'MC MASTER'!$A:$Q,16,0)),"")</f>
        <v/>
      </c>
    </row>
    <row r="570" ht="15" customHeight="1" s="5">
      <c r="A570" s="26" t="inlineStr">
        <is>
          <t>Saran Enterprises Ltd.</t>
        </is>
      </c>
      <c r="B570" s="26" t="inlineStr">
        <is>
          <t>MJIL/SO/26054943</t>
        </is>
      </c>
      <c r="C570" s="26" t="inlineStr">
        <is>
          <t>PO 14092026/02 - JUMBO</t>
        </is>
      </c>
      <c r="D570" s="82" t="n">
        <v>46335</v>
      </c>
      <c r="E570" s="83">
        <f>IF(ISNUMBER($D570),EOMONTH($D570,-1)+1,"")</f>
        <v/>
      </c>
      <c r="F570" s="26" t="inlineStr">
        <is>
          <t>No data</t>
        </is>
      </c>
      <c r="G570" s="26" t="n">
        <v>5531</v>
      </c>
      <c r="H570" s="26">
        <f>B570&amp;I570</f>
        <v/>
      </c>
      <c r="I570" s="26" t="inlineStr">
        <is>
          <t>JUMBO RED VARIATION 12/20 DC SF ENV TBGS</t>
        </is>
      </c>
      <c r="J570" s="26" t="inlineStr">
        <is>
          <t>MD20 ENV</t>
        </is>
      </c>
      <c r="K570" s="26">
        <f>J570&amp;"-"&amp;TEXT(W570,"dd-mmm-yy")</f>
        <v/>
      </c>
      <c r="L570" s="26">
        <f>IFERROR(VLOOKUP($M570,'ITEM MASTER'!E:H,4,0),"")</f>
        <v/>
      </c>
      <c r="M570" s="26">
        <f>IFERROR(VLOOKUP($I570,'ITEM MASTER'!B:E,4,0),"")</f>
        <v/>
      </c>
      <c r="N570" s="26">
        <f>IFERROR(VLOOKUP($I570,'ITEM MASTER'!B:F,5,0),0)</f>
        <v/>
      </c>
      <c r="O570" s="26">
        <f>IFERROR(VLOOKUP($M570,'TBGS PER CTN'!B:C,2,0),0)</f>
        <v/>
      </c>
      <c r="P570" s="26" t="n">
        <v>1080</v>
      </c>
      <c r="Q570" s="26" t="n">
        <v>0</v>
      </c>
      <c r="R570" s="26" t="n">
        <v>0</v>
      </c>
      <c r="S570" s="26">
        <f>Q570+R570</f>
        <v/>
      </c>
      <c r="T570" s="29" t="n">
        <v>1080</v>
      </c>
      <c r="U570" s="29">
        <f>N570*O570*T570</f>
        <v/>
      </c>
      <c r="V570" s="82">
        <f>IF(ISNUMBER($D570),$D570-WEEKDAY($D570,3),'ORDER VS WEEK DISTRIBUTION'!$G$500)</f>
        <v/>
      </c>
      <c r="W570" s="82">
        <f>MAX($V570,'ORDER VS WEEK DISTRIBUTION'!$G$500)</f>
        <v/>
      </c>
      <c r="X570" s="26">
        <f>IFERROR(VLOOKUP($J570,'ORDER VS WEEK DISTRIBUTION'!$T:$U,2,0),"")</f>
        <v/>
      </c>
      <c r="Y570" s="26">
        <f>IFERROR($T570/IF(IFERROR(VLOOKUP($I570,'ITEM CFC PER CONTAINER'!$A:$B,2,0),0)&gt;0,VLOOKUP($I570,'ITEM CFC PER CONTAINER'!$A:$B,2,0),VLOOKUP($X570,'MC MASTER'!$A:$Q,16,0)),"")</f>
        <v/>
      </c>
    </row>
    <row r="571" ht="15" customHeight="1" s="5">
      <c r="A571" s="26" t="inlineStr">
        <is>
          <t>Saran Enterprises Ltd.</t>
        </is>
      </c>
      <c r="B571" s="26" t="inlineStr">
        <is>
          <t>MJIL/SO/26054943</t>
        </is>
      </c>
      <c r="C571" s="26" t="inlineStr">
        <is>
          <t>PO 14092026/02 - JUMBO</t>
        </is>
      </c>
      <c r="D571" s="82" t="n">
        <v>46335</v>
      </c>
      <c r="E571" s="83">
        <f>IF(ISNUMBER($D571),EOMONTH($D571,-1)+1,"")</f>
        <v/>
      </c>
      <c r="F571" s="26" t="inlineStr">
        <is>
          <t>No data</t>
        </is>
      </c>
      <c r="G571" s="26" t="n">
        <v>5516</v>
      </c>
      <c r="H571" s="26">
        <f>B571&amp;I571</f>
        <v/>
      </c>
      <c r="I571" s="26" t="inlineStr">
        <is>
          <t>JUMBO ENGELESE MELANGE 12/40 DC SF TAG TBGS</t>
        </is>
      </c>
      <c r="J571" s="26" t="inlineStr">
        <is>
          <t>C250F3 HS</t>
        </is>
      </c>
      <c r="K571" s="26">
        <f>J571&amp;"-"&amp;TEXT(W571,"dd-mmm-yy")</f>
        <v/>
      </c>
      <c r="L571" s="26">
        <f>IFERROR(VLOOKUP($M571,'ITEM MASTER'!E:H,4,0),"")</f>
        <v/>
      </c>
      <c r="M571" s="26">
        <f>IFERROR(VLOOKUP($I571,'ITEM MASTER'!B:E,4,0),"")</f>
        <v/>
      </c>
      <c r="N571" s="26">
        <f>IFERROR(VLOOKUP($I571,'ITEM MASTER'!B:F,5,0),0)</f>
        <v/>
      </c>
      <c r="O571" s="26">
        <f>IFERROR(VLOOKUP($M571,'TBGS PER CTN'!B:C,2,0),0)</f>
        <v/>
      </c>
      <c r="P571" s="26" t="n">
        <v>1008</v>
      </c>
      <c r="Q571" s="26" t="n">
        <v>0</v>
      </c>
      <c r="R571" s="26" t="n">
        <v>0</v>
      </c>
      <c r="S571" s="26">
        <f>Q571+R571</f>
        <v/>
      </c>
      <c r="T571" s="29" t="n">
        <v>1008</v>
      </c>
      <c r="U571" s="29">
        <f>N571*O571*T571</f>
        <v/>
      </c>
      <c r="V571" s="82">
        <f>IF(ISNUMBER($D571),$D571-WEEKDAY($D571,3),'ORDER VS WEEK DISTRIBUTION'!$G$500)</f>
        <v/>
      </c>
      <c r="W571" s="82">
        <f>MAX($V571,'ORDER VS WEEK DISTRIBUTION'!$G$500)</f>
        <v/>
      </c>
      <c r="X571" s="26">
        <f>IFERROR(VLOOKUP($J571,'ORDER VS WEEK DISTRIBUTION'!$T:$U,2,0),"")</f>
        <v/>
      </c>
      <c r="Y571" s="26">
        <f>IFERROR($T571/IF(IFERROR(VLOOKUP($I571,'ITEM CFC PER CONTAINER'!$A:$B,2,0),0)&gt;0,VLOOKUP($I571,'ITEM CFC PER CONTAINER'!$A:$B,2,0),VLOOKUP($X571,'MC MASTER'!$A:$Q,16,0)),"")</f>
        <v/>
      </c>
    </row>
    <row r="572" ht="15" customHeight="1" s="5">
      <c r="A572" s="26" t="inlineStr">
        <is>
          <t>Saran Enterprises Ltd.</t>
        </is>
      </c>
      <c r="B572" s="26" t="inlineStr">
        <is>
          <t>MJIL/SO/26054944</t>
        </is>
      </c>
      <c r="C572" s="26" t="inlineStr">
        <is>
          <t>PO 14092026/03-JUMBO</t>
        </is>
      </c>
      <c r="D572" s="82" t="n">
        <v>46342</v>
      </c>
      <c r="E572" s="83">
        <f>IF(ISNUMBER($D572),EOMONTH($D572,-1)+1,"")</f>
        <v/>
      </c>
      <c r="F572" s="26" t="inlineStr">
        <is>
          <t>No data</t>
        </is>
      </c>
      <c r="G572" s="26" t="n">
        <v>5520</v>
      </c>
      <c r="H572" s="26">
        <f>B572&amp;I572</f>
        <v/>
      </c>
      <c r="I572" s="26" t="inlineStr">
        <is>
          <t>JUMBO GREEN LEMON 12/20 DC SF ENV TBGS</t>
        </is>
      </c>
      <c r="J572" s="26" t="inlineStr">
        <is>
          <t>C250</t>
        </is>
      </c>
      <c r="K572" s="26">
        <f>J572&amp;"-"&amp;TEXT(W572,"dd-mmm-yy")</f>
        <v/>
      </c>
      <c r="L572" s="26">
        <f>IFERROR(VLOOKUP($M572,'ITEM MASTER'!E:H,4,0),"")</f>
        <v/>
      </c>
      <c r="M572" s="26">
        <f>IFERROR(VLOOKUP($I572,'ITEM MASTER'!B:E,4,0),"")</f>
        <v/>
      </c>
      <c r="N572" s="26">
        <f>IFERROR(VLOOKUP($I572,'ITEM MASTER'!B:F,5,0),0)</f>
        <v/>
      </c>
      <c r="O572" s="26">
        <f>IFERROR(VLOOKUP($M572,'TBGS PER CTN'!B:C,2,0),0)</f>
        <v/>
      </c>
      <c r="P572" s="26" t="n">
        <v>1680</v>
      </c>
      <c r="Q572" s="26" t="n">
        <v>0</v>
      </c>
      <c r="R572" s="26" t="n">
        <v>0</v>
      </c>
      <c r="S572" s="26">
        <f>Q572+R572</f>
        <v/>
      </c>
      <c r="T572" s="29" t="n">
        <v>1680</v>
      </c>
      <c r="U572" s="29">
        <f>N572*O572*T572</f>
        <v/>
      </c>
      <c r="V572" s="82">
        <f>IF(ISNUMBER($D572),$D572-WEEKDAY($D572,3),'ORDER VS WEEK DISTRIBUTION'!$G$500)</f>
        <v/>
      </c>
      <c r="W572" s="82">
        <f>MAX($V572,'ORDER VS WEEK DISTRIBUTION'!$G$500)</f>
        <v/>
      </c>
      <c r="X572" s="26">
        <f>IFERROR(VLOOKUP($J572,'ORDER VS WEEK DISTRIBUTION'!$T:$U,2,0),"")</f>
        <v/>
      </c>
      <c r="Y572" s="26">
        <f>IFERROR($T572/IF(IFERROR(VLOOKUP($I572,'ITEM CFC PER CONTAINER'!$A:$B,2,0),0)&gt;0,VLOOKUP($I572,'ITEM CFC PER CONTAINER'!$A:$B,2,0),VLOOKUP($X572,'MC MASTER'!$A:$Q,16,0)),"")</f>
        <v/>
      </c>
    </row>
    <row r="573" ht="15" customHeight="1" s="5">
      <c r="A573" s="26" t="inlineStr">
        <is>
          <t>Saran Enterprises Ltd.</t>
        </is>
      </c>
      <c r="B573" s="26" t="inlineStr">
        <is>
          <t>MJIL/SO/26054944</t>
        </is>
      </c>
      <c r="C573" s="26" t="inlineStr">
        <is>
          <t>PO 14092026/03-JUMBO</t>
        </is>
      </c>
      <c r="D573" s="82" t="n">
        <v>46342</v>
      </c>
      <c r="E573" s="83">
        <f>IF(ISNUMBER($D573),EOMONTH($D573,-1)+1,"")</f>
        <v/>
      </c>
      <c r="F573" s="26" t="inlineStr">
        <is>
          <t>No data</t>
        </is>
      </c>
      <c r="G573" s="26" t="n">
        <v>5523</v>
      </c>
      <c r="H573" s="26">
        <f>B573&amp;I573</f>
        <v/>
      </c>
      <c r="I573" s="26" t="inlineStr">
        <is>
          <t>JUMBO GREEN TEA CRANBERRY 12/20 DC SF ENV TBGS</t>
        </is>
      </c>
      <c r="J573" s="26" t="inlineStr">
        <is>
          <t>C250</t>
        </is>
      </c>
      <c r="K573" s="26">
        <f>J573&amp;"-"&amp;TEXT(W573,"dd-mmm-yy")</f>
        <v/>
      </c>
      <c r="L573" s="26">
        <f>IFERROR(VLOOKUP($M573,'ITEM MASTER'!E:H,4,0),"")</f>
        <v/>
      </c>
      <c r="M573" s="26">
        <f>IFERROR(VLOOKUP($I573,'ITEM MASTER'!B:E,4,0),"")</f>
        <v/>
      </c>
      <c r="N573" s="26">
        <f>IFERROR(VLOOKUP($I573,'ITEM MASTER'!B:F,5,0),0)</f>
        <v/>
      </c>
      <c r="O573" s="26">
        <f>IFERROR(VLOOKUP($M573,'TBGS PER CTN'!B:C,2,0),0)</f>
        <v/>
      </c>
      <c r="P573" s="26" t="n">
        <v>720</v>
      </c>
      <c r="Q573" s="26" t="n">
        <v>0</v>
      </c>
      <c r="R573" s="26" t="n">
        <v>0</v>
      </c>
      <c r="S573" s="26">
        <f>Q573+R573</f>
        <v/>
      </c>
      <c r="T573" s="29" t="n">
        <v>720</v>
      </c>
      <c r="U573" s="29">
        <f>N573*O573*T573</f>
        <v/>
      </c>
      <c r="V573" s="82">
        <f>IF(ISNUMBER($D573),$D573-WEEKDAY($D573,3),'ORDER VS WEEK DISTRIBUTION'!$G$500)</f>
        <v/>
      </c>
      <c r="W573" s="82">
        <f>MAX($V573,'ORDER VS WEEK DISTRIBUTION'!$G$500)</f>
        <v/>
      </c>
      <c r="X573" s="26">
        <f>IFERROR(VLOOKUP($J573,'ORDER VS WEEK DISTRIBUTION'!$T:$U,2,0),"")</f>
        <v/>
      </c>
      <c r="Y573" s="26">
        <f>IFERROR($T573/IF(IFERROR(VLOOKUP($I573,'ITEM CFC PER CONTAINER'!$A:$B,2,0),0)&gt;0,VLOOKUP($I573,'ITEM CFC PER CONTAINER'!$A:$B,2,0),VLOOKUP($X573,'MC MASTER'!$A:$Q,16,0)),"")</f>
        <v/>
      </c>
    </row>
    <row r="574" ht="15" customHeight="1" s="5">
      <c r="A574" s="26" t="inlineStr">
        <is>
          <t>Saran Enterprises Ltd.</t>
        </is>
      </c>
      <c r="B574" s="26" t="inlineStr">
        <is>
          <t>MJIL/SO/26054944</t>
        </is>
      </c>
      <c r="C574" s="26" t="inlineStr">
        <is>
          <t>PO 14092026/03-JUMBO</t>
        </is>
      </c>
      <c r="D574" s="82" t="n">
        <v>46342</v>
      </c>
      <c r="E574" s="83">
        <f>IF(ISNUMBER($D574),EOMONTH($D574,-1)+1,"")</f>
        <v/>
      </c>
      <c r="F574" s="26" t="inlineStr">
        <is>
          <t>No data</t>
        </is>
      </c>
      <c r="G574" s="26" t="n">
        <v>5526</v>
      </c>
      <c r="H574" s="26">
        <f>B574&amp;I574</f>
        <v/>
      </c>
      <c r="I574" s="26" t="inlineStr">
        <is>
          <t>JUMBO GREEN TEA PURE ORIGINAL 12/20 DC SF ENV TBGS</t>
        </is>
      </c>
      <c r="J574" s="26" t="inlineStr">
        <is>
          <t>C250</t>
        </is>
      </c>
      <c r="K574" s="26">
        <f>J574&amp;"-"&amp;TEXT(W574,"dd-mmm-yy")</f>
        <v/>
      </c>
      <c r="L574" s="26">
        <f>IFERROR(VLOOKUP($M574,'ITEM MASTER'!E:H,4,0),"")</f>
        <v/>
      </c>
      <c r="M574" s="26">
        <f>IFERROR(VLOOKUP($I574,'ITEM MASTER'!B:E,4,0),"")</f>
        <v/>
      </c>
      <c r="N574" s="26">
        <f>IFERROR(VLOOKUP($I574,'ITEM MASTER'!B:F,5,0),0)</f>
        <v/>
      </c>
      <c r="O574" s="26">
        <f>IFERROR(VLOOKUP($M574,'TBGS PER CTN'!B:C,2,0),0)</f>
        <v/>
      </c>
      <c r="P574" s="26" t="n">
        <v>1560</v>
      </c>
      <c r="Q574" s="26" t="n">
        <v>0</v>
      </c>
      <c r="R574" s="26" t="n">
        <v>0</v>
      </c>
      <c r="S574" s="26">
        <f>Q574+R574</f>
        <v/>
      </c>
      <c r="T574" s="29" t="n">
        <v>1560</v>
      </c>
      <c r="U574" s="29">
        <f>N574*O574*T574</f>
        <v/>
      </c>
      <c r="V574" s="82">
        <f>IF(ISNUMBER($D574),$D574-WEEKDAY($D574,3),'ORDER VS WEEK DISTRIBUTION'!$G$500)</f>
        <v/>
      </c>
      <c r="W574" s="82">
        <f>MAX($V574,'ORDER VS WEEK DISTRIBUTION'!$G$500)</f>
        <v/>
      </c>
      <c r="X574" s="26">
        <f>IFERROR(VLOOKUP($J574,'ORDER VS WEEK DISTRIBUTION'!$T:$U,2,0),"")</f>
        <v/>
      </c>
      <c r="Y574" s="26">
        <f>IFERROR($T574/IF(IFERROR(VLOOKUP($I574,'ITEM CFC PER CONTAINER'!$A:$B,2,0),0)&gt;0,VLOOKUP($I574,'ITEM CFC PER CONTAINER'!$A:$B,2,0),VLOOKUP($X574,'MC MASTER'!$A:$Q,16,0)),"")</f>
        <v/>
      </c>
    </row>
    <row r="575" ht="15" customHeight="1" s="5">
      <c r="A575" s="26" t="inlineStr">
        <is>
          <t>Saran Enterprises Ltd.</t>
        </is>
      </c>
      <c r="B575" s="26" t="inlineStr">
        <is>
          <t>MJIL/SO/26054944</t>
        </is>
      </c>
      <c r="C575" s="26" t="inlineStr">
        <is>
          <t>PO 14092026/03-JUMBO</t>
        </is>
      </c>
      <c r="D575" s="82" t="n">
        <v>46342</v>
      </c>
      <c r="E575" s="83">
        <f>IF(ISNUMBER($D575),EOMONTH($D575,-1)+1,"")</f>
        <v/>
      </c>
      <c r="F575" s="26" t="inlineStr">
        <is>
          <t>No data</t>
        </is>
      </c>
      <c r="G575" s="26" t="n">
        <v>5532</v>
      </c>
      <c r="H575" s="26">
        <f>B575&amp;I575</f>
        <v/>
      </c>
      <c r="I575" s="26" t="inlineStr">
        <is>
          <t>JUMBO ROOIBOS HONEY 12/20 DC SF ENV TBGS</t>
        </is>
      </c>
      <c r="J575" s="26" t="inlineStr">
        <is>
          <t>MD20 ENV</t>
        </is>
      </c>
      <c r="K575" s="26">
        <f>J575&amp;"-"&amp;TEXT(W575,"dd-mmm-yy")</f>
        <v/>
      </c>
      <c r="L575" s="26">
        <f>IFERROR(VLOOKUP($M575,'ITEM MASTER'!E:H,4,0),"")</f>
        <v/>
      </c>
      <c r="M575" s="26">
        <f>IFERROR(VLOOKUP($I575,'ITEM MASTER'!B:E,4,0),"")</f>
        <v/>
      </c>
      <c r="N575" s="26">
        <f>IFERROR(VLOOKUP($I575,'ITEM MASTER'!B:F,5,0),0)</f>
        <v/>
      </c>
      <c r="O575" s="26">
        <f>IFERROR(VLOOKUP($M575,'TBGS PER CTN'!B:C,2,0),0)</f>
        <v/>
      </c>
      <c r="P575" s="26" t="n">
        <v>840</v>
      </c>
      <c r="Q575" s="26" t="n">
        <v>0</v>
      </c>
      <c r="R575" s="26" t="n">
        <v>0</v>
      </c>
      <c r="S575" s="26">
        <f>Q575+R575</f>
        <v/>
      </c>
      <c r="T575" s="29" t="n">
        <v>840</v>
      </c>
      <c r="U575" s="29">
        <f>N575*O575*T575</f>
        <v/>
      </c>
      <c r="V575" s="82">
        <f>IF(ISNUMBER($D575),$D575-WEEKDAY($D575,3),'ORDER VS WEEK DISTRIBUTION'!$G$500)</f>
        <v/>
      </c>
      <c r="W575" s="82">
        <f>MAX($V575,'ORDER VS WEEK DISTRIBUTION'!$G$500)</f>
        <v/>
      </c>
      <c r="X575" s="26">
        <f>IFERROR(VLOOKUP($J575,'ORDER VS WEEK DISTRIBUTION'!$T:$U,2,0),"")</f>
        <v/>
      </c>
      <c r="Y575" s="26">
        <f>IFERROR($T575/IF(IFERROR(VLOOKUP($I575,'ITEM CFC PER CONTAINER'!$A:$B,2,0),0)&gt;0,VLOOKUP($I575,'ITEM CFC PER CONTAINER'!$A:$B,2,0),VLOOKUP($X575,'MC MASTER'!$A:$Q,16,0)),"")</f>
        <v/>
      </c>
    </row>
    <row r="576" ht="15" customHeight="1" s="5">
      <c r="A576" s="26" t="inlineStr">
        <is>
          <t>Saran Enterprises Ltd.</t>
        </is>
      </c>
      <c r="B576" s="26" t="inlineStr">
        <is>
          <t>MJIL/SO/26054944</t>
        </is>
      </c>
      <c r="C576" s="26" t="inlineStr">
        <is>
          <t>PO 14092026/03-JUMBO</t>
        </is>
      </c>
      <c r="D576" s="82" t="n">
        <v>46342</v>
      </c>
      <c r="E576" s="83">
        <f>IF(ISNUMBER($D576),EOMONTH($D576,-1)+1,"")</f>
        <v/>
      </c>
      <c r="F576" s="26" t="inlineStr">
        <is>
          <t>No data</t>
        </is>
      </c>
      <c r="G576" s="26" t="n">
        <v>5535</v>
      </c>
      <c r="H576" s="26">
        <f>B576&amp;I576</f>
        <v/>
      </c>
      <c r="I576" s="26" t="inlineStr">
        <is>
          <t>JUMBO STRAWBERRY 12/20 DC SF ENV TBGS</t>
        </is>
      </c>
      <c r="J576" s="26" t="inlineStr">
        <is>
          <t>C250</t>
        </is>
      </c>
      <c r="K576" s="26">
        <f>J576&amp;"-"&amp;TEXT(W576,"dd-mmm-yy")</f>
        <v/>
      </c>
      <c r="L576" s="26">
        <f>IFERROR(VLOOKUP($M576,'ITEM MASTER'!E:H,4,0),"")</f>
        <v/>
      </c>
      <c r="M576" s="26">
        <f>IFERROR(VLOOKUP($I576,'ITEM MASTER'!B:E,4,0),"")</f>
        <v/>
      </c>
      <c r="N576" s="26">
        <f>IFERROR(VLOOKUP($I576,'ITEM MASTER'!B:F,5,0),0)</f>
        <v/>
      </c>
      <c r="O576" s="26">
        <f>IFERROR(VLOOKUP($M576,'TBGS PER CTN'!B:C,2,0),0)</f>
        <v/>
      </c>
      <c r="P576" s="26" t="n">
        <v>600</v>
      </c>
      <c r="Q576" s="26" t="n">
        <v>0</v>
      </c>
      <c r="R576" s="26" t="n">
        <v>0</v>
      </c>
      <c r="S576" s="26">
        <f>Q576+R576</f>
        <v/>
      </c>
      <c r="T576" s="29" t="n">
        <v>600</v>
      </c>
      <c r="U576" s="29">
        <f>N576*O576*T576</f>
        <v/>
      </c>
      <c r="V576" s="82">
        <f>IF(ISNUMBER($D576),$D576-WEEKDAY($D576,3),'ORDER VS WEEK DISTRIBUTION'!$G$500)</f>
        <v/>
      </c>
      <c r="W576" s="82">
        <f>MAX($V576,'ORDER VS WEEK DISTRIBUTION'!$G$500)</f>
        <v/>
      </c>
      <c r="X576" s="26">
        <f>IFERROR(VLOOKUP($J576,'ORDER VS WEEK DISTRIBUTION'!$T:$U,2,0),"")</f>
        <v/>
      </c>
      <c r="Y576" s="26">
        <f>IFERROR($T576/IF(IFERROR(VLOOKUP($I576,'ITEM CFC PER CONTAINER'!$A:$B,2,0),0)&gt;0,VLOOKUP($I576,'ITEM CFC PER CONTAINER'!$A:$B,2,0),VLOOKUP($X576,'MC MASTER'!$A:$Q,16,0)),"")</f>
        <v/>
      </c>
    </row>
    <row r="577" ht="15" customHeight="1" s="5">
      <c r="A577" s="26" t="inlineStr">
        <is>
          <t>Saran Enterprises Ltd.</t>
        </is>
      </c>
      <c r="B577" s="26" t="inlineStr">
        <is>
          <t>MJIL/SO/26054944</t>
        </is>
      </c>
      <c r="C577" s="26" t="inlineStr">
        <is>
          <t>PO 14092026/03-JUMBO</t>
        </is>
      </c>
      <c r="D577" s="82" t="n">
        <v>46342</v>
      </c>
      <c r="E577" s="83">
        <f>IF(ISNUMBER($D577),EOMONTH($D577,-1)+1,"")</f>
        <v/>
      </c>
      <c r="F577" s="26" t="inlineStr">
        <is>
          <t>No data</t>
        </is>
      </c>
      <c r="G577" s="26" t="n">
        <v>5519</v>
      </c>
      <c r="H577" s="26">
        <f>B577&amp;I577</f>
        <v/>
      </c>
      <c r="I577" s="26" t="inlineStr">
        <is>
          <t>JUMBO FOREST FRUITS 12/20 DC SF ENV TBGS</t>
        </is>
      </c>
      <c r="J577" s="26" t="inlineStr">
        <is>
          <t>C250</t>
        </is>
      </c>
      <c r="K577" s="26">
        <f>J577&amp;"-"&amp;TEXT(W577,"dd-mmm-yy")</f>
        <v/>
      </c>
      <c r="L577" s="26">
        <f>IFERROR(VLOOKUP($M577,'ITEM MASTER'!E:H,4,0),"")</f>
        <v/>
      </c>
      <c r="M577" s="26">
        <f>IFERROR(VLOOKUP($I577,'ITEM MASTER'!B:E,4,0),"")</f>
        <v/>
      </c>
      <c r="N577" s="26">
        <f>IFERROR(VLOOKUP($I577,'ITEM MASTER'!B:F,5,0),0)</f>
        <v/>
      </c>
      <c r="O577" s="26">
        <f>IFERROR(VLOOKUP($M577,'TBGS PER CTN'!B:C,2,0),0)</f>
        <v/>
      </c>
      <c r="P577" s="26" t="n">
        <v>1200</v>
      </c>
      <c r="Q577" s="26" t="n">
        <v>0</v>
      </c>
      <c r="R577" s="26" t="n">
        <v>0</v>
      </c>
      <c r="S577" s="26">
        <f>Q577+R577</f>
        <v/>
      </c>
      <c r="T577" s="29" t="n">
        <v>1200</v>
      </c>
      <c r="U577" s="29">
        <f>N577*O577*T577</f>
        <v/>
      </c>
      <c r="V577" s="82">
        <f>IF(ISNUMBER($D577),$D577-WEEKDAY($D577,3),'ORDER VS WEEK DISTRIBUTION'!$G$500)</f>
        <v/>
      </c>
      <c r="W577" s="82">
        <f>MAX($V577,'ORDER VS WEEK DISTRIBUTION'!$G$500)</f>
        <v/>
      </c>
      <c r="X577" s="26">
        <f>IFERROR(VLOOKUP($J577,'ORDER VS WEEK DISTRIBUTION'!$T:$U,2,0),"")</f>
        <v/>
      </c>
      <c r="Y577" s="26">
        <f>IFERROR($T577/IF(IFERROR(VLOOKUP($I577,'ITEM CFC PER CONTAINER'!$A:$B,2,0),0)&gt;0,VLOOKUP($I577,'ITEM CFC PER CONTAINER'!$A:$B,2,0),VLOOKUP($X577,'MC MASTER'!$A:$Q,16,0)),"")</f>
        <v/>
      </c>
    </row>
    <row r="578" ht="15" customHeight="1" s="5">
      <c r="A578" s="26" t="inlineStr">
        <is>
          <t>Saran Enterprises Ltd.</t>
        </is>
      </c>
      <c r="B578" s="26" t="inlineStr">
        <is>
          <t>MJIL/SO/26054944</t>
        </is>
      </c>
      <c r="C578" s="26" t="inlineStr">
        <is>
          <t>PO 14092026/03-JUMBO</t>
        </is>
      </c>
      <c r="D578" s="82" t="n">
        <v>46342</v>
      </c>
      <c r="E578" s="83">
        <f>IF(ISNUMBER($D578),EOMONTH($D578,-1)+1,"")</f>
        <v/>
      </c>
      <c r="F578" s="26" t="inlineStr">
        <is>
          <t>No data</t>
        </is>
      </c>
      <c r="G578" s="26" t="n">
        <v>5529</v>
      </c>
      <c r="H578" s="26">
        <f>B578&amp;I578</f>
        <v/>
      </c>
      <c r="I578" s="26" t="inlineStr">
        <is>
          <t>JUMBO ORANGE 12/20 DC SF ENV TBGS</t>
        </is>
      </c>
      <c r="J578" s="26" t="inlineStr">
        <is>
          <t>C250</t>
        </is>
      </c>
      <c r="K578" s="26">
        <f>J578&amp;"-"&amp;TEXT(W578,"dd-mmm-yy")</f>
        <v/>
      </c>
      <c r="L578" s="26">
        <f>IFERROR(VLOOKUP($M578,'ITEM MASTER'!E:H,4,0),"")</f>
        <v/>
      </c>
      <c r="M578" s="26">
        <f>IFERROR(VLOOKUP($I578,'ITEM MASTER'!B:E,4,0),"")</f>
        <v/>
      </c>
      <c r="N578" s="26">
        <f>IFERROR(VLOOKUP($I578,'ITEM MASTER'!B:F,5,0),0)</f>
        <v/>
      </c>
      <c r="O578" s="26">
        <f>IFERROR(VLOOKUP($M578,'TBGS PER CTN'!B:C,2,0),0)</f>
        <v/>
      </c>
      <c r="P578" s="26" t="n">
        <v>600</v>
      </c>
      <c r="Q578" s="26" t="n">
        <v>0</v>
      </c>
      <c r="R578" s="26" t="n">
        <v>0</v>
      </c>
      <c r="S578" s="26">
        <f>Q578+R578</f>
        <v/>
      </c>
      <c r="T578" s="29" t="n">
        <v>600</v>
      </c>
      <c r="U578" s="29">
        <f>N578*O578*T578</f>
        <v/>
      </c>
      <c r="V578" s="82">
        <f>IF(ISNUMBER($D578),$D578-WEEKDAY($D578,3),'ORDER VS WEEK DISTRIBUTION'!$G$500)</f>
        <v/>
      </c>
      <c r="W578" s="82">
        <f>MAX($V578,'ORDER VS WEEK DISTRIBUTION'!$G$500)</f>
        <v/>
      </c>
      <c r="X578" s="26">
        <f>IFERROR(VLOOKUP($J578,'ORDER VS WEEK DISTRIBUTION'!$T:$U,2,0),"")</f>
        <v/>
      </c>
      <c r="Y578" s="26">
        <f>IFERROR($T578/IF(IFERROR(VLOOKUP($I578,'ITEM CFC PER CONTAINER'!$A:$B,2,0),0)&gt;0,VLOOKUP($I578,'ITEM CFC PER CONTAINER'!$A:$B,2,0),VLOOKUP($X578,'MC MASTER'!$A:$Q,16,0)),"")</f>
        <v/>
      </c>
    </row>
    <row r="579" ht="15" customHeight="1" s="5">
      <c r="A579" s="26" t="inlineStr">
        <is>
          <t>RBW HARDEEVILLE, SC</t>
        </is>
      </c>
      <c r="B579" s="26" t="inlineStr">
        <is>
          <t>MJIL/SO/26023808</t>
        </is>
      </c>
      <c r="C579" s="26" t="inlineStr">
        <is>
          <t>NOV SHPT - 1 - 20 ASST &amp; 100 BLACK</t>
        </is>
      </c>
      <c r="D579" s="82" t="n">
        <v>46335</v>
      </c>
      <c r="E579" s="83">
        <f>IF(ISNUMBER($D579),EOMONTH($D579,-1)+1,"")</f>
        <v/>
      </c>
      <c r="F579" s="82" t="n">
        <v>46335</v>
      </c>
      <c r="G579" s="26" t="n">
        <v>37685</v>
      </c>
      <c r="H579" s="26">
        <f>B579&amp;I579</f>
        <v/>
      </c>
      <c r="I579" s="26" t="inlineStr">
        <is>
          <t>BARISSIMO BLACK TEA 6/100 DC TAG TBGS</t>
        </is>
      </c>
      <c r="J579" s="26" t="inlineStr">
        <is>
          <t>PERFACTA TAG</t>
        </is>
      </c>
      <c r="K579" s="26">
        <f>J579&amp;"-"&amp;TEXT(W579,"dd-mmm-yy")</f>
        <v/>
      </c>
      <c r="L579" s="26">
        <f>IFERROR(VLOOKUP($M579,'ITEM MASTER'!E:H,4,0),"")</f>
        <v/>
      </c>
      <c r="M579" s="26">
        <f>IFERROR(VLOOKUP($I579,'ITEM MASTER'!B:E,4,0),"")</f>
        <v/>
      </c>
      <c r="N579" s="26">
        <f>IFERROR(VLOOKUP($I579,'ITEM MASTER'!B:F,5,0),0)</f>
        <v/>
      </c>
      <c r="O579" s="26">
        <f>IFERROR(VLOOKUP($M579,'TBGS PER CTN'!B:C,2,0),0)</f>
        <v/>
      </c>
      <c r="P579" s="26" t="n">
        <v>2000</v>
      </c>
      <c r="Q579" s="26" t="n">
        <v>0</v>
      </c>
      <c r="R579" s="26" t="n">
        <v>0</v>
      </c>
      <c r="S579" s="26">
        <f>Q579+R579</f>
        <v/>
      </c>
      <c r="T579" s="29" t="n">
        <v>2000</v>
      </c>
      <c r="U579" s="29">
        <f>N579*O579*T579</f>
        <v/>
      </c>
      <c r="V579" s="82">
        <f>IF(ISNUMBER($D579),$D579-WEEKDAY($D579,3),'ORDER VS WEEK DISTRIBUTION'!$G$500)</f>
        <v/>
      </c>
      <c r="W579" s="82">
        <f>MAX($V579,'ORDER VS WEEK DISTRIBUTION'!$G$500)</f>
        <v/>
      </c>
      <c r="X579" s="26">
        <f>IFERROR(VLOOKUP($J579,'ORDER VS WEEK DISTRIBUTION'!$T:$U,2,0),"")</f>
        <v/>
      </c>
      <c r="Y579" s="26">
        <f>IFERROR($T579/IF(IFERROR(VLOOKUP($I579,'ITEM CFC PER CONTAINER'!$A:$B,2,0),0)&gt;0,VLOOKUP($I579,'ITEM CFC PER CONTAINER'!$A:$B,2,0),VLOOKUP($X579,'MC MASTER'!$A:$Q,16,0)),"")</f>
        <v/>
      </c>
    </row>
    <row r="580" ht="15" customHeight="1" s="5">
      <c r="A580" s="26" t="inlineStr">
        <is>
          <t>RBW HARDEEVILLE, SC</t>
        </is>
      </c>
      <c r="B580" s="26" t="inlineStr">
        <is>
          <t>MJIL/SO/26023808</t>
        </is>
      </c>
      <c r="C580" s="26" t="inlineStr">
        <is>
          <t>NOV SHPT - 1 - 20 ASST &amp; 100 BLACK</t>
        </is>
      </c>
      <c r="D580" s="82" t="n">
        <v>46335</v>
      </c>
      <c r="E580" s="83">
        <f>IF(ISNUMBER($D580),EOMONTH($D580,-1)+1,"")</f>
        <v/>
      </c>
      <c r="F580" s="82" t="n">
        <v>46335</v>
      </c>
      <c r="G580" s="26" t="n">
        <v>37682</v>
      </c>
      <c r="H580" s="26">
        <f>B580&amp;I580</f>
        <v/>
      </c>
      <c r="I580" s="26" t="inlineStr">
        <is>
          <t>BARISSIMO GREEN TEA COLLECTIONS 12/20 DC SF ENV TBGS</t>
        </is>
      </c>
      <c r="J580" s="26" t="inlineStr">
        <is>
          <t>C250-A</t>
        </is>
      </c>
      <c r="K580" s="26">
        <f>J580&amp;"-"&amp;TEXT(W580,"dd-mmm-yy")</f>
        <v/>
      </c>
      <c r="L580" s="26">
        <f>IFERROR(VLOOKUP($M580,'ITEM MASTER'!E:H,4,0),"")</f>
        <v/>
      </c>
      <c r="M580" s="26">
        <f>IFERROR(VLOOKUP($I580,'ITEM MASTER'!B:E,4,0),"")</f>
        <v/>
      </c>
      <c r="N580" s="26">
        <f>IFERROR(VLOOKUP($I580,'ITEM MASTER'!B:F,5,0),0)</f>
        <v/>
      </c>
      <c r="O580" s="26">
        <f>IFERROR(VLOOKUP($M580,'TBGS PER CTN'!B:C,2,0),0)</f>
        <v/>
      </c>
      <c r="P580" s="26" t="n">
        <v>1000</v>
      </c>
      <c r="Q580" s="26" t="n">
        <v>0</v>
      </c>
      <c r="R580" s="26" t="n">
        <v>0</v>
      </c>
      <c r="S580" s="26">
        <f>Q580+R580</f>
        <v/>
      </c>
      <c r="T580" s="29" t="n">
        <v>1000</v>
      </c>
      <c r="U580" s="29">
        <f>N580*O580*T580</f>
        <v/>
      </c>
      <c r="V580" s="82">
        <f>IF(ISNUMBER($D580),$D580-WEEKDAY($D580,3),'ORDER VS WEEK DISTRIBUTION'!$G$500)</f>
        <v/>
      </c>
      <c r="W580" s="82">
        <f>MAX($V580,'ORDER VS WEEK DISTRIBUTION'!$G$500)</f>
        <v/>
      </c>
      <c r="X580" s="26">
        <f>IFERROR(VLOOKUP($J580,'ORDER VS WEEK DISTRIBUTION'!$T:$U,2,0),"")</f>
        <v/>
      </c>
      <c r="Y580" s="26">
        <f>IFERROR($T580/IF(IFERROR(VLOOKUP($I580,'ITEM CFC PER CONTAINER'!$A:$B,2,0),0)&gt;0,VLOOKUP($I580,'ITEM CFC PER CONTAINER'!$A:$B,2,0),VLOOKUP($X580,'MC MASTER'!$A:$Q,16,0)),"")</f>
        <v/>
      </c>
    </row>
    <row r="581" ht="15" customHeight="1" s="5">
      <c r="A581" s="26" t="inlineStr">
        <is>
          <t>RBW HARDEEVILLE, SC</t>
        </is>
      </c>
      <c r="B581" s="26" t="inlineStr">
        <is>
          <t>MJIL/SO/26023808</t>
        </is>
      </c>
      <c r="C581" s="26" t="inlineStr">
        <is>
          <t>NOV SHPT - 1 - 20 ASST &amp; 100 BLACK</t>
        </is>
      </c>
      <c r="D581" s="82" t="n">
        <v>46335</v>
      </c>
      <c r="E581" s="83">
        <f>IF(ISNUMBER($D581),EOMONTH($D581,-1)+1,"")</f>
        <v/>
      </c>
      <c r="F581" s="82" t="n">
        <v>46335</v>
      </c>
      <c r="G581" s="26" t="n">
        <v>37683</v>
      </c>
      <c r="H581" s="26">
        <f>B581&amp;I581</f>
        <v/>
      </c>
      <c r="I581" s="26" t="inlineStr">
        <is>
          <t>BARISSIMO BLACK TEA COLLECTIONS 12/20 DC SF ENV TBGS</t>
        </is>
      </c>
      <c r="J581" s="26" t="inlineStr">
        <is>
          <t>C250 AF</t>
        </is>
      </c>
      <c r="K581" s="26">
        <f>J581&amp;"-"&amp;TEXT(W581,"dd-mmm-yy")</f>
        <v/>
      </c>
      <c r="L581" s="26">
        <f>IFERROR(VLOOKUP($M581,'ITEM MASTER'!E:H,4,0),"")</f>
        <v/>
      </c>
      <c r="M581" s="26">
        <f>IFERROR(VLOOKUP($I581,'ITEM MASTER'!B:E,4,0),"")</f>
        <v/>
      </c>
      <c r="N581" s="26">
        <f>IFERROR(VLOOKUP($I581,'ITEM MASTER'!B:F,5,0),0)</f>
        <v/>
      </c>
      <c r="O581" s="26">
        <f>IFERROR(VLOOKUP($M581,'TBGS PER CTN'!B:C,2,0),0)</f>
        <v/>
      </c>
      <c r="P581" s="26" t="n">
        <v>500</v>
      </c>
      <c r="Q581" s="26" t="n">
        <v>0</v>
      </c>
      <c r="R581" s="26" t="n">
        <v>0</v>
      </c>
      <c r="S581" s="26">
        <f>Q581+R581</f>
        <v/>
      </c>
      <c r="T581" s="29" t="n">
        <v>500</v>
      </c>
      <c r="U581" s="29">
        <f>N581*O581*T581</f>
        <v/>
      </c>
      <c r="V581" s="82">
        <f>IF(ISNUMBER($D581),$D581-WEEKDAY($D581,3),'ORDER VS WEEK DISTRIBUTION'!$G$500)</f>
        <v/>
      </c>
      <c r="W581" s="82">
        <f>MAX($V581,'ORDER VS WEEK DISTRIBUTION'!$G$500)</f>
        <v/>
      </c>
      <c r="X581" s="26">
        <f>IFERROR(VLOOKUP($J581,'ORDER VS WEEK DISTRIBUTION'!$T:$U,2,0),"")</f>
        <v/>
      </c>
      <c r="Y581" s="26">
        <f>IFERROR($T581/IF(IFERROR(VLOOKUP($I581,'ITEM CFC PER CONTAINER'!$A:$B,2,0),0)&gt;0,VLOOKUP($I581,'ITEM CFC PER CONTAINER'!$A:$B,2,0),VLOOKUP($X581,'MC MASTER'!$A:$Q,16,0)),"")</f>
        <v/>
      </c>
    </row>
    <row r="582" ht="15" customHeight="1" s="5">
      <c r="A582" s="26" t="inlineStr">
        <is>
          <t>RBW HARDEEVILLE, SC</t>
        </is>
      </c>
      <c r="B582" s="26" t="inlineStr">
        <is>
          <t>MJIL/SO/26023808</t>
        </is>
      </c>
      <c r="C582" s="26" t="inlineStr">
        <is>
          <t>NOV SHPT - 1 - 20 ASST &amp; 100 BLACK</t>
        </is>
      </c>
      <c r="D582" s="82" t="n">
        <v>46335</v>
      </c>
      <c r="E582" s="83">
        <f>IF(ISNUMBER($D582),EOMONTH($D582,-1)+1,"")</f>
        <v/>
      </c>
      <c r="F582" s="82" t="n">
        <v>46335</v>
      </c>
      <c r="G582" s="26" t="n">
        <v>37684</v>
      </c>
      <c r="H582" s="26">
        <f>B582&amp;I582</f>
        <v/>
      </c>
      <c r="I582" s="26" t="inlineStr">
        <is>
          <t>BARISSIMO HERBAL TEA COLLECTIONS 12/20 DC SF ENV TBGS</t>
        </is>
      </c>
      <c r="J582" s="26" t="inlineStr">
        <is>
          <t>C250 AF</t>
        </is>
      </c>
      <c r="K582" s="26">
        <f>J582&amp;"-"&amp;TEXT(W582,"dd-mmm-yy")</f>
        <v/>
      </c>
      <c r="L582" s="26">
        <f>IFERROR(VLOOKUP($M582,'ITEM MASTER'!E:H,4,0),"")</f>
        <v/>
      </c>
      <c r="M582" s="26">
        <f>IFERROR(VLOOKUP($I582,'ITEM MASTER'!B:E,4,0),"")</f>
        <v/>
      </c>
      <c r="N582" s="26">
        <f>IFERROR(VLOOKUP($I582,'ITEM MASTER'!B:F,5,0),0)</f>
        <v/>
      </c>
      <c r="O582" s="26">
        <f>IFERROR(VLOOKUP($M582,'TBGS PER CTN'!B:C,2,0),0)</f>
        <v/>
      </c>
      <c r="P582" s="26" t="n">
        <v>1417</v>
      </c>
      <c r="Q582" s="26" t="n">
        <v>0</v>
      </c>
      <c r="R582" s="26" t="n">
        <v>0</v>
      </c>
      <c r="S582" s="26">
        <f>Q582+R582</f>
        <v/>
      </c>
      <c r="T582" s="29" t="n">
        <v>1417</v>
      </c>
      <c r="U582" s="29">
        <f>N582*O582*T582</f>
        <v/>
      </c>
      <c r="V582" s="82">
        <f>IF(ISNUMBER($D582),$D582-WEEKDAY($D582,3),'ORDER VS WEEK DISTRIBUTION'!$G$500)</f>
        <v/>
      </c>
      <c r="W582" s="82">
        <f>MAX($V582,'ORDER VS WEEK DISTRIBUTION'!$G$500)</f>
        <v/>
      </c>
      <c r="X582" s="26">
        <f>IFERROR(VLOOKUP($J582,'ORDER VS WEEK DISTRIBUTION'!$T:$U,2,0),"")</f>
        <v/>
      </c>
      <c r="Y582" s="26">
        <f>IFERROR($T582/IF(IFERROR(VLOOKUP($I582,'ITEM CFC PER CONTAINER'!$A:$B,2,0),0)&gt;0,VLOOKUP($I582,'ITEM CFC PER CONTAINER'!$A:$B,2,0),VLOOKUP($X582,'MC MASTER'!$A:$Q,16,0)),"")</f>
        <v/>
      </c>
    </row>
    <row r="583" ht="15" customHeight="1" s="5">
      <c r="A583" s="26" t="inlineStr">
        <is>
          <t>RBW HARDEEVILLE, SC</t>
        </is>
      </c>
      <c r="B583" s="26" t="inlineStr">
        <is>
          <t>MJIL/SO/26023809</t>
        </is>
      </c>
      <c r="C583" s="26" t="inlineStr">
        <is>
          <t>NOV SHPT - 2 - 20 ASST &amp; 100 BLACK</t>
        </is>
      </c>
      <c r="D583" s="82" t="n">
        <v>46337</v>
      </c>
      <c r="E583" s="83">
        <f>IF(ISNUMBER($D583),EOMONTH($D583,-1)+1,"")</f>
        <v/>
      </c>
      <c r="F583" s="82" t="n">
        <v>46337</v>
      </c>
      <c r="G583" s="26" t="n">
        <v>37685</v>
      </c>
      <c r="H583" s="26">
        <f>B583&amp;I583</f>
        <v/>
      </c>
      <c r="I583" s="26" t="inlineStr">
        <is>
          <t>BARISSIMO BLACK TEA 6/100 DC TAG TBGS</t>
        </is>
      </c>
      <c r="J583" s="26" t="inlineStr">
        <is>
          <t>PERFACTA TAG</t>
        </is>
      </c>
      <c r="K583" s="26">
        <f>J583&amp;"-"&amp;TEXT(W583,"dd-mmm-yy")</f>
        <v/>
      </c>
      <c r="L583" s="26">
        <f>IFERROR(VLOOKUP($M583,'ITEM MASTER'!E:H,4,0),"")</f>
        <v/>
      </c>
      <c r="M583" s="26">
        <f>IFERROR(VLOOKUP($I583,'ITEM MASTER'!B:E,4,0),"")</f>
        <v/>
      </c>
      <c r="N583" s="26">
        <f>IFERROR(VLOOKUP($I583,'ITEM MASTER'!B:F,5,0),0)</f>
        <v/>
      </c>
      <c r="O583" s="26">
        <f>IFERROR(VLOOKUP($M583,'TBGS PER CTN'!B:C,2,0),0)</f>
        <v/>
      </c>
      <c r="P583" s="26" t="n">
        <v>2000</v>
      </c>
      <c r="Q583" s="26" t="n">
        <v>0</v>
      </c>
      <c r="R583" s="26" t="n">
        <v>0</v>
      </c>
      <c r="S583" s="26">
        <f>Q583+R583</f>
        <v/>
      </c>
      <c r="T583" s="29" t="n">
        <v>2000</v>
      </c>
      <c r="U583" s="29">
        <f>N583*O583*T583</f>
        <v/>
      </c>
      <c r="V583" s="82">
        <f>IF(ISNUMBER($D583),$D583-WEEKDAY($D583,3),'ORDER VS WEEK DISTRIBUTION'!$G$500)</f>
        <v/>
      </c>
      <c r="W583" s="82">
        <f>MAX($V583,'ORDER VS WEEK DISTRIBUTION'!$G$500)</f>
        <v/>
      </c>
      <c r="X583" s="26">
        <f>IFERROR(VLOOKUP($J583,'ORDER VS WEEK DISTRIBUTION'!$T:$U,2,0),"")</f>
        <v/>
      </c>
      <c r="Y583" s="26">
        <f>IFERROR($T583/IF(IFERROR(VLOOKUP($I583,'ITEM CFC PER CONTAINER'!$A:$B,2,0),0)&gt;0,VLOOKUP($I583,'ITEM CFC PER CONTAINER'!$A:$B,2,0),VLOOKUP($X583,'MC MASTER'!$A:$Q,16,0)),"")</f>
        <v/>
      </c>
    </row>
    <row r="584" ht="15" customHeight="1" s="5">
      <c r="A584" s="26" t="inlineStr">
        <is>
          <t>RBW HARDEEVILLE, SC</t>
        </is>
      </c>
      <c r="B584" s="26" t="inlineStr">
        <is>
          <t>MJIL/SO/26023809</t>
        </is>
      </c>
      <c r="C584" s="26" t="inlineStr">
        <is>
          <t>NOV SHPT - 2 - 20 ASST &amp; 100 BLACK</t>
        </is>
      </c>
      <c r="D584" s="82" t="n">
        <v>46337</v>
      </c>
      <c r="E584" s="83">
        <f>IF(ISNUMBER($D584),EOMONTH($D584,-1)+1,"")</f>
        <v/>
      </c>
      <c r="F584" s="82" t="n">
        <v>46337</v>
      </c>
      <c r="G584" s="26" t="n">
        <v>37682</v>
      </c>
      <c r="H584" s="26">
        <f>B584&amp;I584</f>
        <v/>
      </c>
      <c r="I584" s="26" t="inlineStr">
        <is>
          <t>BARISSIMO GREEN TEA COLLECTIONS 12/20 DC SF ENV TBGS</t>
        </is>
      </c>
      <c r="J584" s="26" t="inlineStr">
        <is>
          <t>C250-A</t>
        </is>
      </c>
      <c r="K584" s="26">
        <f>J584&amp;"-"&amp;TEXT(W584,"dd-mmm-yy")</f>
        <v/>
      </c>
      <c r="L584" s="26">
        <f>IFERROR(VLOOKUP($M584,'ITEM MASTER'!E:H,4,0),"")</f>
        <v/>
      </c>
      <c r="M584" s="26">
        <f>IFERROR(VLOOKUP($I584,'ITEM MASTER'!B:E,4,0),"")</f>
        <v/>
      </c>
      <c r="N584" s="26">
        <f>IFERROR(VLOOKUP($I584,'ITEM MASTER'!B:F,5,0),0)</f>
        <v/>
      </c>
      <c r="O584" s="26">
        <f>IFERROR(VLOOKUP($M584,'TBGS PER CTN'!B:C,2,0),0)</f>
        <v/>
      </c>
      <c r="P584" s="26" t="n">
        <v>1000</v>
      </c>
      <c r="Q584" s="26" t="n">
        <v>0</v>
      </c>
      <c r="R584" s="26" t="n">
        <v>0</v>
      </c>
      <c r="S584" s="26">
        <f>Q584+R584</f>
        <v/>
      </c>
      <c r="T584" s="29" t="n">
        <v>1000</v>
      </c>
      <c r="U584" s="29">
        <f>N584*O584*T584</f>
        <v/>
      </c>
      <c r="V584" s="82">
        <f>IF(ISNUMBER($D584),$D584-WEEKDAY($D584,3),'ORDER VS WEEK DISTRIBUTION'!$G$500)</f>
        <v/>
      </c>
      <c r="W584" s="82">
        <f>MAX($V584,'ORDER VS WEEK DISTRIBUTION'!$G$500)</f>
        <v/>
      </c>
      <c r="X584" s="26">
        <f>IFERROR(VLOOKUP($J584,'ORDER VS WEEK DISTRIBUTION'!$T:$U,2,0),"")</f>
        <v/>
      </c>
      <c r="Y584" s="26">
        <f>IFERROR($T584/IF(IFERROR(VLOOKUP($I584,'ITEM CFC PER CONTAINER'!$A:$B,2,0),0)&gt;0,VLOOKUP($I584,'ITEM CFC PER CONTAINER'!$A:$B,2,0),VLOOKUP($X584,'MC MASTER'!$A:$Q,16,0)),"")</f>
        <v/>
      </c>
    </row>
    <row r="585" ht="15" customHeight="1" s="5">
      <c r="A585" s="26" t="inlineStr">
        <is>
          <t>RBW HARDEEVILLE, SC</t>
        </is>
      </c>
      <c r="B585" s="26" t="inlineStr">
        <is>
          <t>MJIL/SO/26023809</t>
        </is>
      </c>
      <c r="C585" s="26" t="inlineStr">
        <is>
          <t>NOV SHPT - 2 - 20 ASST &amp; 100 BLACK</t>
        </is>
      </c>
      <c r="D585" s="82" t="n">
        <v>46337</v>
      </c>
      <c r="E585" s="83">
        <f>IF(ISNUMBER($D585),EOMONTH($D585,-1)+1,"")</f>
        <v/>
      </c>
      <c r="F585" s="82" t="n">
        <v>46337</v>
      </c>
      <c r="G585" s="26" t="n">
        <v>37683</v>
      </c>
      <c r="H585" s="26">
        <f>B585&amp;I585</f>
        <v/>
      </c>
      <c r="I585" s="26" t="inlineStr">
        <is>
          <t>BARISSIMO BLACK TEA COLLECTIONS 12/20 DC SF ENV TBGS</t>
        </is>
      </c>
      <c r="J585" s="26" t="inlineStr">
        <is>
          <t>C250 AF</t>
        </is>
      </c>
      <c r="K585" s="26">
        <f>J585&amp;"-"&amp;TEXT(W585,"dd-mmm-yy")</f>
        <v/>
      </c>
      <c r="L585" s="26">
        <f>IFERROR(VLOOKUP($M585,'ITEM MASTER'!E:H,4,0),"")</f>
        <v/>
      </c>
      <c r="M585" s="26">
        <f>IFERROR(VLOOKUP($I585,'ITEM MASTER'!B:E,4,0),"")</f>
        <v/>
      </c>
      <c r="N585" s="26">
        <f>IFERROR(VLOOKUP($I585,'ITEM MASTER'!B:F,5,0),0)</f>
        <v/>
      </c>
      <c r="O585" s="26">
        <f>IFERROR(VLOOKUP($M585,'TBGS PER CTN'!B:C,2,0),0)</f>
        <v/>
      </c>
      <c r="P585" s="26" t="n">
        <v>500</v>
      </c>
      <c r="Q585" s="26" t="n">
        <v>0</v>
      </c>
      <c r="R585" s="26" t="n">
        <v>0</v>
      </c>
      <c r="S585" s="26">
        <f>Q585+R585</f>
        <v/>
      </c>
      <c r="T585" s="29" t="n">
        <v>500</v>
      </c>
      <c r="U585" s="29">
        <f>N585*O585*T585</f>
        <v/>
      </c>
      <c r="V585" s="82">
        <f>IF(ISNUMBER($D585),$D585-WEEKDAY($D585,3),'ORDER VS WEEK DISTRIBUTION'!$G$500)</f>
        <v/>
      </c>
      <c r="W585" s="82">
        <f>MAX($V585,'ORDER VS WEEK DISTRIBUTION'!$G$500)</f>
        <v/>
      </c>
      <c r="X585" s="26">
        <f>IFERROR(VLOOKUP($J585,'ORDER VS WEEK DISTRIBUTION'!$T:$U,2,0),"")</f>
        <v/>
      </c>
      <c r="Y585" s="26">
        <f>IFERROR($T585/IF(IFERROR(VLOOKUP($I585,'ITEM CFC PER CONTAINER'!$A:$B,2,0),0)&gt;0,VLOOKUP($I585,'ITEM CFC PER CONTAINER'!$A:$B,2,0),VLOOKUP($X585,'MC MASTER'!$A:$Q,16,0)),"")</f>
        <v/>
      </c>
    </row>
    <row r="586" ht="15" customHeight="1" s="5">
      <c r="A586" s="26" t="inlineStr">
        <is>
          <t>RBW HARDEEVILLE, SC</t>
        </is>
      </c>
      <c r="B586" s="26" t="inlineStr">
        <is>
          <t>MJIL/SO/26023809</t>
        </is>
      </c>
      <c r="C586" s="26" t="inlineStr">
        <is>
          <t>NOV SHPT - 2 - 20 ASST &amp; 100 BLACK</t>
        </is>
      </c>
      <c r="D586" s="82" t="n">
        <v>46337</v>
      </c>
      <c r="E586" s="83">
        <f>IF(ISNUMBER($D586),EOMONTH($D586,-1)+1,"")</f>
        <v/>
      </c>
      <c r="F586" s="82" t="n">
        <v>46337</v>
      </c>
      <c r="G586" s="26" t="n">
        <v>37684</v>
      </c>
      <c r="H586" s="26">
        <f>B586&amp;I586</f>
        <v/>
      </c>
      <c r="I586" s="26" t="inlineStr">
        <is>
          <t>BARISSIMO HERBAL TEA COLLECTIONS 12/20 DC SF ENV TBGS</t>
        </is>
      </c>
      <c r="J586" s="26" t="inlineStr">
        <is>
          <t>C250 AF</t>
        </is>
      </c>
      <c r="K586" s="26">
        <f>J586&amp;"-"&amp;TEXT(W586,"dd-mmm-yy")</f>
        <v/>
      </c>
      <c r="L586" s="26">
        <f>IFERROR(VLOOKUP($M586,'ITEM MASTER'!E:H,4,0),"")</f>
        <v/>
      </c>
      <c r="M586" s="26">
        <f>IFERROR(VLOOKUP($I586,'ITEM MASTER'!B:E,4,0),"")</f>
        <v/>
      </c>
      <c r="N586" s="26">
        <f>IFERROR(VLOOKUP($I586,'ITEM MASTER'!B:F,5,0),0)</f>
        <v/>
      </c>
      <c r="O586" s="26">
        <f>IFERROR(VLOOKUP($M586,'TBGS PER CTN'!B:C,2,0),0)</f>
        <v/>
      </c>
      <c r="P586" s="26" t="n">
        <v>1417</v>
      </c>
      <c r="Q586" s="26" t="n">
        <v>0</v>
      </c>
      <c r="R586" s="26" t="n">
        <v>0</v>
      </c>
      <c r="S586" s="26">
        <f>Q586+R586</f>
        <v/>
      </c>
      <c r="T586" s="29" t="n">
        <v>1417</v>
      </c>
      <c r="U586" s="29">
        <f>N586*O586*T586</f>
        <v/>
      </c>
      <c r="V586" s="82">
        <f>IF(ISNUMBER($D586),$D586-WEEKDAY($D586,3),'ORDER VS WEEK DISTRIBUTION'!$G$500)</f>
        <v/>
      </c>
      <c r="W586" s="82">
        <f>MAX($V586,'ORDER VS WEEK DISTRIBUTION'!$G$500)</f>
        <v/>
      </c>
      <c r="X586" s="26">
        <f>IFERROR(VLOOKUP($J586,'ORDER VS WEEK DISTRIBUTION'!$T:$U,2,0),"")</f>
        <v/>
      </c>
      <c r="Y586" s="26">
        <f>IFERROR($T586/IF(IFERROR(VLOOKUP($I586,'ITEM CFC PER CONTAINER'!$A:$B,2,0),0)&gt;0,VLOOKUP($I586,'ITEM CFC PER CONTAINER'!$A:$B,2,0),VLOOKUP($X586,'MC MASTER'!$A:$Q,16,0)),"")</f>
        <v/>
      </c>
    </row>
    <row r="587" ht="15" customHeight="1" s="5">
      <c r="A587" s="26" t="inlineStr">
        <is>
          <t>RBW HARDEEVILLE, SC</t>
        </is>
      </c>
      <c r="B587" s="26" t="inlineStr">
        <is>
          <t>MJIL/SO/26023810</t>
        </is>
      </c>
      <c r="C587" s="26" t="inlineStr">
        <is>
          <t>NOV SHPT - 3 - 20 ASST &amp; 100 BLACK</t>
        </is>
      </c>
      <c r="D587" s="82" t="n">
        <v>46342</v>
      </c>
      <c r="E587" s="83">
        <f>IF(ISNUMBER($D587),EOMONTH($D587,-1)+1,"")</f>
        <v/>
      </c>
      <c r="F587" s="82" t="n">
        <v>46342</v>
      </c>
      <c r="G587" s="26" t="n">
        <v>37685</v>
      </c>
      <c r="H587" s="26">
        <f>B587&amp;I587</f>
        <v/>
      </c>
      <c r="I587" s="26" t="inlineStr">
        <is>
          <t>BARISSIMO BLACK TEA 6/100 DC TAG TBGS</t>
        </is>
      </c>
      <c r="J587" s="26" t="inlineStr">
        <is>
          <t>PERFACTA TAG</t>
        </is>
      </c>
      <c r="K587" s="26">
        <f>J587&amp;"-"&amp;TEXT(W587,"dd-mmm-yy")</f>
        <v/>
      </c>
      <c r="L587" s="26">
        <f>IFERROR(VLOOKUP($M587,'ITEM MASTER'!E:H,4,0),"")</f>
        <v/>
      </c>
      <c r="M587" s="26">
        <f>IFERROR(VLOOKUP($I587,'ITEM MASTER'!B:E,4,0),"")</f>
        <v/>
      </c>
      <c r="N587" s="26">
        <f>IFERROR(VLOOKUP($I587,'ITEM MASTER'!B:F,5,0),0)</f>
        <v/>
      </c>
      <c r="O587" s="26">
        <f>IFERROR(VLOOKUP($M587,'TBGS PER CTN'!B:C,2,0),0)</f>
        <v/>
      </c>
      <c r="P587" s="26" t="n">
        <v>2000</v>
      </c>
      <c r="Q587" s="26" t="n">
        <v>0</v>
      </c>
      <c r="R587" s="26" t="n">
        <v>0</v>
      </c>
      <c r="S587" s="26">
        <f>Q587+R587</f>
        <v/>
      </c>
      <c r="T587" s="29" t="n">
        <v>2000</v>
      </c>
      <c r="U587" s="29">
        <f>N587*O587*T587</f>
        <v/>
      </c>
      <c r="V587" s="82">
        <f>IF(ISNUMBER($D587),$D587-WEEKDAY($D587,3),'ORDER VS WEEK DISTRIBUTION'!$G$500)</f>
        <v/>
      </c>
      <c r="W587" s="82">
        <f>MAX($V587,'ORDER VS WEEK DISTRIBUTION'!$G$500)</f>
        <v/>
      </c>
      <c r="X587" s="26">
        <f>IFERROR(VLOOKUP($J587,'ORDER VS WEEK DISTRIBUTION'!$T:$U,2,0),"")</f>
        <v/>
      </c>
      <c r="Y587" s="26">
        <f>IFERROR($T587/IF(IFERROR(VLOOKUP($I587,'ITEM CFC PER CONTAINER'!$A:$B,2,0),0)&gt;0,VLOOKUP($I587,'ITEM CFC PER CONTAINER'!$A:$B,2,0),VLOOKUP($X587,'MC MASTER'!$A:$Q,16,0)),"")</f>
        <v/>
      </c>
    </row>
    <row r="588" ht="15" customHeight="1" s="5">
      <c r="A588" s="26" t="inlineStr">
        <is>
          <t>RBW HARDEEVILLE, SC</t>
        </is>
      </c>
      <c r="B588" s="26" t="inlineStr">
        <is>
          <t>MJIL/SO/26023810</t>
        </is>
      </c>
      <c r="C588" s="26" t="inlineStr">
        <is>
          <t>NOV SHPT - 3 - 20 ASST &amp; 100 BLACK</t>
        </is>
      </c>
      <c r="D588" s="82" t="n">
        <v>46342</v>
      </c>
      <c r="E588" s="83">
        <f>IF(ISNUMBER($D588),EOMONTH($D588,-1)+1,"")</f>
        <v/>
      </c>
      <c r="F588" s="82" t="n">
        <v>46342</v>
      </c>
      <c r="G588" s="26" t="n">
        <v>37682</v>
      </c>
      <c r="H588" s="26">
        <f>B588&amp;I588</f>
        <v/>
      </c>
      <c r="I588" s="26" t="inlineStr">
        <is>
          <t>BARISSIMO GREEN TEA COLLECTIONS 12/20 DC SF ENV TBGS</t>
        </is>
      </c>
      <c r="J588" s="26" t="inlineStr">
        <is>
          <t>C250-A</t>
        </is>
      </c>
      <c r="K588" s="26">
        <f>J588&amp;"-"&amp;TEXT(W588,"dd-mmm-yy")</f>
        <v/>
      </c>
      <c r="L588" s="26">
        <f>IFERROR(VLOOKUP($M588,'ITEM MASTER'!E:H,4,0),"")</f>
        <v/>
      </c>
      <c r="M588" s="26">
        <f>IFERROR(VLOOKUP($I588,'ITEM MASTER'!B:E,4,0),"")</f>
        <v/>
      </c>
      <c r="N588" s="26">
        <f>IFERROR(VLOOKUP($I588,'ITEM MASTER'!B:F,5,0),0)</f>
        <v/>
      </c>
      <c r="O588" s="26">
        <f>IFERROR(VLOOKUP($M588,'TBGS PER CTN'!B:C,2,0),0)</f>
        <v/>
      </c>
      <c r="P588" s="26" t="n">
        <v>1000</v>
      </c>
      <c r="Q588" s="26" t="n">
        <v>0</v>
      </c>
      <c r="R588" s="26" t="n">
        <v>0</v>
      </c>
      <c r="S588" s="26">
        <f>Q588+R588</f>
        <v/>
      </c>
      <c r="T588" s="29" t="n">
        <v>1000</v>
      </c>
      <c r="U588" s="29">
        <f>N588*O588*T588</f>
        <v/>
      </c>
      <c r="V588" s="82">
        <f>IF(ISNUMBER($D588),$D588-WEEKDAY($D588,3),'ORDER VS WEEK DISTRIBUTION'!$G$500)</f>
        <v/>
      </c>
      <c r="W588" s="82">
        <f>MAX($V588,'ORDER VS WEEK DISTRIBUTION'!$G$500)</f>
        <v/>
      </c>
      <c r="X588" s="26">
        <f>IFERROR(VLOOKUP($J588,'ORDER VS WEEK DISTRIBUTION'!$T:$U,2,0),"")</f>
        <v/>
      </c>
      <c r="Y588" s="26">
        <f>IFERROR($T588/IF(IFERROR(VLOOKUP($I588,'ITEM CFC PER CONTAINER'!$A:$B,2,0),0)&gt;0,VLOOKUP($I588,'ITEM CFC PER CONTAINER'!$A:$B,2,0),VLOOKUP($X588,'MC MASTER'!$A:$Q,16,0)),"")</f>
        <v/>
      </c>
    </row>
    <row r="589" ht="15" customHeight="1" s="5">
      <c r="A589" s="26" t="inlineStr">
        <is>
          <t>RBW HARDEEVILLE, SC</t>
        </is>
      </c>
      <c r="B589" s="26" t="inlineStr">
        <is>
          <t>MJIL/SO/26023810</t>
        </is>
      </c>
      <c r="C589" s="26" t="inlineStr">
        <is>
          <t>NOV SHPT - 3 - 20 ASST &amp; 100 BLACK</t>
        </is>
      </c>
      <c r="D589" s="82" t="n">
        <v>46342</v>
      </c>
      <c r="E589" s="83">
        <f>IF(ISNUMBER($D589),EOMONTH($D589,-1)+1,"")</f>
        <v/>
      </c>
      <c r="F589" s="82" t="n">
        <v>46342</v>
      </c>
      <c r="G589" s="26" t="n">
        <v>37683</v>
      </c>
      <c r="H589" s="26">
        <f>B589&amp;I589</f>
        <v/>
      </c>
      <c r="I589" s="26" t="inlineStr">
        <is>
          <t>BARISSIMO BLACK TEA COLLECTIONS 12/20 DC SF ENV TBGS</t>
        </is>
      </c>
      <c r="J589" s="26" t="inlineStr">
        <is>
          <t>C250 AF</t>
        </is>
      </c>
      <c r="K589" s="26">
        <f>J589&amp;"-"&amp;TEXT(W589,"dd-mmm-yy")</f>
        <v/>
      </c>
      <c r="L589" s="26">
        <f>IFERROR(VLOOKUP($M589,'ITEM MASTER'!E:H,4,0),"")</f>
        <v/>
      </c>
      <c r="M589" s="26">
        <f>IFERROR(VLOOKUP($I589,'ITEM MASTER'!B:E,4,0),"")</f>
        <v/>
      </c>
      <c r="N589" s="26">
        <f>IFERROR(VLOOKUP($I589,'ITEM MASTER'!B:F,5,0),0)</f>
        <v/>
      </c>
      <c r="O589" s="26">
        <f>IFERROR(VLOOKUP($M589,'TBGS PER CTN'!B:C,2,0),0)</f>
        <v/>
      </c>
      <c r="P589" s="26" t="n">
        <v>500</v>
      </c>
      <c r="Q589" s="26" t="n">
        <v>0</v>
      </c>
      <c r="R589" s="26" t="n">
        <v>0</v>
      </c>
      <c r="S589" s="26">
        <f>Q589+R589</f>
        <v/>
      </c>
      <c r="T589" s="29" t="n">
        <v>500</v>
      </c>
      <c r="U589" s="29">
        <f>N589*O589*T589</f>
        <v/>
      </c>
      <c r="V589" s="82">
        <f>IF(ISNUMBER($D589),$D589-WEEKDAY($D589,3),'ORDER VS WEEK DISTRIBUTION'!$G$500)</f>
        <v/>
      </c>
      <c r="W589" s="82">
        <f>MAX($V589,'ORDER VS WEEK DISTRIBUTION'!$G$500)</f>
        <v/>
      </c>
      <c r="X589" s="26">
        <f>IFERROR(VLOOKUP($J589,'ORDER VS WEEK DISTRIBUTION'!$T:$U,2,0),"")</f>
        <v/>
      </c>
      <c r="Y589" s="26">
        <f>IFERROR($T589/IF(IFERROR(VLOOKUP($I589,'ITEM CFC PER CONTAINER'!$A:$B,2,0),0)&gt;0,VLOOKUP($I589,'ITEM CFC PER CONTAINER'!$A:$B,2,0),VLOOKUP($X589,'MC MASTER'!$A:$Q,16,0)),"")</f>
        <v/>
      </c>
    </row>
    <row r="590" ht="15" customHeight="1" s="5">
      <c r="A590" s="26" t="inlineStr">
        <is>
          <t>RBW HARDEEVILLE, SC</t>
        </is>
      </c>
      <c r="B590" s="26" t="inlineStr">
        <is>
          <t>MJIL/SO/26023810</t>
        </is>
      </c>
      <c r="C590" s="26" t="inlineStr">
        <is>
          <t>NOV SHPT - 3 - 20 ASST &amp; 100 BLACK</t>
        </is>
      </c>
      <c r="D590" s="82" t="n">
        <v>46342</v>
      </c>
      <c r="E590" s="83">
        <f>IF(ISNUMBER($D590),EOMONTH($D590,-1)+1,"")</f>
        <v/>
      </c>
      <c r="F590" s="82" t="n">
        <v>46342</v>
      </c>
      <c r="G590" s="26" t="n">
        <v>37684</v>
      </c>
      <c r="H590" s="26">
        <f>B590&amp;I590</f>
        <v/>
      </c>
      <c r="I590" s="26" t="inlineStr">
        <is>
          <t>BARISSIMO HERBAL TEA COLLECTIONS 12/20 DC SF ENV TBGS</t>
        </is>
      </c>
      <c r="J590" s="26" t="inlineStr">
        <is>
          <t>C250 AF</t>
        </is>
      </c>
      <c r="K590" s="26">
        <f>J590&amp;"-"&amp;TEXT(W590,"dd-mmm-yy")</f>
        <v/>
      </c>
      <c r="L590" s="26">
        <f>IFERROR(VLOOKUP($M590,'ITEM MASTER'!E:H,4,0),"")</f>
        <v/>
      </c>
      <c r="M590" s="26">
        <f>IFERROR(VLOOKUP($I590,'ITEM MASTER'!B:E,4,0),"")</f>
        <v/>
      </c>
      <c r="N590" s="26">
        <f>IFERROR(VLOOKUP($I590,'ITEM MASTER'!B:F,5,0),0)</f>
        <v/>
      </c>
      <c r="O590" s="26">
        <f>IFERROR(VLOOKUP($M590,'TBGS PER CTN'!B:C,2,0),0)</f>
        <v/>
      </c>
      <c r="P590" s="26" t="n">
        <v>1417</v>
      </c>
      <c r="Q590" s="26" t="n">
        <v>0</v>
      </c>
      <c r="R590" s="26" t="n">
        <v>0</v>
      </c>
      <c r="S590" s="26">
        <f>Q590+R590</f>
        <v/>
      </c>
      <c r="T590" s="29" t="n">
        <v>1417</v>
      </c>
      <c r="U590" s="29">
        <f>N590*O590*T590</f>
        <v/>
      </c>
      <c r="V590" s="82">
        <f>IF(ISNUMBER($D590),$D590-WEEKDAY($D590,3),'ORDER VS WEEK DISTRIBUTION'!$G$500)</f>
        <v/>
      </c>
      <c r="W590" s="82">
        <f>MAX($V590,'ORDER VS WEEK DISTRIBUTION'!$G$500)</f>
        <v/>
      </c>
      <c r="X590" s="26">
        <f>IFERROR(VLOOKUP($J590,'ORDER VS WEEK DISTRIBUTION'!$T:$U,2,0),"")</f>
        <v/>
      </c>
      <c r="Y590" s="26">
        <f>IFERROR($T590/IF(IFERROR(VLOOKUP($I590,'ITEM CFC PER CONTAINER'!$A:$B,2,0),0)&gt;0,VLOOKUP($I590,'ITEM CFC PER CONTAINER'!$A:$B,2,0),VLOOKUP($X590,'MC MASTER'!$A:$Q,16,0)),"")</f>
        <v/>
      </c>
    </row>
    <row r="591" ht="15" customHeight="1" s="5">
      <c r="A591" s="26" t="inlineStr">
        <is>
          <t>RBW HARDEEVILLE, SC</t>
        </is>
      </c>
      <c r="B591" s="26" t="inlineStr">
        <is>
          <t>MJIL/SO/26023811</t>
        </is>
      </c>
      <c r="C591" s="26" t="inlineStr">
        <is>
          <t>NOV SHPT - 4 - 20 ASST &amp; 100 BLACK</t>
        </is>
      </c>
      <c r="D591" s="82" t="n">
        <v>46344</v>
      </c>
      <c r="E591" s="83">
        <f>IF(ISNUMBER($D591),EOMONTH($D591,-1)+1,"")</f>
        <v/>
      </c>
      <c r="F591" s="82" t="n">
        <v>46344</v>
      </c>
      <c r="G591" s="26" t="n">
        <v>37685</v>
      </c>
      <c r="H591" s="26">
        <f>B591&amp;I591</f>
        <v/>
      </c>
      <c r="I591" s="26" t="inlineStr">
        <is>
          <t>BARISSIMO BLACK TEA 6/100 DC TAG TBGS</t>
        </is>
      </c>
      <c r="J591" s="26" t="inlineStr">
        <is>
          <t>PERFACTA TAG</t>
        </is>
      </c>
      <c r="K591" s="26">
        <f>J591&amp;"-"&amp;TEXT(W591,"dd-mmm-yy")</f>
        <v/>
      </c>
      <c r="L591" s="26">
        <f>IFERROR(VLOOKUP($M591,'ITEM MASTER'!E:H,4,0),"")</f>
        <v/>
      </c>
      <c r="M591" s="26">
        <f>IFERROR(VLOOKUP($I591,'ITEM MASTER'!B:E,4,0),"")</f>
        <v/>
      </c>
      <c r="N591" s="26">
        <f>IFERROR(VLOOKUP($I591,'ITEM MASTER'!B:F,5,0),0)</f>
        <v/>
      </c>
      <c r="O591" s="26">
        <f>IFERROR(VLOOKUP($M591,'TBGS PER CTN'!B:C,2,0),0)</f>
        <v/>
      </c>
      <c r="P591" s="26" t="n">
        <v>2000</v>
      </c>
      <c r="Q591" s="26" t="n">
        <v>0</v>
      </c>
      <c r="R591" s="26" t="n">
        <v>0</v>
      </c>
      <c r="S591" s="26">
        <f>Q591+R591</f>
        <v/>
      </c>
      <c r="T591" s="29" t="n">
        <v>2000</v>
      </c>
      <c r="U591" s="29">
        <f>N591*O591*T591</f>
        <v/>
      </c>
      <c r="V591" s="82">
        <f>IF(ISNUMBER($D591),$D591-WEEKDAY($D591,3),'ORDER VS WEEK DISTRIBUTION'!$G$500)</f>
        <v/>
      </c>
      <c r="W591" s="82">
        <f>MAX($V591,'ORDER VS WEEK DISTRIBUTION'!$G$500)</f>
        <v/>
      </c>
      <c r="X591" s="26">
        <f>IFERROR(VLOOKUP($J591,'ORDER VS WEEK DISTRIBUTION'!$T:$U,2,0),"")</f>
        <v/>
      </c>
      <c r="Y591" s="26">
        <f>IFERROR($T591/IF(IFERROR(VLOOKUP($I591,'ITEM CFC PER CONTAINER'!$A:$B,2,0),0)&gt;0,VLOOKUP($I591,'ITEM CFC PER CONTAINER'!$A:$B,2,0),VLOOKUP($X591,'MC MASTER'!$A:$Q,16,0)),"")</f>
        <v/>
      </c>
    </row>
    <row r="592" ht="15" customHeight="1" s="5">
      <c r="A592" s="26" t="inlineStr">
        <is>
          <t>RBW HARDEEVILLE, SC</t>
        </is>
      </c>
      <c r="B592" s="26" t="inlineStr">
        <is>
          <t>MJIL/SO/26023811</t>
        </is>
      </c>
      <c r="C592" s="26" t="inlineStr">
        <is>
          <t>NOV SHPT - 4 - 20 ASST &amp; 100 BLACK</t>
        </is>
      </c>
      <c r="D592" s="82" t="n">
        <v>46344</v>
      </c>
      <c r="E592" s="83">
        <f>IF(ISNUMBER($D592),EOMONTH($D592,-1)+1,"")</f>
        <v/>
      </c>
      <c r="F592" s="82" t="n">
        <v>46344</v>
      </c>
      <c r="G592" s="26" t="n">
        <v>37682</v>
      </c>
      <c r="H592" s="26">
        <f>B592&amp;I592</f>
        <v/>
      </c>
      <c r="I592" s="26" t="inlineStr">
        <is>
          <t>BARISSIMO GREEN TEA COLLECTIONS 12/20 DC SF ENV TBGS</t>
        </is>
      </c>
      <c r="J592" s="26" t="inlineStr">
        <is>
          <t>C250-A</t>
        </is>
      </c>
      <c r="K592" s="26">
        <f>J592&amp;"-"&amp;TEXT(W592,"dd-mmm-yy")</f>
        <v/>
      </c>
      <c r="L592" s="26">
        <f>IFERROR(VLOOKUP($M592,'ITEM MASTER'!E:H,4,0),"")</f>
        <v/>
      </c>
      <c r="M592" s="26">
        <f>IFERROR(VLOOKUP($I592,'ITEM MASTER'!B:E,4,0),"")</f>
        <v/>
      </c>
      <c r="N592" s="26">
        <f>IFERROR(VLOOKUP($I592,'ITEM MASTER'!B:F,5,0),0)</f>
        <v/>
      </c>
      <c r="O592" s="26">
        <f>IFERROR(VLOOKUP($M592,'TBGS PER CTN'!B:C,2,0),0)</f>
        <v/>
      </c>
      <c r="P592" s="26" t="n">
        <v>1000</v>
      </c>
      <c r="Q592" s="26" t="n">
        <v>0</v>
      </c>
      <c r="R592" s="26" t="n">
        <v>0</v>
      </c>
      <c r="S592" s="26">
        <f>Q592+R592</f>
        <v/>
      </c>
      <c r="T592" s="29" t="n">
        <v>1000</v>
      </c>
      <c r="U592" s="29">
        <f>N592*O592*T592</f>
        <v/>
      </c>
      <c r="V592" s="82">
        <f>IF(ISNUMBER($D592),$D592-WEEKDAY($D592,3),'ORDER VS WEEK DISTRIBUTION'!$G$500)</f>
        <v/>
      </c>
      <c r="W592" s="82">
        <f>MAX($V592,'ORDER VS WEEK DISTRIBUTION'!$G$500)</f>
        <v/>
      </c>
      <c r="X592" s="26">
        <f>IFERROR(VLOOKUP($J592,'ORDER VS WEEK DISTRIBUTION'!$T:$U,2,0),"")</f>
        <v/>
      </c>
      <c r="Y592" s="26">
        <f>IFERROR($T592/IF(IFERROR(VLOOKUP($I592,'ITEM CFC PER CONTAINER'!$A:$B,2,0),0)&gt;0,VLOOKUP($I592,'ITEM CFC PER CONTAINER'!$A:$B,2,0),VLOOKUP($X592,'MC MASTER'!$A:$Q,16,0)),"")</f>
        <v/>
      </c>
    </row>
    <row r="593" ht="15" customHeight="1" s="5">
      <c r="A593" s="26" t="inlineStr">
        <is>
          <t>RBW HARDEEVILLE, SC</t>
        </is>
      </c>
      <c r="B593" s="26" t="inlineStr">
        <is>
          <t>MJIL/SO/26023811</t>
        </is>
      </c>
      <c r="C593" s="26" t="inlineStr">
        <is>
          <t>NOV SHPT - 4 - 20 ASST &amp; 100 BLACK</t>
        </is>
      </c>
      <c r="D593" s="82" t="n">
        <v>46344</v>
      </c>
      <c r="E593" s="83">
        <f>IF(ISNUMBER($D593),EOMONTH($D593,-1)+1,"")</f>
        <v/>
      </c>
      <c r="F593" s="82" t="n">
        <v>46344</v>
      </c>
      <c r="G593" s="26" t="n">
        <v>37683</v>
      </c>
      <c r="H593" s="26">
        <f>B593&amp;I593</f>
        <v/>
      </c>
      <c r="I593" s="26" t="inlineStr">
        <is>
          <t>BARISSIMO BLACK TEA COLLECTIONS 12/20 DC SF ENV TBGS</t>
        </is>
      </c>
      <c r="J593" s="26" t="inlineStr">
        <is>
          <t>C250 AF</t>
        </is>
      </c>
      <c r="K593" s="26">
        <f>J593&amp;"-"&amp;TEXT(W593,"dd-mmm-yy")</f>
        <v/>
      </c>
      <c r="L593" s="26">
        <f>IFERROR(VLOOKUP($M593,'ITEM MASTER'!E:H,4,0),"")</f>
        <v/>
      </c>
      <c r="M593" s="26">
        <f>IFERROR(VLOOKUP($I593,'ITEM MASTER'!B:E,4,0),"")</f>
        <v/>
      </c>
      <c r="N593" s="26">
        <f>IFERROR(VLOOKUP($I593,'ITEM MASTER'!B:F,5,0),0)</f>
        <v/>
      </c>
      <c r="O593" s="26">
        <f>IFERROR(VLOOKUP($M593,'TBGS PER CTN'!B:C,2,0),0)</f>
        <v/>
      </c>
      <c r="P593" s="26" t="n">
        <v>500</v>
      </c>
      <c r="Q593" s="26" t="n">
        <v>0</v>
      </c>
      <c r="R593" s="26" t="n">
        <v>0</v>
      </c>
      <c r="S593" s="26">
        <f>Q593+R593</f>
        <v/>
      </c>
      <c r="T593" s="29" t="n">
        <v>500</v>
      </c>
      <c r="U593" s="29">
        <f>N593*O593*T593</f>
        <v/>
      </c>
      <c r="V593" s="82">
        <f>IF(ISNUMBER($D593),$D593-WEEKDAY($D593,3),'ORDER VS WEEK DISTRIBUTION'!$G$500)</f>
        <v/>
      </c>
      <c r="W593" s="82">
        <f>MAX($V593,'ORDER VS WEEK DISTRIBUTION'!$G$500)</f>
        <v/>
      </c>
      <c r="X593" s="26">
        <f>IFERROR(VLOOKUP($J593,'ORDER VS WEEK DISTRIBUTION'!$T:$U,2,0),"")</f>
        <v/>
      </c>
      <c r="Y593" s="26">
        <f>IFERROR($T593/IF(IFERROR(VLOOKUP($I593,'ITEM CFC PER CONTAINER'!$A:$B,2,0),0)&gt;0,VLOOKUP($I593,'ITEM CFC PER CONTAINER'!$A:$B,2,0),VLOOKUP($X593,'MC MASTER'!$A:$Q,16,0)),"")</f>
        <v/>
      </c>
    </row>
    <row r="594" ht="15" customHeight="1" s="5">
      <c r="A594" s="26" t="inlineStr">
        <is>
          <t>RBW HARDEEVILLE, SC</t>
        </is>
      </c>
      <c r="B594" s="26" t="inlineStr">
        <is>
          <t>MJIL/SO/26023811</t>
        </is>
      </c>
      <c r="C594" s="26" t="inlineStr">
        <is>
          <t>NOV SHPT - 4 - 20 ASST &amp; 100 BLACK</t>
        </is>
      </c>
      <c r="D594" s="82" t="n">
        <v>46344</v>
      </c>
      <c r="E594" s="83">
        <f>IF(ISNUMBER($D594),EOMONTH($D594,-1)+1,"")</f>
        <v/>
      </c>
      <c r="F594" s="82" t="n">
        <v>46344</v>
      </c>
      <c r="G594" s="26" t="n">
        <v>37684</v>
      </c>
      <c r="H594" s="26">
        <f>B594&amp;I594</f>
        <v/>
      </c>
      <c r="I594" s="26" t="inlineStr">
        <is>
          <t>BARISSIMO HERBAL TEA COLLECTIONS 12/20 DC SF ENV TBGS</t>
        </is>
      </c>
      <c r="J594" s="26" t="inlineStr">
        <is>
          <t>C250 AF</t>
        </is>
      </c>
      <c r="K594" s="26">
        <f>J594&amp;"-"&amp;TEXT(W594,"dd-mmm-yy")</f>
        <v/>
      </c>
      <c r="L594" s="26">
        <f>IFERROR(VLOOKUP($M594,'ITEM MASTER'!E:H,4,0),"")</f>
        <v/>
      </c>
      <c r="M594" s="26">
        <f>IFERROR(VLOOKUP($I594,'ITEM MASTER'!B:E,4,0),"")</f>
        <v/>
      </c>
      <c r="N594" s="26">
        <f>IFERROR(VLOOKUP($I594,'ITEM MASTER'!B:F,5,0),0)</f>
        <v/>
      </c>
      <c r="O594" s="26">
        <f>IFERROR(VLOOKUP($M594,'TBGS PER CTN'!B:C,2,0),0)</f>
        <v/>
      </c>
      <c r="P594" s="26" t="n">
        <v>1417</v>
      </c>
      <c r="Q594" s="26" t="n">
        <v>0</v>
      </c>
      <c r="R594" s="26" t="n">
        <v>0</v>
      </c>
      <c r="S594" s="26">
        <f>Q594+R594</f>
        <v/>
      </c>
      <c r="T594" s="29" t="n">
        <v>1417</v>
      </c>
      <c r="U594" s="29">
        <f>N594*O594*T594</f>
        <v/>
      </c>
      <c r="V594" s="82">
        <f>IF(ISNUMBER($D594),$D594-WEEKDAY($D594,3),'ORDER VS WEEK DISTRIBUTION'!$G$500)</f>
        <v/>
      </c>
      <c r="W594" s="82">
        <f>MAX($V594,'ORDER VS WEEK DISTRIBUTION'!$G$500)</f>
        <v/>
      </c>
      <c r="X594" s="26">
        <f>IFERROR(VLOOKUP($J594,'ORDER VS WEEK DISTRIBUTION'!$T:$U,2,0),"")</f>
        <v/>
      </c>
      <c r="Y594" s="26">
        <f>IFERROR($T594/IF(IFERROR(VLOOKUP($I594,'ITEM CFC PER CONTAINER'!$A:$B,2,0),0)&gt;0,VLOOKUP($I594,'ITEM CFC PER CONTAINER'!$A:$B,2,0),VLOOKUP($X594,'MC MASTER'!$A:$Q,16,0)),"")</f>
        <v/>
      </c>
    </row>
    <row r="595" ht="15" customHeight="1" s="5">
      <c r="A595" s="26" t="inlineStr">
        <is>
          <t>RBW HARDEEVILLE, SC</t>
        </is>
      </c>
      <c r="B595" s="26" t="inlineStr">
        <is>
          <t>MJIL/SO/26023812</t>
        </is>
      </c>
      <c r="C595" s="26" t="inlineStr">
        <is>
          <t>NOV SHPT - 5 - 20 ASST &amp; 100 BLACK</t>
        </is>
      </c>
      <c r="D595" s="82" t="n">
        <v>46349</v>
      </c>
      <c r="E595" s="83">
        <f>IF(ISNUMBER($D595),EOMONTH($D595,-1)+1,"")</f>
        <v/>
      </c>
      <c r="F595" s="82" t="n">
        <v>46349</v>
      </c>
      <c r="G595" s="26" t="n">
        <v>37685</v>
      </c>
      <c r="H595" s="26">
        <f>B595&amp;I595</f>
        <v/>
      </c>
      <c r="I595" s="26" t="inlineStr">
        <is>
          <t>BARISSIMO BLACK TEA 6/100 DC TAG TBGS</t>
        </is>
      </c>
      <c r="J595" s="26" t="inlineStr">
        <is>
          <t>PERFACTA TAG</t>
        </is>
      </c>
      <c r="K595" s="26">
        <f>J595&amp;"-"&amp;TEXT(W595,"dd-mmm-yy")</f>
        <v/>
      </c>
      <c r="L595" s="26">
        <f>IFERROR(VLOOKUP($M595,'ITEM MASTER'!E:H,4,0),"")</f>
        <v/>
      </c>
      <c r="M595" s="26">
        <f>IFERROR(VLOOKUP($I595,'ITEM MASTER'!B:E,4,0),"")</f>
        <v/>
      </c>
      <c r="N595" s="26">
        <f>IFERROR(VLOOKUP($I595,'ITEM MASTER'!B:F,5,0),0)</f>
        <v/>
      </c>
      <c r="O595" s="26">
        <f>IFERROR(VLOOKUP($M595,'TBGS PER CTN'!B:C,2,0),0)</f>
        <v/>
      </c>
      <c r="P595" s="26" t="n">
        <v>2000</v>
      </c>
      <c r="Q595" s="26" t="n">
        <v>0</v>
      </c>
      <c r="R595" s="26" t="n">
        <v>0</v>
      </c>
      <c r="S595" s="26">
        <f>Q595+R595</f>
        <v/>
      </c>
      <c r="T595" s="29" t="n">
        <v>2000</v>
      </c>
      <c r="U595" s="29">
        <f>N595*O595*T595</f>
        <v/>
      </c>
      <c r="V595" s="82">
        <f>IF(ISNUMBER($D595),$D595-WEEKDAY($D595,3),'ORDER VS WEEK DISTRIBUTION'!$G$500)</f>
        <v/>
      </c>
      <c r="W595" s="82">
        <f>MAX($V595,'ORDER VS WEEK DISTRIBUTION'!$G$500)</f>
        <v/>
      </c>
      <c r="X595" s="26">
        <f>IFERROR(VLOOKUP($J595,'ORDER VS WEEK DISTRIBUTION'!$T:$U,2,0),"")</f>
        <v/>
      </c>
      <c r="Y595" s="26">
        <f>IFERROR($T595/IF(IFERROR(VLOOKUP($I595,'ITEM CFC PER CONTAINER'!$A:$B,2,0),0)&gt;0,VLOOKUP($I595,'ITEM CFC PER CONTAINER'!$A:$B,2,0),VLOOKUP($X595,'MC MASTER'!$A:$Q,16,0)),"")</f>
        <v/>
      </c>
    </row>
    <row r="596" ht="15" customHeight="1" s="5">
      <c r="A596" s="26" t="inlineStr">
        <is>
          <t>RBW HARDEEVILLE, SC</t>
        </is>
      </c>
      <c r="B596" s="26" t="inlineStr">
        <is>
          <t>MJIL/SO/26023812</t>
        </is>
      </c>
      <c r="C596" s="26" t="inlineStr">
        <is>
          <t>NOV SHPT - 5 - 20 ASST &amp; 100 BLACK</t>
        </is>
      </c>
      <c r="D596" s="82" t="n">
        <v>46349</v>
      </c>
      <c r="E596" s="83">
        <f>IF(ISNUMBER($D596),EOMONTH($D596,-1)+1,"")</f>
        <v/>
      </c>
      <c r="F596" s="82" t="n">
        <v>46349</v>
      </c>
      <c r="G596" s="26" t="n">
        <v>37682</v>
      </c>
      <c r="H596" s="26">
        <f>B596&amp;I596</f>
        <v/>
      </c>
      <c r="I596" s="26" t="inlineStr">
        <is>
          <t>BARISSIMO GREEN TEA COLLECTIONS 12/20 DC SF ENV TBGS</t>
        </is>
      </c>
      <c r="J596" s="26" t="inlineStr">
        <is>
          <t>C250-A</t>
        </is>
      </c>
      <c r="K596" s="26">
        <f>J596&amp;"-"&amp;TEXT(W596,"dd-mmm-yy")</f>
        <v/>
      </c>
      <c r="L596" s="26">
        <f>IFERROR(VLOOKUP($M596,'ITEM MASTER'!E:H,4,0),"")</f>
        <v/>
      </c>
      <c r="M596" s="26">
        <f>IFERROR(VLOOKUP($I596,'ITEM MASTER'!B:E,4,0),"")</f>
        <v/>
      </c>
      <c r="N596" s="26">
        <f>IFERROR(VLOOKUP($I596,'ITEM MASTER'!B:F,5,0),0)</f>
        <v/>
      </c>
      <c r="O596" s="26">
        <f>IFERROR(VLOOKUP($M596,'TBGS PER CTN'!B:C,2,0),0)</f>
        <v/>
      </c>
      <c r="P596" s="26" t="n">
        <v>1000</v>
      </c>
      <c r="Q596" s="26" t="n">
        <v>0</v>
      </c>
      <c r="R596" s="26" t="n">
        <v>0</v>
      </c>
      <c r="S596" s="26">
        <f>Q596+R596</f>
        <v/>
      </c>
      <c r="T596" s="29" t="n">
        <v>1000</v>
      </c>
      <c r="U596" s="29">
        <f>N596*O596*T596</f>
        <v/>
      </c>
      <c r="V596" s="82">
        <f>IF(ISNUMBER($D596),$D596-WEEKDAY($D596,3),'ORDER VS WEEK DISTRIBUTION'!$G$500)</f>
        <v/>
      </c>
      <c r="W596" s="82">
        <f>MAX($V596,'ORDER VS WEEK DISTRIBUTION'!$G$500)</f>
        <v/>
      </c>
      <c r="X596" s="26">
        <f>IFERROR(VLOOKUP($J596,'ORDER VS WEEK DISTRIBUTION'!$T:$U,2,0),"")</f>
        <v/>
      </c>
      <c r="Y596" s="26">
        <f>IFERROR($T596/IF(IFERROR(VLOOKUP($I596,'ITEM CFC PER CONTAINER'!$A:$B,2,0),0)&gt;0,VLOOKUP($I596,'ITEM CFC PER CONTAINER'!$A:$B,2,0),VLOOKUP($X596,'MC MASTER'!$A:$Q,16,0)),"")</f>
        <v/>
      </c>
    </row>
    <row r="597" ht="15" customHeight="1" s="5">
      <c r="A597" s="26" t="inlineStr">
        <is>
          <t>RBW HARDEEVILLE, SC</t>
        </is>
      </c>
      <c r="B597" s="26" t="inlineStr">
        <is>
          <t>MJIL/SO/26023812</t>
        </is>
      </c>
      <c r="C597" s="26" t="inlineStr">
        <is>
          <t>NOV SHPT - 5 - 20 ASST &amp; 100 BLACK</t>
        </is>
      </c>
      <c r="D597" s="82" t="n">
        <v>46349</v>
      </c>
      <c r="E597" s="83">
        <f>IF(ISNUMBER($D597),EOMONTH($D597,-1)+1,"")</f>
        <v/>
      </c>
      <c r="F597" s="82" t="n">
        <v>46349</v>
      </c>
      <c r="G597" s="26" t="n">
        <v>37683</v>
      </c>
      <c r="H597" s="26">
        <f>B597&amp;I597</f>
        <v/>
      </c>
      <c r="I597" s="26" t="inlineStr">
        <is>
          <t>BARISSIMO BLACK TEA COLLECTIONS 12/20 DC SF ENV TBGS</t>
        </is>
      </c>
      <c r="J597" s="26" t="inlineStr">
        <is>
          <t>C250 AF</t>
        </is>
      </c>
      <c r="K597" s="26">
        <f>J597&amp;"-"&amp;TEXT(W597,"dd-mmm-yy")</f>
        <v/>
      </c>
      <c r="L597" s="26">
        <f>IFERROR(VLOOKUP($M597,'ITEM MASTER'!E:H,4,0),"")</f>
        <v/>
      </c>
      <c r="M597" s="26">
        <f>IFERROR(VLOOKUP($I597,'ITEM MASTER'!B:E,4,0),"")</f>
        <v/>
      </c>
      <c r="N597" s="26">
        <f>IFERROR(VLOOKUP($I597,'ITEM MASTER'!B:F,5,0),0)</f>
        <v/>
      </c>
      <c r="O597" s="26">
        <f>IFERROR(VLOOKUP($M597,'TBGS PER CTN'!B:C,2,0),0)</f>
        <v/>
      </c>
      <c r="P597" s="26" t="n">
        <v>500</v>
      </c>
      <c r="Q597" s="26" t="n">
        <v>0</v>
      </c>
      <c r="R597" s="26" t="n">
        <v>0</v>
      </c>
      <c r="S597" s="26">
        <f>Q597+R597</f>
        <v/>
      </c>
      <c r="T597" s="29" t="n">
        <v>500</v>
      </c>
      <c r="U597" s="29">
        <f>N597*O597*T597</f>
        <v/>
      </c>
      <c r="V597" s="82">
        <f>IF(ISNUMBER($D597),$D597-WEEKDAY($D597,3),'ORDER VS WEEK DISTRIBUTION'!$G$500)</f>
        <v/>
      </c>
      <c r="W597" s="82">
        <f>MAX($V597,'ORDER VS WEEK DISTRIBUTION'!$G$500)</f>
        <v/>
      </c>
      <c r="X597" s="26">
        <f>IFERROR(VLOOKUP($J597,'ORDER VS WEEK DISTRIBUTION'!$T:$U,2,0),"")</f>
        <v/>
      </c>
      <c r="Y597" s="26">
        <f>IFERROR($T597/IF(IFERROR(VLOOKUP($I597,'ITEM CFC PER CONTAINER'!$A:$B,2,0),0)&gt;0,VLOOKUP($I597,'ITEM CFC PER CONTAINER'!$A:$B,2,0),VLOOKUP($X597,'MC MASTER'!$A:$Q,16,0)),"")</f>
        <v/>
      </c>
    </row>
    <row r="598" ht="15" customHeight="1" s="5">
      <c r="A598" s="26" t="inlineStr">
        <is>
          <t>RBW HARDEEVILLE, SC</t>
        </is>
      </c>
      <c r="B598" s="26" t="inlineStr">
        <is>
          <t>MJIL/SO/26023812</t>
        </is>
      </c>
      <c r="C598" s="26" t="inlineStr">
        <is>
          <t>NOV SHPT - 5 - 20 ASST &amp; 100 BLACK</t>
        </is>
      </c>
      <c r="D598" s="82" t="n">
        <v>46349</v>
      </c>
      <c r="E598" s="83">
        <f>IF(ISNUMBER($D598),EOMONTH($D598,-1)+1,"")</f>
        <v/>
      </c>
      <c r="F598" s="82" t="n">
        <v>46349</v>
      </c>
      <c r="G598" s="26" t="n">
        <v>37684</v>
      </c>
      <c r="H598" s="26">
        <f>B598&amp;I598</f>
        <v/>
      </c>
      <c r="I598" s="26" t="inlineStr">
        <is>
          <t>BARISSIMO HERBAL TEA COLLECTIONS 12/20 DC SF ENV TBGS</t>
        </is>
      </c>
      <c r="J598" s="26" t="inlineStr">
        <is>
          <t>C250 AF</t>
        </is>
      </c>
      <c r="K598" s="26">
        <f>J598&amp;"-"&amp;TEXT(W598,"dd-mmm-yy")</f>
        <v/>
      </c>
      <c r="L598" s="26">
        <f>IFERROR(VLOOKUP($M598,'ITEM MASTER'!E:H,4,0),"")</f>
        <v/>
      </c>
      <c r="M598" s="26">
        <f>IFERROR(VLOOKUP($I598,'ITEM MASTER'!B:E,4,0),"")</f>
        <v/>
      </c>
      <c r="N598" s="26">
        <f>IFERROR(VLOOKUP($I598,'ITEM MASTER'!B:F,5,0),0)</f>
        <v/>
      </c>
      <c r="O598" s="26">
        <f>IFERROR(VLOOKUP($M598,'TBGS PER CTN'!B:C,2,0),0)</f>
        <v/>
      </c>
      <c r="P598" s="26" t="n">
        <v>1417</v>
      </c>
      <c r="Q598" s="26" t="n">
        <v>0</v>
      </c>
      <c r="R598" s="26" t="n">
        <v>0</v>
      </c>
      <c r="S598" s="26">
        <f>Q598+R598</f>
        <v/>
      </c>
      <c r="T598" s="29" t="n">
        <v>1417</v>
      </c>
      <c r="U598" s="29">
        <f>N598*O598*T598</f>
        <v/>
      </c>
      <c r="V598" s="82">
        <f>IF(ISNUMBER($D598),$D598-WEEKDAY($D598,3),'ORDER VS WEEK DISTRIBUTION'!$G$500)</f>
        <v/>
      </c>
      <c r="W598" s="82">
        <f>MAX($V598,'ORDER VS WEEK DISTRIBUTION'!$G$500)</f>
        <v/>
      </c>
      <c r="X598" s="26">
        <f>IFERROR(VLOOKUP($J598,'ORDER VS WEEK DISTRIBUTION'!$T:$U,2,0),"")</f>
        <v/>
      </c>
      <c r="Y598" s="26">
        <f>IFERROR($T598/IF(IFERROR(VLOOKUP($I598,'ITEM CFC PER CONTAINER'!$A:$B,2,0),0)&gt;0,VLOOKUP($I598,'ITEM CFC PER CONTAINER'!$A:$B,2,0),VLOOKUP($X598,'MC MASTER'!$A:$Q,16,0)),"")</f>
        <v/>
      </c>
    </row>
    <row r="599" ht="15" customHeight="1" s="5">
      <c r="A599" s="26" t="inlineStr">
        <is>
          <t>RBW HARDEEVILLE, SC</t>
        </is>
      </c>
      <c r="B599" s="26" t="inlineStr">
        <is>
          <t>MJIL/SO/26023813</t>
        </is>
      </c>
      <c r="C599" s="26" t="inlineStr">
        <is>
          <t>NOV SHPT - 6 - 20 ASST &amp; 100 BLACK</t>
        </is>
      </c>
      <c r="D599" s="82" t="n">
        <v>46351</v>
      </c>
      <c r="E599" s="83">
        <f>IF(ISNUMBER($D599),EOMONTH($D599,-1)+1,"")</f>
        <v/>
      </c>
      <c r="F599" s="82" t="n">
        <v>46351</v>
      </c>
      <c r="G599" s="26" t="n">
        <v>37685</v>
      </c>
      <c r="H599" s="26">
        <f>B599&amp;I599</f>
        <v/>
      </c>
      <c r="I599" s="26" t="inlineStr">
        <is>
          <t>BARISSIMO BLACK TEA 6/100 DC TAG TBGS</t>
        </is>
      </c>
      <c r="J599" s="26" t="inlineStr">
        <is>
          <t>PERFACTA TAG</t>
        </is>
      </c>
      <c r="K599" s="26">
        <f>J599&amp;"-"&amp;TEXT(W599,"dd-mmm-yy")</f>
        <v/>
      </c>
      <c r="L599" s="26">
        <f>IFERROR(VLOOKUP($M599,'ITEM MASTER'!E:H,4,0),"")</f>
        <v/>
      </c>
      <c r="M599" s="26">
        <f>IFERROR(VLOOKUP($I599,'ITEM MASTER'!B:E,4,0),"")</f>
        <v/>
      </c>
      <c r="N599" s="26">
        <f>IFERROR(VLOOKUP($I599,'ITEM MASTER'!B:F,5,0),0)</f>
        <v/>
      </c>
      <c r="O599" s="26">
        <f>IFERROR(VLOOKUP($M599,'TBGS PER CTN'!B:C,2,0),0)</f>
        <v/>
      </c>
      <c r="P599" s="26" t="n">
        <v>2000</v>
      </c>
      <c r="Q599" s="26" t="n">
        <v>0</v>
      </c>
      <c r="R599" s="26" t="n">
        <v>0</v>
      </c>
      <c r="S599" s="26">
        <f>Q599+R599</f>
        <v/>
      </c>
      <c r="T599" s="29" t="n">
        <v>2000</v>
      </c>
      <c r="U599" s="29">
        <f>N599*O599*T599</f>
        <v/>
      </c>
      <c r="V599" s="82">
        <f>IF(ISNUMBER($D599),$D599-WEEKDAY($D599,3),'ORDER VS WEEK DISTRIBUTION'!$G$500)</f>
        <v/>
      </c>
      <c r="W599" s="82">
        <f>MAX($V599,'ORDER VS WEEK DISTRIBUTION'!$G$500)</f>
        <v/>
      </c>
      <c r="X599" s="26">
        <f>IFERROR(VLOOKUP($J599,'ORDER VS WEEK DISTRIBUTION'!$T:$U,2,0),"")</f>
        <v/>
      </c>
      <c r="Y599" s="26">
        <f>IFERROR($T599/IF(IFERROR(VLOOKUP($I599,'ITEM CFC PER CONTAINER'!$A:$B,2,0),0)&gt;0,VLOOKUP($I599,'ITEM CFC PER CONTAINER'!$A:$B,2,0),VLOOKUP($X599,'MC MASTER'!$A:$Q,16,0)),"")</f>
        <v/>
      </c>
    </row>
    <row r="600" ht="15" customHeight="1" s="5">
      <c r="A600" s="26" t="inlineStr">
        <is>
          <t>RBW HARDEEVILLE, SC</t>
        </is>
      </c>
      <c r="B600" s="26" t="inlineStr">
        <is>
          <t>MJIL/SO/26023813</t>
        </is>
      </c>
      <c r="C600" s="26" t="inlineStr">
        <is>
          <t>NOV SHPT - 6 - 20 ASST &amp; 100 BLACK</t>
        </is>
      </c>
      <c r="D600" s="82" t="n">
        <v>46351</v>
      </c>
      <c r="E600" s="83">
        <f>IF(ISNUMBER($D600),EOMONTH($D600,-1)+1,"")</f>
        <v/>
      </c>
      <c r="F600" s="82" t="n">
        <v>46351</v>
      </c>
      <c r="G600" s="26" t="n">
        <v>37682</v>
      </c>
      <c r="H600" s="26">
        <f>B600&amp;I600</f>
        <v/>
      </c>
      <c r="I600" s="26" t="inlineStr">
        <is>
          <t>BARISSIMO GREEN TEA COLLECTIONS 12/20 DC SF ENV TBGS</t>
        </is>
      </c>
      <c r="J600" s="26" t="inlineStr">
        <is>
          <t>C250-A</t>
        </is>
      </c>
      <c r="K600" s="26">
        <f>J600&amp;"-"&amp;TEXT(W600,"dd-mmm-yy")</f>
        <v/>
      </c>
      <c r="L600" s="26">
        <f>IFERROR(VLOOKUP($M600,'ITEM MASTER'!E:H,4,0),"")</f>
        <v/>
      </c>
      <c r="M600" s="26">
        <f>IFERROR(VLOOKUP($I600,'ITEM MASTER'!B:E,4,0),"")</f>
        <v/>
      </c>
      <c r="N600" s="26">
        <f>IFERROR(VLOOKUP($I600,'ITEM MASTER'!B:F,5,0),0)</f>
        <v/>
      </c>
      <c r="O600" s="26">
        <f>IFERROR(VLOOKUP($M600,'TBGS PER CTN'!B:C,2,0),0)</f>
        <v/>
      </c>
      <c r="P600" s="26" t="n">
        <v>1000</v>
      </c>
      <c r="Q600" s="26" t="n">
        <v>0</v>
      </c>
      <c r="R600" s="26" t="n">
        <v>0</v>
      </c>
      <c r="S600" s="26">
        <f>Q600+R600</f>
        <v/>
      </c>
      <c r="T600" s="29" t="n">
        <v>1000</v>
      </c>
      <c r="U600" s="29">
        <f>N600*O600*T600</f>
        <v/>
      </c>
      <c r="V600" s="82">
        <f>IF(ISNUMBER($D600),$D600-WEEKDAY($D600,3),'ORDER VS WEEK DISTRIBUTION'!$G$500)</f>
        <v/>
      </c>
      <c r="W600" s="82">
        <f>MAX($V600,'ORDER VS WEEK DISTRIBUTION'!$G$500)</f>
        <v/>
      </c>
      <c r="X600" s="26">
        <f>IFERROR(VLOOKUP($J600,'ORDER VS WEEK DISTRIBUTION'!$T:$U,2,0),"")</f>
        <v/>
      </c>
      <c r="Y600" s="26">
        <f>IFERROR($T600/IF(IFERROR(VLOOKUP($I600,'ITEM CFC PER CONTAINER'!$A:$B,2,0),0)&gt;0,VLOOKUP($I600,'ITEM CFC PER CONTAINER'!$A:$B,2,0),VLOOKUP($X600,'MC MASTER'!$A:$Q,16,0)),"")</f>
        <v/>
      </c>
    </row>
    <row r="601" ht="15" customHeight="1" s="5">
      <c r="A601" s="26" t="inlineStr">
        <is>
          <t>RBW HARDEEVILLE, SC</t>
        </is>
      </c>
      <c r="B601" s="26" t="inlineStr">
        <is>
          <t>MJIL/SO/26023813</t>
        </is>
      </c>
      <c r="C601" s="26" t="inlineStr">
        <is>
          <t>NOV SHPT - 6 - 20 ASST &amp; 100 BLACK</t>
        </is>
      </c>
      <c r="D601" s="82" t="n">
        <v>46351</v>
      </c>
      <c r="E601" s="83">
        <f>IF(ISNUMBER($D601),EOMONTH($D601,-1)+1,"")</f>
        <v/>
      </c>
      <c r="F601" s="82" t="n">
        <v>46351</v>
      </c>
      <c r="G601" s="26" t="n">
        <v>37683</v>
      </c>
      <c r="H601" s="26">
        <f>B601&amp;I601</f>
        <v/>
      </c>
      <c r="I601" s="26" t="inlineStr">
        <is>
          <t>BARISSIMO BLACK TEA COLLECTIONS 12/20 DC SF ENV TBGS</t>
        </is>
      </c>
      <c r="J601" s="26" t="inlineStr">
        <is>
          <t>C250 AF</t>
        </is>
      </c>
      <c r="K601" s="26">
        <f>J601&amp;"-"&amp;TEXT(W601,"dd-mmm-yy")</f>
        <v/>
      </c>
      <c r="L601" s="26">
        <f>IFERROR(VLOOKUP($M601,'ITEM MASTER'!E:H,4,0),"")</f>
        <v/>
      </c>
      <c r="M601" s="26">
        <f>IFERROR(VLOOKUP($I601,'ITEM MASTER'!B:E,4,0),"")</f>
        <v/>
      </c>
      <c r="N601" s="26">
        <f>IFERROR(VLOOKUP($I601,'ITEM MASTER'!B:F,5,0),0)</f>
        <v/>
      </c>
      <c r="O601" s="26">
        <f>IFERROR(VLOOKUP($M601,'TBGS PER CTN'!B:C,2,0),0)</f>
        <v/>
      </c>
      <c r="P601" s="26" t="n">
        <v>500</v>
      </c>
      <c r="Q601" s="26" t="n">
        <v>0</v>
      </c>
      <c r="R601" s="26" t="n">
        <v>0</v>
      </c>
      <c r="S601" s="26">
        <f>Q601+R601</f>
        <v/>
      </c>
      <c r="T601" s="29" t="n">
        <v>500</v>
      </c>
      <c r="U601" s="29">
        <f>N601*O601*T601</f>
        <v/>
      </c>
      <c r="V601" s="82">
        <f>IF(ISNUMBER($D601),$D601-WEEKDAY($D601,3),'ORDER VS WEEK DISTRIBUTION'!$G$500)</f>
        <v/>
      </c>
      <c r="W601" s="82">
        <f>MAX($V601,'ORDER VS WEEK DISTRIBUTION'!$G$500)</f>
        <v/>
      </c>
      <c r="X601" s="26">
        <f>IFERROR(VLOOKUP($J601,'ORDER VS WEEK DISTRIBUTION'!$T:$U,2,0),"")</f>
        <v/>
      </c>
      <c r="Y601" s="26">
        <f>IFERROR($T601/IF(IFERROR(VLOOKUP($I601,'ITEM CFC PER CONTAINER'!$A:$B,2,0),0)&gt;0,VLOOKUP($I601,'ITEM CFC PER CONTAINER'!$A:$B,2,0),VLOOKUP($X601,'MC MASTER'!$A:$Q,16,0)),"")</f>
        <v/>
      </c>
    </row>
    <row r="602" ht="15" customHeight="1" s="5">
      <c r="A602" s="26" t="inlineStr">
        <is>
          <t>RBW HARDEEVILLE, SC</t>
        </is>
      </c>
      <c r="B602" s="26" t="inlineStr">
        <is>
          <t>MJIL/SO/26023813</t>
        </is>
      </c>
      <c r="C602" s="26" t="inlineStr">
        <is>
          <t>NOV SHPT - 6 - 20 ASST &amp; 100 BLACK</t>
        </is>
      </c>
      <c r="D602" s="82" t="n">
        <v>46351</v>
      </c>
      <c r="E602" s="83">
        <f>IF(ISNUMBER($D602),EOMONTH($D602,-1)+1,"")</f>
        <v/>
      </c>
      <c r="F602" s="82" t="n">
        <v>46351</v>
      </c>
      <c r="G602" s="26" t="n">
        <v>37684</v>
      </c>
      <c r="H602" s="26">
        <f>B602&amp;I602</f>
        <v/>
      </c>
      <c r="I602" s="26" t="inlineStr">
        <is>
          <t>BARISSIMO HERBAL TEA COLLECTIONS 12/20 DC SF ENV TBGS</t>
        </is>
      </c>
      <c r="J602" s="26" t="inlineStr">
        <is>
          <t>C250 AF</t>
        </is>
      </c>
      <c r="K602" s="26">
        <f>J602&amp;"-"&amp;TEXT(W602,"dd-mmm-yy")</f>
        <v/>
      </c>
      <c r="L602" s="26">
        <f>IFERROR(VLOOKUP($M602,'ITEM MASTER'!E:H,4,0),"")</f>
        <v/>
      </c>
      <c r="M602" s="26">
        <f>IFERROR(VLOOKUP($I602,'ITEM MASTER'!B:E,4,0),"")</f>
        <v/>
      </c>
      <c r="N602" s="26">
        <f>IFERROR(VLOOKUP($I602,'ITEM MASTER'!B:F,5,0),0)</f>
        <v/>
      </c>
      <c r="O602" s="26">
        <f>IFERROR(VLOOKUP($M602,'TBGS PER CTN'!B:C,2,0),0)</f>
        <v/>
      </c>
      <c r="P602" s="26" t="n">
        <v>1415</v>
      </c>
      <c r="Q602" s="26" t="n">
        <v>0</v>
      </c>
      <c r="R602" s="26" t="n">
        <v>0</v>
      </c>
      <c r="S602" s="26">
        <f>Q602+R602</f>
        <v/>
      </c>
      <c r="T602" s="29" t="n">
        <v>1415</v>
      </c>
      <c r="U602" s="29">
        <f>N602*O602*T602</f>
        <v/>
      </c>
      <c r="V602" s="82">
        <f>IF(ISNUMBER($D602),$D602-WEEKDAY($D602,3),'ORDER VS WEEK DISTRIBUTION'!$G$500)</f>
        <v/>
      </c>
      <c r="W602" s="82">
        <f>MAX($V602,'ORDER VS WEEK DISTRIBUTION'!$G$500)</f>
        <v/>
      </c>
      <c r="X602" s="26">
        <f>IFERROR(VLOOKUP($J602,'ORDER VS WEEK DISTRIBUTION'!$T:$U,2,0),"")</f>
        <v/>
      </c>
      <c r="Y602" s="26">
        <f>IFERROR($T602/IF(IFERROR(VLOOKUP($I602,'ITEM CFC PER CONTAINER'!$A:$B,2,0),0)&gt;0,VLOOKUP($I602,'ITEM CFC PER CONTAINER'!$A:$B,2,0),VLOOKUP($X602,'MC MASTER'!$A:$Q,16,0)),"")</f>
        <v/>
      </c>
    </row>
    <row r="603" ht="15" customHeight="1" s="5">
      <c r="A603" s="26" t="inlineStr">
        <is>
          <t>Multitrade Overseas Pte. Ltd.</t>
        </is>
      </c>
      <c r="B603" s="26" t="inlineStr">
        <is>
          <t>MJIL/SO/26047637</t>
        </is>
      </c>
      <c r="C603" s="26" t="inlineStr">
        <is>
          <t>MJ-086/26-27 / 3 (ETKAF)</t>
        </is>
      </c>
      <c r="D603" s="82" t="n">
        <v>46363</v>
      </c>
      <c r="E603" s="83">
        <f>IF(ISNUMBER($D603),EOMONTH($D603,-1)+1,"")</f>
        <v/>
      </c>
      <c r="F603" s="82" t="n">
        <v>46363</v>
      </c>
      <c r="G603" s="26" t="n">
        <v>2023</v>
      </c>
      <c r="H603" s="26">
        <f>B603&amp;I603</f>
        <v/>
      </c>
      <c r="I603" s="26" t="inlineStr">
        <is>
          <t>GV MINT 24/25 DC ENV TBGS WITH TSHIRT</t>
        </is>
      </c>
      <c r="J603" s="30" t="inlineStr">
        <is>
          <t>CONSTANTA ENV</t>
        </is>
      </c>
      <c r="K603" s="26">
        <f>J603&amp;"-"&amp;TEXT(W603,"dd-mmm-yy")</f>
        <v/>
      </c>
      <c r="L603" s="26">
        <f>IFERROR(VLOOKUP($M603,'ITEM MASTER'!E:H,4,0),"")</f>
        <v/>
      </c>
      <c r="M603" s="26">
        <f>IFERROR(VLOOKUP($I603,'ITEM MASTER'!B:E,4,0),"")</f>
        <v/>
      </c>
      <c r="N603" s="26">
        <f>IFERROR(VLOOKUP($I603,'ITEM MASTER'!B:F,5,0),0)</f>
        <v/>
      </c>
      <c r="O603" s="26">
        <f>IFERROR(VLOOKUP($M603,'TBGS PER CTN'!B:C,2,0),0)</f>
        <v/>
      </c>
      <c r="P603" s="26" t="n">
        <v>3780</v>
      </c>
      <c r="Q603" s="26" t="n">
        <v>0</v>
      </c>
      <c r="R603" s="26" t="n">
        <v>0</v>
      </c>
      <c r="S603" s="26">
        <f>Q603+R603</f>
        <v/>
      </c>
      <c r="T603" s="29" t="n">
        <v>3780</v>
      </c>
      <c r="U603" s="29">
        <f>N603*O603*T603</f>
        <v/>
      </c>
      <c r="V603" s="82">
        <f>IF(ISNUMBER($D603),$D603-WEEKDAY($D603,3),'ORDER VS WEEK DISTRIBUTION'!$G$500)</f>
        <v/>
      </c>
      <c r="W603" s="82">
        <f>MAX($V603,'ORDER VS WEEK DISTRIBUTION'!$G$500)</f>
        <v/>
      </c>
      <c r="X603" s="26">
        <f>IFERROR(VLOOKUP($J603,'ORDER VS WEEK DISTRIBUTION'!$T:$U,2,0),"")</f>
        <v/>
      </c>
      <c r="Y603" s="26">
        <f>IFERROR($T603/IF(IFERROR(VLOOKUP($I603,'ITEM CFC PER CONTAINER'!$A:$B,2,0),0)&gt;0,VLOOKUP($I603,'ITEM CFC PER CONTAINER'!$A:$B,2,0),VLOOKUP($X603,'MC MASTER'!$A:$Q,16,0)),"")</f>
        <v/>
      </c>
    </row>
    <row r="604" ht="15" customHeight="1" s="5">
      <c r="A604" s="26" t="inlineStr">
        <is>
          <t>Multitrade Overseas Pte. Ltd.</t>
        </is>
      </c>
      <c r="B604" s="26" t="inlineStr">
        <is>
          <t>MJIL/SO/26047637</t>
        </is>
      </c>
      <c r="C604" s="26" t="inlineStr">
        <is>
          <t>MJ-086/26-27 / 3 (ETKAF)</t>
        </is>
      </c>
      <c r="D604" s="82" t="n">
        <v>46363</v>
      </c>
      <c r="E604" s="83">
        <f>IF(ISNUMBER($D604),EOMONTH($D604,-1)+1,"")</f>
        <v/>
      </c>
      <c r="F604" s="82" t="n">
        <v>46363</v>
      </c>
      <c r="G604" s="26" t="n">
        <v>1933</v>
      </c>
      <c r="H604" s="26">
        <f>B604&amp;I604</f>
        <v/>
      </c>
      <c r="I604" s="26" t="inlineStr">
        <is>
          <t>GV GARDEN STRAWBERRY 24/25 DC ENV TBGS WITH TSHIRT</t>
        </is>
      </c>
      <c r="J604" s="30" t="inlineStr">
        <is>
          <t>CONSTANTA ENV</t>
        </is>
      </c>
      <c r="K604" s="26">
        <f>J604&amp;"-"&amp;TEXT(W604,"dd-mmm-yy")</f>
        <v/>
      </c>
      <c r="L604" s="26">
        <f>IFERROR(VLOOKUP($M604,'ITEM MASTER'!E:H,4,0),"")</f>
        <v/>
      </c>
      <c r="M604" s="26">
        <f>IFERROR(VLOOKUP($I604,'ITEM MASTER'!B:E,4,0),"")</f>
        <v/>
      </c>
      <c r="N604" s="26">
        <f>IFERROR(VLOOKUP($I604,'ITEM MASTER'!B:F,5,0),0)</f>
        <v/>
      </c>
      <c r="O604" s="26">
        <f>IFERROR(VLOOKUP($M604,'TBGS PER CTN'!B:C,2,0),0)</f>
        <v/>
      </c>
      <c r="P604" s="26" t="n">
        <v>4454</v>
      </c>
      <c r="Q604" s="26" t="n">
        <v>0</v>
      </c>
      <c r="R604" s="26" t="n">
        <v>0</v>
      </c>
      <c r="S604" s="26">
        <f>Q604+R604</f>
        <v/>
      </c>
      <c r="T604" s="29" t="n">
        <v>4454</v>
      </c>
      <c r="U604" s="29">
        <f>N604*O604*T604</f>
        <v/>
      </c>
      <c r="V604" s="82">
        <f>IF(ISNUMBER($D604),$D604-WEEKDAY($D604,3),'ORDER VS WEEK DISTRIBUTION'!$G$500)</f>
        <v/>
      </c>
      <c r="W604" s="82">
        <f>MAX($V604,'ORDER VS WEEK DISTRIBUTION'!$G$500)</f>
        <v/>
      </c>
      <c r="X604" s="26">
        <f>IFERROR(VLOOKUP($J604,'ORDER VS WEEK DISTRIBUTION'!$T:$U,2,0),"")</f>
        <v/>
      </c>
      <c r="Y604" s="26">
        <f>IFERROR($T604/IF(IFERROR(VLOOKUP($I604,'ITEM CFC PER CONTAINER'!$A:$B,2,0),0)&gt;0,VLOOKUP($I604,'ITEM CFC PER CONTAINER'!$A:$B,2,0),VLOOKUP($X604,'MC MASTER'!$A:$Q,16,0)),"")</f>
        <v/>
      </c>
    </row>
    <row r="605" ht="15" customHeight="1" s="5">
      <c r="A605" s="26" t="inlineStr">
        <is>
          <t>Multitrade Overseas Pte. Ltd.</t>
        </is>
      </c>
      <c r="B605" s="26" t="inlineStr">
        <is>
          <t>MJIL/SO/26047637</t>
        </is>
      </c>
      <c r="C605" s="26" t="inlineStr">
        <is>
          <t>MJ-086/26-27 / 3 (ETKAF)</t>
        </is>
      </c>
      <c r="D605" s="82" t="n">
        <v>46363</v>
      </c>
      <c r="E605" s="83">
        <f>IF(ISNUMBER($D605),EOMONTH($D605,-1)+1,"")</f>
        <v/>
      </c>
      <c r="F605" s="82" t="n">
        <v>46363</v>
      </c>
      <c r="G605" s="26" t="n">
        <v>2131</v>
      </c>
      <c r="H605" s="26">
        <f>B605&amp;I605</f>
        <v/>
      </c>
      <c r="I605" s="26" t="inlineStr">
        <is>
          <t>GV SPICY GINGER 24/25 DC ENV TBGS WITH TSHIRT</t>
        </is>
      </c>
      <c r="J605" s="30" t="inlineStr">
        <is>
          <t>CONSTANTA ENV</t>
        </is>
      </c>
      <c r="K605" s="26">
        <f>J605&amp;"-"&amp;TEXT(W605,"dd-mmm-yy")</f>
        <v/>
      </c>
      <c r="L605" s="26">
        <f>IFERROR(VLOOKUP($M605,'ITEM MASTER'!E:H,4,0),"")</f>
        <v/>
      </c>
      <c r="M605" s="26">
        <f>IFERROR(VLOOKUP($I605,'ITEM MASTER'!B:E,4,0),"")</f>
        <v/>
      </c>
      <c r="N605" s="26">
        <f>IFERROR(VLOOKUP($I605,'ITEM MASTER'!B:F,5,0),0)</f>
        <v/>
      </c>
      <c r="O605" s="26">
        <f>IFERROR(VLOOKUP($M605,'TBGS PER CTN'!B:C,2,0),0)</f>
        <v/>
      </c>
      <c r="P605" s="26" t="n">
        <v>3000</v>
      </c>
      <c r="Q605" s="26" t="n">
        <v>0</v>
      </c>
      <c r="R605" s="26" t="n">
        <v>0</v>
      </c>
      <c r="S605" s="26">
        <f>Q605+R605</f>
        <v/>
      </c>
      <c r="T605" s="29" t="n">
        <v>3000</v>
      </c>
      <c r="U605" s="29">
        <f>N605*O605*T605</f>
        <v/>
      </c>
      <c r="V605" s="82">
        <f>IF(ISNUMBER($D605),$D605-WEEKDAY($D605,3),'ORDER VS WEEK DISTRIBUTION'!$G$500)</f>
        <v/>
      </c>
      <c r="W605" s="82">
        <f>MAX($V605,'ORDER VS WEEK DISTRIBUTION'!$G$500)</f>
        <v/>
      </c>
      <c r="X605" s="26">
        <f>IFERROR(VLOOKUP($J605,'ORDER VS WEEK DISTRIBUTION'!$T:$U,2,0),"")</f>
        <v/>
      </c>
      <c r="Y605" s="26">
        <f>IFERROR($T605/IF(IFERROR(VLOOKUP($I605,'ITEM CFC PER CONTAINER'!$A:$B,2,0),0)&gt;0,VLOOKUP($I605,'ITEM CFC PER CONTAINER'!$A:$B,2,0),VLOOKUP($X605,'MC MASTER'!$A:$Q,16,0)),"")</f>
        <v/>
      </c>
    </row>
    <row r="606" ht="15" customHeight="1" s="5">
      <c r="A606" s="26" t="inlineStr">
        <is>
          <t>Multitrade Overseas Pte. Ltd.</t>
        </is>
      </c>
      <c r="B606" s="26" t="inlineStr">
        <is>
          <t>MJIL/SO/26047637</t>
        </is>
      </c>
      <c r="C606" s="26" t="inlineStr">
        <is>
          <t>MJ-086/26-27 / 3 (ETKAF)</t>
        </is>
      </c>
      <c r="D606" s="82" t="n">
        <v>46363</v>
      </c>
      <c r="E606" s="83">
        <f>IF(ISNUMBER($D606),EOMONTH($D606,-1)+1,"")</f>
        <v/>
      </c>
      <c r="F606" s="82" t="n">
        <v>46363</v>
      </c>
      <c r="G606" s="26" t="n">
        <v>2051</v>
      </c>
      <c r="H606" s="26">
        <f>B606&amp;I606</f>
        <v/>
      </c>
      <c r="I606" s="26" t="inlineStr">
        <is>
          <t>GV ORANGE 24/25 DC ENV TBGS WITH TSHIRT</t>
        </is>
      </c>
      <c r="J606" s="30" t="inlineStr">
        <is>
          <t>CONSTANTA ENV</t>
        </is>
      </c>
      <c r="K606" s="26">
        <f>J606&amp;"-"&amp;TEXT(W606,"dd-mmm-yy")</f>
        <v/>
      </c>
      <c r="L606" s="26">
        <f>IFERROR(VLOOKUP($M606,'ITEM MASTER'!E:H,4,0),"")</f>
        <v/>
      </c>
      <c r="M606" s="26">
        <f>IFERROR(VLOOKUP($I606,'ITEM MASTER'!B:E,4,0),"")</f>
        <v/>
      </c>
      <c r="N606" s="26">
        <f>IFERROR(VLOOKUP($I606,'ITEM MASTER'!B:F,5,0),0)</f>
        <v/>
      </c>
      <c r="O606" s="26">
        <f>IFERROR(VLOOKUP($M606,'TBGS PER CTN'!B:C,2,0),0)</f>
        <v/>
      </c>
      <c r="P606" s="26" t="n">
        <v>363</v>
      </c>
      <c r="Q606" s="26" t="n">
        <v>0</v>
      </c>
      <c r="R606" s="26" t="n">
        <v>0</v>
      </c>
      <c r="S606" s="26">
        <f>Q606+R606</f>
        <v/>
      </c>
      <c r="T606" s="29" t="n">
        <v>363</v>
      </c>
      <c r="U606" s="29">
        <f>N606*O606*T606</f>
        <v/>
      </c>
      <c r="V606" s="82">
        <f>IF(ISNUMBER($D606),$D606-WEEKDAY($D606,3),'ORDER VS WEEK DISTRIBUTION'!$G$500)</f>
        <v/>
      </c>
      <c r="W606" s="82">
        <f>MAX($V606,'ORDER VS WEEK DISTRIBUTION'!$G$500)</f>
        <v/>
      </c>
      <c r="X606" s="26">
        <f>IFERROR(VLOOKUP($J606,'ORDER VS WEEK DISTRIBUTION'!$T:$U,2,0),"")</f>
        <v/>
      </c>
      <c r="Y606" s="26">
        <f>IFERROR($T606/IF(IFERROR(VLOOKUP($I606,'ITEM CFC PER CONTAINER'!$A:$B,2,0),0)&gt;0,VLOOKUP($I606,'ITEM CFC PER CONTAINER'!$A:$B,2,0),VLOOKUP($X606,'MC MASTER'!$A:$Q,16,0)),"")</f>
        <v/>
      </c>
    </row>
    <row r="607" ht="15" customHeight="1" s="5">
      <c r="A607" s="26" t="inlineStr">
        <is>
          <t>Multitrade Overseas Pte. Ltd.</t>
        </is>
      </c>
      <c r="B607" s="26" t="inlineStr">
        <is>
          <t>MJIL/SO/26047637</t>
        </is>
      </c>
      <c r="C607" s="26" t="inlineStr">
        <is>
          <t>MJ-086/26-27 / 3 (ETKAF)</t>
        </is>
      </c>
      <c r="D607" s="82" t="n">
        <v>46363</v>
      </c>
      <c r="E607" s="83">
        <f>IF(ISNUMBER($D607),EOMONTH($D607,-1)+1,"")</f>
        <v/>
      </c>
      <c r="F607" s="82" t="n">
        <v>46363</v>
      </c>
      <c r="G607" s="26" t="n">
        <v>21810</v>
      </c>
      <c r="H607" s="26">
        <f>B607&amp;I607</f>
        <v/>
      </c>
      <c r="I607" s="26" t="inlineStr">
        <is>
          <t>GV CLOVE 24/25 DC ENV TBGS WITH TSHIRT</t>
        </is>
      </c>
      <c r="J607" s="30" t="inlineStr">
        <is>
          <t>CONSTANTA ENV</t>
        </is>
      </c>
      <c r="K607" s="26">
        <f>J607&amp;"-"&amp;TEXT(W607,"dd-mmm-yy")</f>
        <v/>
      </c>
      <c r="L607" s="26">
        <f>IFERROR(VLOOKUP($M607,'ITEM MASTER'!E:H,4,0),"")</f>
        <v/>
      </c>
      <c r="M607" s="26">
        <f>IFERROR(VLOOKUP($I607,'ITEM MASTER'!B:E,4,0),"")</f>
        <v/>
      </c>
      <c r="N607" s="26">
        <f>IFERROR(VLOOKUP($I607,'ITEM MASTER'!B:F,5,0),0)</f>
        <v/>
      </c>
      <c r="O607" s="26">
        <f>IFERROR(VLOOKUP($M607,'TBGS PER CTN'!B:C,2,0),0)</f>
        <v/>
      </c>
      <c r="P607" s="26" t="n">
        <v>271</v>
      </c>
      <c r="Q607" s="26" t="n">
        <v>0</v>
      </c>
      <c r="R607" s="26" t="n">
        <v>0</v>
      </c>
      <c r="S607" s="26">
        <f>Q607+R607</f>
        <v/>
      </c>
      <c r="T607" s="29" t="n">
        <v>271</v>
      </c>
      <c r="U607" s="29">
        <f>N607*O607*T607</f>
        <v/>
      </c>
      <c r="V607" s="82">
        <f>IF(ISNUMBER($D607),$D607-WEEKDAY($D607,3),'ORDER VS WEEK DISTRIBUTION'!$G$500)</f>
        <v/>
      </c>
      <c r="W607" s="82">
        <f>MAX($V607,'ORDER VS WEEK DISTRIBUTION'!$G$500)</f>
        <v/>
      </c>
      <c r="X607" s="26">
        <f>IFERROR(VLOOKUP($J607,'ORDER VS WEEK DISTRIBUTION'!$T:$U,2,0),"")</f>
        <v/>
      </c>
      <c r="Y607" s="26">
        <f>IFERROR($T607/IF(IFERROR(VLOOKUP($I607,'ITEM CFC PER CONTAINER'!$A:$B,2,0),0)&gt;0,VLOOKUP($I607,'ITEM CFC PER CONTAINER'!$A:$B,2,0),VLOOKUP($X607,'MC MASTER'!$A:$Q,16,0)),"")</f>
        <v/>
      </c>
    </row>
    <row r="608" ht="15" customHeight="1" s="5">
      <c r="A608" s="26" t="inlineStr">
        <is>
          <t>Multitrade Overseas Pte. Ltd.</t>
        </is>
      </c>
      <c r="B608" s="26" t="inlineStr">
        <is>
          <t>MJIL/SO/26047637</t>
        </is>
      </c>
      <c r="C608" s="26" t="inlineStr">
        <is>
          <t>MJ-086/26-27 / 3 (ETKAF)</t>
        </is>
      </c>
      <c r="D608" s="82" t="n">
        <v>46363</v>
      </c>
      <c r="E608" s="83">
        <f>IF(ISNUMBER($D608),EOMONTH($D608,-1)+1,"")</f>
        <v/>
      </c>
      <c r="F608" s="82" t="n">
        <v>46363</v>
      </c>
      <c r="G608" s="26" t="n">
        <v>2105</v>
      </c>
      <c r="H608" s="26">
        <f>B608&amp;I608</f>
        <v/>
      </c>
      <c r="I608" s="26" t="inlineStr">
        <is>
          <t>GV ROYAL LEMON 24/25 DC ENV TBGS WITH TSHIRT</t>
        </is>
      </c>
      <c r="J608" s="30" t="inlineStr">
        <is>
          <t>CONSTANTA ENV</t>
        </is>
      </c>
      <c r="K608" s="26">
        <f>J608&amp;"-"&amp;TEXT(W608,"dd-mmm-yy")</f>
        <v/>
      </c>
      <c r="L608" s="26">
        <f>IFERROR(VLOOKUP($M608,'ITEM MASTER'!E:H,4,0),"")</f>
        <v/>
      </c>
      <c r="M608" s="26">
        <f>IFERROR(VLOOKUP($I608,'ITEM MASTER'!B:E,4,0),"")</f>
        <v/>
      </c>
      <c r="N608" s="26">
        <f>IFERROR(VLOOKUP($I608,'ITEM MASTER'!B:F,5,0),0)</f>
        <v/>
      </c>
      <c r="O608" s="26">
        <f>IFERROR(VLOOKUP($M608,'TBGS PER CTN'!B:C,2,0),0)</f>
        <v/>
      </c>
      <c r="P608" s="26" t="n">
        <v>323</v>
      </c>
      <c r="Q608" s="26" t="n">
        <v>0</v>
      </c>
      <c r="R608" s="26" t="n">
        <v>0</v>
      </c>
      <c r="S608" s="26">
        <f>Q608+R608</f>
        <v/>
      </c>
      <c r="T608" s="29" t="n">
        <v>323</v>
      </c>
      <c r="U608" s="29">
        <f>N608*O608*T608</f>
        <v/>
      </c>
      <c r="V608" s="82">
        <f>IF(ISNUMBER($D608),$D608-WEEKDAY($D608,3),'ORDER VS WEEK DISTRIBUTION'!$G$500)</f>
        <v/>
      </c>
      <c r="W608" s="82">
        <f>MAX($V608,'ORDER VS WEEK DISTRIBUTION'!$G$500)</f>
        <v/>
      </c>
      <c r="X608" s="26">
        <f>IFERROR(VLOOKUP($J608,'ORDER VS WEEK DISTRIBUTION'!$T:$U,2,0),"")</f>
        <v/>
      </c>
      <c r="Y608" s="26">
        <f>IFERROR($T608/IF(IFERROR(VLOOKUP($I608,'ITEM CFC PER CONTAINER'!$A:$B,2,0),0)&gt;0,VLOOKUP($I608,'ITEM CFC PER CONTAINER'!$A:$B,2,0),VLOOKUP($X608,'MC MASTER'!$A:$Q,16,0)),"")</f>
        <v/>
      </c>
    </row>
    <row r="609" ht="15" customHeight="1" s="5">
      <c r="A609" s="26" t="inlineStr">
        <is>
          <t>Multitrade Overseas Pte. Ltd.</t>
        </is>
      </c>
      <c r="B609" s="26" t="inlineStr">
        <is>
          <t>MJIL/SO/26047637</t>
        </is>
      </c>
      <c r="C609" s="26" t="inlineStr">
        <is>
          <t>MJ-086/26-27 / 3 (ETKAF)</t>
        </is>
      </c>
      <c r="D609" s="82" t="n">
        <v>46363</v>
      </c>
      <c r="E609" s="83">
        <f>IF(ISNUMBER($D609),EOMONTH($D609,-1)+1,"")</f>
        <v/>
      </c>
      <c r="F609" s="82" t="n">
        <v>46363</v>
      </c>
      <c r="G609" s="26" t="n">
        <v>21811</v>
      </c>
      <c r="H609" s="26">
        <f>B609&amp;I609</f>
        <v/>
      </c>
      <c r="I609" s="26" t="inlineStr">
        <is>
          <t>GV CINNAMON 24/25 DC ENV TBGS WITH TSHIRT</t>
        </is>
      </c>
      <c r="J609" s="30" t="inlineStr">
        <is>
          <t>CONSTANTA ENV</t>
        </is>
      </c>
      <c r="K609" s="26">
        <f>J609&amp;"-"&amp;TEXT(W609,"dd-mmm-yy")</f>
        <v/>
      </c>
      <c r="L609" s="26">
        <f>IFERROR(VLOOKUP($M609,'ITEM MASTER'!E:H,4,0),"")</f>
        <v/>
      </c>
      <c r="M609" s="26">
        <f>IFERROR(VLOOKUP($I609,'ITEM MASTER'!B:E,4,0),"")</f>
        <v/>
      </c>
      <c r="N609" s="26">
        <f>IFERROR(VLOOKUP($I609,'ITEM MASTER'!B:F,5,0),0)</f>
        <v/>
      </c>
      <c r="O609" s="26">
        <f>IFERROR(VLOOKUP($M609,'TBGS PER CTN'!B:C,2,0),0)</f>
        <v/>
      </c>
      <c r="P609" s="26" t="n">
        <v>50</v>
      </c>
      <c r="Q609" s="26" t="n">
        <v>0</v>
      </c>
      <c r="R609" s="26" t="n">
        <v>0</v>
      </c>
      <c r="S609" s="26">
        <f>Q609+R609</f>
        <v/>
      </c>
      <c r="T609" s="29" t="n">
        <v>50</v>
      </c>
      <c r="U609" s="29">
        <f>N609*O609*T609</f>
        <v/>
      </c>
      <c r="V609" s="82">
        <f>IF(ISNUMBER($D609),$D609-WEEKDAY($D609,3),'ORDER VS WEEK DISTRIBUTION'!$G$500)</f>
        <v/>
      </c>
      <c r="W609" s="82">
        <f>MAX($V609,'ORDER VS WEEK DISTRIBUTION'!$G$500)</f>
        <v/>
      </c>
      <c r="X609" s="26">
        <f>IFERROR(VLOOKUP($J609,'ORDER VS WEEK DISTRIBUTION'!$T:$U,2,0),"")</f>
        <v/>
      </c>
      <c r="Y609" s="26">
        <f>IFERROR($T609/IF(IFERROR(VLOOKUP($I609,'ITEM CFC PER CONTAINER'!$A:$B,2,0),0)&gt;0,VLOOKUP($I609,'ITEM CFC PER CONTAINER'!$A:$B,2,0),VLOOKUP($X609,'MC MASTER'!$A:$Q,16,0)),"")</f>
        <v/>
      </c>
    </row>
    <row r="610" ht="15" customHeight="1" s="5">
      <c r="A610" s="26" t="inlineStr">
        <is>
          <t>RBW HARDEEVILLE, SC</t>
        </is>
      </c>
      <c r="B610" s="26" t="inlineStr">
        <is>
          <t>MJIL/SO/26023814</t>
        </is>
      </c>
      <c r="C610" s="26" t="inlineStr">
        <is>
          <t>DEC SHPT - 1 - 20 ASST &amp; 100 BLACK</t>
        </is>
      </c>
      <c r="D610" s="82" t="n">
        <v>46363</v>
      </c>
      <c r="E610" s="83">
        <f>IF(ISNUMBER($D610),EOMONTH($D610,-1)+1,"")</f>
        <v/>
      </c>
      <c r="F610" s="82" t="n">
        <v>46363</v>
      </c>
      <c r="G610" s="26" t="n">
        <v>37685</v>
      </c>
      <c r="H610" s="26">
        <f>B610&amp;I610</f>
        <v/>
      </c>
      <c r="I610" s="26" t="inlineStr">
        <is>
          <t>BARISSIMO BLACK TEA 6/100 DC TAG TBGS</t>
        </is>
      </c>
      <c r="J610" s="26" t="inlineStr">
        <is>
          <t>PERFACTA TAG</t>
        </is>
      </c>
      <c r="K610" s="26">
        <f>J610&amp;"-"&amp;TEXT(W610,"dd-mmm-yy")</f>
        <v/>
      </c>
      <c r="L610" s="26">
        <f>IFERROR(VLOOKUP($M610,'ITEM MASTER'!E:H,4,0),"")</f>
        <v/>
      </c>
      <c r="M610" s="26">
        <f>IFERROR(VLOOKUP($I610,'ITEM MASTER'!B:E,4,0),"")</f>
        <v/>
      </c>
      <c r="N610" s="26">
        <f>IFERROR(VLOOKUP($I610,'ITEM MASTER'!B:F,5,0),0)</f>
        <v/>
      </c>
      <c r="O610" s="26">
        <f>IFERROR(VLOOKUP($M610,'TBGS PER CTN'!B:C,2,0),0)</f>
        <v/>
      </c>
      <c r="P610" s="26" t="n">
        <v>1750</v>
      </c>
      <c r="Q610" s="26" t="n">
        <v>0</v>
      </c>
      <c r="R610" s="26" t="n">
        <v>0</v>
      </c>
      <c r="S610" s="26">
        <f>Q610+R610</f>
        <v/>
      </c>
      <c r="T610" s="29" t="n">
        <v>1750</v>
      </c>
      <c r="U610" s="29">
        <f>N610*O610*T610</f>
        <v/>
      </c>
      <c r="V610" s="82">
        <f>IF(ISNUMBER($D610),$D610-WEEKDAY($D610,3),'ORDER VS WEEK DISTRIBUTION'!$G$500)</f>
        <v/>
      </c>
      <c r="W610" s="82">
        <f>MAX($V610,'ORDER VS WEEK DISTRIBUTION'!$G$500)</f>
        <v/>
      </c>
      <c r="X610" s="26">
        <f>IFERROR(VLOOKUP($J610,'ORDER VS WEEK DISTRIBUTION'!$T:$U,2,0),"")</f>
        <v/>
      </c>
      <c r="Y610" s="26">
        <f>IFERROR($T610/IF(IFERROR(VLOOKUP($I610,'ITEM CFC PER CONTAINER'!$A:$B,2,0),0)&gt;0,VLOOKUP($I610,'ITEM CFC PER CONTAINER'!$A:$B,2,0),VLOOKUP($X610,'MC MASTER'!$A:$Q,16,0)),"")</f>
        <v/>
      </c>
    </row>
    <row r="611" ht="15" customHeight="1" s="5">
      <c r="A611" s="26" t="inlineStr">
        <is>
          <t>RBW HARDEEVILLE, SC</t>
        </is>
      </c>
      <c r="B611" s="26" t="inlineStr">
        <is>
          <t>MJIL/SO/26023814</t>
        </is>
      </c>
      <c r="C611" s="26" t="inlineStr">
        <is>
          <t>DEC SHPT - 1 - 20 ASST &amp; 100 BLACK</t>
        </is>
      </c>
      <c r="D611" s="82" t="n">
        <v>46363</v>
      </c>
      <c r="E611" s="83">
        <f>IF(ISNUMBER($D611),EOMONTH($D611,-1)+1,"")</f>
        <v/>
      </c>
      <c r="F611" s="82" t="n">
        <v>46363</v>
      </c>
      <c r="G611" s="26" t="n">
        <v>37682</v>
      </c>
      <c r="H611" s="26">
        <f>B611&amp;I611</f>
        <v/>
      </c>
      <c r="I611" s="26" t="inlineStr">
        <is>
          <t>BARISSIMO GREEN TEA COLLECTIONS 12/20 DC SF ENV TBGS</t>
        </is>
      </c>
      <c r="J611" s="26" t="inlineStr">
        <is>
          <t>C250-A</t>
        </is>
      </c>
      <c r="K611" s="26">
        <f>J611&amp;"-"&amp;TEXT(W611,"dd-mmm-yy")</f>
        <v/>
      </c>
      <c r="L611" s="26">
        <f>IFERROR(VLOOKUP($M611,'ITEM MASTER'!E:H,4,0),"")</f>
        <v/>
      </c>
      <c r="M611" s="26">
        <f>IFERROR(VLOOKUP($I611,'ITEM MASTER'!B:E,4,0),"")</f>
        <v/>
      </c>
      <c r="N611" s="26">
        <f>IFERROR(VLOOKUP($I611,'ITEM MASTER'!B:F,5,0),0)</f>
        <v/>
      </c>
      <c r="O611" s="26">
        <f>IFERROR(VLOOKUP($M611,'TBGS PER CTN'!B:C,2,0),0)</f>
        <v/>
      </c>
      <c r="P611" s="26" t="n">
        <v>1000</v>
      </c>
      <c r="Q611" s="26" t="n">
        <v>0</v>
      </c>
      <c r="R611" s="26" t="n">
        <v>0</v>
      </c>
      <c r="S611" s="26">
        <f>Q611+R611</f>
        <v/>
      </c>
      <c r="T611" s="29" t="n">
        <v>1000</v>
      </c>
      <c r="U611" s="29">
        <f>N611*O611*T611</f>
        <v/>
      </c>
      <c r="V611" s="82">
        <f>IF(ISNUMBER($D611),$D611-WEEKDAY($D611,3),'ORDER VS WEEK DISTRIBUTION'!$G$500)</f>
        <v/>
      </c>
      <c r="W611" s="82">
        <f>MAX($V611,'ORDER VS WEEK DISTRIBUTION'!$G$500)</f>
        <v/>
      </c>
      <c r="X611" s="26">
        <f>IFERROR(VLOOKUP($J611,'ORDER VS WEEK DISTRIBUTION'!$T:$U,2,0),"")</f>
        <v/>
      </c>
      <c r="Y611" s="26">
        <f>IFERROR($T611/IF(IFERROR(VLOOKUP($I611,'ITEM CFC PER CONTAINER'!$A:$B,2,0),0)&gt;0,VLOOKUP($I611,'ITEM CFC PER CONTAINER'!$A:$B,2,0),VLOOKUP($X611,'MC MASTER'!$A:$Q,16,0)),"")</f>
        <v/>
      </c>
    </row>
    <row r="612" ht="15" customHeight="1" s="5">
      <c r="A612" s="26" t="inlineStr">
        <is>
          <t>RBW HARDEEVILLE, SC</t>
        </is>
      </c>
      <c r="B612" s="26" t="inlineStr">
        <is>
          <t>MJIL/SO/26023814</t>
        </is>
      </c>
      <c r="C612" s="26" t="inlineStr">
        <is>
          <t>DEC SHPT - 1 - 20 ASST &amp; 100 BLACK</t>
        </is>
      </c>
      <c r="D612" s="82" t="n">
        <v>46363</v>
      </c>
      <c r="E612" s="83">
        <f>IF(ISNUMBER($D612),EOMONTH($D612,-1)+1,"")</f>
        <v/>
      </c>
      <c r="F612" s="82" t="n">
        <v>46363</v>
      </c>
      <c r="G612" s="26" t="n">
        <v>37683</v>
      </c>
      <c r="H612" s="26">
        <f>B612&amp;I612</f>
        <v/>
      </c>
      <c r="I612" s="26" t="inlineStr">
        <is>
          <t>BARISSIMO BLACK TEA COLLECTIONS 12/20 DC SF ENV TBGS</t>
        </is>
      </c>
      <c r="J612" s="26" t="inlineStr">
        <is>
          <t>C250 AF</t>
        </is>
      </c>
      <c r="K612" s="26">
        <f>J612&amp;"-"&amp;TEXT(W612,"dd-mmm-yy")</f>
        <v/>
      </c>
      <c r="L612" s="26">
        <f>IFERROR(VLOOKUP($M612,'ITEM MASTER'!E:H,4,0),"")</f>
        <v/>
      </c>
      <c r="M612" s="26">
        <f>IFERROR(VLOOKUP($I612,'ITEM MASTER'!B:E,4,0),"")</f>
        <v/>
      </c>
      <c r="N612" s="26">
        <f>IFERROR(VLOOKUP($I612,'ITEM MASTER'!B:F,5,0),0)</f>
        <v/>
      </c>
      <c r="O612" s="26">
        <f>IFERROR(VLOOKUP($M612,'TBGS PER CTN'!B:C,2,0),0)</f>
        <v/>
      </c>
      <c r="P612" s="26" t="n">
        <v>750</v>
      </c>
      <c r="Q612" s="26" t="n">
        <v>0</v>
      </c>
      <c r="R612" s="26" t="n">
        <v>0</v>
      </c>
      <c r="S612" s="26">
        <f>Q612+R612</f>
        <v/>
      </c>
      <c r="T612" s="29" t="n">
        <v>750</v>
      </c>
      <c r="U612" s="29">
        <f>N612*O612*T612</f>
        <v/>
      </c>
      <c r="V612" s="82">
        <f>IF(ISNUMBER($D612),$D612-WEEKDAY($D612,3),'ORDER VS WEEK DISTRIBUTION'!$G$500)</f>
        <v/>
      </c>
      <c r="W612" s="82">
        <f>MAX($V612,'ORDER VS WEEK DISTRIBUTION'!$G$500)</f>
        <v/>
      </c>
      <c r="X612" s="26">
        <f>IFERROR(VLOOKUP($J612,'ORDER VS WEEK DISTRIBUTION'!$T:$U,2,0),"")</f>
        <v/>
      </c>
      <c r="Y612" s="26">
        <f>IFERROR($T612/IF(IFERROR(VLOOKUP($I612,'ITEM CFC PER CONTAINER'!$A:$B,2,0),0)&gt;0,VLOOKUP($I612,'ITEM CFC PER CONTAINER'!$A:$B,2,0),VLOOKUP($X612,'MC MASTER'!$A:$Q,16,0)),"")</f>
        <v/>
      </c>
    </row>
    <row r="613" ht="15" customHeight="1" s="5">
      <c r="A613" s="26" t="inlineStr">
        <is>
          <t>RBW HARDEEVILLE, SC</t>
        </is>
      </c>
      <c r="B613" s="26" t="inlineStr">
        <is>
          <t>MJIL/SO/26023814</t>
        </is>
      </c>
      <c r="C613" s="26" t="inlineStr">
        <is>
          <t>DEC SHPT - 1 - 20 ASST &amp; 100 BLACK</t>
        </is>
      </c>
      <c r="D613" s="82" t="n">
        <v>46363</v>
      </c>
      <c r="E613" s="83">
        <f>IF(ISNUMBER($D613),EOMONTH($D613,-1)+1,"")</f>
        <v/>
      </c>
      <c r="F613" s="82" t="n">
        <v>46363</v>
      </c>
      <c r="G613" s="26" t="n">
        <v>37684</v>
      </c>
      <c r="H613" s="26">
        <f>B613&amp;I613</f>
        <v/>
      </c>
      <c r="I613" s="26" t="inlineStr">
        <is>
          <t>BARISSIMO HERBAL TEA COLLECTIONS 12/20 DC SF ENV TBGS</t>
        </is>
      </c>
      <c r="J613" s="26" t="inlineStr">
        <is>
          <t>C250 AF</t>
        </is>
      </c>
      <c r="K613" s="26">
        <f>J613&amp;"-"&amp;TEXT(W613,"dd-mmm-yy")</f>
        <v/>
      </c>
      <c r="L613" s="26">
        <f>IFERROR(VLOOKUP($M613,'ITEM MASTER'!E:H,4,0),"")</f>
        <v/>
      </c>
      <c r="M613" s="26">
        <f>IFERROR(VLOOKUP($I613,'ITEM MASTER'!B:E,4,0),"")</f>
        <v/>
      </c>
      <c r="N613" s="26">
        <f>IFERROR(VLOOKUP($I613,'ITEM MASTER'!B:F,5,0),0)</f>
        <v/>
      </c>
      <c r="O613" s="26">
        <f>IFERROR(VLOOKUP($M613,'TBGS PER CTN'!B:C,2,0),0)</f>
        <v/>
      </c>
      <c r="P613" s="26" t="n">
        <v>1625</v>
      </c>
      <c r="Q613" s="26" t="n">
        <v>0</v>
      </c>
      <c r="R613" s="26" t="n">
        <v>0</v>
      </c>
      <c r="S613" s="26">
        <f>Q613+R613</f>
        <v/>
      </c>
      <c r="T613" s="29" t="n">
        <v>1625</v>
      </c>
      <c r="U613" s="29">
        <f>N613*O613*T613</f>
        <v/>
      </c>
      <c r="V613" s="82">
        <f>IF(ISNUMBER($D613),$D613-WEEKDAY($D613,3),'ORDER VS WEEK DISTRIBUTION'!$G$500)</f>
        <v/>
      </c>
      <c r="W613" s="82">
        <f>MAX($V613,'ORDER VS WEEK DISTRIBUTION'!$G$500)</f>
        <v/>
      </c>
      <c r="X613" s="26">
        <f>IFERROR(VLOOKUP($J613,'ORDER VS WEEK DISTRIBUTION'!$T:$U,2,0),"")</f>
        <v/>
      </c>
      <c r="Y613" s="26">
        <f>IFERROR($T613/IF(IFERROR(VLOOKUP($I613,'ITEM CFC PER CONTAINER'!$A:$B,2,0),0)&gt;0,VLOOKUP($I613,'ITEM CFC PER CONTAINER'!$A:$B,2,0),VLOOKUP($X613,'MC MASTER'!$A:$Q,16,0)),"")</f>
        <v/>
      </c>
    </row>
    <row r="614" ht="15" customHeight="1" s="5">
      <c r="A614" s="26" t="inlineStr">
        <is>
          <t>Kaysun General Trading FZCO</t>
        </is>
      </c>
      <c r="B614" s="26" t="inlineStr">
        <is>
          <t>MJIL/SO/26019338</t>
        </is>
      </c>
      <c r="C614" s="26" t="inlineStr">
        <is>
          <t>MJ-043/26-27 / 17</t>
        </is>
      </c>
      <c r="D614" s="82" t="n">
        <v>46365</v>
      </c>
      <c r="E614" s="83">
        <f>IF(ISNUMBER($D614),EOMONTH($D614,-1)+1,"")</f>
        <v/>
      </c>
      <c r="F614" s="82" t="n">
        <v>46365</v>
      </c>
      <c r="G614" s="26" t="n">
        <v>1328</v>
      </c>
      <c r="H614" s="26">
        <f>B614&amp;I614</f>
        <v/>
      </c>
      <c r="I614" s="26" t="inlineStr">
        <is>
          <t>CHAYA 12/100 DC ENV TBGS</t>
        </is>
      </c>
      <c r="J614" s="26" t="inlineStr">
        <is>
          <t>PERFECTA ENV</t>
        </is>
      </c>
      <c r="K614" s="26">
        <f>J614&amp;"-"&amp;TEXT(W614,"dd-mmm-yy")</f>
        <v/>
      </c>
      <c r="L614" s="26">
        <f>IFERROR(VLOOKUP($M614,'ITEM MASTER'!E:H,4,0),"")</f>
        <v/>
      </c>
      <c r="M614" s="26">
        <f>IFERROR(VLOOKUP($I614,'ITEM MASTER'!B:E,4,0),"")</f>
        <v/>
      </c>
      <c r="N614" s="26">
        <f>IFERROR(VLOOKUP($I614,'ITEM MASTER'!B:F,5,0),0)</f>
        <v/>
      </c>
      <c r="O614" s="26">
        <f>IFERROR(VLOOKUP($M614,'TBGS PER CTN'!B:C,2,0),0)</f>
        <v/>
      </c>
      <c r="P614" s="26" t="n">
        <v>6640</v>
      </c>
      <c r="Q614" s="26" t="n">
        <v>0</v>
      </c>
      <c r="R614" s="26" t="n">
        <v>2</v>
      </c>
      <c r="S614" s="26">
        <f>Q614+R614</f>
        <v/>
      </c>
      <c r="T614" s="29" t="n">
        <v>6638</v>
      </c>
      <c r="U614" s="29">
        <f>N614*O614*T614</f>
        <v/>
      </c>
      <c r="V614" s="82">
        <f>IF(ISNUMBER($D614),$D614-WEEKDAY($D614,3),'ORDER VS WEEK DISTRIBUTION'!$G$500)</f>
        <v/>
      </c>
      <c r="W614" s="82">
        <f>MAX($V614,'ORDER VS WEEK DISTRIBUTION'!$G$500)</f>
        <v/>
      </c>
      <c r="X614" s="26">
        <f>IFERROR(VLOOKUP($J614,'ORDER VS WEEK DISTRIBUTION'!$T:$U,2,0),"")</f>
        <v/>
      </c>
      <c r="Y614" s="26">
        <f>IFERROR($T614/IF(IFERROR(VLOOKUP($I614,'ITEM CFC PER CONTAINER'!$A:$B,2,0),0)&gt;0,VLOOKUP($I614,'ITEM CFC PER CONTAINER'!$A:$B,2,0),VLOOKUP($X614,'MC MASTER'!$A:$Q,16,0)),"")</f>
        <v/>
      </c>
    </row>
    <row r="615" ht="15" customHeight="1" s="5">
      <c r="A615" s="26" t="inlineStr">
        <is>
          <t>RBW HARDEEVILLE, SC</t>
        </is>
      </c>
      <c r="B615" s="26" t="inlineStr">
        <is>
          <t>MJIL/SO/26023815</t>
        </is>
      </c>
      <c r="C615" s="26" t="inlineStr">
        <is>
          <t>DEC SHPT - 2 - 20 ASST &amp; 100 BLACK</t>
        </is>
      </c>
      <c r="D615" s="82" t="n">
        <v>46366</v>
      </c>
      <c r="E615" s="83">
        <f>IF(ISNUMBER($D615),EOMONTH($D615,-1)+1,"")</f>
        <v/>
      </c>
      <c r="F615" s="82" t="n">
        <v>46366</v>
      </c>
      <c r="G615" s="26" t="n">
        <v>37685</v>
      </c>
      <c r="H615" s="26">
        <f>B615&amp;I615</f>
        <v/>
      </c>
      <c r="I615" s="26" t="inlineStr">
        <is>
          <t>BARISSIMO BLACK TEA 6/100 DC TAG TBGS</t>
        </is>
      </c>
      <c r="J615" s="26" t="inlineStr">
        <is>
          <t>PERFACTA TAG</t>
        </is>
      </c>
      <c r="K615" s="26">
        <f>J615&amp;"-"&amp;TEXT(W615,"dd-mmm-yy")</f>
        <v/>
      </c>
      <c r="L615" s="26">
        <f>IFERROR(VLOOKUP($M615,'ITEM MASTER'!E:H,4,0),"")</f>
        <v/>
      </c>
      <c r="M615" s="26">
        <f>IFERROR(VLOOKUP($I615,'ITEM MASTER'!B:E,4,0),"")</f>
        <v/>
      </c>
      <c r="N615" s="26">
        <f>IFERROR(VLOOKUP($I615,'ITEM MASTER'!B:F,5,0),0)</f>
        <v/>
      </c>
      <c r="O615" s="26">
        <f>IFERROR(VLOOKUP($M615,'TBGS PER CTN'!B:C,2,0),0)</f>
        <v/>
      </c>
      <c r="P615" s="26" t="n">
        <v>1750</v>
      </c>
      <c r="Q615" s="26" t="n">
        <v>0</v>
      </c>
      <c r="R615" s="26" t="n">
        <v>0</v>
      </c>
      <c r="S615" s="26">
        <f>Q615+R615</f>
        <v/>
      </c>
      <c r="T615" s="29" t="n">
        <v>1750</v>
      </c>
      <c r="U615" s="29">
        <f>N615*O615*T615</f>
        <v/>
      </c>
      <c r="V615" s="82">
        <f>IF(ISNUMBER($D615),$D615-WEEKDAY($D615,3),'ORDER VS WEEK DISTRIBUTION'!$G$500)</f>
        <v/>
      </c>
      <c r="W615" s="82">
        <f>MAX($V615,'ORDER VS WEEK DISTRIBUTION'!$G$500)</f>
        <v/>
      </c>
      <c r="X615" s="26">
        <f>IFERROR(VLOOKUP($J615,'ORDER VS WEEK DISTRIBUTION'!$T:$U,2,0),"")</f>
        <v/>
      </c>
      <c r="Y615" s="26">
        <f>IFERROR($T615/IF(IFERROR(VLOOKUP($I615,'ITEM CFC PER CONTAINER'!$A:$B,2,0),0)&gt;0,VLOOKUP($I615,'ITEM CFC PER CONTAINER'!$A:$B,2,0),VLOOKUP($X615,'MC MASTER'!$A:$Q,16,0)),"")</f>
        <v/>
      </c>
    </row>
    <row r="616" ht="15" customHeight="1" s="5">
      <c r="A616" s="26" t="inlineStr">
        <is>
          <t>RBW HARDEEVILLE, SC</t>
        </is>
      </c>
      <c r="B616" s="26" t="inlineStr">
        <is>
          <t>MJIL/SO/26023815</t>
        </is>
      </c>
      <c r="C616" s="26" t="inlineStr">
        <is>
          <t>DEC SHPT - 2 - 20 ASST &amp; 100 BLACK</t>
        </is>
      </c>
      <c r="D616" s="82" t="n">
        <v>46366</v>
      </c>
      <c r="E616" s="83">
        <f>IF(ISNUMBER($D616),EOMONTH($D616,-1)+1,"")</f>
        <v/>
      </c>
      <c r="F616" s="82" t="n">
        <v>46366</v>
      </c>
      <c r="G616" s="26" t="n">
        <v>37682</v>
      </c>
      <c r="H616" s="26">
        <f>B616&amp;I616</f>
        <v/>
      </c>
      <c r="I616" s="26" t="inlineStr">
        <is>
          <t>BARISSIMO GREEN TEA COLLECTIONS 12/20 DC SF ENV TBGS</t>
        </is>
      </c>
      <c r="J616" s="26" t="inlineStr">
        <is>
          <t>C250-A</t>
        </is>
      </c>
      <c r="K616" s="26">
        <f>J616&amp;"-"&amp;TEXT(W616,"dd-mmm-yy")</f>
        <v/>
      </c>
      <c r="L616" s="26">
        <f>IFERROR(VLOOKUP($M616,'ITEM MASTER'!E:H,4,0),"")</f>
        <v/>
      </c>
      <c r="M616" s="26">
        <f>IFERROR(VLOOKUP($I616,'ITEM MASTER'!B:E,4,0),"")</f>
        <v/>
      </c>
      <c r="N616" s="26">
        <f>IFERROR(VLOOKUP($I616,'ITEM MASTER'!B:F,5,0),0)</f>
        <v/>
      </c>
      <c r="O616" s="26">
        <f>IFERROR(VLOOKUP($M616,'TBGS PER CTN'!B:C,2,0),0)</f>
        <v/>
      </c>
      <c r="P616" s="26" t="n">
        <v>1000</v>
      </c>
      <c r="Q616" s="26" t="n">
        <v>0</v>
      </c>
      <c r="R616" s="26" t="n">
        <v>0</v>
      </c>
      <c r="S616" s="26">
        <f>Q616+R616</f>
        <v/>
      </c>
      <c r="T616" s="29" t="n">
        <v>1000</v>
      </c>
      <c r="U616" s="29">
        <f>N616*O616*T616</f>
        <v/>
      </c>
      <c r="V616" s="82">
        <f>IF(ISNUMBER($D616),$D616-WEEKDAY($D616,3),'ORDER VS WEEK DISTRIBUTION'!$G$500)</f>
        <v/>
      </c>
      <c r="W616" s="82">
        <f>MAX($V616,'ORDER VS WEEK DISTRIBUTION'!$G$500)</f>
        <v/>
      </c>
      <c r="X616" s="26">
        <f>IFERROR(VLOOKUP($J616,'ORDER VS WEEK DISTRIBUTION'!$T:$U,2,0),"")</f>
        <v/>
      </c>
      <c r="Y616" s="26">
        <f>IFERROR($T616/IF(IFERROR(VLOOKUP($I616,'ITEM CFC PER CONTAINER'!$A:$B,2,0),0)&gt;0,VLOOKUP($I616,'ITEM CFC PER CONTAINER'!$A:$B,2,0),VLOOKUP($X616,'MC MASTER'!$A:$Q,16,0)),"")</f>
        <v/>
      </c>
    </row>
    <row r="617" ht="15" customHeight="1" s="5">
      <c r="A617" s="26" t="inlineStr">
        <is>
          <t>RBW HARDEEVILLE, SC</t>
        </is>
      </c>
      <c r="B617" s="26" t="inlineStr">
        <is>
          <t>MJIL/SO/26023815</t>
        </is>
      </c>
      <c r="C617" s="26" t="inlineStr">
        <is>
          <t>DEC SHPT - 2 - 20 ASST &amp; 100 BLACK</t>
        </is>
      </c>
      <c r="D617" s="82" t="n">
        <v>46366</v>
      </c>
      <c r="E617" s="83">
        <f>IF(ISNUMBER($D617),EOMONTH($D617,-1)+1,"")</f>
        <v/>
      </c>
      <c r="F617" s="82" t="n">
        <v>46366</v>
      </c>
      <c r="G617" s="26" t="n">
        <v>37683</v>
      </c>
      <c r="H617" s="26">
        <f>B617&amp;I617</f>
        <v/>
      </c>
      <c r="I617" s="26" t="inlineStr">
        <is>
          <t>BARISSIMO BLACK TEA COLLECTIONS 12/20 DC SF ENV TBGS</t>
        </is>
      </c>
      <c r="J617" s="26" t="inlineStr">
        <is>
          <t>C250 AF</t>
        </is>
      </c>
      <c r="K617" s="26">
        <f>J617&amp;"-"&amp;TEXT(W617,"dd-mmm-yy")</f>
        <v/>
      </c>
      <c r="L617" s="26">
        <f>IFERROR(VLOOKUP($M617,'ITEM MASTER'!E:H,4,0),"")</f>
        <v/>
      </c>
      <c r="M617" s="26">
        <f>IFERROR(VLOOKUP($I617,'ITEM MASTER'!B:E,4,0),"")</f>
        <v/>
      </c>
      <c r="N617" s="26">
        <f>IFERROR(VLOOKUP($I617,'ITEM MASTER'!B:F,5,0),0)</f>
        <v/>
      </c>
      <c r="O617" s="26">
        <f>IFERROR(VLOOKUP($M617,'TBGS PER CTN'!B:C,2,0),0)</f>
        <v/>
      </c>
      <c r="P617" s="26" t="n">
        <v>750</v>
      </c>
      <c r="Q617" s="26" t="n">
        <v>0</v>
      </c>
      <c r="R617" s="26" t="n">
        <v>0</v>
      </c>
      <c r="S617" s="26">
        <f>Q617+R617</f>
        <v/>
      </c>
      <c r="T617" s="29" t="n">
        <v>750</v>
      </c>
      <c r="U617" s="29">
        <f>N617*O617*T617</f>
        <v/>
      </c>
      <c r="V617" s="82">
        <f>IF(ISNUMBER($D617),$D617-WEEKDAY($D617,3),'ORDER VS WEEK DISTRIBUTION'!$G$500)</f>
        <v/>
      </c>
      <c r="W617" s="82">
        <f>MAX($V617,'ORDER VS WEEK DISTRIBUTION'!$G$500)</f>
        <v/>
      </c>
      <c r="X617" s="26">
        <f>IFERROR(VLOOKUP($J617,'ORDER VS WEEK DISTRIBUTION'!$T:$U,2,0),"")</f>
        <v/>
      </c>
      <c r="Y617" s="26">
        <f>IFERROR($T617/IF(IFERROR(VLOOKUP($I617,'ITEM CFC PER CONTAINER'!$A:$B,2,0),0)&gt;0,VLOOKUP($I617,'ITEM CFC PER CONTAINER'!$A:$B,2,0),VLOOKUP($X617,'MC MASTER'!$A:$Q,16,0)),"")</f>
        <v/>
      </c>
    </row>
    <row r="618" ht="15" customHeight="1" s="5">
      <c r="A618" s="26" t="inlineStr">
        <is>
          <t>RBW HARDEEVILLE, SC</t>
        </is>
      </c>
      <c r="B618" s="26" t="inlineStr">
        <is>
          <t>MJIL/SO/26023815</t>
        </is>
      </c>
      <c r="C618" s="26" t="inlineStr">
        <is>
          <t>DEC SHPT - 2 - 20 ASST &amp; 100 BLACK</t>
        </is>
      </c>
      <c r="D618" s="82" t="n">
        <v>46366</v>
      </c>
      <c r="E618" s="83">
        <f>IF(ISNUMBER($D618),EOMONTH($D618,-1)+1,"")</f>
        <v/>
      </c>
      <c r="F618" s="82" t="n">
        <v>46366</v>
      </c>
      <c r="G618" s="26" t="n">
        <v>37684</v>
      </c>
      <c r="H618" s="26">
        <f>B618&amp;I618</f>
        <v/>
      </c>
      <c r="I618" s="26" t="inlineStr">
        <is>
          <t>BARISSIMO HERBAL TEA COLLECTIONS 12/20 DC SF ENV TBGS</t>
        </is>
      </c>
      <c r="J618" s="26" t="inlineStr">
        <is>
          <t>C250 AF</t>
        </is>
      </c>
      <c r="K618" s="26">
        <f>J618&amp;"-"&amp;TEXT(W618,"dd-mmm-yy")</f>
        <v/>
      </c>
      <c r="L618" s="26">
        <f>IFERROR(VLOOKUP($M618,'ITEM MASTER'!E:H,4,0),"")</f>
        <v/>
      </c>
      <c r="M618" s="26">
        <f>IFERROR(VLOOKUP($I618,'ITEM MASTER'!B:E,4,0),"")</f>
        <v/>
      </c>
      <c r="N618" s="26">
        <f>IFERROR(VLOOKUP($I618,'ITEM MASTER'!B:F,5,0),0)</f>
        <v/>
      </c>
      <c r="O618" s="26">
        <f>IFERROR(VLOOKUP($M618,'TBGS PER CTN'!B:C,2,0),0)</f>
        <v/>
      </c>
      <c r="P618" s="26" t="n">
        <v>1625</v>
      </c>
      <c r="Q618" s="26" t="n">
        <v>0</v>
      </c>
      <c r="R618" s="26" t="n">
        <v>0</v>
      </c>
      <c r="S618" s="26">
        <f>Q618+R618</f>
        <v/>
      </c>
      <c r="T618" s="29" t="n">
        <v>1625</v>
      </c>
      <c r="U618" s="29">
        <f>N618*O618*T618</f>
        <v/>
      </c>
      <c r="V618" s="82">
        <f>IF(ISNUMBER($D618),$D618-WEEKDAY($D618,3),'ORDER VS WEEK DISTRIBUTION'!$G$500)</f>
        <v/>
      </c>
      <c r="W618" s="82">
        <f>MAX($V618,'ORDER VS WEEK DISTRIBUTION'!$G$500)</f>
        <v/>
      </c>
      <c r="X618" s="26">
        <f>IFERROR(VLOOKUP($J618,'ORDER VS WEEK DISTRIBUTION'!$T:$U,2,0),"")</f>
        <v/>
      </c>
      <c r="Y618" s="26">
        <f>IFERROR($T618/IF(IFERROR(VLOOKUP($I618,'ITEM CFC PER CONTAINER'!$A:$B,2,0),0)&gt;0,VLOOKUP($I618,'ITEM CFC PER CONTAINER'!$A:$B,2,0),VLOOKUP($X618,'MC MASTER'!$A:$Q,16,0)),"")</f>
        <v/>
      </c>
    </row>
    <row r="619" ht="15" customHeight="1" s="5">
      <c r="A619" s="26" t="inlineStr">
        <is>
          <t>Kaysun General Trading FZCO</t>
        </is>
      </c>
      <c r="B619" s="26" t="inlineStr">
        <is>
          <t>MJIL/SO/26019336</t>
        </is>
      </c>
      <c r="C619" s="26" t="inlineStr">
        <is>
          <t>MJ-043/26-27 / 15</t>
        </is>
      </c>
      <c r="D619" s="82" t="n">
        <v>46370</v>
      </c>
      <c r="E619" s="83">
        <f>IF(ISNUMBER($D619),EOMONTH($D619,-1)+1,"")</f>
        <v/>
      </c>
      <c r="F619" s="82" t="n">
        <v>46370</v>
      </c>
      <c r="G619" s="26" t="n">
        <v>1328</v>
      </c>
      <c r="H619" s="26">
        <f>B619&amp;I619</f>
        <v/>
      </c>
      <c r="I619" s="26" t="inlineStr">
        <is>
          <t>CHAYA 12/100 DC ENV TBGS</t>
        </is>
      </c>
      <c r="J619" s="26" t="inlineStr">
        <is>
          <t>PERFECTA ENV</t>
        </is>
      </c>
      <c r="K619" s="26">
        <f>J619&amp;"-"&amp;TEXT(W619,"dd-mmm-yy")</f>
        <v/>
      </c>
      <c r="L619" s="26">
        <f>IFERROR(VLOOKUP($M619,'ITEM MASTER'!E:H,4,0),"")</f>
        <v/>
      </c>
      <c r="M619" s="26">
        <f>IFERROR(VLOOKUP($I619,'ITEM MASTER'!B:E,4,0),"")</f>
        <v/>
      </c>
      <c r="N619" s="26">
        <f>IFERROR(VLOOKUP($I619,'ITEM MASTER'!B:F,5,0),0)</f>
        <v/>
      </c>
      <c r="O619" s="26">
        <f>IFERROR(VLOOKUP($M619,'TBGS PER CTN'!B:C,2,0),0)</f>
        <v/>
      </c>
      <c r="P619" s="26" t="n">
        <v>6640</v>
      </c>
      <c r="Q619" s="26" t="n">
        <v>0</v>
      </c>
      <c r="R619" s="26" t="n">
        <v>0</v>
      </c>
      <c r="S619" s="26">
        <f>Q619+R619</f>
        <v/>
      </c>
      <c r="T619" s="29" t="n">
        <v>6640</v>
      </c>
      <c r="U619" s="29">
        <f>N619*O619*T619</f>
        <v/>
      </c>
      <c r="V619" s="82">
        <f>IF(ISNUMBER($D619),$D619-WEEKDAY($D619,3),'ORDER VS WEEK DISTRIBUTION'!$G$500)</f>
        <v/>
      </c>
      <c r="W619" s="82">
        <f>MAX($V619,'ORDER VS WEEK DISTRIBUTION'!$G$500)</f>
        <v/>
      </c>
      <c r="X619" s="26">
        <f>IFERROR(VLOOKUP($J619,'ORDER VS WEEK DISTRIBUTION'!$T:$U,2,0),"")</f>
        <v/>
      </c>
      <c r="Y619" s="26">
        <f>IFERROR($T619/IF(IFERROR(VLOOKUP($I619,'ITEM CFC PER CONTAINER'!$A:$B,2,0),0)&gt;0,VLOOKUP($I619,'ITEM CFC PER CONTAINER'!$A:$B,2,0),VLOOKUP($X619,'MC MASTER'!$A:$Q,16,0)),"")</f>
        <v/>
      </c>
    </row>
    <row r="620" ht="15" customHeight="1" s="5">
      <c r="A620" s="26" t="inlineStr">
        <is>
          <t>Multitrade Overseas Pte. Ltd.</t>
        </is>
      </c>
      <c r="B620" s="26" t="inlineStr">
        <is>
          <t>MJIL/SO/26040202</t>
        </is>
      </c>
      <c r="C620" s="26" t="inlineStr">
        <is>
          <t>MJ-082/26-27 (BOUBACAR TANDIA)</t>
        </is>
      </c>
      <c r="D620" s="82" t="n">
        <v>46370</v>
      </c>
      <c r="E620" s="83">
        <f>IF(ISNUMBER($D620),EOMONTH($D620,-1)+1,"")</f>
        <v/>
      </c>
      <c r="F620" s="82" t="n">
        <v>46370</v>
      </c>
      <c r="G620" s="26" t="n">
        <v>17932</v>
      </c>
      <c r="H620" s="26">
        <f>B620&amp;I620</f>
        <v/>
      </c>
      <c r="I620" s="26" t="inlineStr">
        <is>
          <t>SANCHO 12/100 DC ENV TBGS</t>
        </is>
      </c>
      <c r="J620" s="26" t="inlineStr">
        <is>
          <t>C250 AF</t>
        </is>
      </c>
      <c r="K620" s="26">
        <f>J620&amp;"-"&amp;TEXT(W620,"dd-mmm-yy")</f>
        <v/>
      </c>
      <c r="L620" s="26">
        <f>IFERROR(VLOOKUP($M620,'ITEM MASTER'!E:H,4,0),"")</f>
        <v/>
      </c>
      <c r="M620" s="26">
        <f>IFERROR(VLOOKUP($I620,'ITEM MASTER'!B:E,4,0),"")</f>
        <v/>
      </c>
      <c r="N620" s="26">
        <f>IFERROR(VLOOKUP($I620,'ITEM MASTER'!B:F,5,0),0)</f>
        <v/>
      </c>
      <c r="O620" s="26">
        <f>IFERROR(VLOOKUP($M620,'TBGS PER CTN'!B:C,2,0),0)</f>
        <v/>
      </c>
      <c r="P620" s="26" t="n">
        <v>3320</v>
      </c>
      <c r="Q620" s="26" t="n">
        <v>0</v>
      </c>
      <c r="R620" s="26" t="n">
        <v>0</v>
      </c>
      <c r="S620" s="26">
        <f>Q620+R620</f>
        <v/>
      </c>
      <c r="T620" s="29" t="n">
        <v>3320</v>
      </c>
      <c r="U620" s="29">
        <f>N620*O620*T620</f>
        <v/>
      </c>
      <c r="V620" s="82">
        <f>IF(ISNUMBER($D620),$D620-WEEKDAY($D620,3),'ORDER VS WEEK DISTRIBUTION'!$G$500)</f>
        <v/>
      </c>
      <c r="W620" s="82">
        <f>MAX($V620,'ORDER VS WEEK DISTRIBUTION'!$G$500)</f>
        <v/>
      </c>
      <c r="X620" s="26">
        <f>IFERROR(VLOOKUP($J620,'ORDER VS WEEK DISTRIBUTION'!$T:$U,2,0),"")</f>
        <v/>
      </c>
      <c r="Y620" s="26">
        <f>IFERROR($T620/IF(IFERROR(VLOOKUP($I620,'ITEM CFC PER CONTAINER'!$A:$B,2,0),0)&gt;0,VLOOKUP($I620,'ITEM CFC PER CONTAINER'!$A:$B,2,0),VLOOKUP($X620,'MC MASTER'!$A:$Q,16,0)),"")</f>
        <v/>
      </c>
    </row>
    <row r="621" ht="15" customHeight="1" s="5">
      <c r="A621" s="26" t="inlineStr">
        <is>
          <t>Multitrade Overseas Pte. Ltd.</t>
        </is>
      </c>
      <c r="B621" s="26" t="inlineStr">
        <is>
          <t>MJIL/SO/26047638</t>
        </is>
      </c>
      <c r="C621" s="26" t="inlineStr">
        <is>
          <t>MJ-086/26-27 / 4 (ETKAF)</t>
        </is>
      </c>
      <c r="D621" s="82" t="n">
        <v>46370</v>
      </c>
      <c r="E621" s="83">
        <f>IF(ISNUMBER($D621),EOMONTH($D621,-1)+1,"")</f>
        <v/>
      </c>
      <c r="F621" s="82" t="n">
        <v>46370</v>
      </c>
      <c r="G621" s="26" t="n">
        <v>2023</v>
      </c>
      <c r="H621" s="26">
        <f>B621&amp;I621</f>
        <v/>
      </c>
      <c r="I621" s="26" t="inlineStr">
        <is>
          <t>GV MINT 24/25 DC ENV TBGS WITH TSHIRT</t>
        </is>
      </c>
      <c r="J621" s="30" t="inlineStr">
        <is>
          <t>CONSTANTA ENV</t>
        </is>
      </c>
      <c r="K621" s="26">
        <f>J621&amp;"-"&amp;TEXT(W621,"dd-mmm-yy")</f>
        <v/>
      </c>
      <c r="L621" s="26">
        <f>IFERROR(VLOOKUP($M621,'ITEM MASTER'!E:H,4,0),"")</f>
        <v/>
      </c>
      <c r="M621" s="26">
        <f>IFERROR(VLOOKUP($I621,'ITEM MASTER'!B:E,4,0),"")</f>
        <v/>
      </c>
      <c r="N621" s="26">
        <f>IFERROR(VLOOKUP($I621,'ITEM MASTER'!B:F,5,0),0)</f>
        <v/>
      </c>
      <c r="O621" s="26">
        <f>IFERROR(VLOOKUP($M621,'TBGS PER CTN'!B:C,2,0),0)</f>
        <v/>
      </c>
      <c r="P621" s="26" t="n">
        <v>3780</v>
      </c>
      <c r="Q621" s="26" t="n">
        <v>0</v>
      </c>
      <c r="R621" s="26" t="n">
        <v>0</v>
      </c>
      <c r="S621" s="26">
        <f>Q621+R621</f>
        <v/>
      </c>
      <c r="T621" s="29" t="n">
        <v>3780</v>
      </c>
      <c r="U621" s="29">
        <f>N621*O621*T621</f>
        <v/>
      </c>
      <c r="V621" s="82">
        <f>IF(ISNUMBER($D621),$D621-WEEKDAY($D621,3),'ORDER VS WEEK DISTRIBUTION'!$G$500)</f>
        <v/>
      </c>
      <c r="W621" s="82">
        <f>MAX($V621,'ORDER VS WEEK DISTRIBUTION'!$G$500)</f>
        <v/>
      </c>
      <c r="X621" s="26">
        <f>IFERROR(VLOOKUP($J621,'ORDER VS WEEK DISTRIBUTION'!$T:$U,2,0),"")</f>
        <v/>
      </c>
      <c r="Y621" s="26">
        <f>IFERROR($T621/IF(IFERROR(VLOOKUP($I621,'ITEM CFC PER CONTAINER'!$A:$B,2,0),0)&gt;0,VLOOKUP($I621,'ITEM CFC PER CONTAINER'!$A:$B,2,0),VLOOKUP($X621,'MC MASTER'!$A:$Q,16,0)),"")</f>
        <v/>
      </c>
    </row>
    <row r="622" ht="15" customHeight="1" s="5">
      <c r="A622" s="26" t="inlineStr">
        <is>
          <t>Multitrade Overseas Pte. Ltd.</t>
        </is>
      </c>
      <c r="B622" s="26" t="inlineStr">
        <is>
          <t>MJIL/SO/26047638</t>
        </is>
      </c>
      <c r="C622" s="26" t="inlineStr">
        <is>
          <t>MJ-086/26-27 / 4 (ETKAF)</t>
        </is>
      </c>
      <c r="D622" s="82" t="n">
        <v>46370</v>
      </c>
      <c r="E622" s="83">
        <f>IF(ISNUMBER($D622),EOMONTH($D622,-1)+1,"")</f>
        <v/>
      </c>
      <c r="F622" s="82" t="n">
        <v>46370</v>
      </c>
      <c r="G622" s="26" t="n">
        <v>1933</v>
      </c>
      <c r="H622" s="26">
        <f>B622&amp;I622</f>
        <v/>
      </c>
      <c r="I622" s="26" t="inlineStr">
        <is>
          <t>GV GARDEN STRAWBERRY 24/25 DC ENV TBGS WITH TSHIRT</t>
        </is>
      </c>
      <c r="J622" s="30" t="inlineStr">
        <is>
          <t>CONSTANTA ENV</t>
        </is>
      </c>
      <c r="K622" s="26">
        <f>J622&amp;"-"&amp;TEXT(W622,"dd-mmm-yy")</f>
        <v/>
      </c>
      <c r="L622" s="26">
        <f>IFERROR(VLOOKUP($M622,'ITEM MASTER'!E:H,4,0),"")</f>
        <v/>
      </c>
      <c r="M622" s="26">
        <f>IFERROR(VLOOKUP($I622,'ITEM MASTER'!B:E,4,0),"")</f>
        <v/>
      </c>
      <c r="N622" s="26">
        <f>IFERROR(VLOOKUP($I622,'ITEM MASTER'!B:F,5,0),0)</f>
        <v/>
      </c>
      <c r="O622" s="26">
        <f>IFERROR(VLOOKUP($M622,'TBGS PER CTN'!B:C,2,0),0)</f>
        <v/>
      </c>
      <c r="P622" s="26" t="n">
        <v>4454</v>
      </c>
      <c r="Q622" s="26" t="n">
        <v>0</v>
      </c>
      <c r="R622" s="26" t="n">
        <v>0</v>
      </c>
      <c r="S622" s="26">
        <f>Q622+R622</f>
        <v/>
      </c>
      <c r="T622" s="29" t="n">
        <v>4454</v>
      </c>
      <c r="U622" s="29">
        <f>N622*O622*T622</f>
        <v/>
      </c>
      <c r="V622" s="82">
        <f>IF(ISNUMBER($D622),$D622-WEEKDAY($D622,3),'ORDER VS WEEK DISTRIBUTION'!$G$500)</f>
        <v/>
      </c>
      <c r="W622" s="82">
        <f>MAX($V622,'ORDER VS WEEK DISTRIBUTION'!$G$500)</f>
        <v/>
      </c>
      <c r="X622" s="26">
        <f>IFERROR(VLOOKUP($J622,'ORDER VS WEEK DISTRIBUTION'!$T:$U,2,0),"")</f>
        <v/>
      </c>
      <c r="Y622" s="26">
        <f>IFERROR($T622/IF(IFERROR(VLOOKUP($I622,'ITEM CFC PER CONTAINER'!$A:$B,2,0),0)&gt;0,VLOOKUP($I622,'ITEM CFC PER CONTAINER'!$A:$B,2,0),VLOOKUP($X622,'MC MASTER'!$A:$Q,16,0)),"")</f>
        <v/>
      </c>
    </row>
    <row r="623" ht="15" customHeight="1" s="5">
      <c r="A623" s="26" t="inlineStr">
        <is>
          <t>Multitrade Overseas Pte. Ltd.</t>
        </is>
      </c>
      <c r="B623" s="26" t="inlineStr">
        <is>
          <t>MJIL/SO/26047638</t>
        </is>
      </c>
      <c r="C623" s="26" t="inlineStr">
        <is>
          <t>MJ-086/26-27 / 4 (ETKAF)</t>
        </is>
      </c>
      <c r="D623" s="82" t="n">
        <v>46370</v>
      </c>
      <c r="E623" s="83">
        <f>IF(ISNUMBER($D623),EOMONTH($D623,-1)+1,"")</f>
        <v/>
      </c>
      <c r="F623" s="82" t="n">
        <v>46370</v>
      </c>
      <c r="G623" s="26" t="n">
        <v>2131</v>
      </c>
      <c r="H623" s="26">
        <f>B623&amp;I623</f>
        <v/>
      </c>
      <c r="I623" s="26" t="inlineStr">
        <is>
          <t>GV SPICY GINGER 24/25 DC ENV TBGS WITH TSHIRT</t>
        </is>
      </c>
      <c r="J623" s="30" t="inlineStr">
        <is>
          <t>CONSTANTA ENV</t>
        </is>
      </c>
      <c r="K623" s="26">
        <f>J623&amp;"-"&amp;TEXT(W623,"dd-mmm-yy")</f>
        <v/>
      </c>
      <c r="L623" s="26">
        <f>IFERROR(VLOOKUP($M623,'ITEM MASTER'!E:H,4,0),"")</f>
        <v/>
      </c>
      <c r="M623" s="26">
        <f>IFERROR(VLOOKUP($I623,'ITEM MASTER'!B:E,4,0),"")</f>
        <v/>
      </c>
      <c r="N623" s="26">
        <f>IFERROR(VLOOKUP($I623,'ITEM MASTER'!B:F,5,0),0)</f>
        <v/>
      </c>
      <c r="O623" s="26">
        <f>IFERROR(VLOOKUP($M623,'TBGS PER CTN'!B:C,2,0),0)</f>
        <v/>
      </c>
      <c r="P623" s="26" t="n">
        <v>3000</v>
      </c>
      <c r="Q623" s="26" t="n">
        <v>0</v>
      </c>
      <c r="R623" s="26" t="n">
        <v>0</v>
      </c>
      <c r="S623" s="26">
        <f>Q623+R623</f>
        <v/>
      </c>
      <c r="T623" s="29" t="n">
        <v>3000</v>
      </c>
      <c r="U623" s="29">
        <f>N623*O623*T623</f>
        <v/>
      </c>
      <c r="V623" s="82">
        <f>IF(ISNUMBER($D623),$D623-WEEKDAY($D623,3),'ORDER VS WEEK DISTRIBUTION'!$G$500)</f>
        <v/>
      </c>
      <c r="W623" s="82">
        <f>MAX($V623,'ORDER VS WEEK DISTRIBUTION'!$G$500)</f>
        <v/>
      </c>
      <c r="X623" s="26">
        <f>IFERROR(VLOOKUP($J623,'ORDER VS WEEK DISTRIBUTION'!$T:$U,2,0),"")</f>
        <v/>
      </c>
      <c r="Y623" s="26">
        <f>IFERROR($T623/IF(IFERROR(VLOOKUP($I623,'ITEM CFC PER CONTAINER'!$A:$B,2,0),0)&gt;0,VLOOKUP($I623,'ITEM CFC PER CONTAINER'!$A:$B,2,0),VLOOKUP($X623,'MC MASTER'!$A:$Q,16,0)),"")</f>
        <v/>
      </c>
    </row>
    <row r="624" ht="15" customHeight="1" s="5">
      <c r="A624" s="26" t="inlineStr">
        <is>
          <t>Multitrade Overseas Pte. Ltd.</t>
        </is>
      </c>
      <c r="B624" s="26" t="inlineStr">
        <is>
          <t>MJIL/SO/26047638</t>
        </is>
      </c>
      <c r="C624" s="26" t="inlineStr">
        <is>
          <t>MJ-086/26-27 / 4 (ETKAF)</t>
        </is>
      </c>
      <c r="D624" s="82" t="n">
        <v>46370</v>
      </c>
      <c r="E624" s="83">
        <f>IF(ISNUMBER($D624),EOMONTH($D624,-1)+1,"")</f>
        <v/>
      </c>
      <c r="F624" s="82" t="n">
        <v>46370</v>
      </c>
      <c r="G624" s="26" t="n">
        <v>2051</v>
      </c>
      <c r="H624" s="26">
        <f>B624&amp;I624</f>
        <v/>
      </c>
      <c r="I624" s="26" t="inlineStr">
        <is>
          <t>GV ORANGE 24/25 DC ENV TBGS WITH TSHIRT</t>
        </is>
      </c>
      <c r="J624" s="30" t="inlineStr">
        <is>
          <t>CONSTANTA ENV</t>
        </is>
      </c>
      <c r="K624" s="26">
        <f>J624&amp;"-"&amp;TEXT(W624,"dd-mmm-yy")</f>
        <v/>
      </c>
      <c r="L624" s="26">
        <f>IFERROR(VLOOKUP($M624,'ITEM MASTER'!E:H,4,0),"")</f>
        <v/>
      </c>
      <c r="M624" s="26">
        <f>IFERROR(VLOOKUP($I624,'ITEM MASTER'!B:E,4,0),"")</f>
        <v/>
      </c>
      <c r="N624" s="26">
        <f>IFERROR(VLOOKUP($I624,'ITEM MASTER'!B:F,5,0),0)</f>
        <v/>
      </c>
      <c r="O624" s="26">
        <f>IFERROR(VLOOKUP($M624,'TBGS PER CTN'!B:C,2,0),0)</f>
        <v/>
      </c>
      <c r="P624" s="26" t="n">
        <v>363</v>
      </c>
      <c r="Q624" s="26" t="n">
        <v>0</v>
      </c>
      <c r="R624" s="26" t="n">
        <v>0</v>
      </c>
      <c r="S624" s="26">
        <f>Q624+R624</f>
        <v/>
      </c>
      <c r="T624" s="29" t="n">
        <v>363</v>
      </c>
      <c r="U624" s="29">
        <f>N624*O624*T624</f>
        <v/>
      </c>
      <c r="V624" s="82">
        <f>IF(ISNUMBER($D624),$D624-WEEKDAY($D624,3),'ORDER VS WEEK DISTRIBUTION'!$G$500)</f>
        <v/>
      </c>
      <c r="W624" s="82">
        <f>MAX($V624,'ORDER VS WEEK DISTRIBUTION'!$G$500)</f>
        <v/>
      </c>
      <c r="X624" s="26">
        <f>IFERROR(VLOOKUP($J624,'ORDER VS WEEK DISTRIBUTION'!$T:$U,2,0),"")</f>
        <v/>
      </c>
      <c r="Y624" s="26">
        <f>IFERROR($T624/IF(IFERROR(VLOOKUP($I624,'ITEM CFC PER CONTAINER'!$A:$B,2,0),0)&gt;0,VLOOKUP($I624,'ITEM CFC PER CONTAINER'!$A:$B,2,0),VLOOKUP($X624,'MC MASTER'!$A:$Q,16,0)),"")</f>
        <v/>
      </c>
    </row>
    <row r="625" ht="15" customHeight="1" s="5">
      <c r="A625" s="26" t="inlineStr">
        <is>
          <t>Multitrade Overseas Pte. Ltd.</t>
        </is>
      </c>
      <c r="B625" s="26" t="inlineStr">
        <is>
          <t>MJIL/SO/26047638</t>
        </is>
      </c>
      <c r="C625" s="26" t="inlineStr">
        <is>
          <t>MJ-086/26-27 / 4 (ETKAF)</t>
        </is>
      </c>
      <c r="D625" s="82" t="n">
        <v>46370</v>
      </c>
      <c r="E625" s="83">
        <f>IF(ISNUMBER($D625),EOMONTH($D625,-1)+1,"")</f>
        <v/>
      </c>
      <c r="F625" s="82" t="n">
        <v>46370</v>
      </c>
      <c r="G625" s="26" t="n">
        <v>21810</v>
      </c>
      <c r="H625" s="26">
        <f>B625&amp;I625</f>
        <v/>
      </c>
      <c r="I625" s="26" t="inlineStr">
        <is>
          <t>GV CLOVE 24/25 DC ENV TBGS WITH TSHIRT</t>
        </is>
      </c>
      <c r="J625" s="30" t="inlineStr">
        <is>
          <t>CONSTANTA ENV</t>
        </is>
      </c>
      <c r="K625" s="26">
        <f>J625&amp;"-"&amp;TEXT(W625,"dd-mmm-yy")</f>
        <v/>
      </c>
      <c r="L625" s="26">
        <f>IFERROR(VLOOKUP($M625,'ITEM MASTER'!E:H,4,0),"")</f>
        <v/>
      </c>
      <c r="M625" s="26">
        <f>IFERROR(VLOOKUP($I625,'ITEM MASTER'!B:E,4,0),"")</f>
        <v/>
      </c>
      <c r="N625" s="26">
        <f>IFERROR(VLOOKUP($I625,'ITEM MASTER'!B:F,5,0),0)</f>
        <v/>
      </c>
      <c r="O625" s="26">
        <f>IFERROR(VLOOKUP($M625,'TBGS PER CTN'!B:C,2,0),0)</f>
        <v/>
      </c>
      <c r="P625" s="26" t="n">
        <v>271</v>
      </c>
      <c r="Q625" s="26" t="n">
        <v>0</v>
      </c>
      <c r="R625" s="26" t="n">
        <v>0</v>
      </c>
      <c r="S625" s="26">
        <f>Q625+R625</f>
        <v/>
      </c>
      <c r="T625" s="29" t="n">
        <v>271</v>
      </c>
      <c r="U625" s="29">
        <f>N625*O625*T625</f>
        <v/>
      </c>
      <c r="V625" s="82">
        <f>IF(ISNUMBER($D625),$D625-WEEKDAY($D625,3),'ORDER VS WEEK DISTRIBUTION'!$G$500)</f>
        <v/>
      </c>
      <c r="W625" s="82">
        <f>MAX($V625,'ORDER VS WEEK DISTRIBUTION'!$G$500)</f>
        <v/>
      </c>
      <c r="X625" s="26">
        <f>IFERROR(VLOOKUP($J625,'ORDER VS WEEK DISTRIBUTION'!$T:$U,2,0),"")</f>
        <v/>
      </c>
      <c r="Y625" s="26">
        <f>IFERROR($T625/IF(IFERROR(VLOOKUP($I625,'ITEM CFC PER CONTAINER'!$A:$B,2,0),0)&gt;0,VLOOKUP($I625,'ITEM CFC PER CONTAINER'!$A:$B,2,0),VLOOKUP($X625,'MC MASTER'!$A:$Q,16,0)),"")</f>
        <v/>
      </c>
    </row>
    <row r="626" ht="15" customHeight="1" s="5">
      <c r="A626" s="26" t="inlineStr">
        <is>
          <t>Multitrade Overseas Pte. Ltd.</t>
        </is>
      </c>
      <c r="B626" s="26" t="inlineStr">
        <is>
          <t>MJIL/SO/26047638</t>
        </is>
      </c>
      <c r="C626" s="26" t="inlineStr">
        <is>
          <t>MJ-086/26-27 / 4 (ETKAF)</t>
        </is>
      </c>
      <c r="D626" s="82" t="n">
        <v>46370</v>
      </c>
      <c r="E626" s="83">
        <f>IF(ISNUMBER($D626),EOMONTH($D626,-1)+1,"")</f>
        <v/>
      </c>
      <c r="F626" s="82" t="n">
        <v>46370</v>
      </c>
      <c r="G626" s="26" t="n">
        <v>2105</v>
      </c>
      <c r="H626" s="26">
        <f>B626&amp;I626</f>
        <v/>
      </c>
      <c r="I626" s="26" t="inlineStr">
        <is>
          <t>GV ROYAL LEMON 24/25 DC ENV TBGS WITH TSHIRT</t>
        </is>
      </c>
      <c r="J626" s="30" t="inlineStr">
        <is>
          <t>CONSTANTA ENV</t>
        </is>
      </c>
      <c r="K626" s="26">
        <f>J626&amp;"-"&amp;TEXT(W626,"dd-mmm-yy")</f>
        <v/>
      </c>
      <c r="L626" s="26">
        <f>IFERROR(VLOOKUP($M626,'ITEM MASTER'!E:H,4,0),"")</f>
        <v/>
      </c>
      <c r="M626" s="26">
        <f>IFERROR(VLOOKUP($I626,'ITEM MASTER'!B:E,4,0),"")</f>
        <v/>
      </c>
      <c r="N626" s="26">
        <f>IFERROR(VLOOKUP($I626,'ITEM MASTER'!B:F,5,0),0)</f>
        <v/>
      </c>
      <c r="O626" s="26">
        <f>IFERROR(VLOOKUP($M626,'TBGS PER CTN'!B:C,2,0),0)</f>
        <v/>
      </c>
      <c r="P626" s="26" t="n">
        <v>323</v>
      </c>
      <c r="Q626" s="26" t="n">
        <v>0</v>
      </c>
      <c r="R626" s="26" t="n">
        <v>0</v>
      </c>
      <c r="S626" s="26">
        <f>Q626+R626</f>
        <v/>
      </c>
      <c r="T626" s="29" t="n">
        <v>323</v>
      </c>
      <c r="U626" s="29">
        <f>N626*O626*T626</f>
        <v/>
      </c>
      <c r="V626" s="82">
        <f>IF(ISNUMBER($D626),$D626-WEEKDAY($D626,3),'ORDER VS WEEK DISTRIBUTION'!$G$500)</f>
        <v/>
      </c>
      <c r="W626" s="82">
        <f>MAX($V626,'ORDER VS WEEK DISTRIBUTION'!$G$500)</f>
        <v/>
      </c>
      <c r="X626" s="26">
        <f>IFERROR(VLOOKUP($J626,'ORDER VS WEEK DISTRIBUTION'!$T:$U,2,0),"")</f>
        <v/>
      </c>
      <c r="Y626" s="26">
        <f>IFERROR($T626/IF(IFERROR(VLOOKUP($I626,'ITEM CFC PER CONTAINER'!$A:$B,2,0),0)&gt;0,VLOOKUP($I626,'ITEM CFC PER CONTAINER'!$A:$B,2,0),VLOOKUP($X626,'MC MASTER'!$A:$Q,16,0)),"")</f>
        <v/>
      </c>
    </row>
    <row r="627" ht="15" customHeight="1" s="5">
      <c r="A627" s="26" t="inlineStr">
        <is>
          <t>Multitrade Overseas Pte. Ltd.</t>
        </is>
      </c>
      <c r="B627" s="26" t="inlineStr">
        <is>
          <t>MJIL/SO/26047638</t>
        </is>
      </c>
      <c r="C627" s="26" t="inlineStr">
        <is>
          <t>MJ-086/26-27 / 4 (ETKAF)</t>
        </is>
      </c>
      <c r="D627" s="82" t="n">
        <v>46370</v>
      </c>
      <c r="E627" s="83">
        <f>IF(ISNUMBER($D627),EOMONTH($D627,-1)+1,"")</f>
        <v/>
      </c>
      <c r="F627" s="82" t="n">
        <v>46370</v>
      </c>
      <c r="G627" s="26" t="n">
        <v>21811</v>
      </c>
      <c r="H627" s="26">
        <f>B627&amp;I627</f>
        <v/>
      </c>
      <c r="I627" s="26" t="inlineStr">
        <is>
          <t>GV CINNAMON 24/25 DC ENV TBGS WITH TSHIRT</t>
        </is>
      </c>
      <c r="J627" s="30" t="inlineStr">
        <is>
          <t>CONSTANTA ENV</t>
        </is>
      </c>
      <c r="K627" s="26">
        <f>J627&amp;"-"&amp;TEXT(W627,"dd-mmm-yy")</f>
        <v/>
      </c>
      <c r="L627" s="26">
        <f>IFERROR(VLOOKUP($M627,'ITEM MASTER'!E:H,4,0),"")</f>
        <v/>
      </c>
      <c r="M627" s="26">
        <f>IFERROR(VLOOKUP($I627,'ITEM MASTER'!B:E,4,0),"")</f>
        <v/>
      </c>
      <c r="N627" s="26">
        <f>IFERROR(VLOOKUP($I627,'ITEM MASTER'!B:F,5,0),0)</f>
        <v/>
      </c>
      <c r="O627" s="26">
        <f>IFERROR(VLOOKUP($M627,'TBGS PER CTN'!B:C,2,0),0)</f>
        <v/>
      </c>
      <c r="P627" s="26" t="n">
        <v>50</v>
      </c>
      <c r="Q627" s="26" t="n">
        <v>0</v>
      </c>
      <c r="R627" s="26" t="n">
        <v>0</v>
      </c>
      <c r="S627" s="26">
        <f>Q627+R627</f>
        <v/>
      </c>
      <c r="T627" s="29" t="n">
        <v>50</v>
      </c>
      <c r="U627" s="29">
        <f>N627*O627*T627</f>
        <v/>
      </c>
      <c r="V627" s="82">
        <f>IF(ISNUMBER($D627),$D627-WEEKDAY($D627,3),'ORDER VS WEEK DISTRIBUTION'!$G$500)</f>
        <v/>
      </c>
      <c r="W627" s="82">
        <f>MAX($V627,'ORDER VS WEEK DISTRIBUTION'!$G$500)</f>
        <v/>
      </c>
      <c r="X627" s="26">
        <f>IFERROR(VLOOKUP($J627,'ORDER VS WEEK DISTRIBUTION'!$T:$U,2,0),"")</f>
        <v/>
      </c>
      <c r="Y627" s="26">
        <f>IFERROR($T627/IF(IFERROR(VLOOKUP($I627,'ITEM CFC PER CONTAINER'!$A:$B,2,0),0)&gt;0,VLOOKUP($I627,'ITEM CFC PER CONTAINER'!$A:$B,2,0),VLOOKUP($X627,'MC MASTER'!$A:$Q,16,0)),"")</f>
        <v/>
      </c>
    </row>
    <row r="628" ht="15" customHeight="1" s="5">
      <c r="A628" s="26" t="inlineStr">
        <is>
          <t>RBW HARDEEVILLE, SC</t>
        </is>
      </c>
      <c r="B628" s="26" t="inlineStr">
        <is>
          <t>MJIL/SO/26023816</t>
        </is>
      </c>
      <c r="C628" s="26" t="inlineStr">
        <is>
          <t>DEC SHPT - 3 - 20 ASST &amp; 100 BLACK</t>
        </is>
      </c>
      <c r="D628" s="82" t="n">
        <v>46370</v>
      </c>
      <c r="E628" s="83">
        <f>IF(ISNUMBER($D628),EOMONTH($D628,-1)+1,"")</f>
        <v/>
      </c>
      <c r="F628" s="82" t="n">
        <v>46370</v>
      </c>
      <c r="G628" s="26" t="n">
        <v>37685</v>
      </c>
      <c r="H628" s="26">
        <f>B628&amp;I628</f>
        <v/>
      </c>
      <c r="I628" s="26" t="inlineStr">
        <is>
          <t>BARISSIMO BLACK TEA 6/100 DC TAG TBGS</t>
        </is>
      </c>
      <c r="J628" s="26" t="inlineStr">
        <is>
          <t>PERFACTA TAG</t>
        </is>
      </c>
      <c r="K628" s="26">
        <f>J628&amp;"-"&amp;TEXT(W628,"dd-mmm-yy")</f>
        <v/>
      </c>
      <c r="L628" s="26">
        <f>IFERROR(VLOOKUP($M628,'ITEM MASTER'!E:H,4,0),"")</f>
        <v/>
      </c>
      <c r="M628" s="26">
        <f>IFERROR(VLOOKUP($I628,'ITEM MASTER'!B:E,4,0),"")</f>
        <v/>
      </c>
      <c r="N628" s="26">
        <f>IFERROR(VLOOKUP($I628,'ITEM MASTER'!B:F,5,0),0)</f>
        <v/>
      </c>
      <c r="O628" s="26">
        <f>IFERROR(VLOOKUP($M628,'TBGS PER CTN'!B:C,2,0),0)</f>
        <v/>
      </c>
      <c r="P628" s="26" t="n">
        <v>1750</v>
      </c>
      <c r="Q628" s="26" t="n">
        <v>0</v>
      </c>
      <c r="R628" s="26" t="n">
        <v>0</v>
      </c>
      <c r="S628" s="26">
        <f>Q628+R628</f>
        <v/>
      </c>
      <c r="T628" s="29" t="n">
        <v>1750</v>
      </c>
      <c r="U628" s="29">
        <f>N628*O628*T628</f>
        <v/>
      </c>
      <c r="V628" s="82">
        <f>IF(ISNUMBER($D628),$D628-WEEKDAY($D628,3),'ORDER VS WEEK DISTRIBUTION'!$G$500)</f>
        <v/>
      </c>
      <c r="W628" s="82">
        <f>MAX($V628,'ORDER VS WEEK DISTRIBUTION'!$G$500)</f>
        <v/>
      </c>
      <c r="X628" s="26">
        <f>IFERROR(VLOOKUP($J628,'ORDER VS WEEK DISTRIBUTION'!$T:$U,2,0),"")</f>
        <v/>
      </c>
      <c r="Y628" s="26">
        <f>IFERROR($T628/IF(IFERROR(VLOOKUP($I628,'ITEM CFC PER CONTAINER'!$A:$B,2,0),0)&gt;0,VLOOKUP($I628,'ITEM CFC PER CONTAINER'!$A:$B,2,0),VLOOKUP($X628,'MC MASTER'!$A:$Q,16,0)),"")</f>
        <v/>
      </c>
    </row>
    <row r="629" ht="15" customHeight="1" s="5">
      <c r="A629" s="26" t="inlineStr">
        <is>
          <t>RBW HARDEEVILLE, SC</t>
        </is>
      </c>
      <c r="B629" s="26" t="inlineStr">
        <is>
          <t>MJIL/SO/26023816</t>
        </is>
      </c>
      <c r="C629" s="26" t="inlineStr">
        <is>
          <t>DEC SHPT - 3 - 20 ASST &amp; 100 BLACK</t>
        </is>
      </c>
      <c r="D629" s="82" t="n">
        <v>46370</v>
      </c>
      <c r="E629" s="83">
        <f>IF(ISNUMBER($D629),EOMONTH($D629,-1)+1,"")</f>
        <v/>
      </c>
      <c r="F629" s="82" t="n">
        <v>46370</v>
      </c>
      <c r="G629" s="26" t="n">
        <v>37682</v>
      </c>
      <c r="H629" s="26">
        <f>B629&amp;I629</f>
        <v/>
      </c>
      <c r="I629" s="26" t="inlineStr">
        <is>
          <t>BARISSIMO GREEN TEA COLLECTIONS 12/20 DC SF ENV TBGS</t>
        </is>
      </c>
      <c r="J629" s="26" t="inlineStr">
        <is>
          <t>C250-A</t>
        </is>
      </c>
      <c r="K629" s="26">
        <f>J629&amp;"-"&amp;TEXT(W629,"dd-mmm-yy")</f>
        <v/>
      </c>
      <c r="L629" s="26">
        <f>IFERROR(VLOOKUP($M629,'ITEM MASTER'!E:H,4,0),"")</f>
        <v/>
      </c>
      <c r="M629" s="26">
        <f>IFERROR(VLOOKUP($I629,'ITEM MASTER'!B:E,4,0),"")</f>
        <v/>
      </c>
      <c r="N629" s="26">
        <f>IFERROR(VLOOKUP($I629,'ITEM MASTER'!B:F,5,0),0)</f>
        <v/>
      </c>
      <c r="O629" s="26">
        <f>IFERROR(VLOOKUP($M629,'TBGS PER CTN'!B:C,2,0),0)</f>
        <v/>
      </c>
      <c r="P629" s="26" t="n">
        <v>1000</v>
      </c>
      <c r="Q629" s="26" t="n">
        <v>0</v>
      </c>
      <c r="R629" s="26" t="n">
        <v>0</v>
      </c>
      <c r="S629" s="26">
        <f>Q629+R629</f>
        <v/>
      </c>
      <c r="T629" s="29" t="n">
        <v>1000</v>
      </c>
      <c r="U629" s="29">
        <f>N629*O629*T629</f>
        <v/>
      </c>
      <c r="V629" s="82">
        <f>IF(ISNUMBER($D629),$D629-WEEKDAY($D629,3),'ORDER VS WEEK DISTRIBUTION'!$G$500)</f>
        <v/>
      </c>
      <c r="W629" s="82">
        <f>MAX($V629,'ORDER VS WEEK DISTRIBUTION'!$G$500)</f>
        <v/>
      </c>
      <c r="X629" s="26">
        <f>IFERROR(VLOOKUP($J629,'ORDER VS WEEK DISTRIBUTION'!$T:$U,2,0),"")</f>
        <v/>
      </c>
      <c r="Y629" s="26">
        <f>IFERROR($T629/IF(IFERROR(VLOOKUP($I629,'ITEM CFC PER CONTAINER'!$A:$B,2,0),0)&gt;0,VLOOKUP($I629,'ITEM CFC PER CONTAINER'!$A:$B,2,0),VLOOKUP($X629,'MC MASTER'!$A:$Q,16,0)),"")</f>
        <v/>
      </c>
    </row>
    <row r="630" ht="15" customHeight="1" s="5">
      <c r="A630" s="26" t="inlineStr">
        <is>
          <t>RBW HARDEEVILLE, SC</t>
        </is>
      </c>
      <c r="B630" s="26" t="inlineStr">
        <is>
          <t>MJIL/SO/26023816</t>
        </is>
      </c>
      <c r="C630" s="26" t="inlineStr">
        <is>
          <t>DEC SHPT - 3 - 20 ASST &amp; 100 BLACK</t>
        </is>
      </c>
      <c r="D630" s="82" t="n">
        <v>46370</v>
      </c>
      <c r="E630" s="83">
        <f>IF(ISNUMBER($D630),EOMONTH($D630,-1)+1,"")</f>
        <v/>
      </c>
      <c r="F630" s="82" t="n">
        <v>46370</v>
      </c>
      <c r="G630" s="26" t="n">
        <v>37683</v>
      </c>
      <c r="H630" s="26">
        <f>B630&amp;I630</f>
        <v/>
      </c>
      <c r="I630" s="26" t="inlineStr">
        <is>
          <t>BARISSIMO BLACK TEA COLLECTIONS 12/20 DC SF ENV TBGS</t>
        </is>
      </c>
      <c r="J630" s="26" t="inlineStr">
        <is>
          <t>C250 AF</t>
        </is>
      </c>
      <c r="K630" s="26">
        <f>J630&amp;"-"&amp;TEXT(W630,"dd-mmm-yy")</f>
        <v/>
      </c>
      <c r="L630" s="26">
        <f>IFERROR(VLOOKUP($M630,'ITEM MASTER'!E:H,4,0),"")</f>
        <v/>
      </c>
      <c r="M630" s="26">
        <f>IFERROR(VLOOKUP($I630,'ITEM MASTER'!B:E,4,0),"")</f>
        <v/>
      </c>
      <c r="N630" s="26">
        <f>IFERROR(VLOOKUP($I630,'ITEM MASTER'!B:F,5,0),0)</f>
        <v/>
      </c>
      <c r="O630" s="26">
        <f>IFERROR(VLOOKUP($M630,'TBGS PER CTN'!B:C,2,0),0)</f>
        <v/>
      </c>
      <c r="P630" s="26" t="n">
        <v>750</v>
      </c>
      <c r="Q630" s="26" t="n">
        <v>0</v>
      </c>
      <c r="R630" s="26" t="n">
        <v>0</v>
      </c>
      <c r="S630" s="26">
        <f>Q630+R630</f>
        <v/>
      </c>
      <c r="T630" s="29" t="n">
        <v>750</v>
      </c>
      <c r="U630" s="29">
        <f>N630*O630*T630</f>
        <v/>
      </c>
      <c r="V630" s="82">
        <f>IF(ISNUMBER($D630),$D630-WEEKDAY($D630,3),'ORDER VS WEEK DISTRIBUTION'!$G$500)</f>
        <v/>
      </c>
      <c r="W630" s="82">
        <f>MAX($V630,'ORDER VS WEEK DISTRIBUTION'!$G$500)</f>
        <v/>
      </c>
      <c r="X630" s="26">
        <f>IFERROR(VLOOKUP($J630,'ORDER VS WEEK DISTRIBUTION'!$T:$U,2,0),"")</f>
        <v/>
      </c>
      <c r="Y630" s="26">
        <f>IFERROR($T630/IF(IFERROR(VLOOKUP($I630,'ITEM CFC PER CONTAINER'!$A:$B,2,0),0)&gt;0,VLOOKUP($I630,'ITEM CFC PER CONTAINER'!$A:$B,2,0),VLOOKUP($X630,'MC MASTER'!$A:$Q,16,0)),"")</f>
        <v/>
      </c>
    </row>
    <row r="631" ht="15" customHeight="1" s="5">
      <c r="A631" s="26" t="inlineStr">
        <is>
          <t>RBW HARDEEVILLE, SC</t>
        </is>
      </c>
      <c r="B631" s="26" t="inlineStr">
        <is>
          <t>MJIL/SO/26023816</t>
        </is>
      </c>
      <c r="C631" s="26" t="inlineStr">
        <is>
          <t>DEC SHPT - 3 - 20 ASST &amp; 100 BLACK</t>
        </is>
      </c>
      <c r="D631" s="82" t="n">
        <v>46370</v>
      </c>
      <c r="E631" s="83">
        <f>IF(ISNUMBER($D631),EOMONTH($D631,-1)+1,"")</f>
        <v/>
      </c>
      <c r="F631" s="82" t="n">
        <v>46370</v>
      </c>
      <c r="G631" s="26" t="n">
        <v>37684</v>
      </c>
      <c r="H631" s="26">
        <f>B631&amp;I631</f>
        <v/>
      </c>
      <c r="I631" s="26" t="inlineStr">
        <is>
          <t>BARISSIMO HERBAL TEA COLLECTIONS 12/20 DC SF ENV TBGS</t>
        </is>
      </c>
      <c r="J631" s="26" t="inlineStr">
        <is>
          <t>C250 AF</t>
        </is>
      </c>
      <c r="K631" s="26">
        <f>J631&amp;"-"&amp;TEXT(W631,"dd-mmm-yy")</f>
        <v/>
      </c>
      <c r="L631" s="26">
        <f>IFERROR(VLOOKUP($M631,'ITEM MASTER'!E:H,4,0),"")</f>
        <v/>
      </c>
      <c r="M631" s="26">
        <f>IFERROR(VLOOKUP($I631,'ITEM MASTER'!B:E,4,0),"")</f>
        <v/>
      </c>
      <c r="N631" s="26">
        <f>IFERROR(VLOOKUP($I631,'ITEM MASTER'!B:F,5,0),0)</f>
        <v/>
      </c>
      <c r="O631" s="26">
        <f>IFERROR(VLOOKUP($M631,'TBGS PER CTN'!B:C,2,0),0)</f>
        <v/>
      </c>
      <c r="P631" s="26" t="n">
        <v>1625</v>
      </c>
      <c r="Q631" s="26" t="n">
        <v>0</v>
      </c>
      <c r="R631" s="26" t="n">
        <v>0</v>
      </c>
      <c r="S631" s="26">
        <f>Q631+R631</f>
        <v/>
      </c>
      <c r="T631" s="29" t="n">
        <v>1625</v>
      </c>
      <c r="U631" s="29">
        <f>N631*O631*T631</f>
        <v/>
      </c>
      <c r="V631" s="82">
        <f>IF(ISNUMBER($D631),$D631-WEEKDAY($D631,3),'ORDER VS WEEK DISTRIBUTION'!$G$500)</f>
        <v/>
      </c>
      <c r="W631" s="82">
        <f>MAX($V631,'ORDER VS WEEK DISTRIBUTION'!$G$500)</f>
        <v/>
      </c>
      <c r="X631" s="26">
        <f>IFERROR(VLOOKUP($J631,'ORDER VS WEEK DISTRIBUTION'!$T:$U,2,0),"")</f>
        <v/>
      </c>
      <c r="Y631" s="26">
        <f>IFERROR($T631/IF(IFERROR(VLOOKUP($I631,'ITEM CFC PER CONTAINER'!$A:$B,2,0),0)&gt;0,VLOOKUP($I631,'ITEM CFC PER CONTAINER'!$A:$B,2,0),VLOOKUP($X631,'MC MASTER'!$A:$Q,16,0)),"")</f>
        <v/>
      </c>
    </row>
    <row r="632" ht="15" customHeight="1" s="5">
      <c r="A632" s="26" t="inlineStr">
        <is>
          <t>Saran Enterprises Ltd.</t>
        </is>
      </c>
      <c r="B632" s="26" t="inlineStr">
        <is>
          <t>MJIL/SO/26043005</t>
        </is>
      </c>
      <c r="C632" s="26" t="inlineStr">
        <is>
          <t>PO 18082026/04 - MUS</t>
        </is>
      </c>
      <c r="D632" s="82" t="n">
        <v>46370</v>
      </c>
      <c r="E632" s="83">
        <f>IF(ISNUMBER($D632),EOMONTH($D632,-1)+1,"")</f>
        <v/>
      </c>
      <c r="F632" s="82" t="n">
        <v>46370</v>
      </c>
      <c r="G632" s="26" t="n">
        <v>34184</v>
      </c>
      <c r="H632" s="26">
        <f>B632&amp;I632</f>
        <v/>
      </c>
      <c r="I632" s="26" t="inlineStr">
        <is>
          <t>SUPER VALUE GOLD TEA 12/80 TAGLESS TBGS</t>
        </is>
      </c>
      <c r="J632" s="26" t="inlineStr">
        <is>
          <t>UNIVERSAL TWIN BAG</t>
        </is>
      </c>
      <c r="K632" s="26">
        <f>J632&amp;"-"&amp;TEXT(W632,"dd-mmm-yy")</f>
        <v/>
      </c>
      <c r="L632" s="26">
        <f>IFERROR(VLOOKUP($M632,'ITEM MASTER'!E:H,4,0),"")</f>
        <v/>
      </c>
      <c r="M632" s="26">
        <f>IFERROR(VLOOKUP($I632,'ITEM MASTER'!B:E,4,0),"")</f>
        <v/>
      </c>
      <c r="N632" s="26">
        <f>IFERROR(VLOOKUP($I632,'ITEM MASTER'!B:F,5,0),0)</f>
        <v/>
      </c>
      <c r="O632" s="26">
        <f>IFERROR(VLOOKUP($M632,'TBGS PER CTN'!B:C,2,0),0)</f>
        <v/>
      </c>
      <c r="P632" s="26" t="n">
        <v>2100</v>
      </c>
      <c r="Q632" s="26" t="n">
        <v>0</v>
      </c>
      <c r="R632" s="26" t="n">
        <v>0</v>
      </c>
      <c r="S632" s="26">
        <f>Q632+R632</f>
        <v/>
      </c>
      <c r="T632" s="29" t="n">
        <v>2100</v>
      </c>
      <c r="U632" s="29">
        <f>N632*O632*T632</f>
        <v/>
      </c>
      <c r="V632" s="82">
        <f>IF(ISNUMBER($D632),$D632-WEEKDAY($D632,3),'ORDER VS WEEK DISTRIBUTION'!$G$500)</f>
        <v/>
      </c>
      <c r="W632" s="82">
        <f>MAX($V632,'ORDER VS WEEK DISTRIBUTION'!$G$500)</f>
        <v/>
      </c>
      <c r="X632" s="26">
        <f>IFERROR(VLOOKUP($J632,'ORDER VS WEEK DISTRIBUTION'!$T:$U,2,0),"")</f>
        <v/>
      </c>
      <c r="Y632" s="26">
        <f>IFERROR($T632/IF(IFERROR(VLOOKUP($I632,'ITEM CFC PER CONTAINER'!$A:$B,2,0),0)&gt;0,VLOOKUP($I632,'ITEM CFC PER CONTAINER'!$A:$B,2,0),VLOOKUP($X632,'MC MASTER'!$A:$Q,16,0)),"")</f>
        <v/>
      </c>
    </row>
    <row r="633" ht="15" customHeight="1" s="5">
      <c r="A633" s="26" t="inlineStr">
        <is>
          <t>Saran Enterprises Ltd.</t>
        </is>
      </c>
      <c r="B633" s="26" t="inlineStr">
        <is>
          <t>MJIL/SO/26043005</t>
        </is>
      </c>
      <c r="C633" s="26" t="inlineStr">
        <is>
          <t>PO 18082026/04 - MUS</t>
        </is>
      </c>
      <c r="D633" s="82" t="n">
        <v>46370</v>
      </c>
      <c r="E633" s="83">
        <f>IF(ISNUMBER($D633),EOMONTH($D633,-1)+1,"")</f>
        <v/>
      </c>
      <c r="F633" s="82" t="n">
        <v>46370</v>
      </c>
      <c r="G633" s="26" t="n">
        <v>34185</v>
      </c>
      <c r="H633" s="26">
        <f>B633&amp;I633</f>
        <v/>
      </c>
      <c r="I633" s="26" t="inlineStr">
        <is>
          <t>CENTRA GOLD BLEND TEA 12/80 TAGLESS TBGS</t>
        </is>
      </c>
      <c r="J633" s="26" t="inlineStr">
        <is>
          <t>UNIVERSAL TWIN BAG</t>
        </is>
      </c>
      <c r="K633" s="26">
        <f>J633&amp;"-"&amp;TEXT(W633,"dd-mmm-yy")</f>
        <v/>
      </c>
      <c r="L633" s="26">
        <f>IFERROR(VLOOKUP($M633,'ITEM MASTER'!E:H,4,0),"")</f>
        <v/>
      </c>
      <c r="M633" s="26">
        <f>IFERROR(VLOOKUP($I633,'ITEM MASTER'!B:E,4,0),"")</f>
        <v/>
      </c>
      <c r="N633" s="26">
        <f>IFERROR(VLOOKUP($I633,'ITEM MASTER'!B:F,5,0),0)</f>
        <v/>
      </c>
      <c r="O633" s="26">
        <f>IFERROR(VLOOKUP($M633,'TBGS PER CTN'!B:C,2,0),0)</f>
        <v/>
      </c>
      <c r="P633" s="26" t="n">
        <v>1120</v>
      </c>
      <c r="Q633" s="26" t="n">
        <v>0</v>
      </c>
      <c r="R633" s="26" t="n">
        <v>0</v>
      </c>
      <c r="S633" s="26">
        <f>Q633+R633</f>
        <v/>
      </c>
      <c r="T633" s="29" t="n">
        <v>1120</v>
      </c>
      <c r="U633" s="29">
        <f>N633*O633*T633</f>
        <v/>
      </c>
      <c r="V633" s="82">
        <f>IF(ISNUMBER($D633),$D633-WEEKDAY($D633,3),'ORDER VS WEEK DISTRIBUTION'!$G$500)</f>
        <v/>
      </c>
      <c r="W633" s="82">
        <f>MAX($V633,'ORDER VS WEEK DISTRIBUTION'!$G$500)</f>
        <v/>
      </c>
      <c r="X633" s="26">
        <f>IFERROR(VLOOKUP($J633,'ORDER VS WEEK DISTRIBUTION'!$T:$U,2,0),"")</f>
        <v/>
      </c>
      <c r="Y633" s="26">
        <f>IFERROR($T633/IF(IFERROR(VLOOKUP($I633,'ITEM CFC PER CONTAINER'!$A:$B,2,0),0)&gt;0,VLOOKUP($I633,'ITEM CFC PER CONTAINER'!$A:$B,2,0),VLOOKUP($X633,'MC MASTER'!$A:$Q,16,0)),"")</f>
        <v/>
      </c>
    </row>
    <row r="634" ht="15" customHeight="1" s="5">
      <c r="A634" s="26" t="inlineStr">
        <is>
          <t>Multitrade Overseas Pte. Ltd.</t>
        </is>
      </c>
      <c r="B634" s="26" t="inlineStr">
        <is>
          <t>MJIL/SO/26049760</t>
        </is>
      </c>
      <c r="C634" s="26" t="inlineStr">
        <is>
          <t>MJ-093/26-27/ 2 (SINOU)</t>
        </is>
      </c>
      <c r="D634" s="82" t="n">
        <v>46372</v>
      </c>
      <c r="E634" s="83">
        <f>IF(ISNUMBER($D634),EOMONTH($D634,-1)+1,"")</f>
        <v/>
      </c>
      <c r="F634" s="82" t="n">
        <v>46372</v>
      </c>
      <c r="G634" s="26" t="n">
        <v>608</v>
      </c>
      <c r="H634" s="26">
        <f>B634&amp;I634</f>
        <v/>
      </c>
      <c r="I634" s="26" t="inlineStr">
        <is>
          <t>INDUS 12/100 DC ENV TBGS WITH TSHIRT</t>
        </is>
      </c>
      <c r="J634" s="30" t="inlineStr">
        <is>
          <t>CONSTANTA ENV</t>
        </is>
      </c>
      <c r="K634" s="26">
        <f>J634&amp;"-"&amp;TEXT(W634,"dd-mmm-yy")</f>
        <v/>
      </c>
      <c r="L634" s="26">
        <f>IFERROR(VLOOKUP($M634,'ITEM MASTER'!E:H,4,0),"")</f>
        <v/>
      </c>
      <c r="M634" s="26">
        <f>IFERROR(VLOOKUP($I634,'ITEM MASTER'!B:E,4,0),"")</f>
        <v/>
      </c>
      <c r="N634" s="26">
        <f>IFERROR(VLOOKUP($I634,'ITEM MASTER'!B:F,5,0),0)</f>
        <v/>
      </c>
      <c r="O634" s="26">
        <f>IFERROR(VLOOKUP($M634,'TBGS PER CTN'!B:C,2,0),0)</f>
        <v/>
      </c>
      <c r="P634" s="26" t="n">
        <v>3300</v>
      </c>
      <c r="Q634" s="26" t="n">
        <v>0</v>
      </c>
      <c r="R634" s="26" t="n">
        <v>0</v>
      </c>
      <c r="S634" s="26">
        <f>Q634+R634</f>
        <v/>
      </c>
      <c r="T634" s="29" t="n">
        <v>3300</v>
      </c>
      <c r="U634" s="29">
        <f>N634*O634*T634</f>
        <v/>
      </c>
      <c r="V634" s="82">
        <f>IF(ISNUMBER($D634),$D634-WEEKDAY($D634,3),'ORDER VS WEEK DISTRIBUTION'!$G$500)</f>
        <v/>
      </c>
      <c r="W634" s="82">
        <f>MAX($V634,'ORDER VS WEEK DISTRIBUTION'!$G$500)</f>
        <v/>
      </c>
      <c r="X634" s="26">
        <f>IFERROR(VLOOKUP($J634,'ORDER VS WEEK DISTRIBUTION'!$T:$U,2,0),"")</f>
        <v/>
      </c>
      <c r="Y634" s="26">
        <f>IFERROR($T634/IF(IFERROR(VLOOKUP($I634,'ITEM CFC PER CONTAINER'!$A:$B,2,0),0)&gt;0,VLOOKUP($I634,'ITEM CFC PER CONTAINER'!$A:$B,2,0),VLOOKUP($X634,'MC MASTER'!$A:$Q,16,0)),"")</f>
        <v/>
      </c>
    </row>
    <row r="635" ht="15" customHeight="1" s="5">
      <c r="A635" s="26" t="inlineStr">
        <is>
          <t>Kaysun General Trading FZCO</t>
        </is>
      </c>
      <c r="B635" s="26" t="inlineStr">
        <is>
          <t>MJIL/SO/26019339</t>
        </is>
      </c>
      <c r="C635" s="26" t="inlineStr">
        <is>
          <t>MJ-043/26-27 / 18</t>
        </is>
      </c>
      <c r="D635" s="82" t="n">
        <v>46373</v>
      </c>
      <c r="E635" s="83">
        <f>IF(ISNUMBER($D635),EOMONTH($D635,-1)+1,"")</f>
        <v/>
      </c>
      <c r="F635" s="82" t="n">
        <v>46373</v>
      </c>
      <c r="G635" s="26" t="n">
        <v>1328</v>
      </c>
      <c r="H635" s="26">
        <f>B635&amp;I635</f>
        <v/>
      </c>
      <c r="I635" s="26" t="inlineStr">
        <is>
          <t>CHAYA 12/100 DC ENV TBGS</t>
        </is>
      </c>
      <c r="J635" s="26" t="inlineStr">
        <is>
          <t>PERFECTA ENV</t>
        </is>
      </c>
      <c r="K635" s="26">
        <f>J635&amp;"-"&amp;TEXT(W635,"dd-mmm-yy")</f>
        <v/>
      </c>
      <c r="L635" s="26">
        <f>IFERROR(VLOOKUP($M635,'ITEM MASTER'!E:H,4,0),"")</f>
        <v/>
      </c>
      <c r="M635" s="26">
        <f>IFERROR(VLOOKUP($I635,'ITEM MASTER'!B:E,4,0),"")</f>
        <v/>
      </c>
      <c r="N635" s="26">
        <f>IFERROR(VLOOKUP($I635,'ITEM MASTER'!B:F,5,0),0)</f>
        <v/>
      </c>
      <c r="O635" s="26">
        <f>IFERROR(VLOOKUP($M635,'TBGS PER CTN'!B:C,2,0),0)</f>
        <v/>
      </c>
      <c r="P635" s="26" t="n">
        <v>6640</v>
      </c>
      <c r="Q635" s="26" t="n">
        <v>0</v>
      </c>
      <c r="R635" s="26" t="n">
        <v>0</v>
      </c>
      <c r="S635" s="26">
        <f>Q635+R635</f>
        <v/>
      </c>
      <c r="T635" s="29" t="n">
        <v>6640</v>
      </c>
      <c r="U635" s="29">
        <f>N635*O635*T635</f>
        <v/>
      </c>
      <c r="V635" s="82">
        <f>IF(ISNUMBER($D635),$D635-WEEKDAY($D635,3),'ORDER VS WEEK DISTRIBUTION'!$G$500)</f>
        <v/>
      </c>
      <c r="W635" s="82">
        <f>MAX($V635,'ORDER VS WEEK DISTRIBUTION'!$G$500)</f>
        <v/>
      </c>
      <c r="X635" s="26">
        <f>IFERROR(VLOOKUP($J635,'ORDER VS WEEK DISTRIBUTION'!$T:$U,2,0),"")</f>
        <v/>
      </c>
      <c r="Y635" s="26">
        <f>IFERROR($T635/IF(IFERROR(VLOOKUP($I635,'ITEM CFC PER CONTAINER'!$A:$B,2,0),0)&gt;0,VLOOKUP($I635,'ITEM CFC PER CONTAINER'!$A:$B,2,0),VLOOKUP($X635,'MC MASTER'!$A:$Q,16,0)),"")</f>
        <v/>
      </c>
    </row>
    <row r="636" ht="15" customHeight="1" s="5">
      <c r="A636" s="26" t="inlineStr">
        <is>
          <t>RBW HARDEEVILLE, SC</t>
        </is>
      </c>
      <c r="B636" s="26" t="inlineStr">
        <is>
          <t>MJIL/SO/26023817</t>
        </is>
      </c>
      <c r="C636" s="26" t="inlineStr">
        <is>
          <t>DEC SHPT - 4 - 20 ASST &amp; 100 BLACK</t>
        </is>
      </c>
      <c r="D636" s="82" t="n">
        <v>46373</v>
      </c>
      <c r="E636" s="83">
        <f>IF(ISNUMBER($D636),EOMONTH($D636,-1)+1,"")</f>
        <v/>
      </c>
      <c r="F636" s="82" t="n">
        <v>46373</v>
      </c>
      <c r="G636" s="26" t="n">
        <v>37685</v>
      </c>
      <c r="H636" s="26">
        <f>B636&amp;I636</f>
        <v/>
      </c>
      <c r="I636" s="26" t="inlineStr">
        <is>
          <t>BARISSIMO BLACK TEA 6/100 DC TAG TBGS</t>
        </is>
      </c>
      <c r="J636" s="26" t="inlineStr">
        <is>
          <t>PERFACTA TAG</t>
        </is>
      </c>
      <c r="K636" s="26">
        <f>J636&amp;"-"&amp;TEXT(W636,"dd-mmm-yy")</f>
        <v/>
      </c>
      <c r="L636" s="26">
        <f>IFERROR(VLOOKUP($M636,'ITEM MASTER'!E:H,4,0),"")</f>
        <v/>
      </c>
      <c r="M636" s="26">
        <f>IFERROR(VLOOKUP($I636,'ITEM MASTER'!B:E,4,0),"")</f>
        <v/>
      </c>
      <c r="N636" s="26">
        <f>IFERROR(VLOOKUP($I636,'ITEM MASTER'!B:F,5,0),0)</f>
        <v/>
      </c>
      <c r="O636" s="26">
        <f>IFERROR(VLOOKUP($M636,'TBGS PER CTN'!B:C,2,0),0)</f>
        <v/>
      </c>
      <c r="P636" s="26" t="n">
        <v>1750</v>
      </c>
      <c r="Q636" s="26" t="n">
        <v>0</v>
      </c>
      <c r="R636" s="26" t="n">
        <v>0</v>
      </c>
      <c r="S636" s="26">
        <f>Q636+R636</f>
        <v/>
      </c>
      <c r="T636" s="29" t="n">
        <v>1750</v>
      </c>
      <c r="U636" s="29">
        <f>N636*O636*T636</f>
        <v/>
      </c>
      <c r="V636" s="82">
        <f>IF(ISNUMBER($D636),$D636-WEEKDAY($D636,3),'ORDER VS WEEK DISTRIBUTION'!$G$500)</f>
        <v/>
      </c>
      <c r="W636" s="82">
        <f>MAX($V636,'ORDER VS WEEK DISTRIBUTION'!$G$500)</f>
        <v/>
      </c>
      <c r="X636" s="26">
        <f>IFERROR(VLOOKUP($J636,'ORDER VS WEEK DISTRIBUTION'!$T:$U,2,0),"")</f>
        <v/>
      </c>
      <c r="Y636" s="26">
        <f>IFERROR($T636/IF(IFERROR(VLOOKUP($I636,'ITEM CFC PER CONTAINER'!$A:$B,2,0),0)&gt;0,VLOOKUP($I636,'ITEM CFC PER CONTAINER'!$A:$B,2,0),VLOOKUP($X636,'MC MASTER'!$A:$Q,16,0)),"")</f>
        <v/>
      </c>
    </row>
    <row r="637" ht="15" customHeight="1" s="5">
      <c r="A637" s="26" t="inlineStr">
        <is>
          <t>RBW HARDEEVILLE, SC</t>
        </is>
      </c>
      <c r="B637" s="26" t="inlineStr">
        <is>
          <t>MJIL/SO/26023817</t>
        </is>
      </c>
      <c r="C637" s="26" t="inlineStr">
        <is>
          <t>DEC SHPT - 4 - 20 ASST &amp; 100 BLACK</t>
        </is>
      </c>
      <c r="D637" s="82" t="n">
        <v>46373</v>
      </c>
      <c r="E637" s="83">
        <f>IF(ISNUMBER($D637),EOMONTH($D637,-1)+1,"")</f>
        <v/>
      </c>
      <c r="F637" s="82" t="n">
        <v>46373</v>
      </c>
      <c r="G637" s="26" t="n">
        <v>37682</v>
      </c>
      <c r="H637" s="26">
        <f>B637&amp;I637</f>
        <v/>
      </c>
      <c r="I637" s="26" t="inlineStr">
        <is>
          <t>BARISSIMO GREEN TEA COLLECTIONS 12/20 DC SF ENV TBGS</t>
        </is>
      </c>
      <c r="J637" s="26" t="inlineStr">
        <is>
          <t>C250-A</t>
        </is>
      </c>
      <c r="K637" s="26">
        <f>J637&amp;"-"&amp;TEXT(W637,"dd-mmm-yy")</f>
        <v/>
      </c>
      <c r="L637" s="26">
        <f>IFERROR(VLOOKUP($M637,'ITEM MASTER'!E:H,4,0),"")</f>
        <v/>
      </c>
      <c r="M637" s="26">
        <f>IFERROR(VLOOKUP($I637,'ITEM MASTER'!B:E,4,0),"")</f>
        <v/>
      </c>
      <c r="N637" s="26">
        <f>IFERROR(VLOOKUP($I637,'ITEM MASTER'!B:F,5,0),0)</f>
        <v/>
      </c>
      <c r="O637" s="26">
        <f>IFERROR(VLOOKUP($M637,'TBGS PER CTN'!B:C,2,0),0)</f>
        <v/>
      </c>
      <c r="P637" s="26" t="n">
        <v>1000</v>
      </c>
      <c r="Q637" s="26" t="n">
        <v>0</v>
      </c>
      <c r="R637" s="26" t="n">
        <v>0</v>
      </c>
      <c r="S637" s="26">
        <f>Q637+R637</f>
        <v/>
      </c>
      <c r="T637" s="29" t="n">
        <v>1000</v>
      </c>
      <c r="U637" s="29">
        <f>N637*O637*T637</f>
        <v/>
      </c>
      <c r="V637" s="82">
        <f>IF(ISNUMBER($D637),$D637-WEEKDAY($D637,3),'ORDER VS WEEK DISTRIBUTION'!$G$500)</f>
        <v/>
      </c>
      <c r="W637" s="82">
        <f>MAX($V637,'ORDER VS WEEK DISTRIBUTION'!$G$500)</f>
        <v/>
      </c>
      <c r="X637" s="26">
        <f>IFERROR(VLOOKUP($J637,'ORDER VS WEEK DISTRIBUTION'!$T:$U,2,0),"")</f>
        <v/>
      </c>
      <c r="Y637" s="26">
        <f>IFERROR($T637/IF(IFERROR(VLOOKUP($I637,'ITEM CFC PER CONTAINER'!$A:$B,2,0),0)&gt;0,VLOOKUP($I637,'ITEM CFC PER CONTAINER'!$A:$B,2,0),VLOOKUP($X637,'MC MASTER'!$A:$Q,16,0)),"")</f>
        <v/>
      </c>
    </row>
    <row r="638" ht="15" customHeight="1" s="5">
      <c r="A638" s="26" t="inlineStr">
        <is>
          <t>RBW HARDEEVILLE, SC</t>
        </is>
      </c>
      <c r="B638" s="26" t="inlineStr">
        <is>
          <t>MJIL/SO/26023817</t>
        </is>
      </c>
      <c r="C638" s="26" t="inlineStr">
        <is>
          <t>DEC SHPT - 4 - 20 ASST &amp; 100 BLACK</t>
        </is>
      </c>
      <c r="D638" s="82" t="n">
        <v>46373</v>
      </c>
      <c r="E638" s="83">
        <f>IF(ISNUMBER($D638),EOMONTH($D638,-1)+1,"")</f>
        <v/>
      </c>
      <c r="F638" s="82" t="n">
        <v>46373</v>
      </c>
      <c r="G638" s="26" t="n">
        <v>37683</v>
      </c>
      <c r="H638" s="26">
        <f>B638&amp;I638</f>
        <v/>
      </c>
      <c r="I638" s="26" t="inlineStr">
        <is>
          <t>BARISSIMO BLACK TEA COLLECTIONS 12/20 DC SF ENV TBGS</t>
        </is>
      </c>
      <c r="J638" s="26" t="inlineStr">
        <is>
          <t>C250 AF</t>
        </is>
      </c>
      <c r="K638" s="26">
        <f>J638&amp;"-"&amp;TEXT(W638,"dd-mmm-yy")</f>
        <v/>
      </c>
      <c r="L638" s="26">
        <f>IFERROR(VLOOKUP($M638,'ITEM MASTER'!E:H,4,0),"")</f>
        <v/>
      </c>
      <c r="M638" s="26">
        <f>IFERROR(VLOOKUP($I638,'ITEM MASTER'!B:E,4,0),"")</f>
        <v/>
      </c>
      <c r="N638" s="26">
        <f>IFERROR(VLOOKUP($I638,'ITEM MASTER'!B:F,5,0),0)</f>
        <v/>
      </c>
      <c r="O638" s="26">
        <f>IFERROR(VLOOKUP($M638,'TBGS PER CTN'!B:C,2,0),0)</f>
        <v/>
      </c>
      <c r="P638" s="26" t="n">
        <v>750</v>
      </c>
      <c r="Q638" s="26" t="n">
        <v>0</v>
      </c>
      <c r="R638" s="26" t="n">
        <v>0</v>
      </c>
      <c r="S638" s="26">
        <f>Q638+R638</f>
        <v/>
      </c>
      <c r="T638" s="29" t="n">
        <v>750</v>
      </c>
      <c r="U638" s="29">
        <f>N638*O638*T638</f>
        <v/>
      </c>
      <c r="V638" s="82">
        <f>IF(ISNUMBER($D638),$D638-WEEKDAY($D638,3),'ORDER VS WEEK DISTRIBUTION'!$G$500)</f>
        <v/>
      </c>
      <c r="W638" s="82">
        <f>MAX($V638,'ORDER VS WEEK DISTRIBUTION'!$G$500)</f>
        <v/>
      </c>
      <c r="X638" s="26">
        <f>IFERROR(VLOOKUP($J638,'ORDER VS WEEK DISTRIBUTION'!$T:$U,2,0),"")</f>
        <v/>
      </c>
      <c r="Y638" s="26">
        <f>IFERROR($T638/IF(IFERROR(VLOOKUP($I638,'ITEM CFC PER CONTAINER'!$A:$B,2,0),0)&gt;0,VLOOKUP($I638,'ITEM CFC PER CONTAINER'!$A:$B,2,0),VLOOKUP($X638,'MC MASTER'!$A:$Q,16,0)),"")</f>
        <v/>
      </c>
    </row>
    <row r="639" ht="15" customHeight="1" s="5">
      <c r="A639" s="26" t="inlineStr">
        <is>
          <t>RBW HARDEEVILLE, SC</t>
        </is>
      </c>
      <c r="B639" s="26" t="inlineStr">
        <is>
          <t>MJIL/SO/26023817</t>
        </is>
      </c>
      <c r="C639" s="26" t="inlineStr">
        <is>
          <t>DEC SHPT - 4 - 20 ASST &amp; 100 BLACK</t>
        </is>
      </c>
      <c r="D639" s="82" t="n">
        <v>46373</v>
      </c>
      <c r="E639" s="83">
        <f>IF(ISNUMBER($D639),EOMONTH($D639,-1)+1,"")</f>
        <v/>
      </c>
      <c r="F639" s="82" t="n">
        <v>46373</v>
      </c>
      <c r="G639" s="26" t="n">
        <v>37684</v>
      </c>
      <c r="H639" s="26">
        <f>B639&amp;I639</f>
        <v/>
      </c>
      <c r="I639" s="26" t="inlineStr">
        <is>
          <t>BARISSIMO HERBAL TEA COLLECTIONS 12/20 DC SF ENV TBGS</t>
        </is>
      </c>
      <c r="J639" s="26" t="inlineStr">
        <is>
          <t>C250 AF</t>
        </is>
      </c>
      <c r="K639" s="26">
        <f>J639&amp;"-"&amp;TEXT(W639,"dd-mmm-yy")</f>
        <v/>
      </c>
      <c r="L639" s="26">
        <f>IFERROR(VLOOKUP($M639,'ITEM MASTER'!E:H,4,0),"")</f>
        <v/>
      </c>
      <c r="M639" s="26">
        <f>IFERROR(VLOOKUP($I639,'ITEM MASTER'!B:E,4,0),"")</f>
        <v/>
      </c>
      <c r="N639" s="26">
        <f>IFERROR(VLOOKUP($I639,'ITEM MASTER'!B:F,5,0),0)</f>
        <v/>
      </c>
      <c r="O639" s="26">
        <f>IFERROR(VLOOKUP($M639,'TBGS PER CTN'!B:C,2,0),0)</f>
        <v/>
      </c>
      <c r="P639" s="26" t="n">
        <v>1625</v>
      </c>
      <c r="Q639" s="26" t="n">
        <v>0</v>
      </c>
      <c r="R639" s="26" t="n">
        <v>0</v>
      </c>
      <c r="S639" s="26">
        <f>Q639+R639</f>
        <v/>
      </c>
      <c r="T639" s="29" t="n">
        <v>1625</v>
      </c>
      <c r="U639" s="29">
        <f>N639*O639*T639</f>
        <v/>
      </c>
      <c r="V639" s="82">
        <f>IF(ISNUMBER($D639),$D639-WEEKDAY($D639,3),'ORDER VS WEEK DISTRIBUTION'!$G$500)</f>
        <v/>
      </c>
      <c r="W639" s="82">
        <f>MAX($V639,'ORDER VS WEEK DISTRIBUTION'!$G$500)</f>
        <v/>
      </c>
      <c r="X639" s="26">
        <f>IFERROR(VLOOKUP($J639,'ORDER VS WEEK DISTRIBUTION'!$T:$U,2,0),"")</f>
        <v/>
      </c>
      <c r="Y639" s="26">
        <f>IFERROR($T639/IF(IFERROR(VLOOKUP($I639,'ITEM CFC PER CONTAINER'!$A:$B,2,0),0)&gt;0,VLOOKUP($I639,'ITEM CFC PER CONTAINER'!$A:$B,2,0),VLOOKUP($X639,'MC MASTER'!$A:$Q,16,0)),"")</f>
        <v/>
      </c>
    </row>
    <row r="640" ht="15" customHeight="1" s="5">
      <c r="A640" s="26" t="inlineStr">
        <is>
          <t>Kaysun General Trading FZCO</t>
        </is>
      </c>
      <c r="B640" s="26" t="inlineStr">
        <is>
          <t>MJIL/SO/26019337</t>
        </is>
      </c>
      <c r="C640" s="26" t="inlineStr">
        <is>
          <t>MJ-043/26-27 / 16</t>
        </is>
      </c>
      <c r="D640" s="82" t="n">
        <v>46377</v>
      </c>
      <c r="E640" s="83">
        <f>IF(ISNUMBER($D640),EOMONTH($D640,-1)+1,"")</f>
        <v/>
      </c>
      <c r="F640" s="82" t="n">
        <v>46377</v>
      </c>
      <c r="G640" s="26" t="n">
        <v>1328</v>
      </c>
      <c r="H640" s="26">
        <f>B640&amp;I640</f>
        <v/>
      </c>
      <c r="I640" s="26" t="inlineStr">
        <is>
          <t>CHAYA 12/100 DC ENV TBGS</t>
        </is>
      </c>
      <c r="J640" s="26" t="inlineStr">
        <is>
          <t>PERFECTA ENV</t>
        </is>
      </c>
      <c r="K640" s="26">
        <f>J640&amp;"-"&amp;TEXT(W640,"dd-mmm-yy")</f>
        <v/>
      </c>
      <c r="L640" s="26">
        <f>IFERROR(VLOOKUP($M640,'ITEM MASTER'!E:H,4,0),"")</f>
        <v/>
      </c>
      <c r="M640" s="26">
        <f>IFERROR(VLOOKUP($I640,'ITEM MASTER'!B:E,4,0),"")</f>
        <v/>
      </c>
      <c r="N640" s="26">
        <f>IFERROR(VLOOKUP($I640,'ITEM MASTER'!B:F,5,0),0)</f>
        <v/>
      </c>
      <c r="O640" s="26">
        <f>IFERROR(VLOOKUP($M640,'TBGS PER CTN'!B:C,2,0),0)</f>
        <v/>
      </c>
      <c r="P640" s="26" t="n">
        <v>6640</v>
      </c>
      <c r="Q640" s="26" t="n">
        <v>0</v>
      </c>
      <c r="R640" s="26" t="n">
        <v>0</v>
      </c>
      <c r="S640" s="26">
        <f>Q640+R640</f>
        <v/>
      </c>
      <c r="T640" s="29" t="n">
        <v>6640</v>
      </c>
      <c r="U640" s="29">
        <f>N640*O640*T640</f>
        <v/>
      </c>
      <c r="V640" s="82">
        <f>IF(ISNUMBER($D640),$D640-WEEKDAY($D640,3),'ORDER VS WEEK DISTRIBUTION'!$G$500)</f>
        <v/>
      </c>
      <c r="W640" s="82">
        <f>MAX($V640,'ORDER VS WEEK DISTRIBUTION'!$G$500)</f>
        <v/>
      </c>
      <c r="X640" s="26">
        <f>IFERROR(VLOOKUP($J640,'ORDER VS WEEK DISTRIBUTION'!$T:$U,2,0),"")</f>
        <v/>
      </c>
      <c r="Y640" s="26">
        <f>IFERROR($T640/IF(IFERROR(VLOOKUP($I640,'ITEM CFC PER CONTAINER'!$A:$B,2,0),0)&gt;0,VLOOKUP($I640,'ITEM CFC PER CONTAINER'!$A:$B,2,0),VLOOKUP($X640,'MC MASTER'!$A:$Q,16,0)),"")</f>
        <v/>
      </c>
    </row>
    <row r="641" ht="15" customHeight="1" s="5">
      <c r="A641" s="26" t="inlineStr">
        <is>
          <t>Multitrade Overseas Pte. Ltd.</t>
        </is>
      </c>
      <c r="B641" s="26" t="inlineStr">
        <is>
          <t>MJIL/SO/26047639</t>
        </is>
      </c>
      <c r="C641" s="26" t="inlineStr">
        <is>
          <t>MJ-086/26-27 / 5 (ETKAF)</t>
        </is>
      </c>
      <c r="D641" s="82" t="n">
        <v>46377</v>
      </c>
      <c r="E641" s="83">
        <f>IF(ISNUMBER($D641),EOMONTH($D641,-1)+1,"")</f>
        <v/>
      </c>
      <c r="F641" s="82" t="n">
        <v>46377</v>
      </c>
      <c r="G641" s="26" t="n">
        <v>2023</v>
      </c>
      <c r="H641" s="26">
        <f>B641&amp;I641</f>
        <v/>
      </c>
      <c r="I641" s="26" t="inlineStr">
        <is>
          <t>GV MINT 24/25 DC ENV TBGS WITH TSHIRT</t>
        </is>
      </c>
      <c r="J641" s="30" t="inlineStr">
        <is>
          <t>CONSTANTA ENV</t>
        </is>
      </c>
      <c r="K641" s="26">
        <f>J641&amp;"-"&amp;TEXT(W641,"dd-mmm-yy")</f>
        <v/>
      </c>
      <c r="L641" s="26">
        <f>IFERROR(VLOOKUP($M641,'ITEM MASTER'!E:H,4,0),"")</f>
        <v/>
      </c>
      <c r="M641" s="26">
        <f>IFERROR(VLOOKUP($I641,'ITEM MASTER'!B:E,4,0),"")</f>
        <v/>
      </c>
      <c r="N641" s="26">
        <f>IFERROR(VLOOKUP($I641,'ITEM MASTER'!B:F,5,0),0)</f>
        <v/>
      </c>
      <c r="O641" s="26">
        <f>IFERROR(VLOOKUP($M641,'TBGS PER CTN'!B:C,2,0),0)</f>
        <v/>
      </c>
      <c r="P641" s="26" t="n">
        <v>4000</v>
      </c>
      <c r="Q641" s="26" t="n">
        <v>0</v>
      </c>
      <c r="R641" s="26" t="n">
        <v>0</v>
      </c>
      <c r="S641" s="26">
        <f>Q641+R641</f>
        <v/>
      </c>
      <c r="T641" s="29" t="n">
        <v>4000</v>
      </c>
      <c r="U641" s="29">
        <f>N641*O641*T641</f>
        <v/>
      </c>
      <c r="V641" s="82">
        <f>IF(ISNUMBER($D641),$D641-WEEKDAY($D641,3),'ORDER VS WEEK DISTRIBUTION'!$G$500)</f>
        <v/>
      </c>
      <c r="W641" s="82">
        <f>MAX($V641,'ORDER VS WEEK DISTRIBUTION'!$G$500)</f>
        <v/>
      </c>
      <c r="X641" s="26">
        <f>IFERROR(VLOOKUP($J641,'ORDER VS WEEK DISTRIBUTION'!$T:$U,2,0),"")</f>
        <v/>
      </c>
      <c r="Y641" s="26">
        <f>IFERROR($T641/IF(IFERROR(VLOOKUP($I641,'ITEM CFC PER CONTAINER'!$A:$B,2,0),0)&gt;0,VLOOKUP($I641,'ITEM CFC PER CONTAINER'!$A:$B,2,0),VLOOKUP($X641,'MC MASTER'!$A:$Q,16,0)),"")</f>
        <v/>
      </c>
    </row>
    <row r="642" ht="15" customHeight="1" s="5">
      <c r="A642" s="26" t="inlineStr">
        <is>
          <t>Multitrade Overseas Pte. Ltd.</t>
        </is>
      </c>
      <c r="B642" s="26" t="inlineStr">
        <is>
          <t>MJIL/SO/26047639</t>
        </is>
      </c>
      <c r="C642" s="26" t="inlineStr">
        <is>
          <t>MJ-086/26-27 / 5 (ETKAF)</t>
        </is>
      </c>
      <c r="D642" s="82" t="n">
        <v>46377</v>
      </c>
      <c r="E642" s="83">
        <f>IF(ISNUMBER($D642),EOMONTH($D642,-1)+1,"")</f>
        <v/>
      </c>
      <c r="F642" s="82" t="n">
        <v>46377</v>
      </c>
      <c r="G642" s="26" t="n">
        <v>1933</v>
      </c>
      <c r="H642" s="26">
        <f>B642&amp;I642</f>
        <v/>
      </c>
      <c r="I642" s="26" t="inlineStr">
        <is>
          <t>GV GARDEN STRAWBERRY 24/25 DC ENV TBGS WITH TSHIRT</t>
        </is>
      </c>
      <c r="J642" s="30" t="inlineStr">
        <is>
          <t>CONSTANTA ENV</t>
        </is>
      </c>
      <c r="K642" s="26">
        <f>J642&amp;"-"&amp;TEXT(W642,"dd-mmm-yy")</f>
        <v/>
      </c>
      <c r="L642" s="26">
        <f>IFERROR(VLOOKUP($M642,'ITEM MASTER'!E:H,4,0),"")</f>
        <v/>
      </c>
      <c r="M642" s="26">
        <f>IFERROR(VLOOKUP($I642,'ITEM MASTER'!B:E,4,0),"")</f>
        <v/>
      </c>
      <c r="N642" s="26">
        <f>IFERROR(VLOOKUP($I642,'ITEM MASTER'!B:F,5,0),0)</f>
        <v/>
      </c>
      <c r="O642" s="26">
        <f>IFERROR(VLOOKUP($M642,'TBGS PER CTN'!B:C,2,0),0)</f>
        <v/>
      </c>
      <c r="P642" s="26" t="n">
        <v>4750</v>
      </c>
      <c r="Q642" s="26" t="n">
        <v>0</v>
      </c>
      <c r="R642" s="26" t="n">
        <v>0</v>
      </c>
      <c r="S642" s="26">
        <f>Q642+R642</f>
        <v/>
      </c>
      <c r="T642" s="29" t="n">
        <v>4750</v>
      </c>
      <c r="U642" s="29">
        <f>N642*O642*T642</f>
        <v/>
      </c>
      <c r="V642" s="82">
        <f>IF(ISNUMBER($D642),$D642-WEEKDAY($D642,3),'ORDER VS WEEK DISTRIBUTION'!$G$500)</f>
        <v/>
      </c>
      <c r="W642" s="82">
        <f>MAX($V642,'ORDER VS WEEK DISTRIBUTION'!$G$500)</f>
        <v/>
      </c>
      <c r="X642" s="26">
        <f>IFERROR(VLOOKUP($J642,'ORDER VS WEEK DISTRIBUTION'!$T:$U,2,0),"")</f>
        <v/>
      </c>
      <c r="Y642" s="26">
        <f>IFERROR($T642/IF(IFERROR(VLOOKUP($I642,'ITEM CFC PER CONTAINER'!$A:$B,2,0),0)&gt;0,VLOOKUP($I642,'ITEM CFC PER CONTAINER'!$A:$B,2,0),VLOOKUP($X642,'MC MASTER'!$A:$Q,16,0)),"")</f>
        <v/>
      </c>
    </row>
    <row r="643" ht="15" customHeight="1" s="5">
      <c r="A643" s="26" t="inlineStr">
        <is>
          <t>Multitrade Overseas Pte. Ltd.</t>
        </is>
      </c>
      <c r="B643" s="26" t="inlineStr">
        <is>
          <t>MJIL/SO/26047639</t>
        </is>
      </c>
      <c r="C643" s="26" t="inlineStr">
        <is>
          <t>MJ-086/26-27 / 5 (ETKAF)</t>
        </is>
      </c>
      <c r="D643" s="82" t="n">
        <v>46377</v>
      </c>
      <c r="E643" s="83">
        <f>IF(ISNUMBER($D643),EOMONTH($D643,-1)+1,"")</f>
        <v/>
      </c>
      <c r="F643" s="82" t="n">
        <v>46377</v>
      </c>
      <c r="G643" s="26" t="n">
        <v>2131</v>
      </c>
      <c r="H643" s="26">
        <f>B643&amp;I643</f>
        <v/>
      </c>
      <c r="I643" s="26" t="inlineStr">
        <is>
          <t>GV SPICY GINGER 24/25 DC ENV TBGS WITH TSHIRT</t>
        </is>
      </c>
      <c r="J643" s="30" t="inlineStr">
        <is>
          <t>CONSTANTA ENV</t>
        </is>
      </c>
      <c r="K643" s="26">
        <f>J643&amp;"-"&amp;TEXT(W643,"dd-mmm-yy")</f>
        <v/>
      </c>
      <c r="L643" s="26">
        <f>IFERROR(VLOOKUP($M643,'ITEM MASTER'!E:H,4,0),"")</f>
        <v/>
      </c>
      <c r="M643" s="26">
        <f>IFERROR(VLOOKUP($I643,'ITEM MASTER'!B:E,4,0),"")</f>
        <v/>
      </c>
      <c r="N643" s="26">
        <f>IFERROR(VLOOKUP($I643,'ITEM MASTER'!B:F,5,0),0)</f>
        <v/>
      </c>
      <c r="O643" s="26">
        <f>IFERROR(VLOOKUP($M643,'TBGS PER CTN'!B:C,2,0),0)</f>
        <v/>
      </c>
      <c r="P643" s="26" t="n">
        <v>3000</v>
      </c>
      <c r="Q643" s="26" t="n">
        <v>0</v>
      </c>
      <c r="R643" s="26" t="n">
        <v>0</v>
      </c>
      <c r="S643" s="26">
        <f>Q643+R643</f>
        <v/>
      </c>
      <c r="T643" s="29" t="n">
        <v>3000</v>
      </c>
      <c r="U643" s="29">
        <f>N643*O643*T643</f>
        <v/>
      </c>
      <c r="V643" s="82">
        <f>IF(ISNUMBER($D643),$D643-WEEKDAY($D643,3),'ORDER VS WEEK DISTRIBUTION'!$G$500)</f>
        <v/>
      </c>
      <c r="W643" s="82">
        <f>MAX($V643,'ORDER VS WEEK DISTRIBUTION'!$G$500)</f>
        <v/>
      </c>
      <c r="X643" s="26">
        <f>IFERROR(VLOOKUP($J643,'ORDER VS WEEK DISTRIBUTION'!$T:$U,2,0),"")</f>
        <v/>
      </c>
      <c r="Y643" s="26">
        <f>IFERROR($T643/IF(IFERROR(VLOOKUP($I643,'ITEM CFC PER CONTAINER'!$A:$B,2,0),0)&gt;0,VLOOKUP($I643,'ITEM CFC PER CONTAINER'!$A:$B,2,0),VLOOKUP($X643,'MC MASTER'!$A:$Q,16,0)),"")</f>
        <v/>
      </c>
    </row>
    <row r="644" ht="15" customHeight="1" s="5">
      <c r="A644" s="26" t="inlineStr">
        <is>
          <t>Multitrade Overseas Pte. Ltd.</t>
        </is>
      </c>
      <c r="B644" s="26" t="inlineStr">
        <is>
          <t>MJIL/SO/26047639</t>
        </is>
      </c>
      <c r="C644" s="26" t="inlineStr">
        <is>
          <t>MJ-086/26-27 / 5 (ETKAF)</t>
        </is>
      </c>
      <c r="D644" s="82" t="n">
        <v>46377</v>
      </c>
      <c r="E644" s="83">
        <f>IF(ISNUMBER($D644),EOMONTH($D644,-1)+1,"")</f>
        <v/>
      </c>
      <c r="F644" s="82" t="n">
        <v>46377</v>
      </c>
      <c r="G644" s="26" t="n">
        <v>2051</v>
      </c>
      <c r="H644" s="26">
        <f>B644&amp;I644</f>
        <v/>
      </c>
      <c r="I644" s="26" t="inlineStr">
        <is>
          <t>GV ORANGE 24/25 DC ENV TBGS WITH TSHIRT</t>
        </is>
      </c>
      <c r="J644" s="30" t="inlineStr">
        <is>
          <t>CONSTANTA ENV</t>
        </is>
      </c>
      <c r="K644" s="26">
        <f>J644&amp;"-"&amp;TEXT(W644,"dd-mmm-yy")</f>
        <v/>
      </c>
      <c r="L644" s="26">
        <f>IFERROR(VLOOKUP($M644,'ITEM MASTER'!E:H,4,0),"")</f>
        <v/>
      </c>
      <c r="M644" s="26">
        <f>IFERROR(VLOOKUP($I644,'ITEM MASTER'!B:E,4,0),"")</f>
        <v/>
      </c>
      <c r="N644" s="26">
        <f>IFERROR(VLOOKUP($I644,'ITEM MASTER'!B:F,5,0),0)</f>
        <v/>
      </c>
      <c r="O644" s="26">
        <f>IFERROR(VLOOKUP($M644,'TBGS PER CTN'!B:C,2,0),0)</f>
        <v/>
      </c>
      <c r="P644" s="26" t="n">
        <v>440</v>
      </c>
      <c r="Q644" s="26" t="n">
        <v>0</v>
      </c>
      <c r="R644" s="26" t="n">
        <v>0</v>
      </c>
      <c r="S644" s="26">
        <f>Q644+R644</f>
        <v/>
      </c>
      <c r="T644" s="29" t="n">
        <v>440</v>
      </c>
      <c r="U644" s="29">
        <f>N644*O644*T644</f>
        <v/>
      </c>
      <c r="V644" s="82">
        <f>IF(ISNUMBER($D644),$D644-WEEKDAY($D644,3),'ORDER VS WEEK DISTRIBUTION'!$G$500)</f>
        <v/>
      </c>
      <c r="W644" s="82">
        <f>MAX($V644,'ORDER VS WEEK DISTRIBUTION'!$G$500)</f>
        <v/>
      </c>
      <c r="X644" s="26">
        <f>IFERROR(VLOOKUP($J644,'ORDER VS WEEK DISTRIBUTION'!$T:$U,2,0),"")</f>
        <v/>
      </c>
      <c r="Y644" s="26">
        <f>IFERROR($T644/IF(IFERROR(VLOOKUP($I644,'ITEM CFC PER CONTAINER'!$A:$B,2,0),0)&gt;0,VLOOKUP($I644,'ITEM CFC PER CONTAINER'!$A:$B,2,0),VLOOKUP($X644,'MC MASTER'!$A:$Q,16,0)),"")</f>
        <v/>
      </c>
    </row>
    <row r="645" ht="15" customHeight="1" s="5">
      <c r="A645" s="26" t="inlineStr">
        <is>
          <t>Multitrade Overseas Pte. Ltd.</t>
        </is>
      </c>
      <c r="B645" s="26" t="inlineStr">
        <is>
          <t>MJIL/SO/26047639</t>
        </is>
      </c>
      <c r="C645" s="26" t="inlineStr">
        <is>
          <t>MJ-086/26-27 / 5 (ETKAF)</t>
        </is>
      </c>
      <c r="D645" s="82" t="n">
        <v>46377</v>
      </c>
      <c r="E645" s="83">
        <f>IF(ISNUMBER($D645),EOMONTH($D645,-1)+1,"")</f>
        <v/>
      </c>
      <c r="F645" s="82" t="n">
        <v>46377</v>
      </c>
      <c r="G645" s="26" t="n">
        <v>2105</v>
      </c>
      <c r="H645" s="26">
        <f>B645&amp;I645</f>
        <v/>
      </c>
      <c r="I645" s="26" t="inlineStr">
        <is>
          <t>GV ROYAL LEMON 24/25 DC ENV TBGS WITH TSHIRT</t>
        </is>
      </c>
      <c r="J645" s="30" t="inlineStr">
        <is>
          <t>CONSTANTA ENV</t>
        </is>
      </c>
      <c r="K645" s="26">
        <f>J645&amp;"-"&amp;TEXT(W645,"dd-mmm-yy")</f>
        <v/>
      </c>
      <c r="L645" s="26">
        <f>IFERROR(VLOOKUP($M645,'ITEM MASTER'!E:H,4,0),"")</f>
        <v/>
      </c>
      <c r="M645" s="26">
        <f>IFERROR(VLOOKUP($I645,'ITEM MASTER'!B:E,4,0),"")</f>
        <v/>
      </c>
      <c r="N645" s="26">
        <f>IFERROR(VLOOKUP($I645,'ITEM MASTER'!B:F,5,0),0)</f>
        <v/>
      </c>
      <c r="O645" s="26">
        <f>IFERROR(VLOOKUP($M645,'TBGS PER CTN'!B:C,2,0),0)</f>
        <v/>
      </c>
      <c r="P645" s="26" t="n">
        <v>50</v>
      </c>
      <c r="Q645" s="26" t="n">
        <v>0</v>
      </c>
      <c r="R645" s="26" t="n">
        <v>0</v>
      </c>
      <c r="S645" s="26">
        <f>Q645+R645</f>
        <v/>
      </c>
      <c r="T645" s="29" t="n">
        <v>50</v>
      </c>
      <c r="U645" s="29">
        <f>N645*O645*T645</f>
        <v/>
      </c>
      <c r="V645" s="82">
        <f>IF(ISNUMBER($D645),$D645-WEEKDAY($D645,3),'ORDER VS WEEK DISTRIBUTION'!$G$500)</f>
        <v/>
      </c>
      <c r="W645" s="82">
        <f>MAX($V645,'ORDER VS WEEK DISTRIBUTION'!$G$500)</f>
        <v/>
      </c>
      <c r="X645" s="26">
        <f>IFERROR(VLOOKUP($J645,'ORDER VS WEEK DISTRIBUTION'!$T:$U,2,0),"")</f>
        <v/>
      </c>
      <c r="Y645" s="26">
        <f>IFERROR($T645/IF(IFERROR(VLOOKUP($I645,'ITEM CFC PER CONTAINER'!$A:$B,2,0),0)&gt;0,VLOOKUP($I645,'ITEM CFC PER CONTAINER'!$A:$B,2,0),VLOOKUP($X645,'MC MASTER'!$A:$Q,16,0)),"")</f>
        <v/>
      </c>
    </row>
    <row r="646" ht="15" customHeight="1" s="5">
      <c r="A646" s="26" t="inlineStr">
        <is>
          <t>Multitrade Overseas Pte. Ltd.</t>
        </is>
      </c>
      <c r="B646" s="26" t="inlineStr">
        <is>
          <t>MJIL/SO/26047641</t>
        </is>
      </c>
      <c r="C646" s="26" t="inlineStr">
        <is>
          <t>MJ-086/26-27 / 6 (ETKAF)</t>
        </is>
      </c>
      <c r="D646" s="82" t="n">
        <v>46398</v>
      </c>
      <c r="E646" s="83">
        <f>IF(ISNUMBER($D646),EOMONTH($D646,-1)+1,"")</f>
        <v/>
      </c>
      <c r="F646" s="82" t="n">
        <v>46398</v>
      </c>
      <c r="G646" s="26" t="n">
        <v>1933</v>
      </c>
      <c r="H646" s="26">
        <f>B646&amp;I646</f>
        <v/>
      </c>
      <c r="I646" s="26" t="inlineStr">
        <is>
          <t>GV GARDEN STRAWBERRY 24/25 DC ENV TBGS WITH TSHIRT</t>
        </is>
      </c>
      <c r="J646" s="30" t="inlineStr">
        <is>
          <t>CONSTANTA ENV</t>
        </is>
      </c>
      <c r="K646" s="26">
        <f>J646&amp;"-"&amp;TEXT(W646,"dd-mmm-yy")</f>
        <v/>
      </c>
      <c r="L646" s="26">
        <f>IFERROR(VLOOKUP($M646,'ITEM MASTER'!E:H,4,0),"")</f>
        <v/>
      </c>
      <c r="M646" s="26">
        <f>IFERROR(VLOOKUP($I646,'ITEM MASTER'!B:E,4,0),"")</f>
        <v/>
      </c>
      <c r="N646" s="26">
        <f>IFERROR(VLOOKUP($I646,'ITEM MASTER'!B:F,5,0),0)</f>
        <v/>
      </c>
      <c r="O646" s="26">
        <f>IFERROR(VLOOKUP($M646,'TBGS PER CTN'!B:C,2,0),0)</f>
        <v/>
      </c>
      <c r="P646" s="26" t="n">
        <v>4887</v>
      </c>
      <c r="Q646" s="26" t="n">
        <v>0</v>
      </c>
      <c r="R646" s="26" t="n">
        <v>0</v>
      </c>
      <c r="S646" s="26">
        <f>Q646+R646</f>
        <v/>
      </c>
      <c r="T646" s="29" t="n">
        <v>4887</v>
      </c>
      <c r="U646" s="29">
        <f>N646*O646*T646</f>
        <v/>
      </c>
      <c r="V646" s="82">
        <f>IF(ISNUMBER($D646),$D646-WEEKDAY($D646,3),'ORDER VS WEEK DISTRIBUTION'!$G$500)</f>
        <v/>
      </c>
      <c r="W646" s="82">
        <f>MAX($V646,'ORDER VS WEEK DISTRIBUTION'!$G$500)</f>
        <v/>
      </c>
      <c r="X646" s="26">
        <f>IFERROR(VLOOKUP($J646,'ORDER VS WEEK DISTRIBUTION'!$T:$U,2,0),"")</f>
        <v/>
      </c>
      <c r="Y646" s="26">
        <f>IFERROR($T646/IF(IFERROR(VLOOKUP($I646,'ITEM CFC PER CONTAINER'!$A:$B,2,0),0)&gt;0,VLOOKUP($I646,'ITEM CFC PER CONTAINER'!$A:$B,2,0),VLOOKUP($X646,'MC MASTER'!$A:$Q,16,0)),"")</f>
        <v/>
      </c>
    </row>
    <row r="647" ht="15" customHeight="1" s="5">
      <c r="A647" s="26" t="inlineStr">
        <is>
          <t>Multitrade Overseas Pte. Ltd.</t>
        </is>
      </c>
      <c r="B647" s="26" t="inlineStr">
        <is>
          <t>MJIL/SO/26047641</t>
        </is>
      </c>
      <c r="C647" s="26" t="inlineStr">
        <is>
          <t>MJ-086/26-27 / 6 (ETKAF)</t>
        </is>
      </c>
      <c r="D647" s="82" t="n">
        <v>46398</v>
      </c>
      <c r="E647" s="83">
        <f>IF(ISNUMBER($D647),EOMONTH($D647,-1)+1,"")</f>
        <v/>
      </c>
      <c r="F647" s="82" t="n">
        <v>46398</v>
      </c>
      <c r="G647" s="26" t="n">
        <v>2131</v>
      </c>
      <c r="H647" s="26">
        <f>B647&amp;I647</f>
        <v/>
      </c>
      <c r="I647" s="26" t="inlineStr">
        <is>
          <t>GV SPICY GINGER 24/25 DC ENV TBGS WITH TSHIRT</t>
        </is>
      </c>
      <c r="J647" s="30" t="inlineStr">
        <is>
          <t>CONSTANTA ENV</t>
        </is>
      </c>
      <c r="K647" s="26">
        <f>J647&amp;"-"&amp;TEXT(W647,"dd-mmm-yy")</f>
        <v/>
      </c>
      <c r="L647" s="26">
        <f>IFERROR(VLOOKUP($M647,'ITEM MASTER'!E:H,4,0),"")</f>
        <v/>
      </c>
      <c r="M647" s="26">
        <f>IFERROR(VLOOKUP($I647,'ITEM MASTER'!B:E,4,0),"")</f>
        <v/>
      </c>
      <c r="N647" s="26">
        <f>IFERROR(VLOOKUP($I647,'ITEM MASTER'!B:F,5,0),0)</f>
        <v/>
      </c>
      <c r="O647" s="26">
        <f>IFERROR(VLOOKUP($M647,'TBGS PER CTN'!B:C,2,0),0)</f>
        <v/>
      </c>
      <c r="P647" s="26" t="n">
        <v>2950</v>
      </c>
      <c r="Q647" s="26" t="n">
        <v>0</v>
      </c>
      <c r="R647" s="26" t="n">
        <v>0</v>
      </c>
      <c r="S647" s="26">
        <f>Q647+R647</f>
        <v/>
      </c>
      <c r="T647" s="29" t="n">
        <v>2950</v>
      </c>
      <c r="U647" s="29">
        <f>N647*O647*T647</f>
        <v/>
      </c>
      <c r="V647" s="82">
        <f>IF(ISNUMBER($D647),$D647-WEEKDAY($D647,3),'ORDER VS WEEK DISTRIBUTION'!$G$500)</f>
        <v/>
      </c>
      <c r="W647" s="82">
        <f>MAX($V647,'ORDER VS WEEK DISTRIBUTION'!$G$500)</f>
        <v/>
      </c>
      <c r="X647" s="26">
        <f>IFERROR(VLOOKUP($J647,'ORDER VS WEEK DISTRIBUTION'!$T:$U,2,0),"")</f>
        <v/>
      </c>
      <c r="Y647" s="26">
        <f>IFERROR($T647/IF(IFERROR(VLOOKUP($I647,'ITEM CFC PER CONTAINER'!$A:$B,2,0),0)&gt;0,VLOOKUP($I647,'ITEM CFC PER CONTAINER'!$A:$B,2,0),VLOOKUP($X647,'MC MASTER'!$A:$Q,16,0)),"")</f>
        <v/>
      </c>
    </row>
    <row r="648" ht="15" customHeight="1" s="5">
      <c r="A648" s="26" t="inlineStr">
        <is>
          <t>Multitrade Overseas Pte. Ltd.</t>
        </is>
      </c>
      <c r="B648" s="26" t="inlineStr">
        <is>
          <t>MJIL/SO/26047641</t>
        </is>
      </c>
      <c r="C648" s="26" t="inlineStr">
        <is>
          <t>MJ-086/26-27 / 6 (ETKAF)</t>
        </is>
      </c>
      <c r="D648" s="82" t="n">
        <v>46398</v>
      </c>
      <c r="E648" s="83">
        <f>IF(ISNUMBER($D648),EOMONTH($D648,-1)+1,"")</f>
        <v/>
      </c>
      <c r="F648" s="82" t="n">
        <v>46398</v>
      </c>
      <c r="G648" s="26" t="n">
        <v>2051</v>
      </c>
      <c r="H648" s="26">
        <f>B648&amp;I648</f>
        <v/>
      </c>
      <c r="I648" s="26" t="inlineStr">
        <is>
          <t>GV ORANGE 24/25 DC ENV TBGS WITH TSHIRT</t>
        </is>
      </c>
      <c r="J648" s="30" t="inlineStr">
        <is>
          <t>CONSTANTA ENV</t>
        </is>
      </c>
      <c r="K648" s="26">
        <f>J648&amp;"-"&amp;TEXT(W648,"dd-mmm-yy")</f>
        <v/>
      </c>
      <c r="L648" s="26">
        <f>IFERROR(VLOOKUP($M648,'ITEM MASTER'!E:H,4,0),"")</f>
        <v/>
      </c>
      <c r="M648" s="26">
        <f>IFERROR(VLOOKUP($I648,'ITEM MASTER'!B:E,4,0),"")</f>
        <v/>
      </c>
      <c r="N648" s="26">
        <f>IFERROR(VLOOKUP($I648,'ITEM MASTER'!B:F,5,0),0)</f>
        <v/>
      </c>
      <c r="O648" s="26">
        <f>IFERROR(VLOOKUP($M648,'TBGS PER CTN'!B:C,2,0),0)</f>
        <v/>
      </c>
      <c r="P648" s="26" t="n">
        <v>200</v>
      </c>
      <c r="Q648" s="26" t="n">
        <v>0</v>
      </c>
      <c r="R648" s="26" t="n">
        <v>0</v>
      </c>
      <c r="S648" s="26">
        <f>Q648+R648</f>
        <v/>
      </c>
      <c r="T648" s="29" t="n">
        <v>200</v>
      </c>
      <c r="U648" s="29">
        <f>N648*O648*T648</f>
        <v/>
      </c>
      <c r="V648" s="82">
        <f>IF(ISNUMBER($D648),$D648-WEEKDAY($D648,3),'ORDER VS WEEK DISTRIBUTION'!$G$500)</f>
        <v/>
      </c>
      <c r="W648" s="82">
        <f>MAX($V648,'ORDER VS WEEK DISTRIBUTION'!$G$500)</f>
        <v/>
      </c>
      <c r="X648" s="26">
        <f>IFERROR(VLOOKUP($J648,'ORDER VS WEEK DISTRIBUTION'!$T:$U,2,0),"")</f>
        <v/>
      </c>
      <c r="Y648" s="26">
        <f>IFERROR($T648/IF(IFERROR(VLOOKUP($I648,'ITEM CFC PER CONTAINER'!$A:$B,2,0),0)&gt;0,VLOOKUP($I648,'ITEM CFC PER CONTAINER'!$A:$B,2,0),VLOOKUP($X648,'MC MASTER'!$A:$Q,16,0)),"")</f>
        <v/>
      </c>
    </row>
    <row r="649" ht="15" customHeight="1" s="5">
      <c r="A649" s="26" t="inlineStr">
        <is>
          <t>Multitrade Overseas Pte. Ltd.</t>
        </is>
      </c>
      <c r="B649" s="26" t="inlineStr">
        <is>
          <t>MJIL/SO/26047641</t>
        </is>
      </c>
      <c r="C649" s="26" t="inlineStr">
        <is>
          <t>MJ-086/26-27 / 6 (ETKAF)</t>
        </is>
      </c>
      <c r="D649" s="82" t="n">
        <v>46398</v>
      </c>
      <c r="E649" s="83">
        <f>IF(ISNUMBER($D649),EOMONTH($D649,-1)+1,"")</f>
        <v/>
      </c>
      <c r="F649" s="82" t="n">
        <v>46398</v>
      </c>
      <c r="G649" s="26" t="n">
        <v>21810</v>
      </c>
      <c r="H649" s="26">
        <f>B649&amp;I649</f>
        <v/>
      </c>
      <c r="I649" s="26" t="inlineStr">
        <is>
          <t>GV CLOVE 24/25 DC ENV TBGS WITH TSHIRT</t>
        </is>
      </c>
      <c r="J649" s="30" t="inlineStr">
        <is>
          <t>CONSTANTA ENV</t>
        </is>
      </c>
      <c r="K649" s="26">
        <f>J649&amp;"-"&amp;TEXT(W649,"dd-mmm-yy")</f>
        <v/>
      </c>
      <c r="L649" s="26">
        <f>IFERROR(VLOOKUP($M649,'ITEM MASTER'!E:H,4,0),"")</f>
        <v/>
      </c>
      <c r="M649" s="26">
        <f>IFERROR(VLOOKUP($I649,'ITEM MASTER'!B:E,4,0),"")</f>
        <v/>
      </c>
      <c r="N649" s="26">
        <f>IFERROR(VLOOKUP($I649,'ITEM MASTER'!B:F,5,0),0)</f>
        <v/>
      </c>
      <c r="O649" s="26">
        <f>IFERROR(VLOOKUP($M649,'TBGS PER CTN'!B:C,2,0),0)</f>
        <v/>
      </c>
      <c r="P649" s="26" t="n">
        <v>200</v>
      </c>
      <c r="Q649" s="26" t="n">
        <v>0</v>
      </c>
      <c r="R649" s="26" t="n">
        <v>0</v>
      </c>
      <c r="S649" s="26">
        <f>Q649+R649</f>
        <v/>
      </c>
      <c r="T649" s="29" t="n">
        <v>200</v>
      </c>
      <c r="U649" s="29">
        <f>N649*O649*T649</f>
        <v/>
      </c>
      <c r="V649" s="82">
        <f>IF(ISNUMBER($D649),$D649-WEEKDAY($D649,3),'ORDER VS WEEK DISTRIBUTION'!$G$500)</f>
        <v/>
      </c>
      <c r="W649" s="82">
        <f>MAX($V649,'ORDER VS WEEK DISTRIBUTION'!$G$500)</f>
        <v/>
      </c>
      <c r="X649" s="26">
        <f>IFERROR(VLOOKUP($J649,'ORDER VS WEEK DISTRIBUTION'!$T:$U,2,0),"")</f>
        <v/>
      </c>
      <c r="Y649" s="26">
        <f>IFERROR($T649/IF(IFERROR(VLOOKUP($I649,'ITEM CFC PER CONTAINER'!$A:$B,2,0),0)&gt;0,VLOOKUP($I649,'ITEM CFC PER CONTAINER'!$A:$B,2,0),VLOOKUP($X649,'MC MASTER'!$A:$Q,16,0)),"")</f>
        <v/>
      </c>
    </row>
    <row r="650" ht="15" customHeight="1" s="5">
      <c r="A650" s="26" t="inlineStr">
        <is>
          <t>Multitrade Overseas Pte. Ltd.</t>
        </is>
      </c>
      <c r="B650" s="26" t="inlineStr">
        <is>
          <t>MJIL/SO/26047641</t>
        </is>
      </c>
      <c r="C650" s="26" t="inlineStr">
        <is>
          <t>MJ-086/26-27 / 6 (ETKAF)</t>
        </is>
      </c>
      <c r="D650" s="82" t="n">
        <v>46398</v>
      </c>
      <c r="E650" s="83">
        <f>IF(ISNUMBER($D650),EOMONTH($D650,-1)+1,"")</f>
        <v/>
      </c>
      <c r="F650" s="82" t="n">
        <v>46398</v>
      </c>
      <c r="G650" s="26" t="n">
        <v>2105</v>
      </c>
      <c r="H650" s="26">
        <f>B650&amp;I650</f>
        <v/>
      </c>
      <c r="I650" s="26" t="inlineStr">
        <is>
          <t>GV ROYAL LEMON 24/25 DC ENV TBGS WITH TSHIRT</t>
        </is>
      </c>
      <c r="J650" s="30" t="inlineStr">
        <is>
          <t>CONSTANTA ENV</t>
        </is>
      </c>
      <c r="K650" s="26">
        <f>J650&amp;"-"&amp;TEXT(W650,"dd-mmm-yy")</f>
        <v/>
      </c>
      <c r="L650" s="26">
        <f>IFERROR(VLOOKUP($M650,'ITEM MASTER'!E:H,4,0),"")</f>
        <v/>
      </c>
      <c r="M650" s="26">
        <f>IFERROR(VLOOKUP($I650,'ITEM MASTER'!B:E,4,0),"")</f>
        <v/>
      </c>
      <c r="N650" s="26">
        <f>IFERROR(VLOOKUP($I650,'ITEM MASTER'!B:F,5,0),0)</f>
        <v/>
      </c>
      <c r="O650" s="26">
        <f>IFERROR(VLOOKUP($M650,'TBGS PER CTN'!B:C,2,0),0)</f>
        <v/>
      </c>
      <c r="P650" s="26" t="n">
        <v>273</v>
      </c>
      <c r="Q650" s="26" t="n">
        <v>0</v>
      </c>
      <c r="R650" s="26" t="n">
        <v>0</v>
      </c>
      <c r="S650" s="26">
        <f>Q650+R650</f>
        <v/>
      </c>
      <c r="T650" s="29" t="n">
        <v>273</v>
      </c>
      <c r="U650" s="29">
        <f>N650*O650*T650</f>
        <v/>
      </c>
      <c r="V650" s="82">
        <f>IF(ISNUMBER($D650),$D650-WEEKDAY($D650,3),'ORDER VS WEEK DISTRIBUTION'!$G$500)</f>
        <v/>
      </c>
      <c r="W650" s="82">
        <f>MAX($V650,'ORDER VS WEEK DISTRIBUTION'!$G$500)</f>
        <v/>
      </c>
      <c r="X650" s="26">
        <f>IFERROR(VLOOKUP($J650,'ORDER VS WEEK DISTRIBUTION'!$T:$U,2,0),"")</f>
        <v/>
      </c>
      <c r="Y650" s="26">
        <f>IFERROR($T650/IF(IFERROR(VLOOKUP($I650,'ITEM CFC PER CONTAINER'!$A:$B,2,0),0)&gt;0,VLOOKUP($I650,'ITEM CFC PER CONTAINER'!$A:$B,2,0),VLOOKUP($X650,'MC MASTER'!$A:$Q,16,0)),"")</f>
        <v/>
      </c>
    </row>
    <row r="651" ht="15" customHeight="1" s="5">
      <c r="A651" s="26" t="inlineStr">
        <is>
          <t>Multitrade Overseas Pte. Ltd.</t>
        </is>
      </c>
      <c r="B651" s="26" t="inlineStr">
        <is>
          <t>MJIL/SO/26047641</t>
        </is>
      </c>
      <c r="C651" s="26" t="inlineStr">
        <is>
          <t>MJ-086/26-27 / 6 (ETKAF)</t>
        </is>
      </c>
      <c r="D651" s="82" t="n">
        <v>46398</v>
      </c>
      <c r="E651" s="83">
        <f>IF(ISNUMBER($D651),EOMONTH($D651,-1)+1,"")</f>
        <v/>
      </c>
      <c r="F651" s="82" t="n">
        <v>46398</v>
      </c>
      <c r="G651" s="26" t="n">
        <v>2023</v>
      </c>
      <c r="H651" s="26">
        <f>B651&amp;I651</f>
        <v/>
      </c>
      <c r="I651" s="26" t="inlineStr">
        <is>
          <t>GV MINT 24/25 DC ENV TBGS WITH TSHIRT</t>
        </is>
      </c>
      <c r="J651" s="30" t="inlineStr">
        <is>
          <t>CONSTANTA ENV</t>
        </is>
      </c>
      <c r="K651" s="26">
        <f>J651&amp;"-"&amp;TEXT(W651,"dd-mmm-yy")</f>
        <v/>
      </c>
      <c r="L651" s="26">
        <f>IFERROR(VLOOKUP($M651,'ITEM MASTER'!E:H,4,0),"")</f>
        <v/>
      </c>
      <c r="M651" s="26">
        <f>IFERROR(VLOOKUP($I651,'ITEM MASTER'!B:E,4,0),"")</f>
        <v/>
      </c>
      <c r="N651" s="26">
        <f>IFERROR(VLOOKUP($I651,'ITEM MASTER'!B:F,5,0),0)</f>
        <v/>
      </c>
      <c r="O651" s="26">
        <f>IFERROR(VLOOKUP($M651,'TBGS PER CTN'!B:C,2,0),0)</f>
        <v/>
      </c>
      <c r="P651" s="26" t="n">
        <v>3730</v>
      </c>
      <c r="Q651" s="26" t="n">
        <v>0</v>
      </c>
      <c r="R651" s="26" t="n">
        <v>0</v>
      </c>
      <c r="S651" s="26">
        <f>Q651+R651</f>
        <v/>
      </c>
      <c r="T651" s="29" t="n">
        <v>3730</v>
      </c>
      <c r="U651" s="29">
        <f>N651*O651*T651</f>
        <v/>
      </c>
      <c r="V651" s="82">
        <f>IF(ISNUMBER($D651),$D651-WEEKDAY($D651,3),'ORDER VS WEEK DISTRIBUTION'!$G$500)</f>
        <v/>
      </c>
      <c r="W651" s="82">
        <f>MAX($V651,'ORDER VS WEEK DISTRIBUTION'!$G$500)</f>
        <v/>
      </c>
      <c r="X651" s="26">
        <f>IFERROR(VLOOKUP($J651,'ORDER VS WEEK DISTRIBUTION'!$T:$U,2,0),"")</f>
        <v/>
      </c>
      <c r="Y651" s="26">
        <f>IFERROR($T651/IF(IFERROR(VLOOKUP($I651,'ITEM CFC PER CONTAINER'!$A:$B,2,0),0)&gt;0,VLOOKUP($I651,'ITEM CFC PER CONTAINER'!$A:$B,2,0),VLOOKUP($X651,'MC MASTER'!$A:$Q,16,0)),"")</f>
        <v/>
      </c>
    </row>
    <row r="652" ht="15" customHeight="1" s="5">
      <c r="A652" s="26" t="inlineStr">
        <is>
          <t>RBW HARDEEVILLE, SC</t>
        </is>
      </c>
      <c r="B652" s="26" t="inlineStr">
        <is>
          <t>MJIL/SO/26023818</t>
        </is>
      </c>
      <c r="C652" s="26" t="inlineStr">
        <is>
          <t>JAN SHPT - 1 - 20 ASST &amp; 100 BLACK</t>
        </is>
      </c>
      <c r="D652" s="82" t="n">
        <v>46398</v>
      </c>
      <c r="E652" s="83">
        <f>IF(ISNUMBER($D652),EOMONTH($D652,-1)+1,"")</f>
        <v/>
      </c>
      <c r="F652" s="82" t="n">
        <v>46398</v>
      </c>
      <c r="G652" s="26" t="n">
        <v>37685</v>
      </c>
      <c r="H652" s="26">
        <f>B652&amp;I652</f>
        <v/>
      </c>
      <c r="I652" s="26" t="inlineStr">
        <is>
          <t>BARISSIMO BLACK TEA 6/100 DC TAG TBGS</t>
        </is>
      </c>
      <c r="J652" s="26" t="inlineStr">
        <is>
          <t>PERFACTA TAG</t>
        </is>
      </c>
      <c r="K652" s="26">
        <f>J652&amp;"-"&amp;TEXT(W652,"dd-mmm-yy")</f>
        <v/>
      </c>
      <c r="L652" s="26">
        <f>IFERROR(VLOOKUP($M652,'ITEM MASTER'!E:H,4,0),"")</f>
        <v/>
      </c>
      <c r="M652" s="26">
        <f>IFERROR(VLOOKUP($I652,'ITEM MASTER'!B:E,4,0),"")</f>
        <v/>
      </c>
      <c r="N652" s="26">
        <f>IFERROR(VLOOKUP($I652,'ITEM MASTER'!B:F,5,0),0)</f>
        <v/>
      </c>
      <c r="O652" s="26">
        <f>IFERROR(VLOOKUP($M652,'TBGS PER CTN'!B:C,2,0),0)</f>
        <v/>
      </c>
      <c r="P652" s="26" t="n">
        <v>1750</v>
      </c>
      <c r="Q652" s="26" t="n">
        <v>0</v>
      </c>
      <c r="R652" s="26" t="n">
        <v>0</v>
      </c>
      <c r="S652" s="26">
        <f>Q652+R652</f>
        <v/>
      </c>
      <c r="T652" s="29" t="n">
        <v>1750</v>
      </c>
      <c r="U652" s="29">
        <f>N652*O652*T652</f>
        <v/>
      </c>
      <c r="V652" s="82">
        <f>IF(ISNUMBER($D652),$D652-WEEKDAY($D652,3),'ORDER VS WEEK DISTRIBUTION'!$G$500)</f>
        <v/>
      </c>
      <c r="W652" s="82">
        <f>MAX($V652,'ORDER VS WEEK DISTRIBUTION'!$G$500)</f>
        <v/>
      </c>
      <c r="X652" s="26">
        <f>IFERROR(VLOOKUP($J652,'ORDER VS WEEK DISTRIBUTION'!$T:$U,2,0),"")</f>
        <v/>
      </c>
      <c r="Y652" s="26">
        <f>IFERROR($T652/IF(IFERROR(VLOOKUP($I652,'ITEM CFC PER CONTAINER'!$A:$B,2,0),0)&gt;0,VLOOKUP($I652,'ITEM CFC PER CONTAINER'!$A:$B,2,0),VLOOKUP($X652,'MC MASTER'!$A:$Q,16,0)),"")</f>
        <v/>
      </c>
    </row>
    <row r="653" ht="15" customHeight="1" s="5">
      <c r="A653" s="26" t="inlineStr">
        <is>
          <t>RBW HARDEEVILLE, SC</t>
        </is>
      </c>
      <c r="B653" s="26" t="inlineStr">
        <is>
          <t>MJIL/SO/26023818</t>
        </is>
      </c>
      <c r="C653" s="26" t="inlineStr">
        <is>
          <t>JAN SHPT - 1 - 20 ASST &amp; 100 BLACK</t>
        </is>
      </c>
      <c r="D653" s="82" t="n">
        <v>46398</v>
      </c>
      <c r="E653" s="83">
        <f>IF(ISNUMBER($D653),EOMONTH($D653,-1)+1,"")</f>
        <v/>
      </c>
      <c r="F653" s="82" t="n">
        <v>46398</v>
      </c>
      <c r="G653" s="26" t="n">
        <v>37682</v>
      </c>
      <c r="H653" s="26">
        <f>B653&amp;I653</f>
        <v/>
      </c>
      <c r="I653" s="26" t="inlineStr">
        <is>
          <t>BARISSIMO GREEN TEA COLLECTIONS 12/20 DC SF ENV TBGS</t>
        </is>
      </c>
      <c r="J653" s="26" t="inlineStr">
        <is>
          <t>C250-A</t>
        </is>
      </c>
      <c r="K653" s="26">
        <f>J653&amp;"-"&amp;TEXT(W653,"dd-mmm-yy")</f>
        <v/>
      </c>
      <c r="L653" s="26">
        <f>IFERROR(VLOOKUP($M653,'ITEM MASTER'!E:H,4,0),"")</f>
        <v/>
      </c>
      <c r="M653" s="26">
        <f>IFERROR(VLOOKUP($I653,'ITEM MASTER'!B:E,4,0),"")</f>
        <v/>
      </c>
      <c r="N653" s="26">
        <f>IFERROR(VLOOKUP($I653,'ITEM MASTER'!B:F,5,0),0)</f>
        <v/>
      </c>
      <c r="O653" s="26">
        <f>IFERROR(VLOOKUP($M653,'TBGS PER CTN'!B:C,2,0),0)</f>
        <v/>
      </c>
      <c r="P653" s="26" t="n">
        <v>1000</v>
      </c>
      <c r="Q653" s="26" t="n">
        <v>0</v>
      </c>
      <c r="R653" s="26" t="n">
        <v>0</v>
      </c>
      <c r="S653" s="26">
        <f>Q653+R653</f>
        <v/>
      </c>
      <c r="T653" s="29" t="n">
        <v>1000</v>
      </c>
      <c r="U653" s="29">
        <f>N653*O653*T653</f>
        <v/>
      </c>
      <c r="V653" s="82">
        <f>IF(ISNUMBER($D653),$D653-WEEKDAY($D653,3),'ORDER VS WEEK DISTRIBUTION'!$G$500)</f>
        <v/>
      </c>
      <c r="W653" s="82">
        <f>MAX($V653,'ORDER VS WEEK DISTRIBUTION'!$G$500)</f>
        <v/>
      </c>
      <c r="X653" s="26">
        <f>IFERROR(VLOOKUP($J653,'ORDER VS WEEK DISTRIBUTION'!$T:$U,2,0),"")</f>
        <v/>
      </c>
      <c r="Y653" s="26">
        <f>IFERROR($T653/IF(IFERROR(VLOOKUP($I653,'ITEM CFC PER CONTAINER'!$A:$B,2,0),0)&gt;0,VLOOKUP($I653,'ITEM CFC PER CONTAINER'!$A:$B,2,0),VLOOKUP($X653,'MC MASTER'!$A:$Q,16,0)),"")</f>
        <v/>
      </c>
    </row>
    <row r="654" ht="15" customHeight="1" s="5">
      <c r="A654" s="26" t="inlineStr">
        <is>
          <t>RBW HARDEEVILLE, SC</t>
        </is>
      </c>
      <c r="B654" s="26" t="inlineStr">
        <is>
          <t>MJIL/SO/26023818</t>
        </is>
      </c>
      <c r="C654" s="26" t="inlineStr">
        <is>
          <t>JAN SHPT - 1 - 20 ASST &amp; 100 BLACK</t>
        </is>
      </c>
      <c r="D654" s="82" t="n">
        <v>46398</v>
      </c>
      <c r="E654" s="83">
        <f>IF(ISNUMBER($D654),EOMONTH($D654,-1)+1,"")</f>
        <v/>
      </c>
      <c r="F654" s="82" t="n">
        <v>46398</v>
      </c>
      <c r="G654" s="26" t="n">
        <v>37683</v>
      </c>
      <c r="H654" s="26">
        <f>B654&amp;I654</f>
        <v/>
      </c>
      <c r="I654" s="26" t="inlineStr">
        <is>
          <t>BARISSIMO BLACK TEA COLLECTIONS 12/20 DC SF ENV TBGS</t>
        </is>
      </c>
      <c r="J654" s="26" t="inlineStr">
        <is>
          <t>C250 AF</t>
        </is>
      </c>
      <c r="K654" s="26">
        <f>J654&amp;"-"&amp;TEXT(W654,"dd-mmm-yy")</f>
        <v/>
      </c>
      <c r="L654" s="26">
        <f>IFERROR(VLOOKUP($M654,'ITEM MASTER'!E:H,4,0),"")</f>
        <v/>
      </c>
      <c r="M654" s="26">
        <f>IFERROR(VLOOKUP($I654,'ITEM MASTER'!B:E,4,0),"")</f>
        <v/>
      </c>
      <c r="N654" s="26">
        <f>IFERROR(VLOOKUP($I654,'ITEM MASTER'!B:F,5,0),0)</f>
        <v/>
      </c>
      <c r="O654" s="26">
        <f>IFERROR(VLOOKUP($M654,'TBGS PER CTN'!B:C,2,0),0)</f>
        <v/>
      </c>
      <c r="P654" s="26" t="n">
        <v>750</v>
      </c>
      <c r="Q654" s="26" t="n">
        <v>0</v>
      </c>
      <c r="R654" s="26" t="n">
        <v>0</v>
      </c>
      <c r="S654" s="26">
        <f>Q654+R654</f>
        <v/>
      </c>
      <c r="T654" s="29" t="n">
        <v>750</v>
      </c>
      <c r="U654" s="29">
        <f>N654*O654*T654</f>
        <v/>
      </c>
      <c r="V654" s="82">
        <f>IF(ISNUMBER($D654),$D654-WEEKDAY($D654,3),'ORDER VS WEEK DISTRIBUTION'!$G$500)</f>
        <v/>
      </c>
      <c r="W654" s="82">
        <f>MAX($V654,'ORDER VS WEEK DISTRIBUTION'!$G$500)</f>
        <v/>
      </c>
      <c r="X654" s="26">
        <f>IFERROR(VLOOKUP($J654,'ORDER VS WEEK DISTRIBUTION'!$T:$U,2,0),"")</f>
        <v/>
      </c>
      <c r="Y654" s="26">
        <f>IFERROR($T654/IF(IFERROR(VLOOKUP($I654,'ITEM CFC PER CONTAINER'!$A:$B,2,0),0)&gt;0,VLOOKUP($I654,'ITEM CFC PER CONTAINER'!$A:$B,2,0),VLOOKUP($X654,'MC MASTER'!$A:$Q,16,0)),"")</f>
        <v/>
      </c>
    </row>
    <row r="655" ht="15" customHeight="1" s="5">
      <c r="A655" s="26" t="inlineStr">
        <is>
          <t>RBW HARDEEVILLE, SC</t>
        </is>
      </c>
      <c r="B655" s="26" t="inlineStr">
        <is>
          <t>MJIL/SO/26023818</t>
        </is>
      </c>
      <c r="C655" s="26" t="inlineStr">
        <is>
          <t>JAN SHPT - 1 - 20 ASST &amp; 100 BLACK</t>
        </is>
      </c>
      <c r="D655" s="82" t="n">
        <v>46398</v>
      </c>
      <c r="E655" s="83">
        <f>IF(ISNUMBER($D655),EOMONTH($D655,-1)+1,"")</f>
        <v/>
      </c>
      <c r="F655" s="82" t="n">
        <v>46398</v>
      </c>
      <c r="G655" s="26" t="n">
        <v>37684</v>
      </c>
      <c r="H655" s="26">
        <f>B655&amp;I655</f>
        <v/>
      </c>
      <c r="I655" s="26" t="inlineStr">
        <is>
          <t>BARISSIMO HERBAL TEA COLLECTIONS 12/20 DC SF ENV TBGS</t>
        </is>
      </c>
      <c r="J655" s="26" t="inlineStr">
        <is>
          <t>C250 AF</t>
        </is>
      </c>
      <c r="K655" s="26">
        <f>J655&amp;"-"&amp;TEXT(W655,"dd-mmm-yy")</f>
        <v/>
      </c>
      <c r="L655" s="26">
        <f>IFERROR(VLOOKUP($M655,'ITEM MASTER'!E:H,4,0),"")</f>
        <v/>
      </c>
      <c r="M655" s="26">
        <f>IFERROR(VLOOKUP($I655,'ITEM MASTER'!B:E,4,0),"")</f>
        <v/>
      </c>
      <c r="N655" s="26">
        <f>IFERROR(VLOOKUP($I655,'ITEM MASTER'!B:F,5,0),0)</f>
        <v/>
      </c>
      <c r="O655" s="26">
        <f>IFERROR(VLOOKUP($M655,'TBGS PER CTN'!B:C,2,0),0)</f>
        <v/>
      </c>
      <c r="P655" s="26" t="n">
        <v>1250</v>
      </c>
      <c r="Q655" s="26" t="n">
        <v>0</v>
      </c>
      <c r="R655" s="26" t="n">
        <v>0</v>
      </c>
      <c r="S655" s="26">
        <f>Q655+R655</f>
        <v/>
      </c>
      <c r="T655" s="29" t="n">
        <v>1250</v>
      </c>
      <c r="U655" s="29">
        <f>N655*O655*T655</f>
        <v/>
      </c>
      <c r="V655" s="82">
        <f>IF(ISNUMBER($D655),$D655-WEEKDAY($D655,3),'ORDER VS WEEK DISTRIBUTION'!$G$500)</f>
        <v/>
      </c>
      <c r="W655" s="82">
        <f>MAX($V655,'ORDER VS WEEK DISTRIBUTION'!$G$500)</f>
        <v/>
      </c>
      <c r="X655" s="26">
        <f>IFERROR(VLOOKUP($J655,'ORDER VS WEEK DISTRIBUTION'!$T:$U,2,0),"")</f>
        <v/>
      </c>
      <c r="Y655" s="26">
        <f>IFERROR($T655/IF(IFERROR(VLOOKUP($I655,'ITEM CFC PER CONTAINER'!$A:$B,2,0),0)&gt;0,VLOOKUP($I655,'ITEM CFC PER CONTAINER'!$A:$B,2,0),VLOOKUP($X655,'MC MASTER'!$A:$Q,16,0)),"")</f>
        <v/>
      </c>
    </row>
    <row r="656" ht="15" customHeight="1" s="5">
      <c r="A656" s="26" t="inlineStr">
        <is>
          <t>RBW HARDEEVILLE, SC</t>
        </is>
      </c>
      <c r="B656" s="26" t="inlineStr">
        <is>
          <t>MJIL/SO/26023819</t>
        </is>
      </c>
      <c r="C656" s="26" t="inlineStr">
        <is>
          <t>JAN SHPT - 2 - 20 ASST &amp; 100 BLACK</t>
        </is>
      </c>
      <c r="D656" s="82" t="n">
        <v>46401</v>
      </c>
      <c r="E656" s="83">
        <f>IF(ISNUMBER($D656),EOMONTH($D656,-1)+1,"")</f>
        <v/>
      </c>
      <c r="F656" s="82" t="n">
        <v>46401</v>
      </c>
      <c r="G656" s="26" t="n">
        <v>37685</v>
      </c>
      <c r="H656" s="26">
        <f>B656&amp;I656</f>
        <v/>
      </c>
      <c r="I656" s="26" t="inlineStr">
        <is>
          <t>BARISSIMO BLACK TEA 6/100 DC TAG TBGS</t>
        </is>
      </c>
      <c r="J656" s="26" t="inlineStr">
        <is>
          <t>PERFACTA TAG</t>
        </is>
      </c>
      <c r="K656" s="26">
        <f>J656&amp;"-"&amp;TEXT(W656,"dd-mmm-yy")</f>
        <v/>
      </c>
      <c r="L656" s="26">
        <f>IFERROR(VLOOKUP($M656,'ITEM MASTER'!E:H,4,0),"")</f>
        <v/>
      </c>
      <c r="M656" s="26">
        <f>IFERROR(VLOOKUP($I656,'ITEM MASTER'!B:E,4,0),"")</f>
        <v/>
      </c>
      <c r="N656" s="26">
        <f>IFERROR(VLOOKUP($I656,'ITEM MASTER'!B:F,5,0),0)</f>
        <v/>
      </c>
      <c r="O656" s="26">
        <f>IFERROR(VLOOKUP($M656,'TBGS PER CTN'!B:C,2,0),0)</f>
        <v/>
      </c>
      <c r="P656" s="26" t="n">
        <v>1750</v>
      </c>
      <c r="Q656" s="26" t="n">
        <v>0</v>
      </c>
      <c r="R656" s="26" t="n">
        <v>0</v>
      </c>
      <c r="S656" s="26">
        <f>Q656+R656</f>
        <v/>
      </c>
      <c r="T656" s="29" t="n">
        <v>1750</v>
      </c>
      <c r="U656" s="29">
        <f>N656*O656*T656</f>
        <v/>
      </c>
      <c r="V656" s="82">
        <f>IF(ISNUMBER($D656),$D656-WEEKDAY($D656,3),'ORDER VS WEEK DISTRIBUTION'!$G$500)</f>
        <v/>
      </c>
      <c r="W656" s="82">
        <f>MAX($V656,'ORDER VS WEEK DISTRIBUTION'!$G$500)</f>
        <v/>
      </c>
      <c r="X656" s="26">
        <f>IFERROR(VLOOKUP($J656,'ORDER VS WEEK DISTRIBUTION'!$T:$U,2,0),"")</f>
        <v/>
      </c>
      <c r="Y656" s="26">
        <f>IFERROR($T656/IF(IFERROR(VLOOKUP($I656,'ITEM CFC PER CONTAINER'!$A:$B,2,0),0)&gt;0,VLOOKUP($I656,'ITEM CFC PER CONTAINER'!$A:$B,2,0),VLOOKUP($X656,'MC MASTER'!$A:$Q,16,0)),"")</f>
        <v/>
      </c>
    </row>
    <row r="657" ht="15" customHeight="1" s="5">
      <c r="A657" s="26" t="inlineStr">
        <is>
          <t>RBW HARDEEVILLE, SC</t>
        </is>
      </c>
      <c r="B657" s="26" t="inlineStr">
        <is>
          <t>MJIL/SO/26023819</t>
        </is>
      </c>
      <c r="C657" s="26" t="inlineStr">
        <is>
          <t>JAN SHPT - 2 - 20 ASST &amp; 100 BLACK</t>
        </is>
      </c>
      <c r="D657" s="82" t="n">
        <v>46401</v>
      </c>
      <c r="E657" s="83">
        <f>IF(ISNUMBER($D657),EOMONTH($D657,-1)+1,"")</f>
        <v/>
      </c>
      <c r="F657" s="82" t="n">
        <v>46401</v>
      </c>
      <c r="G657" s="26" t="n">
        <v>37682</v>
      </c>
      <c r="H657" s="26">
        <f>B657&amp;I657</f>
        <v/>
      </c>
      <c r="I657" s="26" t="inlineStr">
        <is>
          <t>BARISSIMO GREEN TEA COLLECTIONS 12/20 DC SF ENV TBGS</t>
        </is>
      </c>
      <c r="J657" s="26" t="inlineStr">
        <is>
          <t>C250-A</t>
        </is>
      </c>
      <c r="K657" s="26">
        <f>J657&amp;"-"&amp;TEXT(W657,"dd-mmm-yy")</f>
        <v/>
      </c>
      <c r="L657" s="26">
        <f>IFERROR(VLOOKUP($M657,'ITEM MASTER'!E:H,4,0),"")</f>
        <v/>
      </c>
      <c r="M657" s="26">
        <f>IFERROR(VLOOKUP($I657,'ITEM MASTER'!B:E,4,0),"")</f>
        <v/>
      </c>
      <c r="N657" s="26">
        <f>IFERROR(VLOOKUP($I657,'ITEM MASTER'!B:F,5,0),0)</f>
        <v/>
      </c>
      <c r="O657" s="26">
        <f>IFERROR(VLOOKUP($M657,'TBGS PER CTN'!B:C,2,0),0)</f>
        <v/>
      </c>
      <c r="P657" s="26" t="n">
        <v>1000</v>
      </c>
      <c r="Q657" s="26" t="n">
        <v>0</v>
      </c>
      <c r="R657" s="26" t="n">
        <v>0</v>
      </c>
      <c r="S657" s="26">
        <f>Q657+R657</f>
        <v/>
      </c>
      <c r="T657" s="29" t="n">
        <v>1000</v>
      </c>
      <c r="U657" s="29">
        <f>N657*O657*T657</f>
        <v/>
      </c>
      <c r="V657" s="82">
        <f>IF(ISNUMBER($D657),$D657-WEEKDAY($D657,3),'ORDER VS WEEK DISTRIBUTION'!$G$500)</f>
        <v/>
      </c>
      <c r="W657" s="82">
        <f>MAX($V657,'ORDER VS WEEK DISTRIBUTION'!$G$500)</f>
        <v/>
      </c>
      <c r="X657" s="26">
        <f>IFERROR(VLOOKUP($J657,'ORDER VS WEEK DISTRIBUTION'!$T:$U,2,0),"")</f>
        <v/>
      </c>
      <c r="Y657" s="26">
        <f>IFERROR($T657/IF(IFERROR(VLOOKUP($I657,'ITEM CFC PER CONTAINER'!$A:$B,2,0),0)&gt;0,VLOOKUP($I657,'ITEM CFC PER CONTAINER'!$A:$B,2,0),VLOOKUP($X657,'MC MASTER'!$A:$Q,16,0)),"")</f>
        <v/>
      </c>
    </row>
    <row r="658" ht="15" customHeight="1" s="5">
      <c r="A658" s="26" t="inlineStr">
        <is>
          <t>RBW HARDEEVILLE, SC</t>
        </is>
      </c>
      <c r="B658" s="26" t="inlineStr">
        <is>
          <t>MJIL/SO/26023819</t>
        </is>
      </c>
      <c r="C658" s="26" t="inlineStr">
        <is>
          <t>JAN SHPT - 2 - 20 ASST &amp; 100 BLACK</t>
        </is>
      </c>
      <c r="D658" s="82" t="n">
        <v>46401</v>
      </c>
      <c r="E658" s="83">
        <f>IF(ISNUMBER($D658),EOMONTH($D658,-1)+1,"")</f>
        <v/>
      </c>
      <c r="F658" s="82" t="n">
        <v>46401</v>
      </c>
      <c r="G658" s="26" t="n">
        <v>37683</v>
      </c>
      <c r="H658" s="26">
        <f>B658&amp;I658</f>
        <v/>
      </c>
      <c r="I658" s="26" t="inlineStr">
        <is>
          <t>BARISSIMO BLACK TEA COLLECTIONS 12/20 DC SF ENV TBGS</t>
        </is>
      </c>
      <c r="J658" s="26" t="inlineStr">
        <is>
          <t>C250 AF</t>
        </is>
      </c>
      <c r="K658" s="26">
        <f>J658&amp;"-"&amp;TEXT(W658,"dd-mmm-yy")</f>
        <v/>
      </c>
      <c r="L658" s="26">
        <f>IFERROR(VLOOKUP($M658,'ITEM MASTER'!E:H,4,0),"")</f>
        <v/>
      </c>
      <c r="M658" s="26">
        <f>IFERROR(VLOOKUP($I658,'ITEM MASTER'!B:E,4,0),"")</f>
        <v/>
      </c>
      <c r="N658" s="26">
        <f>IFERROR(VLOOKUP($I658,'ITEM MASTER'!B:F,5,0),0)</f>
        <v/>
      </c>
      <c r="O658" s="26">
        <f>IFERROR(VLOOKUP($M658,'TBGS PER CTN'!B:C,2,0),0)</f>
        <v/>
      </c>
      <c r="P658" s="26" t="n">
        <v>750</v>
      </c>
      <c r="Q658" s="26" t="n">
        <v>0</v>
      </c>
      <c r="R658" s="26" t="n">
        <v>0</v>
      </c>
      <c r="S658" s="26">
        <f>Q658+R658</f>
        <v/>
      </c>
      <c r="T658" s="29" t="n">
        <v>750</v>
      </c>
      <c r="U658" s="29">
        <f>N658*O658*T658</f>
        <v/>
      </c>
      <c r="V658" s="82">
        <f>IF(ISNUMBER($D658),$D658-WEEKDAY($D658,3),'ORDER VS WEEK DISTRIBUTION'!$G$500)</f>
        <v/>
      </c>
      <c r="W658" s="82">
        <f>MAX($V658,'ORDER VS WEEK DISTRIBUTION'!$G$500)</f>
        <v/>
      </c>
      <c r="X658" s="26">
        <f>IFERROR(VLOOKUP($J658,'ORDER VS WEEK DISTRIBUTION'!$T:$U,2,0),"")</f>
        <v/>
      </c>
      <c r="Y658" s="26">
        <f>IFERROR($T658/IF(IFERROR(VLOOKUP($I658,'ITEM CFC PER CONTAINER'!$A:$B,2,0),0)&gt;0,VLOOKUP($I658,'ITEM CFC PER CONTAINER'!$A:$B,2,0),VLOOKUP($X658,'MC MASTER'!$A:$Q,16,0)),"")</f>
        <v/>
      </c>
    </row>
    <row r="659" ht="15" customHeight="1" s="5">
      <c r="A659" s="26" t="inlineStr">
        <is>
          <t>RBW HARDEEVILLE, SC</t>
        </is>
      </c>
      <c r="B659" s="26" t="inlineStr">
        <is>
          <t>MJIL/SO/26023819</t>
        </is>
      </c>
      <c r="C659" s="26" t="inlineStr">
        <is>
          <t>JAN SHPT - 2 - 20 ASST &amp; 100 BLACK</t>
        </is>
      </c>
      <c r="D659" s="82" t="n">
        <v>46401</v>
      </c>
      <c r="E659" s="83">
        <f>IF(ISNUMBER($D659),EOMONTH($D659,-1)+1,"")</f>
        <v/>
      </c>
      <c r="F659" s="82" t="n">
        <v>46401</v>
      </c>
      <c r="G659" s="26" t="n">
        <v>37684</v>
      </c>
      <c r="H659" s="26">
        <f>B659&amp;I659</f>
        <v/>
      </c>
      <c r="I659" s="26" t="inlineStr">
        <is>
          <t>BARISSIMO HERBAL TEA COLLECTIONS 12/20 DC SF ENV TBGS</t>
        </is>
      </c>
      <c r="J659" s="26" t="inlineStr">
        <is>
          <t>C250 AF</t>
        </is>
      </c>
      <c r="K659" s="26">
        <f>J659&amp;"-"&amp;TEXT(W659,"dd-mmm-yy")</f>
        <v/>
      </c>
      <c r="L659" s="26">
        <f>IFERROR(VLOOKUP($M659,'ITEM MASTER'!E:H,4,0),"")</f>
        <v/>
      </c>
      <c r="M659" s="26">
        <f>IFERROR(VLOOKUP($I659,'ITEM MASTER'!B:E,4,0),"")</f>
        <v/>
      </c>
      <c r="N659" s="26">
        <f>IFERROR(VLOOKUP($I659,'ITEM MASTER'!B:F,5,0),0)</f>
        <v/>
      </c>
      <c r="O659" s="26">
        <f>IFERROR(VLOOKUP($M659,'TBGS PER CTN'!B:C,2,0),0)</f>
        <v/>
      </c>
      <c r="P659" s="26" t="n">
        <v>1250</v>
      </c>
      <c r="Q659" s="26" t="n">
        <v>0</v>
      </c>
      <c r="R659" s="26" t="n">
        <v>0</v>
      </c>
      <c r="S659" s="26">
        <f>Q659+R659</f>
        <v/>
      </c>
      <c r="T659" s="29" t="n">
        <v>1250</v>
      </c>
      <c r="U659" s="29">
        <f>N659*O659*T659</f>
        <v/>
      </c>
      <c r="V659" s="82">
        <f>IF(ISNUMBER($D659),$D659-WEEKDAY($D659,3),'ORDER VS WEEK DISTRIBUTION'!$G$500)</f>
        <v/>
      </c>
      <c r="W659" s="82">
        <f>MAX($V659,'ORDER VS WEEK DISTRIBUTION'!$G$500)</f>
        <v/>
      </c>
      <c r="X659" s="26">
        <f>IFERROR(VLOOKUP($J659,'ORDER VS WEEK DISTRIBUTION'!$T:$U,2,0),"")</f>
        <v/>
      </c>
      <c r="Y659" s="26">
        <f>IFERROR($T659/IF(IFERROR(VLOOKUP($I659,'ITEM CFC PER CONTAINER'!$A:$B,2,0),0)&gt;0,VLOOKUP($I659,'ITEM CFC PER CONTAINER'!$A:$B,2,0),VLOOKUP($X659,'MC MASTER'!$A:$Q,16,0)),"")</f>
        <v/>
      </c>
    </row>
    <row r="660" ht="15" customHeight="1" s="5">
      <c r="A660" s="26" t="inlineStr">
        <is>
          <t>Multitrade Overseas Pte. Ltd.</t>
        </is>
      </c>
      <c r="B660" s="26" t="inlineStr">
        <is>
          <t>MJIL/SO/26047646</t>
        </is>
      </c>
      <c r="C660" s="26" t="inlineStr">
        <is>
          <t>MJ-089/26-27 / 2 (ETKAF)</t>
        </is>
      </c>
      <c r="D660" s="82" t="n">
        <v>46405</v>
      </c>
      <c r="E660" s="83">
        <f>IF(ISNUMBER($D660),EOMONTH($D660,-1)+1,"")</f>
        <v/>
      </c>
      <c r="F660" s="82" t="n">
        <v>46405</v>
      </c>
      <c r="G660" s="26" t="n">
        <v>2016</v>
      </c>
      <c r="H660" s="26">
        <f>B660&amp;I660</f>
        <v/>
      </c>
      <c r="I660" s="26" t="inlineStr">
        <is>
          <t>GV MINT 24/25 DC ENV TBGS</t>
        </is>
      </c>
      <c r="J660" s="30" t="inlineStr">
        <is>
          <t>CONSTANTA ENV</t>
        </is>
      </c>
      <c r="K660" s="26">
        <f>J660&amp;"-"&amp;TEXT(W660,"dd-mmm-yy")</f>
        <v/>
      </c>
      <c r="L660" s="26">
        <f>IFERROR(VLOOKUP($M660,'ITEM MASTER'!E:H,4,0),"")</f>
        <v/>
      </c>
      <c r="M660" s="26">
        <f>IFERROR(VLOOKUP($I660,'ITEM MASTER'!B:E,4,0),"")</f>
        <v/>
      </c>
      <c r="N660" s="26">
        <f>IFERROR(VLOOKUP($I660,'ITEM MASTER'!B:F,5,0),0)</f>
        <v/>
      </c>
      <c r="O660" s="26">
        <f>IFERROR(VLOOKUP($M660,'TBGS PER CTN'!B:C,2,0),0)</f>
        <v/>
      </c>
      <c r="P660" s="26" t="n">
        <v>6000</v>
      </c>
      <c r="Q660" s="26" t="n">
        <v>0</v>
      </c>
      <c r="R660" s="26" t="n">
        <v>0</v>
      </c>
      <c r="S660" s="26">
        <f>Q660+R660</f>
        <v/>
      </c>
      <c r="T660" s="29" t="n">
        <v>6000</v>
      </c>
      <c r="U660" s="29">
        <f>N660*O660*T660</f>
        <v/>
      </c>
      <c r="V660" s="82">
        <f>IF(ISNUMBER($D660),$D660-WEEKDAY($D660,3),'ORDER VS WEEK DISTRIBUTION'!$G$500)</f>
        <v/>
      </c>
      <c r="W660" s="82">
        <f>MAX($V660,'ORDER VS WEEK DISTRIBUTION'!$G$500)</f>
        <v/>
      </c>
      <c r="X660" s="26">
        <f>IFERROR(VLOOKUP($J660,'ORDER VS WEEK DISTRIBUTION'!$T:$U,2,0),"")</f>
        <v/>
      </c>
      <c r="Y660" s="26">
        <f>IFERROR($T660/IF(IFERROR(VLOOKUP($I660,'ITEM CFC PER CONTAINER'!$A:$B,2,0),0)&gt;0,VLOOKUP($I660,'ITEM CFC PER CONTAINER'!$A:$B,2,0),VLOOKUP($X660,'MC MASTER'!$A:$Q,16,0)),"")</f>
        <v/>
      </c>
    </row>
    <row r="661" ht="15" customHeight="1" s="5">
      <c r="A661" s="26" t="inlineStr">
        <is>
          <t>Multitrade Overseas Pte. Ltd.</t>
        </is>
      </c>
      <c r="B661" s="26" t="inlineStr">
        <is>
          <t>MJIL/SO/26047646</t>
        </is>
      </c>
      <c r="C661" s="26" t="inlineStr">
        <is>
          <t>MJ-089/26-27 / 2 (ETKAF)</t>
        </is>
      </c>
      <c r="D661" s="82" t="n">
        <v>46405</v>
      </c>
      <c r="E661" s="83">
        <f>IF(ISNUMBER($D661),EOMONTH($D661,-1)+1,"")</f>
        <v/>
      </c>
      <c r="F661" s="82" t="n">
        <v>46405</v>
      </c>
      <c r="G661" s="26" t="n">
        <v>1925</v>
      </c>
      <c r="H661" s="26">
        <f>B661&amp;I661</f>
        <v/>
      </c>
      <c r="I661" s="26" t="inlineStr">
        <is>
          <t>GV GARDEN STRAWBERRY 24/25 DC ENV TBGS</t>
        </is>
      </c>
      <c r="J661" s="30" t="inlineStr">
        <is>
          <t>CONSTANTA ENV</t>
        </is>
      </c>
      <c r="K661" s="26">
        <f>J661&amp;"-"&amp;TEXT(W661,"dd-mmm-yy")</f>
        <v/>
      </c>
      <c r="L661" s="26">
        <f>IFERROR(VLOOKUP($M661,'ITEM MASTER'!E:H,4,0),"")</f>
        <v/>
      </c>
      <c r="M661" s="26">
        <f>IFERROR(VLOOKUP($I661,'ITEM MASTER'!B:E,4,0),"")</f>
        <v/>
      </c>
      <c r="N661" s="26">
        <f>IFERROR(VLOOKUP($I661,'ITEM MASTER'!B:F,5,0),0)</f>
        <v/>
      </c>
      <c r="O661" s="26">
        <f>IFERROR(VLOOKUP($M661,'TBGS PER CTN'!B:C,2,0),0)</f>
        <v/>
      </c>
      <c r="P661" s="26" t="n">
        <v>6270</v>
      </c>
      <c r="Q661" s="26" t="n">
        <v>0</v>
      </c>
      <c r="R661" s="26" t="n">
        <v>0</v>
      </c>
      <c r="S661" s="26">
        <f>Q661+R661</f>
        <v/>
      </c>
      <c r="T661" s="29" t="n">
        <v>6270</v>
      </c>
      <c r="U661" s="29">
        <f>N661*O661*T661</f>
        <v/>
      </c>
      <c r="V661" s="82">
        <f>IF(ISNUMBER($D661),$D661-WEEKDAY($D661,3),'ORDER VS WEEK DISTRIBUTION'!$G$500)</f>
        <v/>
      </c>
      <c r="W661" s="82">
        <f>MAX($V661,'ORDER VS WEEK DISTRIBUTION'!$G$500)</f>
        <v/>
      </c>
      <c r="X661" s="26">
        <f>IFERROR(VLOOKUP($J661,'ORDER VS WEEK DISTRIBUTION'!$T:$U,2,0),"")</f>
        <v/>
      </c>
      <c r="Y661" s="26">
        <f>IFERROR($T661/IF(IFERROR(VLOOKUP($I661,'ITEM CFC PER CONTAINER'!$A:$B,2,0),0)&gt;0,VLOOKUP($I661,'ITEM CFC PER CONTAINER'!$A:$B,2,0),VLOOKUP($X661,'MC MASTER'!$A:$Q,16,0)),"")</f>
        <v/>
      </c>
    </row>
    <row r="662" ht="15" customHeight="1" s="5">
      <c r="A662" s="26" t="inlineStr">
        <is>
          <t>Multitrade Overseas Pte. Ltd.</t>
        </is>
      </c>
      <c r="B662" s="26" t="inlineStr">
        <is>
          <t>MJIL/SO/26047646</t>
        </is>
      </c>
      <c r="C662" s="26" t="inlineStr">
        <is>
          <t>MJ-089/26-27 / 2 (ETKAF)</t>
        </is>
      </c>
      <c r="D662" s="82" t="n">
        <v>46405</v>
      </c>
      <c r="E662" s="83">
        <f>IF(ISNUMBER($D662),EOMONTH($D662,-1)+1,"")</f>
        <v/>
      </c>
      <c r="F662" s="82" t="n">
        <v>46405</v>
      </c>
      <c r="G662" s="26" t="n">
        <v>19824</v>
      </c>
      <c r="H662" s="26">
        <f>B662&amp;I662</f>
        <v/>
      </c>
      <c r="I662" s="26" t="inlineStr">
        <is>
          <t>GV SPICY GINGER 24/25 DC ENV TBGS (AR)</t>
        </is>
      </c>
      <c r="J662" s="30" t="inlineStr">
        <is>
          <t>CONSTANTA ENV</t>
        </is>
      </c>
      <c r="K662" s="26">
        <f>J662&amp;"-"&amp;TEXT(W662,"dd-mmm-yy")</f>
        <v/>
      </c>
      <c r="L662" s="26">
        <f>IFERROR(VLOOKUP($M662,'ITEM MASTER'!E:H,4,0),"")</f>
        <v/>
      </c>
      <c r="M662" s="26">
        <f>IFERROR(VLOOKUP($I662,'ITEM MASTER'!B:E,4,0),"")</f>
        <v/>
      </c>
      <c r="N662" s="26">
        <f>IFERROR(VLOOKUP($I662,'ITEM MASTER'!B:F,5,0),0)</f>
        <v/>
      </c>
      <c r="O662" s="26">
        <f>IFERROR(VLOOKUP($M662,'TBGS PER CTN'!B:C,2,0),0)</f>
        <v/>
      </c>
      <c r="P662" s="26" t="n">
        <v>5145</v>
      </c>
      <c r="Q662" s="26" t="n">
        <v>0</v>
      </c>
      <c r="R662" s="26" t="n">
        <v>0</v>
      </c>
      <c r="S662" s="26">
        <f>Q662+R662</f>
        <v/>
      </c>
      <c r="T662" s="29" t="n">
        <v>5145</v>
      </c>
      <c r="U662" s="29">
        <f>N662*O662*T662</f>
        <v/>
      </c>
      <c r="V662" s="82">
        <f>IF(ISNUMBER($D662),$D662-WEEKDAY($D662,3),'ORDER VS WEEK DISTRIBUTION'!$G$500)</f>
        <v/>
      </c>
      <c r="W662" s="82">
        <f>MAX($V662,'ORDER VS WEEK DISTRIBUTION'!$G$500)</f>
        <v/>
      </c>
      <c r="X662" s="26">
        <f>IFERROR(VLOOKUP($J662,'ORDER VS WEEK DISTRIBUTION'!$T:$U,2,0),"")</f>
        <v/>
      </c>
      <c r="Y662" s="26">
        <f>IFERROR($T662/IF(IFERROR(VLOOKUP($I662,'ITEM CFC PER CONTAINER'!$A:$B,2,0),0)&gt;0,VLOOKUP($I662,'ITEM CFC PER CONTAINER'!$A:$B,2,0),VLOOKUP($X662,'MC MASTER'!$A:$Q,16,0)),"")</f>
        <v/>
      </c>
    </row>
    <row r="663" ht="15" customHeight="1" s="5">
      <c r="A663" s="26" t="inlineStr">
        <is>
          <t>Multitrade Overseas Pte. Ltd.</t>
        </is>
      </c>
      <c r="B663" s="26" t="inlineStr">
        <is>
          <t>MJIL/SO/26047646</t>
        </is>
      </c>
      <c r="C663" s="26" t="inlineStr">
        <is>
          <t>MJ-089/26-27 / 2 (ETKAF)</t>
        </is>
      </c>
      <c r="D663" s="82" t="n">
        <v>46405</v>
      </c>
      <c r="E663" s="83">
        <f>IF(ISNUMBER($D663),EOMONTH($D663,-1)+1,"")</f>
        <v/>
      </c>
      <c r="F663" s="82" t="n">
        <v>46405</v>
      </c>
      <c r="G663" s="26" t="n">
        <v>19828</v>
      </c>
      <c r="H663" s="26">
        <f>B663&amp;I663</f>
        <v/>
      </c>
      <c r="I663" s="26" t="inlineStr">
        <is>
          <t>GV ORANGE 24/25 DC ENV TBGS (AR)</t>
        </is>
      </c>
      <c r="J663" s="30" t="inlineStr">
        <is>
          <t>CONSTANTA ENV</t>
        </is>
      </c>
      <c r="K663" s="26">
        <f>J663&amp;"-"&amp;TEXT(W663,"dd-mmm-yy")</f>
        <v/>
      </c>
      <c r="L663" s="26">
        <f>IFERROR(VLOOKUP($M663,'ITEM MASTER'!E:H,4,0),"")</f>
        <v/>
      </c>
      <c r="M663" s="26">
        <f>IFERROR(VLOOKUP($I663,'ITEM MASTER'!B:E,4,0),"")</f>
        <v/>
      </c>
      <c r="N663" s="26">
        <f>IFERROR(VLOOKUP($I663,'ITEM MASTER'!B:F,5,0),0)</f>
        <v/>
      </c>
      <c r="O663" s="26">
        <f>IFERROR(VLOOKUP($M663,'TBGS PER CTN'!B:C,2,0),0)</f>
        <v/>
      </c>
      <c r="P663" s="26" t="n">
        <v>1005</v>
      </c>
      <c r="Q663" s="26" t="n">
        <v>0</v>
      </c>
      <c r="R663" s="26" t="n">
        <v>0</v>
      </c>
      <c r="S663" s="26">
        <f>Q663+R663</f>
        <v/>
      </c>
      <c r="T663" s="29" t="n">
        <v>1005</v>
      </c>
      <c r="U663" s="29">
        <f>N663*O663*T663</f>
        <v/>
      </c>
      <c r="V663" s="82">
        <f>IF(ISNUMBER($D663),$D663-WEEKDAY($D663,3),'ORDER VS WEEK DISTRIBUTION'!$G$500)</f>
        <v/>
      </c>
      <c r="W663" s="82">
        <f>MAX($V663,'ORDER VS WEEK DISTRIBUTION'!$G$500)</f>
        <v/>
      </c>
      <c r="X663" s="26">
        <f>IFERROR(VLOOKUP($J663,'ORDER VS WEEK DISTRIBUTION'!$T:$U,2,0),"")</f>
        <v/>
      </c>
      <c r="Y663" s="26">
        <f>IFERROR($T663/IF(IFERROR(VLOOKUP($I663,'ITEM CFC PER CONTAINER'!$A:$B,2,0),0)&gt;0,VLOOKUP($I663,'ITEM CFC PER CONTAINER'!$A:$B,2,0),VLOOKUP($X663,'MC MASTER'!$A:$Q,16,0)),"")</f>
        <v/>
      </c>
    </row>
    <row r="664" ht="15" customHeight="1" s="5">
      <c r="A664" s="26" t="inlineStr">
        <is>
          <t>Multitrade Overseas Pte. Ltd.</t>
        </is>
      </c>
      <c r="B664" s="26" t="inlineStr">
        <is>
          <t>MJIL/SO/26047646</t>
        </is>
      </c>
      <c r="C664" s="26" t="inlineStr">
        <is>
          <t>MJ-089/26-27 / 2 (ETKAF)</t>
        </is>
      </c>
      <c r="D664" s="82" t="n">
        <v>46405</v>
      </c>
      <c r="E664" s="83">
        <f>IF(ISNUMBER($D664),EOMONTH($D664,-1)+1,"")</f>
        <v/>
      </c>
      <c r="F664" s="82" t="n">
        <v>46405</v>
      </c>
      <c r="G664" s="26" t="n">
        <v>21586</v>
      </c>
      <c r="H664" s="26">
        <f>B664&amp;I664</f>
        <v/>
      </c>
      <c r="I664" s="26" t="inlineStr">
        <is>
          <t>GV CLOVE 24/25 DC ENV TBGS</t>
        </is>
      </c>
      <c r="J664" s="30" t="inlineStr">
        <is>
          <t>CONSTANTA ENV</t>
        </is>
      </c>
      <c r="K664" s="26">
        <f>J664&amp;"-"&amp;TEXT(W664,"dd-mmm-yy")</f>
        <v/>
      </c>
      <c r="L664" s="26">
        <f>IFERROR(VLOOKUP($M664,'ITEM MASTER'!E:H,4,0),"")</f>
        <v/>
      </c>
      <c r="M664" s="26">
        <f>IFERROR(VLOOKUP($I664,'ITEM MASTER'!B:E,4,0),"")</f>
        <v/>
      </c>
      <c r="N664" s="26">
        <f>IFERROR(VLOOKUP($I664,'ITEM MASTER'!B:F,5,0),0)</f>
        <v/>
      </c>
      <c r="O664" s="26">
        <f>IFERROR(VLOOKUP($M664,'TBGS PER CTN'!B:C,2,0),0)</f>
        <v/>
      </c>
      <c r="P664" s="26" t="n">
        <v>705</v>
      </c>
      <c r="Q664" s="26" t="n">
        <v>0</v>
      </c>
      <c r="R664" s="26" t="n">
        <v>0</v>
      </c>
      <c r="S664" s="26">
        <f>Q664+R664</f>
        <v/>
      </c>
      <c r="T664" s="29" t="n">
        <v>705</v>
      </c>
      <c r="U664" s="29">
        <f>N664*O664*T664</f>
        <v/>
      </c>
      <c r="V664" s="82">
        <f>IF(ISNUMBER($D664),$D664-WEEKDAY($D664,3),'ORDER VS WEEK DISTRIBUTION'!$G$500)</f>
        <v/>
      </c>
      <c r="W664" s="82">
        <f>MAX($V664,'ORDER VS WEEK DISTRIBUTION'!$G$500)</f>
        <v/>
      </c>
      <c r="X664" s="26">
        <f>IFERROR(VLOOKUP($J664,'ORDER VS WEEK DISTRIBUTION'!$T:$U,2,0),"")</f>
        <v/>
      </c>
      <c r="Y664" s="26">
        <f>IFERROR($T664/IF(IFERROR(VLOOKUP($I664,'ITEM CFC PER CONTAINER'!$A:$B,2,0),0)&gt;0,VLOOKUP($I664,'ITEM CFC PER CONTAINER'!$A:$B,2,0),VLOOKUP($X664,'MC MASTER'!$A:$Q,16,0)),"")</f>
        <v/>
      </c>
    </row>
    <row r="665" ht="15" customHeight="1" s="5">
      <c r="A665" s="26" t="inlineStr">
        <is>
          <t>RBW HARDEEVILLE, SC</t>
        </is>
      </c>
      <c r="B665" s="26" t="inlineStr">
        <is>
          <t>MJIL/SO/26023820</t>
        </is>
      </c>
      <c r="C665" s="26" t="inlineStr">
        <is>
          <t>JAN SHPT - 3 - 20 ASST &amp; 100 BLACK</t>
        </is>
      </c>
      <c r="D665" s="82" t="n">
        <v>46405</v>
      </c>
      <c r="E665" s="83">
        <f>IF(ISNUMBER($D665),EOMONTH($D665,-1)+1,"")</f>
        <v/>
      </c>
      <c r="F665" s="82" t="n">
        <v>46405</v>
      </c>
      <c r="G665" s="26" t="n">
        <v>37685</v>
      </c>
      <c r="H665" s="26">
        <f>B665&amp;I665</f>
        <v/>
      </c>
      <c r="I665" s="26" t="inlineStr">
        <is>
          <t>BARISSIMO BLACK TEA 6/100 DC TAG TBGS</t>
        </is>
      </c>
      <c r="J665" s="26" t="inlineStr">
        <is>
          <t>PERFACTA TAG</t>
        </is>
      </c>
      <c r="K665" s="26">
        <f>J665&amp;"-"&amp;TEXT(W665,"dd-mmm-yy")</f>
        <v/>
      </c>
      <c r="L665" s="26">
        <f>IFERROR(VLOOKUP($M665,'ITEM MASTER'!E:H,4,0),"")</f>
        <v/>
      </c>
      <c r="M665" s="26">
        <f>IFERROR(VLOOKUP($I665,'ITEM MASTER'!B:E,4,0),"")</f>
        <v/>
      </c>
      <c r="N665" s="26">
        <f>IFERROR(VLOOKUP($I665,'ITEM MASTER'!B:F,5,0),0)</f>
        <v/>
      </c>
      <c r="O665" s="26">
        <f>IFERROR(VLOOKUP($M665,'TBGS PER CTN'!B:C,2,0),0)</f>
        <v/>
      </c>
      <c r="P665" s="26" t="n">
        <v>1750</v>
      </c>
      <c r="Q665" s="26" t="n">
        <v>0</v>
      </c>
      <c r="R665" s="26" t="n">
        <v>0</v>
      </c>
      <c r="S665" s="26">
        <f>Q665+R665</f>
        <v/>
      </c>
      <c r="T665" s="29" t="n">
        <v>1750</v>
      </c>
      <c r="U665" s="29">
        <f>N665*O665*T665</f>
        <v/>
      </c>
      <c r="V665" s="82">
        <f>IF(ISNUMBER($D665),$D665-WEEKDAY($D665,3),'ORDER VS WEEK DISTRIBUTION'!$G$500)</f>
        <v/>
      </c>
      <c r="W665" s="82">
        <f>MAX($V665,'ORDER VS WEEK DISTRIBUTION'!$G$500)</f>
        <v/>
      </c>
      <c r="X665" s="26">
        <f>IFERROR(VLOOKUP($J665,'ORDER VS WEEK DISTRIBUTION'!$T:$U,2,0),"")</f>
        <v/>
      </c>
      <c r="Y665" s="26">
        <f>IFERROR($T665/IF(IFERROR(VLOOKUP($I665,'ITEM CFC PER CONTAINER'!$A:$B,2,0),0)&gt;0,VLOOKUP($I665,'ITEM CFC PER CONTAINER'!$A:$B,2,0),VLOOKUP($X665,'MC MASTER'!$A:$Q,16,0)),"")</f>
        <v/>
      </c>
    </row>
    <row r="666" ht="15" customHeight="1" s="5">
      <c r="A666" s="26" t="inlineStr">
        <is>
          <t>RBW HARDEEVILLE, SC</t>
        </is>
      </c>
      <c r="B666" s="26" t="inlineStr">
        <is>
          <t>MJIL/SO/26023820</t>
        </is>
      </c>
      <c r="C666" s="26" t="inlineStr">
        <is>
          <t>JAN SHPT - 3 - 20 ASST &amp; 100 BLACK</t>
        </is>
      </c>
      <c r="D666" s="82" t="n">
        <v>46405</v>
      </c>
      <c r="E666" s="83">
        <f>IF(ISNUMBER($D666),EOMONTH($D666,-1)+1,"")</f>
        <v/>
      </c>
      <c r="F666" s="82" t="n">
        <v>46405</v>
      </c>
      <c r="G666" s="26" t="n">
        <v>37683</v>
      </c>
      <c r="H666" s="26">
        <f>B666&amp;I666</f>
        <v/>
      </c>
      <c r="I666" s="26" t="inlineStr">
        <is>
          <t>BARISSIMO BLACK TEA COLLECTIONS 12/20 DC SF ENV TBGS</t>
        </is>
      </c>
      <c r="J666" s="26" t="inlineStr">
        <is>
          <t>C250 AF</t>
        </is>
      </c>
      <c r="K666" s="26">
        <f>J666&amp;"-"&amp;TEXT(W666,"dd-mmm-yy")</f>
        <v/>
      </c>
      <c r="L666" s="26">
        <f>IFERROR(VLOOKUP($M666,'ITEM MASTER'!E:H,4,0),"")</f>
        <v/>
      </c>
      <c r="M666" s="26">
        <f>IFERROR(VLOOKUP($I666,'ITEM MASTER'!B:E,4,0),"")</f>
        <v/>
      </c>
      <c r="N666" s="26">
        <f>IFERROR(VLOOKUP($I666,'ITEM MASTER'!B:F,5,0),0)</f>
        <v/>
      </c>
      <c r="O666" s="26">
        <f>IFERROR(VLOOKUP($M666,'TBGS PER CTN'!B:C,2,0),0)</f>
        <v/>
      </c>
      <c r="P666" s="26" t="n">
        <v>750</v>
      </c>
      <c r="Q666" s="26" t="n">
        <v>0</v>
      </c>
      <c r="R666" s="26" t="n">
        <v>0</v>
      </c>
      <c r="S666" s="26">
        <f>Q666+R666</f>
        <v/>
      </c>
      <c r="T666" s="29" t="n">
        <v>750</v>
      </c>
      <c r="U666" s="29">
        <f>N666*O666*T666</f>
        <v/>
      </c>
      <c r="V666" s="82">
        <f>IF(ISNUMBER($D666),$D666-WEEKDAY($D666,3),'ORDER VS WEEK DISTRIBUTION'!$G$500)</f>
        <v/>
      </c>
      <c r="W666" s="82">
        <f>MAX($V666,'ORDER VS WEEK DISTRIBUTION'!$G$500)</f>
        <v/>
      </c>
      <c r="X666" s="26">
        <f>IFERROR(VLOOKUP($J666,'ORDER VS WEEK DISTRIBUTION'!$T:$U,2,0),"")</f>
        <v/>
      </c>
      <c r="Y666" s="26">
        <f>IFERROR($T666/IF(IFERROR(VLOOKUP($I666,'ITEM CFC PER CONTAINER'!$A:$B,2,0),0)&gt;0,VLOOKUP($I666,'ITEM CFC PER CONTAINER'!$A:$B,2,0),VLOOKUP($X666,'MC MASTER'!$A:$Q,16,0)),"")</f>
        <v/>
      </c>
    </row>
    <row r="667" ht="15" customHeight="1" s="5">
      <c r="A667" s="26" t="inlineStr">
        <is>
          <t>RBW HARDEEVILLE, SC</t>
        </is>
      </c>
      <c r="B667" s="26" t="inlineStr">
        <is>
          <t>MJIL/SO/26023820</t>
        </is>
      </c>
      <c r="C667" s="26" t="inlineStr">
        <is>
          <t>JAN SHPT - 3 - 20 ASST &amp; 100 BLACK</t>
        </is>
      </c>
      <c r="D667" s="82" t="n">
        <v>46405</v>
      </c>
      <c r="E667" s="83">
        <f>IF(ISNUMBER($D667),EOMONTH($D667,-1)+1,"")</f>
        <v/>
      </c>
      <c r="F667" s="82" t="n">
        <v>46405</v>
      </c>
      <c r="G667" s="26" t="n">
        <v>37684</v>
      </c>
      <c r="H667" s="26">
        <f>B667&amp;I667</f>
        <v/>
      </c>
      <c r="I667" s="26" t="inlineStr">
        <is>
          <t>BARISSIMO HERBAL TEA COLLECTIONS 12/20 DC SF ENV TBGS</t>
        </is>
      </c>
      <c r="J667" s="26" t="inlineStr">
        <is>
          <t>C250 AF</t>
        </is>
      </c>
      <c r="K667" s="26">
        <f>J667&amp;"-"&amp;TEXT(W667,"dd-mmm-yy")</f>
        <v/>
      </c>
      <c r="L667" s="26">
        <f>IFERROR(VLOOKUP($M667,'ITEM MASTER'!E:H,4,0),"")</f>
        <v/>
      </c>
      <c r="M667" s="26">
        <f>IFERROR(VLOOKUP($I667,'ITEM MASTER'!B:E,4,0),"")</f>
        <v/>
      </c>
      <c r="N667" s="26">
        <f>IFERROR(VLOOKUP($I667,'ITEM MASTER'!B:F,5,0),0)</f>
        <v/>
      </c>
      <c r="O667" s="26">
        <f>IFERROR(VLOOKUP($M667,'TBGS PER CTN'!B:C,2,0),0)</f>
        <v/>
      </c>
      <c r="P667" s="26" t="n">
        <v>1250</v>
      </c>
      <c r="Q667" s="26" t="n">
        <v>0</v>
      </c>
      <c r="R667" s="26" t="n">
        <v>0</v>
      </c>
      <c r="S667" s="26">
        <f>Q667+R667</f>
        <v/>
      </c>
      <c r="T667" s="29" t="n">
        <v>1250</v>
      </c>
      <c r="U667" s="29">
        <f>N667*O667*T667</f>
        <v/>
      </c>
      <c r="V667" s="82">
        <f>IF(ISNUMBER($D667),$D667-WEEKDAY($D667,3),'ORDER VS WEEK DISTRIBUTION'!$G$500)</f>
        <v/>
      </c>
      <c r="W667" s="82">
        <f>MAX($V667,'ORDER VS WEEK DISTRIBUTION'!$G$500)</f>
        <v/>
      </c>
      <c r="X667" s="26">
        <f>IFERROR(VLOOKUP($J667,'ORDER VS WEEK DISTRIBUTION'!$T:$U,2,0),"")</f>
        <v/>
      </c>
      <c r="Y667" s="26">
        <f>IFERROR($T667/IF(IFERROR(VLOOKUP($I667,'ITEM CFC PER CONTAINER'!$A:$B,2,0),0)&gt;0,VLOOKUP($I667,'ITEM CFC PER CONTAINER'!$A:$B,2,0),VLOOKUP($X667,'MC MASTER'!$A:$Q,16,0)),"")</f>
        <v/>
      </c>
    </row>
    <row r="668" ht="15" customHeight="1" s="5">
      <c r="A668" s="26" t="inlineStr">
        <is>
          <t>RBW HARDEEVILLE, SC</t>
        </is>
      </c>
      <c r="B668" s="26" t="inlineStr">
        <is>
          <t>MJIL/SO/26023820</t>
        </is>
      </c>
      <c r="C668" s="26" t="inlineStr">
        <is>
          <t>JAN SHPT - 3 - 20 ASST &amp; 100 BLACK</t>
        </is>
      </c>
      <c r="D668" s="82" t="n">
        <v>46405</v>
      </c>
      <c r="E668" s="83">
        <f>IF(ISNUMBER($D668),EOMONTH($D668,-1)+1,"")</f>
        <v/>
      </c>
      <c r="F668" s="82" t="n">
        <v>46405</v>
      </c>
      <c r="G668" s="26" t="n">
        <v>37682</v>
      </c>
      <c r="H668" s="26">
        <f>B668&amp;I668</f>
        <v/>
      </c>
      <c r="I668" s="26" t="inlineStr">
        <is>
          <t>BARISSIMO GREEN TEA COLLECTIONS 12/20 DC SF ENV TBGS</t>
        </is>
      </c>
      <c r="J668" s="26" t="inlineStr">
        <is>
          <t>C250-A</t>
        </is>
      </c>
      <c r="K668" s="26">
        <f>J668&amp;"-"&amp;TEXT(W668,"dd-mmm-yy")</f>
        <v/>
      </c>
      <c r="L668" s="26">
        <f>IFERROR(VLOOKUP($M668,'ITEM MASTER'!E:H,4,0),"")</f>
        <v/>
      </c>
      <c r="M668" s="26">
        <f>IFERROR(VLOOKUP($I668,'ITEM MASTER'!B:E,4,0),"")</f>
        <v/>
      </c>
      <c r="N668" s="26">
        <f>IFERROR(VLOOKUP($I668,'ITEM MASTER'!B:F,5,0),0)</f>
        <v/>
      </c>
      <c r="O668" s="26">
        <f>IFERROR(VLOOKUP($M668,'TBGS PER CTN'!B:C,2,0),0)</f>
        <v/>
      </c>
      <c r="P668" s="26" t="n">
        <v>1000</v>
      </c>
      <c r="Q668" s="26" t="n">
        <v>0</v>
      </c>
      <c r="R668" s="26" t="n">
        <v>0</v>
      </c>
      <c r="S668" s="26">
        <f>Q668+R668</f>
        <v/>
      </c>
      <c r="T668" s="29" t="n">
        <v>1000</v>
      </c>
      <c r="U668" s="29">
        <f>N668*O668*T668</f>
        <v/>
      </c>
      <c r="V668" s="82">
        <f>IF(ISNUMBER($D668),$D668-WEEKDAY($D668,3),'ORDER VS WEEK DISTRIBUTION'!$G$500)</f>
        <v/>
      </c>
      <c r="W668" s="82">
        <f>MAX($V668,'ORDER VS WEEK DISTRIBUTION'!$G$500)</f>
        <v/>
      </c>
      <c r="X668" s="26">
        <f>IFERROR(VLOOKUP($J668,'ORDER VS WEEK DISTRIBUTION'!$T:$U,2,0),"")</f>
        <v/>
      </c>
      <c r="Y668" s="26">
        <f>IFERROR($T668/IF(IFERROR(VLOOKUP($I668,'ITEM CFC PER CONTAINER'!$A:$B,2,0),0)&gt;0,VLOOKUP($I668,'ITEM CFC PER CONTAINER'!$A:$B,2,0),VLOOKUP($X668,'MC MASTER'!$A:$Q,16,0)),"")</f>
        <v/>
      </c>
    </row>
    <row r="669" ht="15" customHeight="1" s="5">
      <c r="A669" s="26" t="inlineStr">
        <is>
          <t>RBW HARDEEVILLE, SC</t>
        </is>
      </c>
      <c r="B669" s="26" t="inlineStr">
        <is>
          <t>MJIL/SO/26023821</t>
        </is>
      </c>
      <c r="C669" s="26" t="inlineStr">
        <is>
          <t>JAN SHPT - 4 - 20 ASST &amp; 100 BLACK</t>
        </is>
      </c>
      <c r="D669" s="82" t="n">
        <v>46408</v>
      </c>
      <c r="E669" s="83">
        <f>IF(ISNUMBER($D669),EOMONTH($D669,-1)+1,"")</f>
        <v/>
      </c>
      <c r="F669" s="82" t="n">
        <v>46408</v>
      </c>
      <c r="G669" s="26" t="n">
        <v>37685</v>
      </c>
      <c r="H669" s="26">
        <f>B669&amp;I669</f>
        <v/>
      </c>
      <c r="I669" s="26" t="inlineStr">
        <is>
          <t>BARISSIMO BLACK TEA 6/100 DC TAG TBGS</t>
        </is>
      </c>
      <c r="J669" s="26" t="inlineStr">
        <is>
          <t>PERFACTA TAG</t>
        </is>
      </c>
      <c r="K669" s="26">
        <f>J669&amp;"-"&amp;TEXT(W669,"dd-mmm-yy")</f>
        <v/>
      </c>
      <c r="L669" s="26">
        <f>IFERROR(VLOOKUP($M669,'ITEM MASTER'!E:H,4,0),"")</f>
        <v/>
      </c>
      <c r="M669" s="26">
        <f>IFERROR(VLOOKUP($I669,'ITEM MASTER'!B:E,4,0),"")</f>
        <v/>
      </c>
      <c r="N669" s="26">
        <f>IFERROR(VLOOKUP($I669,'ITEM MASTER'!B:F,5,0),0)</f>
        <v/>
      </c>
      <c r="O669" s="26">
        <f>IFERROR(VLOOKUP($M669,'TBGS PER CTN'!B:C,2,0),0)</f>
        <v/>
      </c>
      <c r="P669" s="26" t="n">
        <v>1750</v>
      </c>
      <c r="Q669" s="26" t="n">
        <v>0</v>
      </c>
      <c r="R669" s="26" t="n">
        <v>0</v>
      </c>
      <c r="S669" s="26">
        <f>Q669+R669</f>
        <v/>
      </c>
      <c r="T669" s="29" t="n">
        <v>1750</v>
      </c>
      <c r="U669" s="29">
        <f>N669*O669*T669</f>
        <v/>
      </c>
      <c r="V669" s="82">
        <f>IF(ISNUMBER($D669),$D669-WEEKDAY($D669,3),'ORDER VS WEEK DISTRIBUTION'!$G$500)</f>
        <v/>
      </c>
      <c r="W669" s="82">
        <f>MAX($V669,'ORDER VS WEEK DISTRIBUTION'!$G$500)</f>
        <v/>
      </c>
      <c r="X669" s="26">
        <f>IFERROR(VLOOKUP($J669,'ORDER VS WEEK DISTRIBUTION'!$T:$U,2,0),"")</f>
        <v/>
      </c>
      <c r="Y669" s="26">
        <f>IFERROR($T669/IF(IFERROR(VLOOKUP($I669,'ITEM CFC PER CONTAINER'!$A:$B,2,0),0)&gt;0,VLOOKUP($I669,'ITEM CFC PER CONTAINER'!$A:$B,2,0),VLOOKUP($X669,'MC MASTER'!$A:$Q,16,0)),"")</f>
        <v/>
      </c>
    </row>
    <row r="670" ht="15" customHeight="1" s="5">
      <c r="A670" s="26" t="inlineStr">
        <is>
          <t>RBW HARDEEVILLE, SC</t>
        </is>
      </c>
      <c r="B670" s="26" t="inlineStr">
        <is>
          <t>MJIL/SO/26023821</t>
        </is>
      </c>
      <c r="C670" s="26" t="inlineStr">
        <is>
          <t>JAN SHPT - 4 - 20 ASST &amp; 100 BLACK</t>
        </is>
      </c>
      <c r="D670" s="82" t="n">
        <v>46408</v>
      </c>
      <c r="E670" s="83">
        <f>IF(ISNUMBER($D670),EOMONTH($D670,-1)+1,"")</f>
        <v/>
      </c>
      <c r="F670" s="82" t="n">
        <v>46408</v>
      </c>
      <c r="G670" s="26" t="n">
        <v>37682</v>
      </c>
      <c r="H670" s="26">
        <f>B670&amp;I670</f>
        <v/>
      </c>
      <c r="I670" s="26" t="inlineStr">
        <is>
          <t>BARISSIMO GREEN TEA COLLECTIONS 12/20 DC SF ENV TBGS</t>
        </is>
      </c>
      <c r="J670" s="26" t="inlineStr">
        <is>
          <t>C250-A</t>
        </is>
      </c>
      <c r="K670" s="26">
        <f>J670&amp;"-"&amp;TEXT(W670,"dd-mmm-yy")</f>
        <v/>
      </c>
      <c r="L670" s="26">
        <f>IFERROR(VLOOKUP($M670,'ITEM MASTER'!E:H,4,0),"")</f>
        <v/>
      </c>
      <c r="M670" s="26">
        <f>IFERROR(VLOOKUP($I670,'ITEM MASTER'!B:E,4,0),"")</f>
        <v/>
      </c>
      <c r="N670" s="26">
        <f>IFERROR(VLOOKUP($I670,'ITEM MASTER'!B:F,5,0),0)</f>
        <v/>
      </c>
      <c r="O670" s="26">
        <f>IFERROR(VLOOKUP($M670,'TBGS PER CTN'!B:C,2,0),0)</f>
        <v/>
      </c>
      <c r="P670" s="26" t="n">
        <v>1000</v>
      </c>
      <c r="Q670" s="26" t="n">
        <v>0</v>
      </c>
      <c r="R670" s="26" t="n">
        <v>0</v>
      </c>
      <c r="S670" s="26">
        <f>Q670+R670</f>
        <v/>
      </c>
      <c r="T670" s="29" t="n">
        <v>1000</v>
      </c>
      <c r="U670" s="29">
        <f>N670*O670*T670</f>
        <v/>
      </c>
      <c r="V670" s="82">
        <f>IF(ISNUMBER($D670),$D670-WEEKDAY($D670,3),'ORDER VS WEEK DISTRIBUTION'!$G$500)</f>
        <v/>
      </c>
      <c r="W670" s="82">
        <f>MAX($V670,'ORDER VS WEEK DISTRIBUTION'!$G$500)</f>
        <v/>
      </c>
      <c r="X670" s="26">
        <f>IFERROR(VLOOKUP($J670,'ORDER VS WEEK DISTRIBUTION'!$T:$U,2,0),"")</f>
        <v/>
      </c>
      <c r="Y670" s="26">
        <f>IFERROR($T670/IF(IFERROR(VLOOKUP($I670,'ITEM CFC PER CONTAINER'!$A:$B,2,0),0)&gt;0,VLOOKUP($I670,'ITEM CFC PER CONTAINER'!$A:$B,2,0),VLOOKUP($X670,'MC MASTER'!$A:$Q,16,0)),"")</f>
        <v/>
      </c>
    </row>
    <row r="671" ht="15" customHeight="1" s="5">
      <c r="A671" s="26" t="inlineStr">
        <is>
          <t>RBW HARDEEVILLE, SC</t>
        </is>
      </c>
      <c r="B671" s="26" t="inlineStr">
        <is>
          <t>MJIL/SO/26023821</t>
        </is>
      </c>
      <c r="C671" s="26" t="inlineStr">
        <is>
          <t>JAN SHPT - 4 - 20 ASST &amp; 100 BLACK</t>
        </is>
      </c>
      <c r="D671" s="82" t="n">
        <v>46408</v>
      </c>
      <c r="E671" s="83">
        <f>IF(ISNUMBER($D671),EOMONTH($D671,-1)+1,"")</f>
        <v/>
      </c>
      <c r="F671" s="82" t="n">
        <v>46408</v>
      </c>
      <c r="G671" s="26" t="n">
        <v>37683</v>
      </c>
      <c r="H671" s="26">
        <f>B671&amp;I671</f>
        <v/>
      </c>
      <c r="I671" s="26" t="inlineStr">
        <is>
          <t>BARISSIMO BLACK TEA COLLECTIONS 12/20 DC SF ENV TBGS</t>
        </is>
      </c>
      <c r="J671" s="26" t="inlineStr">
        <is>
          <t>C250 AF</t>
        </is>
      </c>
      <c r="K671" s="26">
        <f>J671&amp;"-"&amp;TEXT(W671,"dd-mmm-yy")</f>
        <v/>
      </c>
      <c r="L671" s="26">
        <f>IFERROR(VLOOKUP($M671,'ITEM MASTER'!E:H,4,0),"")</f>
        <v/>
      </c>
      <c r="M671" s="26">
        <f>IFERROR(VLOOKUP($I671,'ITEM MASTER'!B:E,4,0),"")</f>
        <v/>
      </c>
      <c r="N671" s="26">
        <f>IFERROR(VLOOKUP($I671,'ITEM MASTER'!B:F,5,0),0)</f>
        <v/>
      </c>
      <c r="O671" s="26">
        <f>IFERROR(VLOOKUP($M671,'TBGS PER CTN'!B:C,2,0),0)</f>
        <v/>
      </c>
      <c r="P671" s="26" t="n">
        <v>750</v>
      </c>
      <c r="Q671" s="26" t="n">
        <v>0</v>
      </c>
      <c r="R671" s="26" t="n">
        <v>0</v>
      </c>
      <c r="S671" s="26">
        <f>Q671+R671</f>
        <v/>
      </c>
      <c r="T671" s="29" t="n">
        <v>750</v>
      </c>
      <c r="U671" s="29">
        <f>N671*O671*T671</f>
        <v/>
      </c>
      <c r="V671" s="82">
        <f>IF(ISNUMBER($D671),$D671-WEEKDAY($D671,3),'ORDER VS WEEK DISTRIBUTION'!$G$500)</f>
        <v/>
      </c>
      <c r="W671" s="82">
        <f>MAX($V671,'ORDER VS WEEK DISTRIBUTION'!$G$500)</f>
        <v/>
      </c>
      <c r="X671" s="26">
        <f>IFERROR(VLOOKUP($J671,'ORDER VS WEEK DISTRIBUTION'!$T:$U,2,0),"")</f>
        <v/>
      </c>
      <c r="Y671" s="26">
        <f>IFERROR($T671/IF(IFERROR(VLOOKUP($I671,'ITEM CFC PER CONTAINER'!$A:$B,2,0),0)&gt;0,VLOOKUP($I671,'ITEM CFC PER CONTAINER'!$A:$B,2,0),VLOOKUP($X671,'MC MASTER'!$A:$Q,16,0)),"")</f>
        <v/>
      </c>
    </row>
    <row r="672" ht="15" customHeight="1" s="5">
      <c r="A672" s="26" t="inlineStr">
        <is>
          <t>RBW HARDEEVILLE, SC</t>
        </is>
      </c>
      <c r="B672" s="26" t="inlineStr">
        <is>
          <t>MJIL/SO/26023821</t>
        </is>
      </c>
      <c r="C672" s="26" t="inlineStr">
        <is>
          <t>JAN SHPT - 4 - 20 ASST &amp; 100 BLACK</t>
        </is>
      </c>
      <c r="D672" s="82" t="n">
        <v>46408</v>
      </c>
      <c r="E672" s="83">
        <f>IF(ISNUMBER($D672),EOMONTH($D672,-1)+1,"")</f>
        <v/>
      </c>
      <c r="F672" s="82" t="n">
        <v>46408</v>
      </c>
      <c r="G672" s="26" t="n">
        <v>37684</v>
      </c>
      <c r="H672" s="26">
        <f>B672&amp;I672</f>
        <v/>
      </c>
      <c r="I672" s="26" t="inlineStr">
        <is>
          <t>BARISSIMO HERBAL TEA COLLECTIONS 12/20 DC SF ENV TBGS</t>
        </is>
      </c>
      <c r="J672" s="26" t="inlineStr">
        <is>
          <t>C250 AF</t>
        </is>
      </c>
      <c r="K672" s="26">
        <f>J672&amp;"-"&amp;TEXT(W672,"dd-mmm-yy")</f>
        <v/>
      </c>
      <c r="L672" s="26">
        <f>IFERROR(VLOOKUP($M672,'ITEM MASTER'!E:H,4,0),"")</f>
        <v/>
      </c>
      <c r="M672" s="26">
        <f>IFERROR(VLOOKUP($I672,'ITEM MASTER'!B:E,4,0),"")</f>
        <v/>
      </c>
      <c r="N672" s="26">
        <f>IFERROR(VLOOKUP($I672,'ITEM MASTER'!B:F,5,0),0)</f>
        <v/>
      </c>
      <c r="O672" s="26">
        <f>IFERROR(VLOOKUP($M672,'TBGS PER CTN'!B:C,2,0),0)</f>
        <v/>
      </c>
      <c r="P672" s="26" t="n">
        <v>1250</v>
      </c>
      <c r="Q672" s="26" t="n">
        <v>0</v>
      </c>
      <c r="R672" s="26" t="n">
        <v>0</v>
      </c>
      <c r="S672" s="26">
        <f>Q672+R672</f>
        <v/>
      </c>
      <c r="T672" s="29" t="n">
        <v>1250</v>
      </c>
      <c r="U672" s="29">
        <f>N672*O672*T672</f>
        <v/>
      </c>
      <c r="V672" s="82">
        <f>IF(ISNUMBER($D672),$D672-WEEKDAY($D672,3),'ORDER VS WEEK DISTRIBUTION'!$G$500)</f>
        <v/>
      </c>
      <c r="W672" s="82">
        <f>MAX($V672,'ORDER VS WEEK DISTRIBUTION'!$G$500)</f>
        <v/>
      </c>
      <c r="X672" s="26">
        <f>IFERROR(VLOOKUP($J672,'ORDER VS WEEK DISTRIBUTION'!$T:$U,2,0),"")</f>
        <v/>
      </c>
      <c r="Y672" s="26">
        <f>IFERROR($T672/IF(IFERROR(VLOOKUP($I672,'ITEM CFC PER CONTAINER'!$A:$B,2,0),0)&gt;0,VLOOKUP($I672,'ITEM CFC PER CONTAINER'!$A:$B,2,0),VLOOKUP($X672,'MC MASTER'!$A:$Q,16,0)),"")</f>
        <v/>
      </c>
    </row>
    <row r="673" ht="15" customHeight="1" s="5">
      <c r="A673" s="26" t="inlineStr">
        <is>
          <t>Harris Freeman 1981 LLC</t>
        </is>
      </c>
      <c r="B673" s="26" t="inlineStr">
        <is>
          <t>MJIL/SO/26027507</t>
        </is>
      </c>
      <c r="C673" s="26" t="inlineStr">
        <is>
          <t>JAN 2027 PLAN - POLY BAG</t>
        </is>
      </c>
      <c r="D673" s="82" t="n">
        <v>46418</v>
      </c>
      <c r="E673" s="83">
        <f>IF(ISNUMBER($D673),EOMONTH($D673,-1)+1,"")</f>
        <v/>
      </c>
      <c r="F673" s="82" t="n">
        <v>46418</v>
      </c>
      <c r="G673" s="26" t="n">
        <v>20831</v>
      </c>
      <c r="H673" s="26">
        <f>B673&amp;I673</f>
        <v/>
      </c>
      <c r="I673" s="26" t="inlineStr">
        <is>
          <t>TEA INDIA 24/1 LBS POLYBAG</t>
        </is>
      </c>
      <c r="J673" s="26" t="inlineStr">
        <is>
          <t>PAKONA 250GMS/500GMS/1000GMS</t>
        </is>
      </c>
      <c r="K673" s="26">
        <f>J673&amp;"-"&amp;TEXT(W673,"dd-mmm-yy")</f>
        <v/>
      </c>
      <c r="L673" s="26">
        <f>IFERROR(VLOOKUP($M673,'ITEM MASTER'!E:H,4,0),"")</f>
        <v/>
      </c>
      <c r="M673" s="26">
        <f>IFERROR(VLOOKUP($I673,'ITEM MASTER'!B:E,4,0),"")</f>
        <v/>
      </c>
      <c r="N673" s="26">
        <f>IFERROR(VLOOKUP($I673,'ITEM MASTER'!B:F,5,0),0)</f>
        <v/>
      </c>
      <c r="O673" s="26">
        <f>IFERROR(VLOOKUP($M673,'TBGS PER CTN'!B:C,2,0),0)</f>
        <v/>
      </c>
      <c r="P673" s="26" t="n">
        <v>400</v>
      </c>
      <c r="Q673" s="26" t="n">
        <v>0</v>
      </c>
      <c r="R673" s="26" t="n">
        <v>0</v>
      </c>
      <c r="S673" s="26">
        <f>Q673+R673</f>
        <v/>
      </c>
      <c r="T673" s="29" t="n">
        <v>400</v>
      </c>
      <c r="U673" s="29">
        <f>N673*O673*T673</f>
        <v/>
      </c>
      <c r="V673" s="82">
        <f>IF(ISNUMBER($D673),$D673-WEEKDAY($D673,3),'ORDER VS WEEK DISTRIBUTION'!$G$500)</f>
        <v/>
      </c>
      <c r="W673" s="82">
        <f>MAX($V673,'ORDER VS WEEK DISTRIBUTION'!$G$500)</f>
        <v/>
      </c>
      <c r="X673" s="26">
        <f>IFERROR(VLOOKUP($J673,'ORDER VS WEEK DISTRIBUTION'!$T:$U,2,0),"")</f>
        <v/>
      </c>
      <c r="Y673" s="26">
        <f>IFERROR($T673/IF(IFERROR(VLOOKUP($I673,'ITEM CFC PER CONTAINER'!$A:$B,2,0),0)&gt;0,VLOOKUP($I673,'ITEM CFC PER CONTAINER'!$A:$B,2,0),VLOOKUP($X673,'MC MASTER'!$A:$Q,16,0)),"")</f>
        <v/>
      </c>
    </row>
    <row r="674" ht="15" customHeight="1" s="5">
      <c r="A674" s="26" t="inlineStr">
        <is>
          <t>Harris Freeman 1981 LLC</t>
        </is>
      </c>
      <c r="B674" s="26" t="inlineStr">
        <is>
          <t>MJIL/SO/26027507</t>
        </is>
      </c>
      <c r="C674" s="26" t="inlineStr">
        <is>
          <t>JAN 2027 PLAN - POLY BAG</t>
        </is>
      </c>
      <c r="D674" s="82" t="n">
        <v>46418</v>
      </c>
      <c r="E674" s="83">
        <f>IF(ISNUMBER($D674),EOMONTH($D674,-1)+1,"")</f>
        <v/>
      </c>
      <c r="F674" s="82" t="n">
        <v>46418</v>
      </c>
      <c r="G674" s="26" t="n">
        <v>20617</v>
      </c>
      <c r="H674" s="26">
        <f>B674&amp;I674</f>
        <v/>
      </c>
      <c r="I674" s="26" t="inlineStr">
        <is>
          <t>TEA INDIA 12/2 LBS POLYBAG</t>
        </is>
      </c>
      <c r="J674" s="26" t="inlineStr">
        <is>
          <t>PAKONA 250GMS/500GMS/1000GMS</t>
        </is>
      </c>
      <c r="K674" s="26">
        <f>J674&amp;"-"&amp;TEXT(W674,"dd-mmm-yy")</f>
        <v/>
      </c>
      <c r="L674" s="26">
        <f>IFERROR(VLOOKUP($M674,'ITEM MASTER'!E:H,4,0),"")</f>
        <v/>
      </c>
      <c r="M674" s="26">
        <f>IFERROR(VLOOKUP($I674,'ITEM MASTER'!B:E,4,0),"")</f>
        <v/>
      </c>
      <c r="N674" s="26">
        <f>IFERROR(VLOOKUP($I674,'ITEM MASTER'!B:F,5,0),0)</f>
        <v/>
      </c>
      <c r="O674" s="26">
        <f>IFERROR(VLOOKUP($M674,'TBGS PER CTN'!B:C,2,0),0)</f>
        <v/>
      </c>
      <c r="P674" s="26" t="n">
        <v>3260</v>
      </c>
      <c r="Q674" s="26" t="n">
        <v>0</v>
      </c>
      <c r="R674" s="26" t="n">
        <v>0</v>
      </c>
      <c r="S674" s="26">
        <f>Q674+R674</f>
        <v/>
      </c>
      <c r="T674" s="29" t="n">
        <v>3260</v>
      </c>
      <c r="U674" s="29">
        <f>N674*O674*T674</f>
        <v/>
      </c>
      <c r="V674" s="82">
        <f>IF(ISNUMBER($D674),$D674-WEEKDAY($D674,3),'ORDER VS WEEK DISTRIBUTION'!$G$500)</f>
        <v/>
      </c>
      <c r="W674" s="82">
        <f>MAX($V674,'ORDER VS WEEK DISTRIBUTION'!$G$500)</f>
        <v/>
      </c>
      <c r="X674" s="26">
        <f>IFERROR(VLOOKUP($J674,'ORDER VS WEEK DISTRIBUTION'!$T:$U,2,0),"")</f>
        <v/>
      </c>
      <c r="Y674" s="26">
        <f>IFERROR($T674/IF(IFERROR(VLOOKUP($I674,'ITEM CFC PER CONTAINER'!$A:$B,2,0),0)&gt;0,VLOOKUP($I674,'ITEM CFC PER CONTAINER'!$A:$B,2,0),VLOOKUP($X674,'MC MASTER'!$A:$Q,16,0)),"")</f>
        <v/>
      </c>
    </row>
    <row r="675" ht="15" customHeight="1" s="5">
      <c r="A675" s="26" t="inlineStr">
        <is>
          <t>Harris Freeman 1981 LLC</t>
        </is>
      </c>
      <c r="B675" s="26" t="inlineStr">
        <is>
          <t>MJIL/SO/26027507</t>
        </is>
      </c>
      <c r="C675" s="26" t="inlineStr">
        <is>
          <t>JAN 2027 PLAN - POLY BAG</t>
        </is>
      </c>
      <c r="D675" s="82" t="n">
        <v>46418</v>
      </c>
      <c r="E675" s="83">
        <f>IF(ISNUMBER($D675),EOMONTH($D675,-1)+1,"")</f>
        <v/>
      </c>
      <c r="F675" s="82" t="n">
        <v>46418</v>
      </c>
      <c r="G675" s="26" t="n">
        <v>32215</v>
      </c>
      <c r="H675" s="26">
        <f>B675&amp;I675</f>
        <v/>
      </c>
      <c r="I675" s="26" t="inlineStr">
        <is>
          <t>TEA INDIA 6-3 LB CTC TEA</t>
        </is>
      </c>
      <c r="J675" s="26" t="inlineStr">
        <is>
          <t>Pearl Pack-FFS POUCH</t>
        </is>
      </c>
      <c r="K675" s="26">
        <f>J675&amp;"-"&amp;TEXT(W675,"dd-mmm-yy")</f>
        <v/>
      </c>
      <c r="L675" s="26">
        <f>IFERROR(VLOOKUP($M675,'ITEM MASTER'!E:H,4,0),"")</f>
        <v/>
      </c>
      <c r="M675" s="26">
        <f>IFERROR(VLOOKUP($I675,'ITEM MASTER'!B:E,4,0),"")</f>
        <v/>
      </c>
      <c r="N675" s="26">
        <f>IFERROR(VLOOKUP($I675,'ITEM MASTER'!B:F,5,0),0)</f>
        <v/>
      </c>
      <c r="O675" s="26">
        <f>IFERROR(VLOOKUP($M675,'TBGS PER CTN'!B:C,2,0),0)</f>
        <v/>
      </c>
      <c r="P675" s="26" t="n">
        <v>500</v>
      </c>
      <c r="Q675" s="26" t="n">
        <v>0</v>
      </c>
      <c r="R675" s="26" t="n">
        <v>0</v>
      </c>
      <c r="S675" s="26">
        <f>Q675+R675</f>
        <v/>
      </c>
      <c r="T675" s="29" t="n">
        <v>500</v>
      </c>
      <c r="U675" s="29">
        <f>N675*O675*T675</f>
        <v/>
      </c>
      <c r="V675" s="82">
        <f>IF(ISNUMBER($D675),$D675-WEEKDAY($D675,3),'ORDER VS WEEK DISTRIBUTION'!$G$500)</f>
        <v/>
      </c>
      <c r="W675" s="82">
        <f>MAX($V675,'ORDER VS WEEK DISTRIBUTION'!$G$500)</f>
        <v/>
      </c>
      <c r="X675" s="26">
        <f>IFERROR(VLOOKUP($J675,'ORDER VS WEEK DISTRIBUTION'!$T:$U,2,0),"")</f>
        <v/>
      </c>
      <c r="Y675" s="26">
        <f>IFERROR($T675/IF(IFERROR(VLOOKUP($I675,'ITEM CFC PER CONTAINER'!$A:$B,2,0),0)&gt;0,VLOOKUP($I675,'ITEM CFC PER CONTAINER'!$A:$B,2,0),VLOOKUP($X675,'MC MASTER'!$A:$Q,16,0)),"")</f>
        <v/>
      </c>
    </row>
    <row r="676" ht="15" customHeight="1" s="5">
      <c r="A676" s="26" t="inlineStr">
        <is>
          <t>Multitrade Overseas Pte. Ltd.</t>
        </is>
      </c>
      <c r="B676" s="26" t="inlineStr">
        <is>
          <t>MJIL/SO/26047642</t>
        </is>
      </c>
      <c r="C676" s="26" t="inlineStr">
        <is>
          <t>MJ-086/26-27 / 7 (ETKAF)</t>
        </is>
      </c>
      <c r="D676" s="82" t="n">
        <v>46426</v>
      </c>
      <c r="E676" s="83">
        <f>IF(ISNUMBER($D676),EOMONTH($D676,-1)+1,"")</f>
        <v/>
      </c>
      <c r="F676" s="82" t="n">
        <v>46426</v>
      </c>
      <c r="G676" s="26" t="n">
        <v>2023</v>
      </c>
      <c r="H676" s="26">
        <f>B676&amp;I676</f>
        <v/>
      </c>
      <c r="I676" s="26" t="inlineStr">
        <is>
          <t>GV MINT 24/25 DC ENV TBGS WITH TSHIRT</t>
        </is>
      </c>
      <c r="J676" s="30" t="inlineStr">
        <is>
          <t>CONSTANTA ENV</t>
        </is>
      </c>
      <c r="K676" s="26">
        <f>J676&amp;"-"&amp;TEXT(W676,"dd-mmm-yy")</f>
        <v/>
      </c>
      <c r="L676" s="26">
        <f>IFERROR(VLOOKUP($M676,'ITEM MASTER'!E:H,4,0),"")</f>
        <v/>
      </c>
      <c r="M676" s="26">
        <f>IFERROR(VLOOKUP($I676,'ITEM MASTER'!B:E,4,0),"")</f>
        <v/>
      </c>
      <c r="N676" s="26">
        <f>IFERROR(VLOOKUP($I676,'ITEM MASTER'!B:F,5,0),0)</f>
        <v/>
      </c>
      <c r="O676" s="26">
        <f>IFERROR(VLOOKUP($M676,'TBGS PER CTN'!B:C,2,0),0)</f>
        <v/>
      </c>
      <c r="P676" s="26" t="n">
        <v>2950</v>
      </c>
      <c r="Q676" s="26" t="n">
        <v>0</v>
      </c>
      <c r="R676" s="26" t="n">
        <v>0</v>
      </c>
      <c r="S676" s="26">
        <f>Q676+R676</f>
        <v/>
      </c>
      <c r="T676" s="29" t="n">
        <v>2950</v>
      </c>
      <c r="U676" s="29">
        <f>N676*O676*T676</f>
        <v/>
      </c>
      <c r="V676" s="82">
        <f>IF(ISNUMBER($D676),$D676-WEEKDAY($D676,3),'ORDER VS WEEK DISTRIBUTION'!$G$500)</f>
        <v/>
      </c>
      <c r="W676" s="82">
        <f>MAX($V676,'ORDER VS WEEK DISTRIBUTION'!$G$500)</f>
        <v/>
      </c>
      <c r="X676" s="26">
        <f>IFERROR(VLOOKUP($J676,'ORDER VS WEEK DISTRIBUTION'!$T:$U,2,0),"")</f>
        <v/>
      </c>
      <c r="Y676" s="26">
        <f>IFERROR($T676/IF(IFERROR(VLOOKUP($I676,'ITEM CFC PER CONTAINER'!$A:$B,2,0),0)&gt;0,VLOOKUP($I676,'ITEM CFC PER CONTAINER'!$A:$B,2,0),VLOOKUP($X676,'MC MASTER'!$A:$Q,16,0)),"")</f>
        <v/>
      </c>
    </row>
    <row r="677" ht="15" customHeight="1" s="5">
      <c r="A677" s="26" t="inlineStr">
        <is>
          <t>Multitrade Overseas Pte. Ltd.</t>
        </is>
      </c>
      <c r="B677" s="26" t="inlineStr">
        <is>
          <t>MJIL/SO/26047642</t>
        </is>
      </c>
      <c r="C677" s="26" t="inlineStr">
        <is>
          <t>MJ-086/26-27 / 7 (ETKAF)</t>
        </is>
      </c>
      <c r="D677" s="82" t="n">
        <v>46426</v>
      </c>
      <c r="E677" s="83">
        <f>IF(ISNUMBER($D677),EOMONTH($D677,-1)+1,"")</f>
        <v/>
      </c>
      <c r="F677" s="82" t="n">
        <v>46426</v>
      </c>
      <c r="G677" s="26" t="n">
        <v>1933</v>
      </c>
      <c r="H677" s="26">
        <f>B677&amp;I677</f>
        <v/>
      </c>
      <c r="I677" s="26" t="inlineStr">
        <is>
          <t>GV GARDEN STRAWBERRY 24/25 DC ENV TBGS WITH TSHIRT</t>
        </is>
      </c>
      <c r="J677" s="30" t="inlineStr">
        <is>
          <t>CONSTANTA ENV</t>
        </is>
      </c>
      <c r="K677" s="26">
        <f>J677&amp;"-"&amp;TEXT(W677,"dd-mmm-yy")</f>
        <v/>
      </c>
      <c r="L677" s="26">
        <f>IFERROR(VLOOKUP($M677,'ITEM MASTER'!E:H,4,0),"")</f>
        <v/>
      </c>
      <c r="M677" s="26">
        <f>IFERROR(VLOOKUP($I677,'ITEM MASTER'!B:E,4,0),"")</f>
        <v/>
      </c>
      <c r="N677" s="26">
        <f>IFERROR(VLOOKUP($I677,'ITEM MASTER'!B:F,5,0),0)</f>
        <v/>
      </c>
      <c r="O677" s="26">
        <f>IFERROR(VLOOKUP($M677,'TBGS PER CTN'!B:C,2,0),0)</f>
        <v/>
      </c>
      <c r="P677" s="26" t="n">
        <v>5094</v>
      </c>
      <c r="Q677" s="26" t="n">
        <v>0</v>
      </c>
      <c r="R677" s="26" t="n">
        <v>0</v>
      </c>
      <c r="S677" s="26">
        <f>Q677+R677</f>
        <v/>
      </c>
      <c r="T677" s="29" t="n">
        <v>5094</v>
      </c>
      <c r="U677" s="29">
        <f>N677*O677*T677</f>
        <v/>
      </c>
      <c r="V677" s="82">
        <f>IF(ISNUMBER($D677),$D677-WEEKDAY($D677,3),'ORDER VS WEEK DISTRIBUTION'!$G$500)</f>
        <v/>
      </c>
      <c r="W677" s="82">
        <f>MAX($V677,'ORDER VS WEEK DISTRIBUTION'!$G$500)</f>
        <v/>
      </c>
      <c r="X677" s="26">
        <f>IFERROR(VLOOKUP($J677,'ORDER VS WEEK DISTRIBUTION'!$T:$U,2,0),"")</f>
        <v/>
      </c>
      <c r="Y677" s="26">
        <f>IFERROR($T677/IF(IFERROR(VLOOKUP($I677,'ITEM CFC PER CONTAINER'!$A:$B,2,0),0)&gt;0,VLOOKUP($I677,'ITEM CFC PER CONTAINER'!$A:$B,2,0),VLOOKUP($X677,'MC MASTER'!$A:$Q,16,0)),"")</f>
        <v/>
      </c>
    </row>
    <row r="678" ht="15" customHeight="1" s="5">
      <c r="A678" s="26" t="inlineStr">
        <is>
          <t>Multitrade Overseas Pte. Ltd.</t>
        </is>
      </c>
      <c r="B678" s="26" t="inlineStr">
        <is>
          <t>MJIL/SO/26047642</t>
        </is>
      </c>
      <c r="C678" s="26" t="inlineStr">
        <is>
          <t>MJ-086/26-27 / 7 (ETKAF)</t>
        </is>
      </c>
      <c r="D678" s="82" t="n">
        <v>46426</v>
      </c>
      <c r="E678" s="83">
        <f>IF(ISNUMBER($D678),EOMONTH($D678,-1)+1,"")</f>
        <v/>
      </c>
      <c r="F678" s="82" t="n">
        <v>46426</v>
      </c>
      <c r="G678" s="26" t="n">
        <v>2131</v>
      </c>
      <c r="H678" s="26">
        <f>B678&amp;I678</f>
        <v/>
      </c>
      <c r="I678" s="26" t="inlineStr">
        <is>
          <t>GV SPICY GINGER 24/25 DC ENV TBGS WITH TSHIRT</t>
        </is>
      </c>
      <c r="J678" s="30" t="inlineStr">
        <is>
          <t>CONSTANTA ENV</t>
        </is>
      </c>
      <c r="K678" s="26">
        <f>J678&amp;"-"&amp;TEXT(W678,"dd-mmm-yy")</f>
        <v/>
      </c>
      <c r="L678" s="26">
        <f>IFERROR(VLOOKUP($M678,'ITEM MASTER'!E:H,4,0),"")</f>
        <v/>
      </c>
      <c r="M678" s="26">
        <f>IFERROR(VLOOKUP($I678,'ITEM MASTER'!B:E,4,0),"")</f>
        <v/>
      </c>
      <c r="N678" s="26">
        <f>IFERROR(VLOOKUP($I678,'ITEM MASTER'!B:F,5,0),0)</f>
        <v/>
      </c>
      <c r="O678" s="26">
        <f>IFERROR(VLOOKUP($M678,'TBGS PER CTN'!B:C,2,0),0)</f>
        <v/>
      </c>
      <c r="P678" s="26" t="n">
        <v>3225</v>
      </c>
      <c r="Q678" s="26" t="n">
        <v>0</v>
      </c>
      <c r="R678" s="26" t="n">
        <v>0</v>
      </c>
      <c r="S678" s="26">
        <f>Q678+R678</f>
        <v/>
      </c>
      <c r="T678" s="29" t="n">
        <v>3225</v>
      </c>
      <c r="U678" s="29">
        <f>N678*O678*T678</f>
        <v/>
      </c>
      <c r="V678" s="82">
        <f>IF(ISNUMBER($D678),$D678-WEEKDAY($D678,3),'ORDER VS WEEK DISTRIBUTION'!$G$500)</f>
        <v/>
      </c>
      <c r="W678" s="82">
        <f>MAX($V678,'ORDER VS WEEK DISTRIBUTION'!$G$500)</f>
        <v/>
      </c>
      <c r="X678" s="26">
        <f>IFERROR(VLOOKUP($J678,'ORDER VS WEEK DISTRIBUTION'!$T:$U,2,0),"")</f>
        <v/>
      </c>
      <c r="Y678" s="26">
        <f>IFERROR($T678/IF(IFERROR(VLOOKUP($I678,'ITEM CFC PER CONTAINER'!$A:$B,2,0),0)&gt;0,VLOOKUP($I678,'ITEM CFC PER CONTAINER'!$A:$B,2,0),VLOOKUP($X678,'MC MASTER'!$A:$Q,16,0)),"")</f>
        <v/>
      </c>
    </row>
    <row r="679" ht="15" customHeight="1" s="5">
      <c r="A679" s="26" t="inlineStr">
        <is>
          <t>Multitrade Overseas Pte. Ltd.</t>
        </is>
      </c>
      <c r="B679" s="26" t="inlineStr">
        <is>
          <t>MJIL/SO/26047642</t>
        </is>
      </c>
      <c r="C679" s="26" t="inlineStr">
        <is>
          <t>MJ-086/26-27 / 7 (ETKAF)</t>
        </is>
      </c>
      <c r="D679" s="82" t="n">
        <v>46426</v>
      </c>
      <c r="E679" s="83">
        <f>IF(ISNUMBER($D679),EOMONTH($D679,-1)+1,"")</f>
        <v/>
      </c>
      <c r="F679" s="82" t="n">
        <v>46426</v>
      </c>
      <c r="G679" s="26" t="n">
        <v>2051</v>
      </c>
      <c r="H679" s="26">
        <f>B679&amp;I679</f>
        <v/>
      </c>
      <c r="I679" s="26" t="inlineStr">
        <is>
          <t>GV ORANGE 24/25 DC ENV TBGS WITH TSHIRT</t>
        </is>
      </c>
      <c r="J679" s="30" t="inlineStr">
        <is>
          <t>CONSTANTA ENV</t>
        </is>
      </c>
      <c r="K679" s="26">
        <f>J679&amp;"-"&amp;TEXT(W679,"dd-mmm-yy")</f>
        <v/>
      </c>
      <c r="L679" s="26">
        <f>IFERROR(VLOOKUP($M679,'ITEM MASTER'!E:H,4,0),"")</f>
        <v/>
      </c>
      <c r="M679" s="26">
        <f>IFERROR(VLOOKUP($I679,'ITEM MASTER'!B:E,4,0),"")</f>
        <v/>
      </c>
      <c r="N679" s="26">
        <f>IFERROR(VLOOKUP($I679,'ITEM MASTER'!B:F,5,0),0)</f>
        <v/>
      </c>
      <c r="O679" s="26">
        <f>IFERROR(VLOOKUP($M679,'TBGS PER CTN'!B:C,2,0),0)</f>
        <v/>
      </c>
      <c r="P679" s="26" t="n">
        <v>450</v>
      </c>
      <c r="Q679" s="26" t="n">
        <v>0</v>
      </c>
      <c r="R679" s="26" t="n">
        <v>0</v>
      </c>
      <c r="S679" s="26">
        <f>Q679+R679</f>
        <v/>
      </c>
      <c r="T679" s="29" t="n">
        <v>450</v>
      </c>
      <c r="U679" s="29">
        <f>N679*O679*T679</f>
        <v/>
      </c>
      <c r="V679" s="82">
        <f>IF(ISNUMBER($D679),$D679-WEEKDAY($D679,3),'ORDER VS WEEK DISTRIBUTION'!$G$500)</f>
        <v/>
      </c>
      <c r="W679" s="82">
        <f>MAX($V679,'ORDER VS WEEK DISTRIBUTION'!$G$500)</f>
        <v/>
      </c>
      <c r="X679" s="26">
        <f>IFERROR(VLOOKUP($J679,'ORDER VS WEEK DISTRIBUTION'!$T:$U,2,0),"")</f>
        <v/>
      </c>
      <c r="Y679" s="26">
        <f>IFERROR($T679/IF(IFERROR(VLOOKUP($I679,'ITEM CFC PER CONTAINER'!$A:$B,2,0),0)&gt;0,VLOOKUP($I679,'ITEM CFC PER CONTAINER'!$A:$B,2,0),VLOOKUP($X679,'MC MASTER'!$A:$Q,16,0)),"")</f>
        <v/>
      </c>
    </row>
    <row r="680" ht="15" customHeight="1" s="5">
      <c r="A680" s="26" t="inlineStr">
        <is>
          <t>Multitrade Overseas Pte. Ltd.</t>
        </is>
      </c>
      <c r="B680" s="26" t="inlineStr">
        <is>
          <t>MJIL/SO/26047642</t>
        </is>
      </c>
      <c r="C680" s="26" t="inlineStr">
        <is>
          <t>MJ-086/26-27 / 7 (ETKAF)</t>
        </is>
      </c>
      <c r="D680" s="82" t="n">
        <v>46426</v>
      </c>
      <c r="E680" s="83">
        <f>IF(ISNUMBER($D680),EOMONTH($D680,-1)+1,"")</f>
        <v/>
      </c>
      <c r="F680" s="82" t="n">
        <v>46426</v>
      </c>
      <c r="G680" s="26" t="n">
        <v>21810</v>
      </c>
      <c r="H680" s="26">
        <f>B680&amp;I680</f>
        <v/>
      </c>
      <c r="I680" s="26" t="inlineStr">
        <is>
          <t>GV CLOVE 24/25 DC ENV TBGS WITH TSHIRT</t>
        </is>
      </c>
      <c r="J680" s="30" t="inlineStr">
        <is>
          <t>CONSTANTA ENV</t>
        </is>
      </c>
      <c r="K680" s="26">
        <f>J680&amp;"-"&amp;TEXT(W680,"dd-mmm-yy")</f>
        <v/>
      </c>
      <c r="L680" s="26">
        <f>IFERROR(VLOOKUP($M680,'ITEM MASTER'!E:H,4,0),"")</f>
        <v/>
      </c>
      <c r="M680" s="26">
        <f>IFERROR(VLOOKUP($I680,'ITEM MASTER'!B:E,4,0),"")</f>
        <v/>
      </c>
      <c r="N680" s="26">
        <f>IFERROR(VLOOKUP($I680,'ITEM MASTER'!B:F,5,0),0)</f>
        <v/>
      </c>
      <c r="O680" s="26">
        <f>IFERROR(VLOOKUP($M680,'TBGS PER CTN'!B:C,2,0),0)</f>
        <v/>
      </c>
      <c r="P680" s="26" t="n">
        <v>521</v>
      </c>
      <c r="Q680" s="26" t="n">
        <v>0</v>
      </c>
      <c r="R680" s="26" t="n">
        <v>0</v>
      </c>
      <c r="S680" s="26">
        <f>Q680+R680</f>
        <v/>
      </c>
      <c r="T680" s="29" t="n">
        <v>521</v>
      </c>
      <c r="U680" s="29">
        <f>N680*O680*T680</f>
        <v/>
      </c>
      <c r="V680" s="82">
        <f>IF(ISNUMBER($D680),$D680-WEEKDAY($D680,3),'ORDER VS WEEK DISTRIBUTION'!$G$500)</f>
        <v/>
      </c>
      <c r="W680" s="82">
        <f>MAX($V680,'ORDER VS WEEK DISTRIBUTION'!$G$500)</f>
        <v/>
      </c>
      <c r="X680" s="26">
        <f>IFERROR(VLOOKUP($J680,'ORDER VS WEEK DISTRIBUTION'!$T:$U,2,0),"")</f>
        <v/>
      </c>
      <c r="Y680" s="26">
        <f>IFERROR($T680/IF(IFERROR(VLOOKUP($I680,'ITEM CFC PER CONTAINER'!$A:$B,2,0),0)&gt;0,VLOOKUP($I680,'ITEM CFC PER CONTAINER'!$A:$B,2,0),VLOOKUP($X680,'MC MASTER'!$A:$Q,16,0)),"")</f>
        <v/>
      </c>
    </row>
    <row r="681" ht="15" customHeight="1" s="5">
      <c r="A681" s="26" t="inlineStr">
        <is>
          <t>Harris Freeman 1981 LLC</t>
        </is>
      </c>
      <c r="B681" s="26" t="inlineStr">
        <is>
          <t>MJIL/SO/26027510</t>
        </is>
      </c>
      <c r="C681" s="26" t="inlineStr">
        <is>
          <t>FEB 2027 PLAN - POLY BAG</t>
        </is>
      </c>
      <c r="D681" s="82" t="n">
        <v>46446</v>
      </c>
      <c r="E681" s="83">
        <f>IF(ISNUMBER($D681),EOMONTH($D681,-1)+1,"")</f>
        <v/>
      </c>
      <c r="F681" s="82" t="n">
        <v>46446</v>
      </c>
      <c r="G681" s="26" t="n">
        <v>20617</v>
      </c>
      <c r="H681" s="26">
        <f>B681&amp;I681</f>
        <v/>
      </c>
      <c r="I681" s="26" t="inlineStr">
        <is>
          <t>TEA INDIA 12/2 LBS POLYBAG</t>
        </is>
      </c>
      <c r="J681" s="26" t="inlineStr">
        <is>
          <t>PAKONA 250GMS/500GMS/1000GMS</t>
        </is>
      </c>
      <c r="K681" s="26">
        <f>J681&amp;"-"&amp;TEXT(W681,"dd-mmm-yy")</f>
        <v/>
      </c>
      <c r="L681" s="26">
        <f>IFERROR(VLOOKUP($M681,'ITEM MASTER'!E:H,4,0),"")</f>
        <v/>
      </c>
      <c r="M681" s="26">
        <f>IFERROR(VLOOKUP($I681,'ITEM MASTER'!B:E,4,0),"")</f>
        <v/>
      </c>
      <c r="N681" s="26">
        <f>IFERROR(VLOOKUP($I681,'ITEM MASTER'!B:F,5,0),0)</f>
        <v/>
      </c>
      <c r="O681" s="26">
        <f>IFERROR(VLOOKUP($M681,'TBGS PER CTN'!B:C,2,0),0)</f>
        <v/>
      </c>
      <c r="P681" s="26" t="n">
        <v>3260</v>
      </c>
      <c r="Q681" s="26" t="n">
        <v>0</v>
      </c>
      <c r="R681" s="26" t="n">
        <v>0</v>
      </c>
      <c r="S681" s="26">
        <f>Q681+R681</f>
        <v/>
      </c>
      <c r="T681" s="29" t="n">
        <v>3260</v>
      </c>
      <c r="U681" s="29">
        <f>N681*O681*T681</f>
        <v/>
      </c>
      <c r="V681" s="82">
        <f>IF(ISNUMBER($D681),$D681-WEEKDAY($D681,3),'ORDER VS WEEK DISTRIBUTION'!$G$500)</f>
        <v/>
      </c>
      <c r="W681" s="82">
        <f>MAX($V681,'ORDER VS WEEK DISTRIBUTION'!$G$500)</f>
        <v/>
      </c>
      <c r="X681" s="26">
        <f>IFERROR(VLOOKUP($J681,'ORDER VS WEEK DISTRIBUTION'!$T:$U,2,0),"")</f>
        <v/>
      </c>
      <c r="Y681" s="26">
        <f>IFERROR($T681/IF(IFERROR(VLOOKUP($I681,'ITEM CFC PER CONTAINER'!$A:$B,2,0),0)&gt;0,VLOOKUP($I681,'ITEM CFC PER CONTAINER'!$A:$B,2,0),VLOOKUP($X681,'MC MASTER'!$A:$Q,16,0)),"")</f>
        <v/>
      </c>
    </row>
    <row r="682" ht="15" customHeight="1" s="5">
      <c r="A682" s="26" t="inlineStr">
        <is>
          <t>Harris Freeman 1981 LLC</t>
        </is>
      </c>
      <c r="B682" s="26" t="inlineStr">
        <is>
          <t>MJIL/SO/26027510</t>
        </is>
      </c>
      <c r="C682" s="26" t="inlineStr">
        <is>
          <t>FEB 2027 PLAN - POLY BAG</t>
        </is>
      </c>
      <c r="D682" s="82" t="n">
        <v>46446</v>
      </c>
      <c r="E682" s="83">
        <f>IF(ISNUMBER($D682),EOMONTH($D682,-1)+1,"")</f>
        <v/>
      </c>
      <c r="F682" s="82" t="n">
        <v>46446</v>
      </c>
      <c r="G682" s="26" t="n">
        <v>32215</v>
      </c>
      <c r="H682" s="26">
        <f>B682&amp;I682</f>
        <v/>
      </c>
      <c r="I682" s="26" t="inlineStr">
        <is>
          <t>TEA INDIA 6-3 LB CTC TEA</t>
        </is>
      </c>
      <c r="J682" s="26" t="inlineStr">
        <is>
          <t>Pearl Pack-FFS POUCH</t>
        </is>
      </c>
      <c r="K682" s="26">
        <f>J682&amp;"-"&amp;TEXT(W682,"dd-mmm-yy")</f>
        <v/>
      </c>
      <c r="L682" s="26">
        <f>IFERROR(VLOOKUP($M682,'ITEM MASTER'!E:H,4,0),"")</f>
        <v/>
      </c>
      <c r="M682" s="26">
        <f>IFERROR(VLOOKUP($I682,'ITEM MASTER'!B:E,4,0),"")</f>
        <v/>
      </c>
      <c r="N682" s="26">
        <f>IFERROR(VLOOKUP($I682,'ITEM MASTER'!B:F,5,0),0)</f>
        <v/>
      </c>
      <c r="O682" s="26">
        <f>IFERROR(VLOOKUP($M682,'TBGS PER CTN'!B:C,2,0),0)</f>
        <v/>
      </c>
      <c r="P682" s="26" t="n">
        <v>800</v>
      </c>
      <c r="Q682" s="26" t="n">
        <v>0</v>
      </c>
      <c r="R682" s="26" t="n">
        <v>0</v>
      </c>
      <c r="S682" s="26">
        <f>Q682+R682</f>
        <v/>
      </c>
      <c r="T682" s="29" t="n">
        <v>800</v>
      </c>
      <c r="U682" s="29">
        <f>N682*O682*T682</f>
        <v/>
      </c>
      <c r="V682" s="82">
        <f>IF(ISNUMBER($D682),$D682-WEEKDAY($D682,3),'ORDER VS WEEK DISTRIBUTION'!$G$500)</f>
        <v/>
      </c>
      <c r="W682" s="82">
        <f>MAX($V682,'ORDER VS WEEK DISTRIBUTION'!$G$500)</f>
        <v/>
      </c>
      <c r="X682" s="26">
        <f>IFERROR(VLOOKUP($J682,'ORDER VS WEEK DISTRIBUTION'!$T:$U,2,0),"")</f>
        <v/>
      </c>
      <c r="Y682" s="26">
        <f>IFERROR($T682/IF(IFERROR(VLOOKUP($I682,'ITEM CFC PER CONTAINER'!$A:$B,2,0),0)&gt;0,VLOOKUP($I682,'ITEM CFC PER CONTAINER'!$A:$B,2,0),VLOOKUP($X682,'MC MASTER'!$A:$Q,16,0)),"")</f>
        <v/>
      </c>
    </row>
    <row r="683" ht="15" customHeight="1" s="5">
      <c r="A683" s="26" t="inlineStr">
        <is>
          <t>Harris Freeman 1981 LLC</t>
        </is>
      </c>
      <c r="B683" s="26" t="inlineStr">
        <is>
          <t>MJIL/SO/26027510</t>
        </is>
      </c>
      <c r="C683" s="26" t="inlineStr">
        <is>
          <t>FEB 2027 PLAN - POLY BAG</t>
        </is>
      </c>
      <c r="D683" s="82" t="n">
        <v>46446</v>
      </c>
      <c r="E683" s="83">
        <f>IF(ISNUMBER($D683),EOMONTH($D683,-1)+1,"")</f>
        <v/>
      </c>
      <c r="F683" s="82" t="n">
        <v>46446</v>
      </c>
      <c r="G683" s="26" t="n">
        <v>20831</v>
      </c>
      <c r="H683" s="26">
        <f>B683&amp;I683</f>
        <v/>
      </c>
      <c r="I683" s="26" t="inlineStr">
        <is>
          <t>TEA INDIA 24/1 LBS POLYBAG</t>
        </is>
      </c>
      <c r="J683" s="26" t="inlineStr">
        <is>
          <t>PAKONA 250GMS/500GMS/1000GMS</t>
        </is>
      </c>
      <c r="K683" s="26">
        <f>J683&amp;"-"&amp;TEXT(W683,"dd-mmm-yy")</f>
        <v/>
      </c>
      <c r="L683" s="26">
        <f>IFERROR(VLOOKUP($M683,'ITEM MASTER'!E:H,4,0),"")</f>
        <v/>
      </c>
      <c r="M683" s="26">
        <f>IFERROR(VLOOKUP($I683,'ITEM MASTER'!B:E,4,0),"")</f>
        <v/>
      </c>
      <c r="N683" s="26">
        <f>IFERROR(VLOOKUP($I683,'ITEM MASTER'!B:F,5,0),0)</f>
        <v/>
      </c>
      <c r="O683" s="26">
        <f>IFERROR(VLOOKUP($M683,'TBGS PER CTN'!B:C,2,0),0)</f>
        <v/>
      </c>
      <c r="P683" s="26" t="n">
        <v>500</v>
      </c>
      <c r="Q683" s="26" t="n">
        <v>0</v>
      </c>
      <c r="R683" s="26" t="n">
        <v>0</v>
      </c>
      <c r="S683" s="26">
        <f>Q683+R683</f>
        <v/>
      </c>
      <c r="T683" s="29" t="n">
        <v>500</v>
      </c>
      <c r="U683" s="29">
        <f>N683*O683*T683</f>
        <v/>
      </c>
      <c r="V683" s="82">
        <f>IF(ISNUMBER($D683),$D683-WEEKDAY($D683,3),'ORDER VS WEEK DISTRIBUTION'!$G$500)</f>
        <v/>
      </c>
      <c r="W683" s="82">
        <f>MAX($V683,'ORDER VS WEEK DISTRIBUTION'!$G$500)</f>
        <v/>
      </c>
      <c r="X683" s="26">
        <f>IFERROR(VLOOKUP($J683,'ORDER VS WEEK DISTRIBUTION'!$T:$U,2,0),"")</f>
        <v/>
      </c>
      <c r="Y683" s="26">
        <f>IFERROR($T683/IF(IFERROR(VLOOKUP($I683,'ITEM CFC PER CONTAINER'!$A:$B,2,0),0)&gt;0,VLOOKUP($I683,'ITEM CFC PER CONTAINER'!$A:$B,2,0),VLOOKUP($X683,'MC MASTER'!$A:$Q,16,0)),"")</f>
        <v/>
      </c>
    </row>
    <row r="684" ht="15" customHeight="1" s="5">
      <c r="A684" s="26" t="inlineStr">
        <is>
          <t>Multitrade Overseas Pte. Ltd.</t>
        </is>
      </c>
      <c r="B684" s="26" t="inlineStr">
        <is>
          <t>MJIL/SO/26047643</t>
        </is>
      </c>
      <c r="C684" s="26" t="inlineStr">
        <is>
          <t>MJ-086/26-27 / 8 (ETKAF)</t>
        </is>
      </c>
      <c r="D684" s="82" t="n">
        <v>46461</v>
      </c>
      <c r="E684" s="83">
        <f>IF(ISNUMBER($D684),EOMONTH($D684,-1)+1,"")</f>
        <v/>
      </c>
      <c r="F684" s="82" t="n">
        <v>46461</v>
      </c>
      <c r="G684" s="26" t="n">
        <v>2023</v>
      </c>
      <c r="H684" s="26">
        <f>B684&amp;I684</f>
        <v/>
      </c>
      <c r="I684" s="26" t="inlineStr">
        <is>
          <t>GV MINT 24/25 DC ENV TBGS WITH TSHIRT</t>
        </is>
      </c>
      <c r="J684" s="30" t="inlineStr">
        <is>
          <t>CONSTANTA ENV</t>
        </is>
      </c>
      <c r="K684" s="26">
        <f>J684&amp;"-"&amp;TEXT(W684,"dd-mmm-yy")</f>
        <v/>
      </c>
      <c r="L684" s="26">
        <f>IFERROR(VLOOKUP($M684,'ITEM MASTER'!E:H,4,0),"")</f>
        <v/>
      </c>
      <c r="M684" s="26">
        <f>IFERROR(VLOOKUP($I684,'ITEM MASTER'!B:E,4,0),"")</f>
        <v/>
      </c>
      <c r="N684" s="26">
        <f>IFERROR(VLOOKUP($I684,'ITEM MASTER'!B:F,5,0),0)</f>
        <v/>
      </c>
      <c r="O684" s="26">
        <f>IFERROR(VLOOKUP($M684,'TBGS PER CTN'!B:C,2,0),0)</f>
        <v/>
      </c>
      <c r="P684" s="26" t="n">
        <v>2950</v>
      </c>
      <c r="Q684" s="26" t="n">
        <v>0</v>
      </c>
      <c r="R684" s="26" t="n">
        <v>0</v>
      </c>
      <c r="S684" s="26">
        <f>Q684+R684</f>
        <v/>
      </c>
      <c r="T684" s="29" t="n">
        <v>2950</v>
      </c>
      <c r="U684" s="29">
        <f>N684*O684*T684</f>
        <v/>
      </c>
      <c r="V684" s="82">
        <f>IF(ISNUMBER($D684),$D684-WEEKDAY($D684,3),'ORDER VS WEEK DISTRIBUTION'!$G$500)</f>
        <v/>
      </c>
      <c r="W684" s="82">
        <f>MAX($V684,'ORDER VS WEEK DISTRIBUTION'!$G$500)</f>
        <v/>
      </c>
      <c r="X684" s="26">
        <f>IFERROR(VLOOKUP($J684,'ORDER VS WEEK DISTRIBUTION'!$T:$U,2,0),"")</f>
        <v/>
      </c>
      <c r="Y684" s="26">
        <f>IFERROR($T684/IF(IFERROR(VLOOKUP($I684,'ITEM CFC PER CONTAINER'!$A:$B,2,0),0)&gt;0,VLOOKUP($I684,'ITEM CFC PER CONTAINER'!$A:$B,2,0),VLOOKUP($X684,'MC MASTER'!$A:$Q,16,0)),"")</f>
        <v/>
      </c>
    </row>
    <row r="685" ht="15" customHeight="1" s="5">
      <c r="A685" s="26" t="inlineStr">
        <is>
          <t>Multitrade Overseas Pte. Ltd.</t>
        </is>
      </c>
      <c r="B685" s="26" t="inlineStr">
        <is>
          <t>MJIL/SO/26047643</t>
        </is>
      </c>
      <c r="C685" s="26" t="inlineStr">
        <is>
          <t>MJ-086/26-27 / 8 (ETKAF)</t>
        </is>
      </c>
      <c r="D685" s="82" t="n">
        <v>46461</v>
      </c>
      <c r="E685" s="83">
        <f>IF(ISNUMBER($D685),EOMONTH($D685,-1)+1,"")</f>
        <v/>
      </c>
      <c r="F685" s="82" t="n">
        <v>46461</v>
      </c>
      <c r="G685" s="26" t="n">
        <v>1933</v>
      </c>
      <c r="H685" s="26">
        <f>B685&amp;I685</f>
        <v/>
      </c>
      <c r="I685" s="26" t="inlineStr">
        <is>
          <t>GV GARDEN STRAWBERRY 24/25 DC ENV TBGS WITH TSHIRT</t>
        </is>
      </c>
      <c r="J685" s="30" t="inlineStr">
        <is>
          <t>CONSTANTA ENV</t>
        </is>
      </c>
      <c r="K685" s="26">
        <f>J685&amp;"-"&amp;TEXT(W685,"dd-mmm-yy")</f>
        <v/>
      </c>
      <c r="L685" s="26">
        <f>IFERROR(VLOOKUP($M685,'ITEM MASTER'!E:H,4,0),"")</f>
        <v/>
      </c>
      <c r="M685" s="26">
        <f>IFERROR(VLOOKUP($I685,'ITEM MASTER'!B:E,4,0),"")</f>
        <v/>
      </c>
      <c r="N685" s="26">
        <f>IFERROR(VLOOKUP($I685,'ITEM MASTER'!B:F,5,0),0)</f>
        <v/>
      </c>
      <c r="O685" s="26">
        <f>IFERROR(VLOOKUP($M685,'TBGS PER CTN'!B:C,2,0),0)</f>
        <v/>
      </c>
      <c r="P685" s="26" t="n">
        <v>5668</v>
      </c>
      <c r="Q685" s="26" t="n">
        <v>0</v>
      </c>
      <c r="R685" s="26" t="n">
        <v>0</v>
      </c>
      <c r="S685" s="26">
        <f>Q685+R685</f>
        <v/>
      </c>
      <c r="T685" s="29" t="n">
        <v>5668</v>
      </c>
      <c r="U685" s="29">
        <f>N685*O685*T685</f>
        <v/>
      </c>
      <c r="V685" s="82">
        <f>IF(ISNUMBER($D685),$D685-WEEKDAY($D685,3),'ORDER VS WEEK DISTRIBUTION'!$G$500)</f>
        <v/>
      </c>
      <c r="W685" s="82">
        <f>MAX($V685,'ORDER VS WEEK DISTRIBUTION'!$G$500)</f>
        <v/>
      </c>
      <c r="X685" s="26">
        <f>IFERROR(VLOOKUP($J685,'ORDER VS WEEK DISTRIBUTION'!$T:$U,2,0),"")</f>
        <v/>
      </c>
      <c r="Y685" s="26">
        <f>IFERROR($T685/IF(IFERROR(VLOOKUP($I685,'ITEM CFC PER CONTAINER'!$A:$B,2,0),0)&gt;0,VLOOKUP($I685,'ITEM CFC PER CONTAINER'!$A:$B,2,0),VLOOKUP($X685,'MC MASTER'!$A:$Q,16,0)),"")</f>
        <v/>
      </c>
    </row>
    <row r="686" ht="15" customHeight="1" s="5">
      <c r="A686" s="26" t="inlineStr">
        <is>
          <t>Multitrade Overseas Pte. Ltd.</t>
        </is>
      </c>
      <c r="B686" s="26" t="inlineStr">
        <is>
          <t>MJIL/SO/26047643</t>
        </is>
      </c>
      <c r="C686" s="26" t="inlineStr">
        <is>
          <t>MJ-086/26-27 / 8 (ETKAF)</t>
        </is>
      </c>
      <c r="D686" s="82" t="n">
        <v>46461</v>
      </c>
      <c r="E686" s="83">
        <f>IF(ISNUMBER($D686),EOMONTH($D686,-1)+1,"")</f>
        <v/>
      </c>
      <c r="F686" s="82" t="n">
        <v>46461</v>
      </c>
      <c r="G686" s="26" t="n">
        <v>2131</v>
      </c>
      <c r="H686" s="26">
        <f>B686&amp;I686</f>
        <v/>
      </c>
      <c r="I686" s="26" t="inlineStr">
        <is>
          <t>GV SPICY GINGER 24/25 DC ENV TBGS WITH TSHIRT</t>
        </is>
      </c>
      <c r="J686" s="30" t="inlineStr">
        <is>
          <t>CONSTANTA ENV</t>
        </is>
      </c>
      <c r="K686" s="26">
        <f>J686&amp;"-"&amp;TEXT(W686,"dd-mmm-yy")</f>
        <v/>
      </c>
      <c r="L686" s="26">
        <f>IFERROR(VLOOKUP($M686,'ITEM MASTER'!E:H,4,0),"")</f>
        <v/>
      </c>
      <c r="M686" s="26">
        <f>IFERROR(VLOOKUP($I686,'ITEM MASTER'!B:E,4,0),"")</f>
        <v/>
      </c>
      <c r="N686" s="26">
        <f>IFERROR(VLOOKUP($I686,'ITEM MASTER'!B:F,5,0),0)</f>
        <v/>
      </c>
      <c r="O686" s="26">
        <f>IFERROR(VLOOKUP($M686,'TBGS PER CTN'!B:C,2,0),0)</f>
        <v/>
      </c>
      <c r="P686" s="26" t="n">
        <v>2950</v>
      </c>
      <c r="Q686" s="26" t="n">
        <v>0</v>
      </c>
      <c r="R686" s="26" t="n">
        <v>0</v>
      </c>
      <c r="S686" s="26">
        <f>Q686+R686</f>
        <v/>
      </c>
      <c r="T686" s="29" t="n">
        <v>2950</v>
      </c>
      <c r="U686" s="29">
        <f>N686*O686*T686</f>
        <v/>
      </c>
      <c r="V686" s="82">
        <f>IF(ISNUMBER($D686),$D686-WEEKDAY($D686,3),'ORDER VS WEEK DISTRIBUTION'!$G$500)</f>
        <v/>
      </c>
      <c r="W686" s="82">
        <f>MAX($V686,'ORDER VS WEEK DISTRIBUTION'!$G$500)</f>
        <v/>
      </c>
      <c r="X686" s="26">
        <f>IFERROR(VLOOKUP($J686,'ORDER VS WEEK DISTRIBUTION'!$T:$U,2,0),"")</f>
        <v/>
      </c>
      <c r="Y686" s="26">
        <f>IFERROR($T686/IF(IFERROR(VLOOKUP($I686,'ITEM CFC PER CONTAINER'!$A:$B,2,0),0)&gt;0,VLOOKUP($I686,'ITEM CFC PER CONTAINER'!$A:$B,2,0),VLOOKUP($X686,'MC MASTER'!$A:$Q,16,0)),"")</f>
        <v/>
      </c>
    </row>
    <row r="687" ht="15" customHeight="1" s="5">
      <c r="A687" s="26" t="inlineStr">
        <is>
          <t>Multitrade Overseas Pte. Ltd.</t>
        </is>
      </c>
      <c r="B687" s="26" t="inlineStr">
        <is>
          <t>MJIL/SO/26047643</t>
        </is>
      </c>
      <c r="C687" s="26" t="inlineStr">
        <is>
          <t>MJ-086/26-27 / 8 (ETKAF)</t>
        </is>
      </c>
      <c r="D687" s="82" t="n">
        <v>46461</v>
      </c>
      <c r="E687" s="83">
        <f>IF(ISNUMBER($D687),EOMONTH($D687,-1)+1,"")</f>
        <v/>
      </c>
      <c r="F687" s="82" t="n">
        <v>46461</v>
      </c>
      <c r="G687" s="26" t="n">
        <v>2051</v>
      </c>
      <c r="H687" s="26">
        <f>B687&amp;I687</f>
        <v/>
      </c>
      <c r="I687" s="26" t="inlineStr">
        <is>
          <t>GV ORANGE 24/25 DC ENV TBGS WITH TSHIRT</t>
        </is>
      </c>
      <c r="J687" s="30" t="inlineStr">
        <is>
          <t>CONSTANTA ENV</t>
        </is>
      </c>
      <c r="K687" s="26">
        <f>J687&amp;"-"&amp;TEXT(W687,"dd-mmm-yy")</f>
        <v/>
      </c>
      <c r="L687" s="26">
        <f>IFERROR(VLOOKUP($M687,'ITEM MASTER'!E:H,4,0),"")</f>
        <v/>
      </c>
      <c r="M687" s="26">
        <f>IFERROR(VLOOKUP($I687,'ITEM MASTER'!B:E,4,0),"")</f>
        <v/>
      </c>
      <c r="N687" s="26">
        <f>IFERROR(VLOOKUP($I687,'ITEM MASTER'!B:F,5,0),0)</f>
        <v/>
      </c>
      <c r="O687" s="26">
        <f>IFERROR(VLOOKUP($M687,'TBGS PER CTN'!B:C,2,0),0)</f>
        <v/>
      </c>
      <c r="P687" s="26" t="n">
        <v>200</v>
      </c>
      <c r="Q687" s="26" t="n">
        <v>0</v>
      </c>
      <c r="R687" s="26" t="n">
        <v>0</v>
      </c>
      <c r="S687" s="26">
        <f>Q687+R687</f>
        <v/>
      </c>
      <c r="T687" s="29" t="n">
        <v>200</v>
      </c>
      <c r="U687" s="29">
        <f>N687*O687*T687</f>
        <v/>
      </c>
      <c r="V687" s="82">
        <f>IF(ISNUMBER($D687),$D687-WEEKDAY($D687,3),'ORDER VS WEEK DISTRIBUTION'!$G$500)</f>
        <v/>
      </c>
      <c r="W687" s="82">
        <f>MAX($V687,'ORDER VS WEEK DISTRIBUTION'!$G$500)</f>
        <v/>
      </c>
      <c r="X687" s="26">
        <f>IFERROR(VLOOKUP($J687,'ORDER VS WEEK DISTRIBUTION'!$T:$U,2,0),"")</f>
        <v/>
      </c>
      <c r="Y687" s="26">
        <f>IFERROR($T687/IF(IFERROR(VLOOKUP($I687,'ITEM CFC PER CONTAINER'!$A:$B,2,0),0)&gt;0,VLOOKUP($I687,'ITEM CFC PER CONTAINER'!$A:$B,2,0),VLOOKUP($X687,'MC MASTER'!$A:$Q,16,0)),"")</f>
        <v/>
      </c>
    </row>
    <row r="688" ht="15" customHeight="1" s="5">
      <c r="A688" s="26" t="inlineStr">
        <is>
          <t>Multitrade Overseas Pte. Ltd.</t>
        </is>
      </c>
      <c r="B688" s="26" t="inlineStr">
        <is>
          <t>MJIL/SO/26047643</t>
        </is>
      </c>
      <c r="C688" s="26" t="inlineStr">
        <is>
          <t>MJ-086/26-27 / 8 (ETKAF)</t>
        </is>
      </c>
      <c r="D688" s="82" t="n">
        <v>46461</v>
      </c>
      <c r="E688" s="83">
        <f>IF(ISNUMBER($D688),EOMONTH($D688,-1)+1,"")</f>
        <v/>
      </c>
      <c r="F688" s="82" t="n">
        <v>46461</v>
      </c>
      <c r="G688" s="26" t="n">
        <v>21810</v>
      </c>
      <c r="H688" s="26">
        <f>B688&amp;I688</f>
        <v/>
      </c>
      <c r="I688" s="26" t="inlineStr">
        <is>
          <t>GV CLOVE 24/25 DC ENV TBGS WITH TSHIRT</t>
        </is>
      </c>
      <c r="J688" s="30" t="inlineStr">
        <is>
          <t>CONSTANTA ENV</t>
        </is>
      </c>
      <c r="K688" s="26">
        <f>J688&amp;"-"&amp;TEXT(W688,"dd-mmm-yy")</f>
        <v/>
      </c>
      <c r="L688" s="26">
        <f>IFERROR(VLOOKUP($M688,'ITEM MASTER'!E:H,4,0),"")</f>
        <v/>
      </c>
      <c r="M688" s="26">
        <f>IFERROR(VLOOKUP($I688,'ITEM MASTER'!B:E,4,0),"")</f>
        <v/>
      </c>
      <c r="N688" s="26">
        <f>IFERROR(VLOOKUP($I688,'ITEM MASTER'!B:F,5,0),0)</f>
        <v/>
      </c>
      <c r="O688" s="26">
        <f>IFERROR(VLOOKUP($M688,'TBGS PER CTN'!B:C,2,0),0)</f>
        <v/>
      </c>
      <c r="P688" s="26" t="n">
        <v>200</v>
      </c>
      <c r="Q688" s="26" t="n">
        <v>0</v>
      </c>
      <c r="R688" s="26" t="n">
        <v>0</v>
      </c>
      <c r="S688" s="26">
        <f>Q688+R688</f>
        <v/>
      </c>
      <c r="T688" s="29" t="n">
        <v>200</v>
      </c>
      <c r="U688" s="29">
        <f>N688*O688*T688</f>
        <v/>
      </c>
      <c r="V688" s="82">
        <f>IF(ISNUMBER($D688),$D688-WEEKDAY($D688,3),'ORDER VS WEEK DISTRIBUTION'!$G$500)</f>
        <v/>
      </c>
      <c r="W688" s="82">
        <f>MAX($V688,'ORDER VS WEEK DISTRIBUTION'!$G$500)</f>
        <v/>
      </c>
      <c r="X688" s="26">
        <f>IFERROR(VLOOKUP($J688,'ORDER VS WEEK DISTRIBUTION'!$T:$U,2,0),"")</f>
        <v/>
      </c>
      <c r="Y688" s="26">
        <f>IFERROR($T688/IF(IFERROR(VLOOKUP($I688,'ITEM CFC PER CONTAINER'!$A:$B,2,0),0)&gt;0,VLOOKUP($I688,'ITEM CFC PER CONTAINER'!$A:$B,2,0),VLOOKUP($X688,'MC MASTER'!$A:$Q,16,0)),"")</f>
        <v/>
      </c>
    </row>
    <row r="689" ht="15" customHeight="1" s="5">
      <c r="A689" s="26" t="inlineStr">
        <is>
          <t>Multitrade Overseas Pte. Ltd.</t>
        </is>
      </c>
      <c r="B689" s="26" t="inlineStr">
        <is>
          <t>MJIL/SO/26047643</t>
        </is>
      </c>
      <c r="C689" s="26" t="inlineStr">
        <is>
          <t>MJ-086/26-27 / 8 (ETKAF)</t>
        </is>
      </c>
      <c r="D689" s="82" t="n">
        <v>46461</v>
      </c>
      <c r="E689" s="83">
        <f>IF(ISNUMBER($D689),EOMONTH($D689,-1)+1,"")</f>
        <v/>
      </c>
      <c r="F689" s="82" t="n">
        <v>46461</v>
      </c>
      <c r="G689" s="26" t="n">
        <v>2105</v>
      </c>
      <c r="H689" s="26">
        <f>B689&amp;I689</f>
        <v/>
      </c>
      <c r="I689" s="26" t="inlineStr">
        <is>
          <t>GV ROYAL LEMON 24/25 DC ENV TBGS WITH TSHIRT</t>
        </is>
      </c>
      <c r="J689" s="30" t="inlineStr">
        <is>
          <t>CONSTANTA ENV</t>
        </is>
      </c>
      <c r="K689" s="26">
        <f>J689&amp;"-"&amp;TEXT(W689,"dd-mmm-yy")</f>
        <v/>
      </c>
      <c r="L689" s="26">
        <f>IFERROR(VLOOKUP($M689,'ITEM MASTER'!E:H,4,0),"")</f>
        <v/>
      </c>
      <c r="M689" s="26">
        <f>IFERROR(VLOOKUP($I689,'ITEM MASTER'!B:E,4,0),"")</f>
        <v/>
      </c>
      <c r="N689" s="26">
        <f>IFERROR(VLOOKUP($I689,'ITEM MASTER'!B:F,5,0),0)</f>
        <v/>
      </c>
      <c r="O689" s="26">
        <f>IFERROR(VLOOKUP($M689,'TBGS PER CTN'!B:C,2,0),0)</f>
        <v/>
      </c>
      <c r="P689" s="26" t="n">
        <v>272</v>
      </c>
      <c r="Q689" s="26" t="n">
        <v>0</v>
      </c>
      <c r="R689" s="26" t="n">
        <v>0</v>
      </c>
      <c r="S689" s="26">
        <f>Q689+R689</f>
        <v/>
      </c>
      <c r="T689" s="29" t="n">
        <v>272</v>
      </c>
      <c r="U689" s="29">
        <f>N689*O689*T689</f>
        <v/>
      </c>
      <c r="V689" s="82">
        <f>IF(ISNUMBER($D689),$D689-WEEKDAY($D689,3),'ORDER VS WEEK DISTRIBUTION'!$G$500)</f>
        <v/>
      </c>
      <c r="W689" s="82">
        <f>MAX($V689,'ORDER VS WEEK DISTRIBUTION'!$G$500)</f>
        <v/>
      </c>
      <c r="X689" s="26">
        <f>IFERROR(VLOOKUP($J689,'ORDER VS WEEK DISTRIBUTION'!$T:$U,2,0),"")</f>
        <v/>
      </c>
      <c r="Y689" s="26">
        <f>IFERROR($T689/IF(IFERROR(VLOOKUP($I689,'ITEM CFC PER CONTAINER'!$A:$B,2,0),0)&gt;0,VLOOKUP($I689,'ITEM CFC PER CONTAINER'!$A:$B,2,0),VLOOKUP($X689,'MC MASTER'!$A:$Q,16,0)),"")</f>
        <v/>
      </c>
    </row>
    <row r="690" ht="15" customHeight="1" s="5">
      <c r="A690" s="26" t="inlineStr">
        <is>
          <t>Harris Freeman 1981 LLC</t>
        </is>
      </c>
      <c r="B690" s="26" t="inlineStr">
        <is>
          <t>MJIL/SO/26027511</t>
        </is>
      </c>
      <c r="C690" s="26" t="inlineStr">
        <is>
          <t>MAR 2027 PLAN - POLY BAG</t>
        </is>
      </c>
      <c r="D690" s="82" t="n">
        <v>46477</v>
      </c>
      <c r="E690" s="83">
        <f>IF(ISNUMBER($D690),EOMONTH($D690,-1)+1,"")</f>
        <v/>
      </c>
      <c r="F690" s="82" t="n">
        <v>46477</v>
      </c>
      <c r="G690" s="26" t="n">
        <v>20617</v>
      </c>
      <c r="H690" s="26">
        <f>B690&amp;I690</f>
        <v/>
      </c>
      <c r="I690" s="26" t="inlineStr">
        <is>
          <t>TEA INDIA 12/2 LBS POLYBAG</t>
        </is>
      </c>
      <c r="J690" s="26" t="inlineStr">
        <is>
          <t>PAKONA 250GMS/500GMS/1000GMS</t>
        </is>
      </c>
      <c r="K690" s="26">
        <f>J690&amp;"-"&amp;TEXT(W690,"dd-mmm-yy")</f>
        <v/>
      </c>
      <c r="L690" s="26">
        <f>IFERROR(VLOOKUP($M690,'ITEM MASTER'!E:H,4,0),"")</f>
        <v/>
      </c>
      <c r="M690" s="26">
        <f>IFERROR(VLOOKUP($I690,'ITEM MASTER'!B:E,4,0),"")</f>
        <v/>
      </c>
      <c r="N690" s="26">
        <f>IFERROR(VLOOKUP($I690,'ITEM MASTER'!B:F,5,0),0)</f>
        <v/>
      </c>
      <c r="O690" s="26">
        <f>IFERROR(VLOOKUP($M690,'TBGS PER CTN'!B:C,2,0),0)</f>
        <v/>
      </c>
      <c r="P690" s="26" t="n">
        <v>3460</v>
      </c>
      <c r="Q690" s="26" t="n">
        <v>0</v>
      </c>
      <c r="R690" s="26" t="n">
        <v>0</v>
      </c>
      <c r="S690" s="26">
        <f>Q690+R690</f>
        <v/>
      </c>
      <c r="T690" s="29" t="n">
        <v>3460</v>
      </c>
      <c r="U690" s="29">
        <f>N690*O690*T690</f>
        <v/>
      </c>
      <c r="V690" s="82">
        <f>IF(ISNUMBER($D690),$D690-WEEKDAY($D690,3),'ORDER VS WEEK DISTRIBUTION'!$G$500)</f>
        <v/>
      </c>
      <c r="W690" s="82">
        <f>MAX($V690,'ORDER VS WEEK DISTRIBUTION'!$G$500)</f>
        <v/>
      </c>
      <c r="X690" s="26">
        <f>IFERROR(VLOOKUP($J690,'ORDER VS WEEK DISTRIBUTION'!$T:$U,2,0),"")</f>
        <v/>
      </c>
      <c r="Y690" s="26">
        <f>IFERROR($T690/IF(IFERROR(VLOOKUP($I690,'ITEM CFC PER CONTAINER'!$A:$B,2,0),0)&gt;0,VLOOKUP($I690,'ITEM CFC PER CONTAINER'!$A:$B,2,0),VLOOKUP($X690,'MC MASTER'!$A:$Q,16,0)),"")</f>
        <v/>
      </c>
    </row>
    <row r="691" ht="15" customHeight="1" s="5">
      <c r="A691" s="26" t="inlineStr">
        <is>
          <t>Harris Freeman 1981 LLC</t>
        </is>
      </c>
      <c r="B691" s="26" t="inlineStr">
        <is>
          <t>MJIL/SO/26027511</t>
        </is>
      </c>
      <c r="C691" s="26" t="inlineStr">
        <is>
          <t>MAR 2027 PLAN - POLY BAG</t>
        </is>
      </c>
      <c r="D691" s="82" t="n">
        <v>46477</v>
      </c>
      <c r="E691" s="83">
        <f>IF(ISNUMBER($D691),EOMONTH($D691,-1)+1,"")</f>
        <v/>
      </c>
      <c r="F691" s="82" t="n">
        <v>46477</v>
      </c>
      <c r="G691" s="26" t="n">
        <v>20831</v>
      </c>
      <c r="H691" s="26">
        <f>B691&amp;I691</f>
        <v/>
      </c>
      <c r="I691" s="26" t="inlineStr">
        <is>
          <t>TEA INDIA 24/1 LBS POLYBAG</t>
        </is>
      </c>
      <c r="J691" s="26" t="inlineStr">
        <is>
          <t>PAKONA 250GMS/500GMS/1000GMS</t>
        </is>
      </c>
      <c r="K691" s="26">
        <f>J691&amp;"-"&amp;TEXT(W691,"dd-mmm-yy")</f>
        <v/>
      </c>
      <c r="L691" s="26">
        <f>IFERROR(VLOOKUP($M691,'ITEM MASTER'!E:H,4,0),"")</f>
        <v/>
      </c>
      <c r="M691" s="26">
        <f>IFERROR(VLOOKUP($I691,'ITEM MASTER'!B:E,4,0),"")</f>
        <v/>
      </c>
      <c r="N691" s="26">
        <f>IFERROR(VLOOKUP($I691,'ITEM MASTER'!B:F,5,0),0)</f>
        <v/>
      </c>
      <c r="O691" s="26">
        <f>IFERROR(VLOOKUP($M691,'TBGS PER CTN'!B:C,2,0),0)</f>
        <v/>
      </c>
      <c r="P691" s="26" t="n">
        <v>300</v>
      </c>
      <c r="Q691" s="26" t="n">
        <v>0</v>
      </c>
      <c r="R691" s="26" t="n">
        <v>0</v>
      </c>
      <c r="S691" s="26">
        <f>Q691+R691</f>
        <v/>
      </c>
      <c r="T691" s="29" t="n">
        <v>300</v>
      </c>
      <c r="U691" s="29">
        <f>N691*O691*T691</f>
        <v/>
      </c>
      <c r="V691" s="82">
        <f>IF(ISNUMBER($D691),$D691-WEEKDAY($D691,3),'ORDER VS WEEK DISTRIBUTION'!$G$500)</f>
        <v/>
      </c>
      <c r="W691" s="82">
        <f>MAX($V691,'ORDER VS WEEK DISTRIBUTION'!$G$500)</f>
        <v/>
      </c>
      <c r="X691" s="26">
        <f>IFERROR(VLOOKUP($J691,'ORDER VS WEEK DISTRIBUTION'!$T:$U,2,0),"")</f>
        <v/>
      </c>
      <c r="Y691" s="26">
        <f>IFERROR($T691/IF(IFERROR(VLOOKUP($I691,'ITEM CFC PER CONTAINER'!$A:$B,2,0),0)&gt;0,VLOOKUP($I691,'ITEM CFC PER CONTAINER'!$A:$B,2,0),VLOOKUP($X691,'MC MASTER'!$A:$Q,16,0)),"")</f>
        <v/>
      </c>
    </row>
    <row r="692" ht="15" customHeight="1" s="5">
      <c r="A692" s="26" t="inlineStr">
        <is>
          <t>Harris Freeman 1981 LLC</t>
        </is>
      </c>
      <c r="B692" s="26" t="inlineStr">
        <is>
          <t>MJIL/SO/26027511</t>
        </is>
      </c>
      <c r="C692" s="26" t="inlineStr">
        <is>
          <t>MAR 2027 PLAN - POLY BAG</t>
        </is>
      </c>
      <c r="D692" s="82" t="n">
        <v>46477</v>
      </c>
      <c r="E692" s="83">
        <f>IF(ISNUMBER($D692),EOMONTH($D692,-1)+1,"")</f>
        <v/>
      </c>
      <c r="F692" s="82" t="n">
        <v>46477</v>
      </c>
      <c r="G692" s="26" t="n">
        <v>32215</v>
      </c>
      <c r="H692" s="26">
        <f>B692&amp;I692</f>
        <v/>
      </c>
      <c r="I692" s="26" t="inlineStr">
        <is>
          <t>TEA INDIA 6-3 LB CTC TEA</t>
        </is>
      </c>
      <c r="J692" s="26" t="inlineStr">
        <is>
          <t>Pearl Pack-FFS POUCH</t>
        </is>
      </c>
      <c r="K692" s="26">
        <f>J692&amp;"-"&amp;TEXT(W692,"dd-mmm-yy")</f>
        <v/>
      </c>
      <c r="L692" s="26">
        <f>IFERROR(VLOOKUP($M692,'ITEM MASTER'!E:H,4,0),"")</f>
        <v/>
      </c>
      <c r="M692" s="26">
        <f>IFERROR(VLOOKUP($I692,'ITEM MASTER'!B:E,4,0),"")</f>
        <v/>
      </c>
      <c r="N692" s="26">
        <f>IFERROR(VLOOKUP($I692,'ITEM MASTER'!B:F,5,0),0)</f>
        <v/>
      </c>
      <c r="O692" s="26">
        <f>IFERROR(VLOOKUP($M692,'TBGS PER CTN'!B:C,2,0),0)</f>
        <v/>
      </c>
      <c r="P692" s="26" t="n">
        <v>500</v>
      </c>
      <c r="Q692" s="26" t="n">
        <v>0</v>
      </c>
      <c r="R692" s="26" t="n">
        <v>0</v>
      </c>
      <c r="S692" s="26">
        <f>Q692+R692</f>
        <v/>
      </c>
      <c r="T692" s="29" t="n">
        <v>500</v>
      </c>
      <c r="U692" s="29">
        <f>N692*O692*T692</f>
        <v/>
      </c>
      <c r="V692" s="82">
        <f>IF(ISNUMBER($D692),$D692-WEEKDAY($D692,3),'ORDER VS WEEK DISTRIBUTION'!$G$500)</f>
        <v/>
      </c>
      <c r="W692" s="82">
        <f>MAX($V692,'ORDER VS WEEK DISTRIBUTION'!$G$500)</f>
        <v/>
      </c>
      <c r="X692" s="26">
        <f>IFERROR(VLOOKUP($J692,'ORDER VS WEEK DISTRIBUTION'!$T:$U,2,0),"")</f>
        <v/>
      </c>
      <c r="Y692" s="26">
        <f>IFERROR($T692/IF(IFERROR(VLOOKUP($I692,'ITEM CFC PER CONTAINER'!$A:$B,2,0),0)&gt;0,VLOOKUP($I692,'ITEM CFC PER CONTAINER'!$A:$B,2,0),VLOOKUP($X692,'MC MASTER'!$A:$Q,16,0)),"")</f>
        <v/>
      </c>
    </row>
    <row r="693" ht="15" customHeight="1" s="5">
      <c r="A693" s="26" t="inlineStr">
        <is>
          <t>Multitrade Overseas Pte. Ltd.</t>
        </is>
      </c>
      <c r="B693" s="26" t="inlineStr">
        <is>
          <t>MJIL/SO/26047644</t>
        </is>
      </c>
      <c r="C693" s="26" t="inlineStr">
        <is>
          <t>MJ-086/26-27 / 9 (ETKAF)</t>
        </is>
      </c>
      <c r="D693" s="82" t="n">
        <v>46489</v>
      </c>
      <c r="E693" s="83">
        <f>IF(ISNUMBER($D693),EOMONTH($D693,-1)+1,"")</f>
        <v/>
      </c>
      <c r="F693" s="82" t="n">
        <v>46489</v>
      </c>
      <c r="G693" s="26" t="n">
        <v>2023</v>
      </c>
      <c r="H693" s="26">
        <f>B693&amp;I693</f>
        <v/>
      </c>
      <c r="I693" s="26" t="inlineStr">
        <is>
          <t>GV MINT 24/25 DC ENV TBGS WITH TSHIRT</t>
        </is>
      </c>
      <c r="J693" s="30" t="inlineStr">
        <is>
          <t>CONSTANTA ENV</t>
        </is>
      </c>
      <c r="K693" s="26">
        <f>J693&amp;"-"&amp;TEXT(W693,"dd-mmm-yy")</f>
        <v/>
      </c>
      <c r="L693" s="26">
        <f>IFERROR(VLOOKUP($M693,'ITEM MASTER'!E:H,4,0),"")</f>
        <v/>
      </c>
      <c r="M693" s="26">
        <f>IFERROR(VLOOKUP($I693,'ITEM MASTER'!B:E,4,0),"")</f>
        <v/>
      </c>
      <c r="N693" s="26">
        <f>IFERROR(VLOOKUP($I693,'ITEM MASTER'!B:F,5,0),0)</f>
        <v/>
      </c>
      <c r="O693" s="26">
        <f>IFERROR(VLOOKUP($M693,'TBGS PER CTN'!B:C,2,0),0)</f>
        <v/>
      </c>
      <c r="P693" s="26" t="n">
        <v>2950</v>
      </c>
      <c r="Q693" s="26" t="n">
        <v>0</v>
      </c>
      <c r="R693" s="26" t="n">
        <v>0</v>
      </c>
      <c r="S693" s="26">
        <f>Q693+R693</f>
        <v/>
      </c>
      <c r="T693" s="29" t="n">
        <v>2950</v>
      </c>
      <c r="U693" s="29">
        <f>N693*O693*T693</f>
        <v/>
      </c>
      <c r="V693" s="82">
        <f>IF(ISNUMBER($D693),$D693-WEEKDAY($D693,3),'ORDER VS WEEK DISTRIBUTION'!$G$500)</f>
        <v/>
      </c>
      <c r="W693" s="82">
        <f>MAX($V693,'ORDER VS WEEK DISTRIBUTION'!$G$500)</f>
        <v/>
      </c>
      <c r="X693" s="26">
        <f>IFERROR(VLOOKUP($J693,'ORDER VS WEEK DISTRIBUTION'!$T:$U,2,0),"")</f>
        <v/>
      </c>
      <c r="Y693" s="26">
        <f>IFERROR($T693/IF(IFERROR(VLOOKUP($I693,'ITEM CFC PER CONTAINER'!$A:$B,2,0),0)&gt;0,VLOOKUP($I693,'ITEM CFC PER CONTAINER'!$A:$B,2,0),VLOOKUP($X693,'MC MASTER'!$A:$Q,16,0)),"")</f>
        <v/>
      </c>
    </row>
    <row r="694" ht="15" customHeight="1" s="5">
      <c r="A694" s="26" t="inlineStr">
        <is>
          <t>Multitrade Overseas Pte. Ltd.</t>
        </is>
      </c>
      <c r="B694" s="26" t="inlineStr">
        <is>
          <t>MJIL/SO/26047644</t>
        </is>
      </c>
      <c r="C694" s="26" t="inlineStr">
        <is>
          <t>MJ-086/26-27 / 9 (ETKAF)</t>
        </is>
      </c>
      <c r="D694" s="82" t="n">
        <v>46489</v>
      </c>
      <c r="E694" s="83">
        <f>IF(ISNUMBER($D694),EOMONTH($D694,-1)+1,"")</f>
        <v/>
      </c>
      <c r="F694" s="82" t="n">
        <v>46489</v>
      </c>
      <c r="G694" s="26" t="n">
        <v>1933</v>
      </c>
      <c r="H694" s="26">
        <f>B694&amp;I694</f>
        <v/>
      </c>
      <c r="I694" s="26" t="inlineStr">
        <is>
          <t>GV GARDEN STRAWBERRY 24/25 DC ENV TBGS WITH TSHIRT</t>
        </is>
      </c>
      <c r="J694" s="30" t="inlineStr">
        <is>
          <t>CONSTANTA ENV</t>
        </is>
      </c>
      <c r="K694" s="26">
        <f>J694&amp;"-"&amp;TEXT(W694,"dd-mmm-yy")</f>
        <v/>
      </c>
      <c r="L694" s="26">
        <f>IFERROR(VLOOKUP($M694,'ITEM MASTER'!E:H,4,0),"")</f>
        <v/>
      </c>
      <c r="M694" s="26">
        <f>IFERROR(VLOOKUP($I694,'ITEM MASTER'!B:E,4,0),"")</f>
        <v/>
      </c>
      <c r="N694" s="26">
        <f>IFERROR(VLOOKUP($I694,'ITEM MASTER'!B:F,5,0),0)</f>
        <v/>
      </c>
      <c r="O694" s="26">
        <f>IFERROR(VLOOKUP($M694,'TBGS PER CTN'!B:C,2,0),0)</f>
        <v/>
      </c>
      <c r="P694" s="26" t="n">
        <v>5668</v>
      </c>
      <c r="Q694" s="26" t="n">
        <v>0</v>
      </c>
      <c r="R694" s="26" t="n">
        <v>0</v>
      </c>
      <c r="S694" s="26">
        <f>Q694+R694</f>
        <v/>
      </c>
      <c r="T694" s="29" t="n">
        <v>5668</v>
      </c>
      <c r="U694" s="29">
        <f>N694*O694*T694</f>
        <v/>
      </c>
      <c r="V694" s="82">
        <f>IF(ISNUMBER($D694),$D694-WEEKDAY($D694,3),'ORDER VS WEEK DISTRIBUTION'!$G$500)</f>
        <v/>
      </c>
      <c r="W694" s="82">
        <f>MAX($V694,'ORDER VS WEEK DISTRIBUTION'!$G$500)</f>
        <v/>
      </c>
      <c r="X694" s="26">
        <f>IFERROR(VLOOKUP($J694,'ORDER VS WEEK DISTRIBUTION'!$T:$U,2,0),"")</f>
        <v/>
      </c>
      <c r="Y694" s="26">
        <f>IFERROR($T694/IF(IFERROR(VLOOKUP($I694,'ITEM CFC PER CONTAINER'!$A:$B,2,0),0)&gt;0,VLOOKUP($I694,'ITEM CFC PER CONTAINER'!$A:$B,2,0),VLOOKUP($X694,'MC MASTER'!$A:$Q,16,0)),"")</f>
        <v/>
      </c>
    </row>
    <row r="695" ht="15" customHeight="1" s="5">
      <c r="A695" s="26" t="inlineStr">
        <is>
          <t>Multitrade Overseas Pte. Ltd.</t>
        </is>
      </c>
      <c r="B695" s="26" t="inlineStr">
        <is>
          <t>MJIL/SO/26047644</t>
        </is>
      </c>
      <c r="C695" s="26" t="inlineStr">
        <is>
          <t>MJ-086/26-27 / 9 (ETKAF)</t>
        </is>
      </c>
      <c r="D695" s="82" t="n">
        <v>46489</v>
      </c>
      <c r="E695" s="83">
        <f>IF(ISNUMBER($D695),EOMONTH($D695,-1)+1,"")</f>
        <v/>
      </c>
      <c r="F695" s="82" t="n">
        <v>46489</v>
      </c>
      <c r="G695" s="26" t="n">
        <v>2131</v>
      </c>
      <c r="H695" s="26">
        <f>B695&amp;I695</f>
        <v/>
      </c>
      <c r="I695" s="26" t="inlineStr">
        <is>
          <t>GV SPICY GINGER 24/25 DC ENV TBGS WITH TSHIRT</t>
        </is>
      </c>
      <c r="J695" s="30" t="inlineStr">
        <is>
          <t>CONSTANTA ENV</t>
        </is>
      </c>
      <c r="K695" s="26">
        <f>J695&amp;"-"&amp;TEXT(W695,"dd-mmm-yy")</f>
        <v/>
      </c>
      <c r="L695" s="26">
        <f>IFERROR(VLOOKUP($M695,'ITEM MASTER'!E:H,4,0),"")</f>
        <v/>
      </c>
      <c r="M695" s="26">
        <f>IFERROR(VLOOKUP($I695,'ITEM MASTER'!B:E,4,0),"")</f>
        <v/>
      </c>
      <c r="N695" s="26">
        <f>IFERROR(VLOOKUP($I695,'ITEM MASTER'!B:F,5,0),0)</f>
        <v/>
      </c>
      <c r="O695" s="26">
        <f>IFERROR(VLOOKUP($M695,'TBGS PER CTN'!B:C,2,0),0)</f>
        <v/>
      </c>
      <c r="P695" s="26" t="n">
        <v>2950</v>
      </c>
      <c r="Q695" s="26" t="n">
        <v>0</v>
      </c>
      <c r="R695" s="26" t="n">
        <v>0</v>
      </c>
      <c r="S695" s="26">
        <f>Q695+R695</f>
        <v/>
      </c>
      <c r="T695" s="29" t="n">
        <v>2950</v>
      </c>
      <c r="U695" s="29">
        <f>N695*O695*T695</f>
        <v/>
      </c>
      <c r="V695" s="82">
        <f>IF(ISNUMBER($D695),$D695-WEEKDAY($D695,3),'ORDER VS WEEK DISTRIBUTION'!$G$500)</f>
        <v/>
      </c>
      <c r="W695" s="82">
        <f>MAX($V695,'ORDER VS WEEK DISTRIBUTION'!$G$500)</f>
        <v/>
      </c>
      <c r="X695" s="26">
        <f>IFERROR(VLOOKUP($J695,'ORDER VS WEEK DISTRIBUTION'!$T:$U,2,0),"")</f>
        <v/>
      </c>
      <c r="Y695" s="26">
        <f>IFERROR($T695/IF(IFERROR(VLOOKUP($I695,'ITEM CFC PER CONTAINER'!$A:$B,2,0),0)&gt;0,VLOOKUP($I695,'ITEM CFC PER CONTAINER'!$A:$B,2,0),VLOOKUP($X695,'MC MASTER'!$A:$Q,16,0)),"")</f>
        <v/>
      </c>
    </row>
    <row r="696" ht="15" customHeight="1" s="5">
      <c r="A696" s="26" t="inlineStr">
        <is>
          <t>Multitrade Overseas Pte. Ltd.</t>
        </is>
      </c>
      <c r="B696" s="26" t="inlineStr">
        <is>
          <t>MJIL/SO/26047644</t>
        </is>
      </c>
      <c r="C696" s="26" t="inlineStr">
        <is>
          <t>MJ-086/26-27 / 9 (ETKAF)</t>
        </is>
      </c>
      <c r="D696" s="82" t="n">
        <v>46489</v>
      </c>
      <c r="E696" s="83">
        <f>IF(ISNUMBER($D696),EOMONTH($D696,-1)+1,"")</f>
        <v/>
      </c>
      <c r="F696" s="82" t="n">
        <v>46489</v>
      </c>
      <c r="G696" s="26" t="n">
        <v>2051</v>
      </c>
      <c r="H696" s="26">
        <f>B696&amp;I696</f>
        <v/>
      </c>
      <c r="I696" s="26" t="inlineStr">
        <is>
          <t>GV ORANGE 24/25 DC ENV TBGS WITH TSHIRT</t>
        </is>
      </c>
      <c r="J696" s="30" t="inlineStr">
        <is>
          <t>CONSTANTA ENV</t>
        </is>
      </c>
      <c r="K696" s="26">
        <f>J696&amp;"-"&amp;TEXT(W696,"dd-mmm-yy")</f>
        <v/>
      </c>
      <c r="L696" s="26">
        <f>IFERROR(VLOOKUP($M696,'ITEM MASTER'!E:H,4,0),"")</f>
        <v/>
      </c>
      <c r="M696" s="26">
        <f>IFERROR(VLOOKUP($I696,'ITEM MASTER'!B:E,4,0),"")</f>
        <v/>
      </c>
      <c r="N696" s="26">
        <f>IFERROR(VLOOKUP($I696,'ITEM MASTER'!B:F,5,0),0)</f>
        <v/>
      </c>
      <c r="O696" s="26">
        <f>IFERROR(VLOOKUP($M696,'TBGS PER CTN'!B:C,2,0),0)</f>
        <v/>
      </c>
      <c r="P696" s="26" t="n">
        <v>200</v>
      </c>
      <c r="Q696" s="26" t="n">
        <v>0</v>
      </c>
      <c r="R696" s="26" t="n">
        <v>0</v>
      </c>
      <c r="S696" s="26">
        <f>Q696+R696</f>
        <v/>
      </c>
      <c r="T696" s="29" t="n">
        <v>200</v>
      </c>
      <c r="U696" s="29">
        <f>N696*O696*T696</f>
        <v/>
      </c>
      <c r="V696" s="82">
        <f>IF(ISNUMBER($D696),$D696-WEEKDAY($D696,3),'ORDER VS WEEK DISTRIBUTION'!$G$500)</f>
        <v/>
      </c>
      <c r="W696" s="82">
        <f>MAX($V696,'ORDER VS WEEK DISTRIBUTION'!$G$500)</f>
        <v/>
      </c>
      <c r="X696" s="26">
        <f>IFERROR(VLOOKUP($J696,'ORDER VS WEEK DISTRIBUTION'!$T:$U,2,0),"")</f>
        <v/>
      </c>
      <c r="Y696" s="26">
        <f>IFERROR($T696/IF(IFERROR(VLOOKUP($I696,'ITEM CFC PER CONTAINER'!$A:$B,2,0),0)&gt;0,VLOOKUP($I696,'ITEM CFC PER CONTAINER'!$A:$B,2,0),VLOOKUP($X696,'MC MASTER'!$A:$Q,16,0)),"")</f>
        <v/>
      </c>
    </row>
    <row r="697" ht="15" customHeight="1" s="5">
      <c r="A697" s="26" t="inlineStr">
        <is>
          <t>Multitrade Overseas Pte. Ltd.</t>
        </is>
      </c>
      <c r="B697" s="26" t="inlineStr">
        <is>
          <t>MJIL/SO/26047644</t>
        </is>
      </c>
      <c r="C697" s="26" t="inlineStr">
        <is>
          <t>MJ-086/26-27 / 9 (ETKAF)</t>
        </is>
      </c>
      <c r="D697" s="82" t="n">
        <v>46489</v>
      </c>
      <c r="E697" s="83">
        <f>IF(ISNUMBER($D697),EOMONTH($D697,-1)+1,"")</f>
        <v/>
      </c>
      <c r="F697" s="82" t="n">
        <v>46489</v>
      </c>
      <c r="G697" s="26" t="n">
        <v>21810</v>
      </c>
      <c r="H697" s="26">
        <f>B697&amp;I697</f>
        <v/>
      </c>
      <c r="I697" s="26" t="inlineStr">
        <is>
          <t>GV CLOVE 24/25 DC ENV TBGS WITH TSHIRT</t>
        </is>
      </c>
      <c r="J697" s="30" t="inlineStr">
        <is>
          <t>CONSTANTA ENV</t>
        </is>
      </c>
      <c r="K697" s="26">
        <f>J697&amp;"-"&amp;TEXT(W697,"dd-mmm-yy")</f>
        <v/>
      </c>
      <c r="L697" s="26">
        <f>IFERROR(VLOOKUP($M697,'ITEM MASTER'!E:H,4,0),"")</f>
        <v/>
      </c>
      <c r="M697" s="26">
        <f>IFERROR(VLOOKUP($I697,'ITEM MASTER'!B:E,4,0),"")</f>
        <v/>
      </c>
      <c r="N697" s="26">
        <f>IFERROR(VLOOKUP($I697,'ITEM MASTER'!B:F,5,0),0)</f>
        <v/>
      </c>
      <c r="O697" s="26">
        <f>IFERROR(VLOOKUP($M697,'TBGS PER CTN'!B:C,2,0),0)</f>
        <v/>
      </c>
      <c r="P697" s="26" t="n">
        <v>200</v>
      </c>
      <c r="Q697" s="26" t="n">
        <v>0</v>
      </c>
      <c r="R697" s="26" t="n">
        <v>0</v>
      </c>
      <c r="S697" s="26">
        <f>Q697+R697</f>
        <v/>
      </c>
      <c r="T697" s="29" t="n">
        <v>200</v>
      </c>
      <c r="U697" s="29">
        <f>N697*O697*T697</f>
        <v/>
      </c>
      <c r="V697" s="82">
        <f>IF(ISNUMBER($D697),$D697-WEEKDAY($D697,3),'ORDER VS WEEK DISTRIBUTION'!$G$500)</f>
        <v/>
      </c>
      <c r="W697" s="82">
        <f>MAX($V697,'ORDER VS WEEK DISTRIBUTION'!$G$500)</f>
        <v/>
      </c>
      <c r="X697" s="26">
        <f>IFERROR(VLOOKUP($J697,'ORDER VS WEEK DISTRIBUTION'!$T:$U,2,0),"")</f>
        <v/>
      </c>
      <c r="Y697" s="26">
        <f>IFERROR($T697/IF(IFERROR(VLOOKUP($I697,'ITEM CFC PER CONTAINER'!$A:$B,2,0),0)&gt;0,VLOOKUP($I697,'ITEM CFC PER CONTAINER'!$A:$B,2,0),VLOOKUP($X697,'MC MASTER'!$A:$Q,16,0)),"")</f>
        <v/>
      </c>
    </row>
    <row r="698" ht="15" customHeight="1" s="5">
      <c r="A698" s="26" t="inlineStr">
        <is>
          <t>Multitrade Overseas Pte. Ltd.</t>
        </is>
      </c>
      <c r="B698" s="26" t="inlineStr">
        <is>
          <t>MJIL/SO/26047644</t>
        </is>
      </c>
      <c r="C698" s="26" t="inlineStr">
        <is>
          <t>MJ-086/26-27 / 9 (ETKAF)</t>
        </is>
      </c>
      <c r="D698" s="82" t="n">
        <v>46489</v>
      </c>
      <c r="E698" s="83">
        <f>IF(ISNUMBER($D698),EOMONTH($D698,-1)+1,"")</f>
        <v/>
      </c>
      <c r="F698" s="82" t="n">
        <v>46489</v>
      </c>
      <c r="G698" s="26" t="n">
        <v>2105</v>
      </c>
      <c r="H698" s="26">
        <f>B698&amp;I698</f>
        <v/>
      </c>
      <c r="I698" s="26" t="inlineStr">
        <is>
          <t>GV ROYAL LEMON 24/25 DC ENV TBGS WITH TSHIRT</t>
        </is>
      </c>
      <c r="J698" s="30" t="inlineStr">
        <is>
          <t>CONSTANTA ENV</t>
        </is>
      </c>
      <c r="K698" s="26">
        <f>J698&amp;"-"&amp;TEXT(W698,"dd-mmm-yy")</f>
        <v/>
      </c>
      <c r="L698" s="26">
        <f>IFERROR(VLOOKUP($M698,'ITEM MASTER'!E:H,4,0),"")</f>
        <v/>
      </c>
      <c r="M698" s="26">
        <f>IFERROR(VLOOKUP($I698,'ITEM MASTER'!B:E,4,0),"")</f>
        <v/>
      </c>
      <c r="N698" s="26">
        <f>IFERROR(VLOOKUP($I698,'ITEM MASTER'!B:F,5,0),0)</f>
        <v/>
      </c>
      <c r="O698" s="26">
        <f>IFERROR(VLOOKUP($M698,'TBGS PER CTN'!B:C,2,0),0)</f>
        <v/>
      </c>
      <c r="P698" s="26" t="n">
        <v>272</v>
      </c>
      <c r="Q698" s="26" t="n">
        <v>0</v>
      </c>
      <c r="R698" s="26" t="n">
        <v>0</v>
      </c>
      <c r="S698" s="26">
        <f>Q698+R698</f>
        <v/>
      </c>
      <c r="T698" s="29" t="n">
        <v>272</v>
      </c>
      <c r="U698" s="29">
        <f>N698*O698*T698</f>
        <v/>
      </c>
      <c r="V698" s="82">
        <f>IF(ISNUMBER($D698),$D698-WEEKDAY($D698,3),'ORDER VS WEEK DISTRIBUTION'!$G$500)</f>
        <v/>
      </c>
      <c r="W698" s="82">
        <f>MAX($V698,'ORDER VS WEEK DISTRIBUTION'!$G$500)</f>
        <v/>
      </c>
      <c r="X698" s="26">
        <f>IFERROR(VLOOKUP($J698,'ORDER VS WEEK DISTRIBUTION'!$T:$U,2,0),"")</f>
        <v/>
      </c>
      <c r="Y698" s="26">
        <f>IFERROR($T698/IF(IFERROR(VLOOKUP($I698,'ITEM CFC PER CONTAINER'!$A:$B,2,0),0)&gt;0,VLOOKUP($I698,'ITEM CFC PER CONTAINER'!$A:$B,2,0),VLOOKUP($X698,'MC MASTER'!$A:$Q,16,0)),"")</f>
        <v/>
      </c>
    </row>
    <row r="699" ht="15" customHeight="1" s="5">
      <c r="A699" s="26" t="inlineStr">
        <is>
          <t>Harris Freeman 1981 LLC</t>
        </is>
      </c>
      <c r="B699" s="26" t="inlineStr">
        <is>
          <t>MJIL/SO/26027512</t>
        </is>
      </c>
      <c r="C699" s="26" t="inlineStr">
        <is>
          <t>APR 2027 PLAN - POLY BAG</t>
        </is>
      </c>
      <c r="D699" s="82" t="n">
        <v>46507</v>
      </c>
      <c r="E699" s="83">
        <f>IF(ISNUMBER($D699),EOMONTH($D699,-1)+1,"")</f>
        <v/>
      </c>
      <c r="F699" s="82" t="n">
        <v>46507</v>
      </c>
      <c r="G699" s="26" t="n">
        <v>20617</v>
      </c>
      <c r="H699" s="26">
        <f>B699&amp;I699</f>
        <v/>
      </c>
      <c r="I699" s="26" t="inlineStr">
        <is>
          <t>TEA INDIA 12/2 LBS POLYBAG</t>
        </is>
      </c>
      <c r="J699" s="26" t="inlineStr">
        <is>
          <t>PAKONA 250GMS/500GMS/1000GMS</t>
        </is>
      </c>
      <c r="K699" s="26">
        <f>J699&amp;"-"&amp;TEXT(W699,"dd-mmm-yy")</f>
        <v/>
      </c>
      <c r="L699" s="26">
        <f>IFERROR(VLOOKUP($M699,'ITEM MASTER'!E:H,4,0),"")</f>
        <v/>
      </c>
      <c r="M699" s="26">
        <f>IFERROR(VLOOKUP($I699,'ITEM MASTER'!B:E,4,0),"")</f>
        <v/>
      </c>
      <c r="N699" s="26">
        <f>IFERROR(VLOOKUP($I699,'ITEM MASTER'!B:F,5,0),0)</f>
        <v/>
      </c>
      <c r="O699" s="26">
        <f>IFERROR(VLOOKUP($M699,'TBGS PER CTN'!B:C,2,0),0)</f>
        <v/>
      </c>
      <c r="P699" s="26" t="n">
        <v>2200</v>
      </c>
      <c r="Q699" s="26" t="n">
        <v>0</v>
      </c>
      <c r="R699" s="26" t="n">
        <v>0</v>
      </c>
      <c r="S699" s="26">
        <f>Q699+R699</f>
        <v/>
      </c>
      <c r="T699" s="29" t="n">
        <v>2200</v>
      </c>
      <c r="U699" s="29">
        <f>N699*O699*T699</f>
        <v/>
      </c>
      <c r="V699" s="82">
        <f>IF(ISNUMBER($D699),$D699-WEEKDAY($D699,3),'ORDER VS WEEK DISTRIBUTION'!$G$500)</f>
        <v/>
      </c>
      <c r="W699" s="82">
        <f>MAX($V699,'ORDER VS WEEK DISTRIBUTION'!$G$500)</f>
        <v/>
      </c>
      <c r="X699" s="26">
        <f>IFERROR(VLOOKUP($J699,'ORDER VS WEEK DISTRIBUTION'!$T:$U,2,0),"")</f>
        <v/>
      </c>
      <c r="Y699" s="26">
        <f>IFERROR($T699/IF(IFERROR(VLOOKUP($I699,'ITEM CFC PER CONTAINER'!$A:$B,2,0),0)&gt;0,VLOOKUP($I699,'ITEM CFC PER CONTAINER'!$A:$B,2,0),VLOOKUP($X699,'MC MASTER'!$A:$Q,16,0)),"")</f>
        <v/>
      </c>
    </row>
    <row r="700" ht="15" customHeight="1" s="5">
      <c r="A700" s="26" t="inlineStr">
        <is>
          <t>Harris Freeman 1981 LLC</t>
        </is>
      </c>
      <c r="B700" s="26" t="inlineStr">
        <is>
          <t>MJIL/SO/26027513</t>
        </is>
      </c>
      <c r="C700" s="26" t="inlineStr">
        <is>
          <t>MAY 2027 PLAN - POLY BAG</t>
        </is>
      </c>
      <c r="D700" s="82" t="n">
        <v>46538</v>
      </c>
      <c r="E700" s="83">
        <f>IF(ISNUMBER($D700),EOMONTH($D700,-1)+1,"")</f>
        <v/>
      </c>
      <c r="F700" s="82" t="n">
        <v>46538</v>
      </c>
      <c r="G700" s="26" t="n">
        <v>20617</v>
      </c>
      <c r="H700" s="26">
        <f>B700&amp;I700</f>
        <v/>
      </c>
      <c r="I700" s="26" t="inlineStr">
        <is>
          <t>TEA INDIA 12/2 LBS POLYBAG</t>
        </is>
      </c>
      <c r="J700" s="26" t="inlineStr">
        <is>
          <t>PAKONA 250GMS/500GMS/1000GMS</t>
        </is>
      </c>
      <c r="K700" s="26">
        <f>J700&amp;"-"&amp;TEXT(W700,"dd-mmm-yy")</f>
        <v/>
      </c>
      <c r="L700" s="26">
        <f>IFERROR(VLOOKUP($M700,'ITEM MASTER'!E:H,4,0),"")</f>
        <v/>
      </c>
      <c r="M700" s="26">
        <f>IFERROR(VLOOKUP($I700,'ITEM MASTER'!B:E,4,0),"")</f>
        <v/>
      </c>
      <c r="N700" s="26">
        <f>IFERROR(VLOOKUP($I700,'ITEM MASTER'!B:F,5,0),0)</f>
        <v/>
      </c>
      <c r="O700" s="26">
        <f>IFERROR(VLOOKUP($M700,'TBGS PER CTN'!B:C,2,0),0)</f>
        <v/>
      </c>
      <c r="P700" s="26" t="n">
        <v>2200</v>
      </c>
      <c r="Q700" s="26" t="n">
        <v>0</v>
      </c>
      <c r="R700" s="26" t="n">
        <v>0</v>
      </c>
      <c r="S700" s="26">
        <f>Q700+R700</f>
        <v/>
      </c>
      <c r="T700" s="29" t="n">
        <v>2200</v>
      </c>
      <c r="U700" s="29">
        <f>N700*O700*T700</f>
        <v/>
      </c>
      <c r="V700" s="82">
        <f>IF(ISNUMBER($D700),$D700-WEEKDAY($D700,3),'ORDER VS WEEK DISTRIBUTION'!$G$500)</f>
        <v/>
      </c>
      <c r="W700" s="82">
        <f>MAX($V700,'ORDER VS WEEK DISTRIBUTION'!$G$500)</f>
        <v/>
      </c>
      <c r="X700" s="26">
        <f>IFERROR(VLOOKUP($J700,'ORDER VS WEEK DISTRIBUTION'!$T:$U,2,0),"")</f>
        <v/>
      </c>
      <c r="Y700" s="26">
        <f>IFERROR($T700/IF(IFERROR(VLOOKUP($I700,'ITEM CFC PER CONTAINER'!$A:$B,2,0),0)&gt;0,VLOOKUP($I700,'ITEM CFC PER CONTAINER'!$A:$B,2,0),VLOOKUP($X700,'MC MASTER'!$A:$Q,16,0)),"")</f>
        <v/>
      </c>
    </row>
    <row r="701" ht="15" customHeight="1" s="5">
      <c r="A701" s="26" t="inlineStr">
        <is>
          <t>Harris Freeman 1981 LLC</t>
        </is>
      </c>
      <c r="B701" s="26" t="inlineStr">
        <is>
          <t>MJIL/SO/26027514</t>
        </is>
      </c>
      <c r="C701" s="26" t="inlineStr">
        <is>
          <t>JUN 2027 PLAN - POLY BAG</t>
        </is>
      </c>
      <c r="D701" s="82" t="n">
        <v>46568</v>
      </c>
      <c r="E701" s="83">
        <f>IF(ISNUMBER($D701),EOMONTH($D701,-1)+1,"")</f>
        <v/>
      </c>
      <c r="F701" s="82" t="n">
        <v>46568</v>
      </c>
      <c r="G701" s="26" t="n">
        <v>20617</v>
      </c>
      <c r="H701" s="26">
        <f>B701&amp;I701</f>
        <v/>
      </c>
      <c r="I701" s="26" t="inlineStr">
        <is>
          <t>TEA INDIA 12/2 LBS POLYBAG</t>
        </is>
      </c>
      <c r="J701" s="26" t="inlineStr">
        <is>
          <t>PAKONA 250GMS/500GMS/1000GMS</t>
        </is>
      </c>
      <c r="K701" s="26">
        <f>J701&amp;"-"&amp;TEXT(W701,"dd-mmm-yy")</f>
        <v/>
      </c>
      <c r="L701" s="26">
        <f>IFERROR(VLOOKUP($M701,'ITEM MASTER'!E:H,4,0),"")</f>
        <v/>
      </c>
      <c r="M701" s="26">
        <f>IFERROR(VLOOKUP($I701,'ITEM MASTER'!B:E,4,0),"")</f>
        <v/>
      </c>
      <c r="N701" s="26">
        <f>IFERROR(VLOOKUP($I701,'ITEM MASTER'!B:F,5,0),0)</f>
        <v/>
      </c>
      <c r="O701" s="26">
        <f>IFERROR(VLOOKUP($M701,'TBGS PER CTN'!B:C,2,0),0)</f>
        <v/>
      </c>
      <c r="P701" s="26" t="n">
        <v>2200</v>
      </c>
      <c r="Q701" s="26" t="n">
        <v>0</v>
      </c>
      <c r="R701" s="26" t="n">
        <v>0</v>
      </c>
      <c r="S701" s="26">
        <f>Q701+R701</f>
        <v/>
      </c>
      <c r="T701" s="29" t="n">
        <v>2200</v>
      </c>
      <c r="U701" s="29">
        <f>N701*O701*T701</f>
        <v/>
      </c>
      <c r="V701" s="82">
        <f>IF(ISNUMBER($D701),$D701-WEEKDAY($D701,3),'ORDER VS WEEK DISTRIBUTION'!$G$500)</f>
        <v/>
      </c>
      <c r="W701" s="82">
        <f>MAX($V701,'ORDER VS WEEK DISTRIBUTION'!$G$500)</f>
        <v/>
      </c>
      <c r="X701" s="26">
        <f>IFERROR(VLOOKUP($J701,'ORDER VS WEEK DISTRIBUTION'!$T:$U,2,0),"")</f>
        <v/>
      </c>
      <c r="Y701" s="26">
        <f>IFERROR($T701/IF(IFERROR(VLOOKUP($I701,'ITEM CFC PER CONTAINER'!$A:$B,2,0),0)&gt;0,VLOOKUP($I701,'ITEM CFC PER CONTAINER'!$A:$B,2,0),VLOOKUP($X701,'MC MASTER'!$A:$Q,16,0)),"")</f>
        <v/>
      </c>
    </row>
    <row r="702" ht="15" customHeight="1" s="5">
      <c r="A702" s="26" t="inlineStr">
        <is>
          <t>Harris Freeman 1981 LLC</t>
        </is>
      </c>
      <c r="B702" s="26" t="inlineStr">
        <is>
          <t>MJIL/SO/26043072</t>
        </is>
      </c>
      <c r="C702" s="26" t="inlineStr">
        <is>
          <t>JUL 2027 PLAN - POLY BAG</t>
        </is>
      </c>
      <c r="D702" s="82" t="n">
        <v>46599</v>
      </c>
      <c r="E702" s="83">
        <f>IF(ISNUMBER($D702),EOMONTH($D702,-1)+1,"")</f>
        <v/>
      </c>
      <c r="F702" s="82" t="n">
        <v>46599</v>
      </c>
      <c r="G702" s="26" t="n">
        <v>20617</v>
      </c>
      <c r="H702" s="26">
        <f>B702&amp;I702</f>
        <v/>
      </c>
      <c r="I702" s="26" t="inlineStr">
        <is>
          <t>TEA INDIA 12/2 LBS POLYBAG</t>
        </is>
      </c>
      <c r="J702" s="26" t="inlineStr">
        <is>
          <t>PAKONA 250GMS/500GMS/1000GMS</t>
        </is>
      </c>
      <c r="K702" s="26">
        <f>J702&amp;"-"&amp;TEXT(W702,"dd-mmm-yy")</f>
        <v/>
      </c>
      <c r="L702" s="26">
        <f>IFERROR(VLOOKUP($M702,'ITEM MASTER'!E:H,4,0),"")</f>
        <v/>
      </c>
      <c r="M702" s="26">
        <f>IFERROR(VLOOKUP($I702,'ITEM MASTER'!B:E,4,0),"")</f>
        <v/>
      </c>
      <c r="N702" s="26">
        <f>IFERROR(VLOOKUP($I702,'ITEM MASTER'!B:F,5,0),0)</f>
        <v/>
      </c>
      <c r="O702" s="26">
        <f>IFERROR(VLOOKUP($M702,'TBGS PER CTN'!B:C,2,0),0)</f>
        <v/>
      </c>
      <c r="P702" s="26" t="n">
        <v>2200</v>
      </c>
      <c r="Q702" s="26" t="n">
        <v>0</v>
      </c>
      <c r="R702" s="26" t="n">
        <v>0</v>
      </c>
      <c r="S702" s="26">
        <f>Q702+R702</f>
        <v/>
      </c>
      <c r="T702" s="29" t="n">
        <v>2200</v>
      </c>
      <c r="U702" s="29">
        <f>N702*O702*T702</f>
        <v/>
      </c>
      <c r="V702" s="82">
        <f>IF(ISNUMBER($D702),$D702-WEEKDAY($D702,3),'ORDER VS WEEK DISTRIBUTION'!$G$500)</f>
        <v/>
      </c>
      <c r="W702" s="82">
        <f>MAX($V702,'ORDER VS WEEK DISTRIBUTION'!$G$500)</f>
        <v/>
      </c>
      <c r="X702" s="26">
        <f>IFERROR(VLOOKUP($J702,'ORDER VS WEEK DISTRIBUTION'!$T:$U,2,0),"")</f>
        <v/>
      </c>
      <c r="Y702" s="26">
        <f>IFERROR($T702/IF(IFERROR(VLOOKUP($I702,'ITEM CFC PER CONTAINER'!$A:$B,2,0),0)&gt;0,VLOOKUP($I702,'ITEM CFC PER CONTAINER'!$A:$B,2,0),VLOOKUP($X702,'MC MASTER'!$A:$Q,16,0)),"")</f>
        <v/>
      </c>
    </row>
    <row r="703" ht="15" customHeight="1" s="5">
      <c r="A703" s="26" t="inlineStr">
        <is>
          <t>Harris Freeman 1981 LLC</t>
        </is>
      </c>
      <c r="B703" s="26" t="inlineStr">
        <is>
          <t>MJIL/SO/26027516</t>
        </is>
      </c>
      <c r="C703" s="26" t="inlineStr">
        <is>
          <t>AUG 2027 PLAN - POLY BAG</t>
        </is>
      </c>
      <c r="D703" s="82" t="n">
        <v>46630</v>
      </c>
      <c r="E703" s="83">
        <f>IF(ISNUMBER($D703),EOMONTH($D703,-1)+1,"")</f>
        <v/>
      </c>
      <c r="F703" s="82" t="n">
        <v>46630</v>
      </c>
      <c r="G703" s="26" t="n">
        <v>20617</v>
      </c>
      <c r="H703" s="26">
        <f>B703&amp;I703</f>
        <v/>
      </c>
      <c r="I703" s="26" t="inlineStr">
        <is>
          <t>TEA INDIA 12/2 LBS POLYBAG</t>
        </is>
      </c>
      <c r="J703" s="26" t="inlineStr">
        <is>
          <t>PAKONA 250GMS/500GMS/1000GMS</t>
        </is>
      </c>
      <c r="K703" s="26">
        <f>J703&amp;"-"&amp;TEXT(W703,"dd-mmm-yy")</f>
        <v/>
      </c>
      <c r="L703" s="26">
        <f>IFERROR(VLOOKUP($M703,'ITEM MASTER'!E:H,4,0),"")</f>
        <v/>
      </c>
      <c r="M703" s="26">
        <f>IFERROR(VLOOKUP($I703,'ITEM MASTER'!B:E,4,0),"")</f>
        <v/>
      </c>
      <c r="N703" s="26">
        <f>IFERROR(VLOOKUP($I703,'ITEM MASTER'!B:F,5,0),0)</f>
        <v/>
      </c>
      <c r="O703" s="26">
        <f>IFERROR(VLOOKUP($M703,'TBGS PER CTN'!B:C,2,0),0)</f>
        <v/>
      </c>
      <c r="P703" s="26" t="n">
        <v>2200</v>
      </c>
      <c r="Q703" s="26" t="n">
        <v>0</v>
      </c>
      <c r="R703" s="26" t="n">
        <v>0</v>
      </c>
      <c r="S703" s="26">
        <f>Q703+R703</f>
        <v/>
      </c>
      <c r="T703" s="29" t="n">
        <v>2200</v>
      </c>
      <c r="U703" s="29">
        <f>N703*O703*T703</f>
        <v/>
      </c>
      <c r="V703" s="82">
        <f>IF(ISNUMBER($D703),$D703-WEEKDAY($D703,3),'ORDER VS WEEK DISTRIBUTION'!$G$500)</f>
        <v/>
      </c>
      <c r="W703" s="82">
        <f>MAX($V703,'ORDER VS WEEK DISTRIBUTION'!$G$500)</f>
        <v/>
      </c>
      <c r="X703" s="26">
        <f>IFERROR(VLOOKUP($J703,'ORDER VS WEEK DISTRIBUTION'!$T:$U,2,0),"")</f>
        <v/>
      </c>
      <c r="Y703" s="26">
        <f>IFERROR($T703/IF(IFERROR(VLOOKUP($I703,'ITEM CFC PER CONTAINER'!$A:$B,2,0),0)&gt;0,VLOOKUP($I703,'ITEM CFC PER CONTAINER'!$A:$B,2,0),VLOOKUP($X703,'MC MASTER'!$A:$Q,16,0)),"")</f>
        <v/>
      </c>
    </row>
    <row r="704" ht="15" customHeight="1" s="5">
      <c r="A704" s="26" t="inlineStr">
        <is>
          <t>Harris Freeman 1981 LLC</t>
        </is>
      </c>
      <c r="B704" s="26" t="inlineStr">
        <is>
          <t>MJIL/SO/26027517</t>
        </is>
      </c>
      <c r="C704" s="26" t="inlineStr">
        <is>
          <t>SEP 2027 PLAN - POLY BAG</t>
        </is>
      </c>
      <c r="D704" s="82" t="n">
        <v>46660</v>
      </c>
      <c r="E704" s="83">
        <f>IF(ISNUMBER($D704),EOMONTH($D704,-1)+1,"")</f>
        <v/>
      </c>
      <c r="F704" s="82" t="n">
        <v>46660</v>
      </c>
      <c r="G704" s="26" t="n">
        <v>20617</v>
      </c>
      <c r="H704" s="26">
        <f>B704&amp;I704</f>
        <v/>
      </c>
      <c r="I704" s="26" t="inlineStr">
        <is>
          <t>TEA INDIA 12/2 LBS POLYBAG</t>
        </is>
      </c>
      <c r="J704" s="26" t="inlineStr">
        <is>
          <t>PAKONA 250GMS/500GMS/1000GMS</t>
        </is>
      </c>
      <c r="K704" s="26">
        <f>J704&amp;"-"&amp;TEXT(W704,"dd-mmm-yy")</f>
        <v/>
      </c>
      <c r="L704" s="26">
        <f>IFERROR(VLOOKUP($M704,'ITEM MASTER'!E:H,4,0),"")</f>
        <v/>
      </c>
      <c r="M704" s="26">
        <f>IFERROR(VLOOKUP($I704,'ITEM MASTER'!B:E,4,0),"")</f>
        <v/>
      </c>
      <c r="N704" s="26">
        <f>IFERROR(VLOOKUP($I704,'ITEM MASTER'!B:F,5,0),0)</f>
        <v/>
      </c>
      <c r="O704" s="26">
        <f>IFERROR(VLOOKUP($M704,'TBGS PER CTN'!B:C,2,0),0)</f>
        <v/>
      </c>
      <c r="P704" s="26" t="n">
        <v>2200</v>
      </c>
      <c r="Q704" s="26" t="n">
        <v>0</v>
      </c>
      <c r="R704" s="26" t="n">
        <v>0</v>
      </c>
      <c r="S704" s="26">
        <f>Q704+R704</f>
        <v/>
      </c>
      <c r="T704" s="29" t="n">
        <v>2200</v>
      </c>
      <c r="U704" s="29">
        <f>N704*O704*T704</f>
        <v/>
      </c>
      <c r="V704" s="82">
        <f>IF(ISNUMBER($D704),$D704-WEEKDAY($D704,3),'ORDER VS WEEK DISTRIBUTION'!$G$500)</f>
        <v/>
      </c>
      <c r="W704" s="82">
        <f>MAX($V704,'ORDER VS WEEK DISTRIBUTION'!$G$500)</f>
        <v/>
      </c>
      <c r="X704" s="26">
        <f>IFERROR(VLOOKUP($J704,'ORDER VS WEEK DISTRIBUTION'!$T:$U,2,0),"")</f>
        <v/>
      </c>
      <c r="Y704" s="26">
        <f>IFERROR($T704/IF(IFERROR(VLOOKUP($I704,'ITEM CFC PER CONTAINER'!$A:$B,2,0),0)&gt;0,VLOOKUP($I704,'ITEM CFC PER CONTAINER'!$A:$B,2,0),VLOOKUP($X704,'MC MASTER'!$A:$Q,16,0)),"")</f>
        <v/>
      </c>
    </row>
    <row r="705" ht="15" customHeight="1" s="5">
      <c r="A705" s="26" t="inlineStr">
        <is>
          <t>Harris Freeman 1981 LLC</t>
        </is>
      </c>
      <c r="B705" s="26" t="inlineStr">
        <is>
          <t>MJIL/SO/26027518</t>
        </is>
      </c>
      <c r="C705" s="26" t="inlineStr">
        <is>
          <t>OCT 2027 PLAN - POLY BAG</t>
        </is>
      </c>
      <c r="D705" s="82" t="n">
        <v>46691</v>
      </c>
      <c r="E705" s="83">
        <f>IF(ISNUMBER($D705),EOMONTH($D705,-1)+1,"")</f>
        <v/>
      </c>
      <c r="F705" s="82" t="n">
        <v>46691</v>
      </c>
      <c r="G705" s="26" t="n">
        <v>20617</v>
      </c>
      <c r="H705" s="26">
        <f>B705&amp;I705</f>
        <v/>
      </c>
      <c r="I705" s="26" t="inlineStr">
        <is>
          <t>TEA INDIA 12/2 LBS POLYBAG</t>
        </is>
      </c>
      <c r="J705" s="26" t="inlineStr">
        <is>
          <t>PAKONA 250GMS/500GMS/1000GMS</t>
        </is>
      </c>
      <c r="K705" s="26">
        <f>J705&amp;"-"&amp;TEXT(W705,"dd-mmm-yy")</f>
        <v/>
      </c>
      <c r="L705" s="26">
        <f>IFERROR(VLOOKUP($M705,'ITEM MASTER'!E:H,4,0),"")</f>
        <v/>
      </c>
      <c r="M705" s="26">
        <f>IFERROR(VLOOKUP($I705,'ITEM MASTER'!B:E,4,0),"")</f>
        <v/>
      </c>
      <c r="N705" s="26">
        <f>IFERROR(VLOOKUP($I705,'ITEM MASTER'!B:F,5,0),0)</f>
        <v/>
      </c>
      <c r="O705" s="26">
        <f>IFERROR(VLOOKUP($M705,'TBGS PER CTN'!B:C,2,0),0)</f>
        <v/>
      </c>
      <c r="P705" s="26" t="n">
        <v>2200</v>
      </c>
      <c r="Q705" s="26" t="n">
        <v>0</v>
      </c>
      <c r="R705" s="26" t="n">
        <v>0</v>
      </c>
      <c r="S705" s="26">
        <f>Q705+R705</f>
        <v/>
      </c>
      <c r="T705" s="29" t="n">
        <v>2200</v>
      </c>
      <c r="U705" s="29">
        <f>N705*O705*T705</f>
        <v/>
      </c>
      <c r="V705" s="82">
        <f>IF(ISNUMBER($D705),$D705-WEEKDAY($D705,3),'ORDER VS WEEK DISTRIBUTION'!$G$500)</f>
        <v/>
      </c>
      <c r="W705" s="82">
        <f>MAX($V705,'ORDER VS WEEK DISTRIBUTION'!$G$500)</f>
        <v/>
      </c>
      <c r="X705" s="26">
        <f>IFERROR(VLOOKUP($J705,'ORDER VS WEEK DISTRIBUTION'!$T:$U,2,0),"")</f>
        <v/>
      </c>
      <c r="Y705" s="26">
        <f>IFERROR($T705/IF(IFERROR(VLOOKUP($I705,'ITEM CFC PER CONTAINER'!$A:$B,2,0),0)&gt;0,VLOOKUP($I705,'ITEM CFC PER CONTAINER'!$A:$B,2,0),VLOOKUP($X705,'MC MASTER'!$A:$Q,16,0)),"")</f>
        <v/>
      </c>
    </row>
    <row r="706" ht="15" customHeight="1" s="5">
      <c r="A706" s="26" t="inlineStr">
        <is>
          <t>Harris Freeman 1981 LLC</t>
        </is>
      </c>
      <c r="B706" s="26" t="inlineStr">
        <is>
          <t>MJIL/SO/26027519</t>
        </is>
      </c>
      <c r="C706" s="26" t="inlineStr">
        <is>
          <t>NOV 2027 PLAN - POLY BAG</t>
        </is>
      </c>
      <c r="D706" s="82" t="n">
        <v>46721</v>
      </c>
      <c r="E706" s="83">
        <f>IF(ISNUMBER($D706),EOMONTH($D706,-1)+1,"")</f>
        <v/>
      </c>
      <c r="F706" s="82" t="n">
        <v>46721</v>
      </c>
      <c r="G706" s="26" t="n">
        <v>20617</v>
      </c>
      <c r="H706" s="26">
        <f>B706&amp;I706</f>
        <v/>
      </c>
      <c r="I706" s="26" t="inlineStr">
        <is>
          <t>TEA INDIA 12/2 LBS POLYBAG</t>
        </is>
      </c>
      <c r="J706" s="26" t="inlineStr">
        <is>
          <t>PAKONA 250GMS/500GMS/1000GMS</t>
        </is>
      </c>
      <c r="K706" s="26">
        <f>J706&amp;"-"&amp;TEXT(W706,"dd-mmm-yy")</f>
        <v/>
      </c>
      <c r="L706" s="26">
        <f>IFERROR(VLOOKUP($M706,'ITEM MASTER'!E:H,4,0),"")</f>
        <v/>
      </c>
      <c r="M706" s="26">
        <f>IFERROR(VLOOKUP($I706,'ITEM MASTER'!B:E,4,0),"")</f>
        <v/>
      </c>
      <c r="N706" s="26">
        <f>IFERROR(VLOOKUP($I706,'ITEM MASTER'!B:F,5,0),0)</f>
        <v/>
      </c>
      <c r="O706" s="26">
        <f>IFERROR(VLOOKUP($M706,'TBGS PER CTN'!B:C,2,0),0)</f>
        <v/>
      </c>
      <c r="P706" s="26" t="n">
        <v>2200</v>
      </c>
      <c r="Q706" s="26" t="n">
        <v>0</v>
      </c>
      <c r="R706" s="26" t="n">
        <v>0</v>
      </c>
      <c r="S706" s="26">
        <f>Q706+R706</f>
        <v/>
      </c>
      <c r="T706" s="29" t="n">
        <v>2200</v>
      </c>
      <c r="U706" s="29">
        <f>N706*O706*T706</f>
        <v/>
      </c>
      <c r="V706" s="82">
        <f>IF(ISNUMBER($D706),$D706-WEEKDAY($D706,3),'ORDER VS WEEK DISTRIBUTION'!$G$500)</f>
        <v/>
      </c>
      <c r="W706" s="82">
        <f>MAX($V706,'ORDER VS WEEK DISTRIBUTION'!$G$500)</f>
        <v/>
      </c>
      <c r="X706" s="26">
        <f>IFERROR(VLOOKUP($J706,'ORDER VS WEEK DISTRIBUTION'!$T:$U,2,0),"")</f>
        <v/>
      </c>
      <c r="Y706" s="26">
        <f>IFERROR($T706/IF(IFERROR(VLOOKUP($I706,'ITEM CFC PER CONTAINER'!$A:$B,2,0),0)&gt;0,VLOOKUP($I706,'ITEM CFC PER CONTAINER'!$A:$B,2,0),VLOOKUP($X706,'MC MASTER'!$A:$Q,16,0)),"")</f>
        <v/>
      </c>
    </row>
    <row r="707" ht="15" customHeight="1" s="5">
      <c r="A707" s="26" t="inlineStr">
        <is>
          <t>Harris Freeman 1981 LLC</t>
        </is>
      </c>
      <c r="B707" s="26" t="inlineStr">
        <is>
          <t>MJIL/SO/26027520</t>
        </is>
      </c>
      <c r="C707" s="26" t="inlineStr">
        <is>
          <t>DEC 2027 PLAN - POLY BAG</t>
        </is>
      </c>
      <c r="D707" s="82" t="n">
        <v>46752</v>
      </c>
      <c r="E707" s="83">
        <f>IF(ISNUMBER($D707),EOMONTH($D707,-1)+1,"")</f>
        <v/>
      </c>
      <c r="F707" s="82" t="n">
        <v>46752</v>
      </c>
      <c r="G707" s="26" t="n">
        <v>20617</v>
      </c>
      <c r="H707" s="26">
        <f>B707&amp;I707</f>
        <v/>
      </c>
      <c r="I707" s="26" t="inlineStr">
        <is>
          <t>TEA INDIA 12/2 LBS POLYBAG</t>
        </is>
      </c>
      <c r="J707" s="26" t="inlineStr">
        <is>
          <t>PAKONA 250GMS/500GMS/1000GMS</t>
        </is>
      </c>
      <c r="K707" s="26">
        <f>J707&amp;"-"&amp;TEXT(W707,"dd-mmm-yy")</f>
        <v/>
      </c>
      <c r="L707" s="26">
        <f>IFERROR(VLOOKUP($M707,'ITEM MASTER'!E:H,4,0),"")</f>
        <v/>
      </c>
      <c r="M707" s="26">
        <f>IFERROR(VLOOKUP($I707,'ITEM MASTER'!B:E,4,0),"")</f>
        <v/>
      </c>
      <c r="N707" s="26">
        <f>IFERROR(VLOOKUP($I707,'ITEM MASTER'!B:F,5,0),0)</f>
        <v/>
      </c>
      <c r="O707" s="26">
        <f>IFERROR(VLOOKUP($M707,'TBGS PER CTN'!B:C,2,0),0)</f>
        <v/>
      </c>
      <c r="P707" s="26" t="n">
        <v>2200</v>
      </c>
      <c r="Q707" s="26" t="n">
        <v>0</v>
      </c>
      <c r="R707" s="26" t="n">
        <v>0</v>
      </c>
      <c r="S707" s="26">
        <f>Q707+R707</f>
        <v/>
      </c>
      <c r="T707" s="29" t="n">
        <v>2200</v>
      </c>
      <c r="U707" s="29">
        <f>N707*O707*T707</f>
        <v/>
      </c>
      <c r="V707" s="82">
        <f>IF(ISNUMBER($D707),$D707-WEEKDAY($D707,3),'ORDER VS WEEK DISTRIBUTION'!$G$500)</f>
        <v/>
      </c>
      <c r="W707" s="82">
        <f>MAX($V707,'ORDER VS WEEK DISTRIBUTION'!$G$500)</f>
        <v/>
      </c>
      <c r="X707" s="26">
        <f>IFERROR(VLOOKUP($J707,'ORDER VS WEEK DISTRIBUTION'!$T:$U,2,0),"")</f>
        <v/>
      </c>
      <c r="Y707" s="26">
        <f>IFERROR($T707/IF(IFERROR(VLOOKUP($I707,'ITEM CFC PER CONTAINER'!$A:$B,2,0),0)&gt;0,VLOOKUP($I707,'ITEM CFC PER CONTAINER'!$A:$B,2,0),VLOOKUP($X707,'MC MASTER'!$A:$Q,16,0)),"")</f>
        <v/>
      </c>
    </row>
    <row r="708" ht="15" customHeight="1" s="5">
      <c r="A708" s="26" t="inlineStr">
        <is>
          <t>Everest International</t>
        </is>
      </c>
      <c r="B708" s="26" t="inlineStr">
        <is>
          <t>MJIL/SO/26025612</t>
        </is>
      </c>
      <c r="C708" s="26" t="inlineStr">
        <is>
          <t>MJ-001/26-27/2</t>
        </is>
      </c>
      <c r="D708" s="82" t="n">
        <v>46268</v>
      </c>
      <c r="E708" s="83">
        <f>IF(ISNUMBER($D708),EOMONTH($D708,-1)+1,"")</f>
        <v/>
      </c>
      <c r="F708" s="26" t="inlineStr">
        <is>
          <t>No data</t>
        </is>
      </c>
      <c r="G708" s="26" t="n">
        <v>21166</v>
      </c>
      <c r="H708" s="26">
        <f>B708&amp;I708</f>
        <v/>
      </c>
      <c r="I708" s="26" t="inlineStr">
        <is>
          <t>GV LEMON GRASS 24/25 DC ENV TBGS</t>
        </is>
      </c>
      <c r="J708" s="30" t="inlineStr">
        <is>
          <t>CONSTANTA ENV</t>
        </is>
      </c>
      <c r="K708" s="26">
        <f>J708&amp;"-"&amp;TEXT(W708,"dd-mmm-yy")</f>
        <v/>
      </c>
      <c r="L708" s="26">
        <f>IFERROR(VLOOKUP($M708,'ITEM MASTER'!E:H,4,0),"")</f>
        <v/>
      </c>
      <c r="M708" s="26">
        <f>IFERROR(VLOOKUP($I708,'ITEM MASTER'!B:E,4,0),"")</f>
        <v/>
      </c>
      <c r="N708" s="26">
        <f>IFERROR(VLOOKUP($I708,'ITEM MASTER'!B:F,5,0),0)</f>
        <v/>
      </c>
      <c r="O708" s="26">
        <f>IFERROR(VLOOKUP($M708,'TBGS PER CTN'!B:C,2,0),0)</f>
        <v/>
      </c>
      <c r="P708" s="26" t="n">
        <v>300</v>
      </c>
      <c r="Q708" s="26" t="n">
        <v>0</v>
      </c>
      <c r="R708" s="26" t="n">
        <v>0</v>
      </c>
      <c r="S708" s="26">
        <f>Q708+R708</f>
        <v/>
      </c>
      <c r="T708" s="29" t="n">
        <v>300</v>
      </c>
      <c r="U708" s="29">
        <f>N708*O708*T708</f>
        <v/>
      </c>
      <c r="V708" s="82">
        <f>IF(ISNUMBER($D708),$D708-WEEKDAY($D708,3),'ORDER VS WEEK DISTRIBUTION'!$G$500)</f>
        <v/>
      </c>
      <c r="W708" s="82">
        <f>MAX($V708,'ORDER VS WEEK DISTRIBUTION'!$G$500)</f>
        <v/>
      </c>
      <c r="X708" s="26">
        <f>IFERROR(VLOOKUP($J708,'ORDER VS WEEK DISTRIBUTION'!$T:$U,2,0),"")</f>
        <v/>
      </c>
      <c r="Y708" s="26">
        <f>IFERROR($T708/IF(IFERROR(VLOOKUP($I708,'ITEM CFC PER CONTAINER'!$A:$B,2,0),0)&gt;0,VLOOKUP($I708,'ITEM CFC PER CONTAINER'!$A:$B,2,0),VLOOKUP($X708,'MC MASTER'!$A:$Q,16,0)),"")</f>
        <v/>
      </c>
    </row>
    <row r="709" ht="15" customHeight="1" s="5">
      <c r="A709" s="26" t="inlineStr">
        <is>
          <t>Everest International</t>
        </is>
      </c>
      <c r="B709" s="26" t="inlineStr">
        <is>
          <t>MJIL/SO/26025612</t>
        </is>
      </c>
      <c r="C709" s="26" t="inlineStr">
        <is>
          <t>MJ-001/26-27/2</t>
        </is>
      </c>
      <c r="D709" s="82" t="n">
        <v>46268</v>
      </c>
      <c r="E709" s="83">
        <f>IF(ISNUMBER($D709),EOMONTH($D709,-1)+1,"")</f>
        <v/>
      </c>
      <c r="F709" s="26" t="inlineStr">
        <is>
          <t>No data</t>
        </is>
      </c>
      <c r="G709" s="26" t="n">
        <v>33953</v>
      </c>
      <c r="H709" s="26">
        <f>B709&amp;I709</f>
        <v/>
      </c>
      <c r="I709" s="26" t="inlineStr">
        <is>
          <t>GV GINGER CLOVE 24/25 DC ENV TBGS</t>
        </is>
      </c>
      <c r="J709" s="30" t="inlineStr">
        <is>
          <t>CONSTANTA ENV</t>
        </is>
      </c>
      <c r="K709" s="26">
        <f>J709&amp;"-"&amp;TEXT(W709,"dd-mmm-yy")</f>
        <v/>
      </c>
      <c r="L709" s="26">
        <f>IFERROR(VLOOKUP($M709,'ITEM MASTER'!E:H,4,0),"")</f>
        <v/>
      </c>
      <c r="M709" s="26">
        <f>IFERROR(VLOOKUP($I709,'ITEM MASTER'!B:E,4,0),"")</f>
        <v/>
      </c>
      <c r="N709" s="26">
        <f>IFERROR(VLOOKUP($I709,'ITEM MASTER'!B:F,5,0),0)</f>
        <v/>
      </c>
      <c r="O709" s="26">
        <f>IFERROR(VLOOKUP($M709,'TBGS PER CTN'!B:C,2,0),0)</f>
        <v/>
      </c>
      <c r="P709" s="26" t="n">
        <v>300</v>
      </c>
      <c r="Q709" s="26" t="n">
        <v>0</v>
      </c>
      <c r="R709" s="26" t="n">
        <v>0</v>
      </c>
      <c r="S709" s="26">
        <f>Q709+R709</f>
        <v/>
      </c>
      <c r="T709" s="29" t="n">
        <v>300</v>
      </c>
      <c r="U709" s="29">
        <f>N709*O709*T709</f>
        <v/>
      </c>
      <c r="V709" s="82">
        <f>IF(ISNUMBER($D709),$D709-WEEKDAY($D709,3),'ORDER VS WEEK DISTRIBUTION'!$G$500)</f>
        <v/>
      </c>
      <c r="W709" s="82">
        <f>MAX($V709,'ORDER VS WEEK DISTRIBUTION'!$G$500)</f>
        <v/>
      </c>
      <c r="X709" s="26">
        <f>IFERROR(VLOOKUP($J709,'ORDER VS WEEK DISTRIBUTION'!$T:$U,2,0),"")</f>
        <v/>
      </c>
      <c r="Y709" s="26">
        <f>IFERROR($T709/IF(IFERROR(VLOOKUP($I709,'ITEM CFC PER CONTAINER'!$A:$B,2,0),0)&gt;0,VLOOKUP($I709,'ITEM CFC PER CONTAINER'!$A:$B,2,0),VLOOKUP($X709,'MC MASTER'!$A:$Q,16,0)),"")</f>
        <v/>
      </c>
    </row>
    <row r="710" ht="15" customHeight="1" s="5">
      <c r="A710" s="26" t="inlineStr">
        <is>
          <t>Everest International</t>
        </is>
      </c>
      <c r="B710" s="26" t="inlineStr">
        <is>
          <t>MJIL/SO/26025612</t>
        </is>
      </c>
      <c r="C710" s="26" t="inlineStr">
        <is>
          <t>MJ-001/26-27/2</t>
        </is>
      </c>
      <c r="D710" s="82" t="n">
        <v>46268</v>
      </c>
      <c r="E710" s="83">
        <f>IF(ISNUMBER($D710),EOMONTH($D710,-1)+1,"")</f>
        <v/>
      </c>
      <c r="F710" s="26" t="inlineStr">
        <is>
          <t>No data</t>
        </is>
      </c>
      <c r="G710" s="26" t="n">
        <v>21586</v>
      </c>
      <c r="H710" s="26">
        <f>B710&amp;I710</f>
        <v/>
      </c>
      <c r="I710" s="26" t="inlineStr">
        <is>
          <t>GV CLOVE 24/25 DC ENV TBGS</t>
        </is>
      </c>
      <c r="J710" s="30" t="inlineStr">
        <is>
          <t>CONSTANTA ENV</t>
        </is>
      </c>
      <c r="K710" s="26">
        <f>J710&amp;"-"&amp;TEXT(W710,"dd-mmm-yy")</f>
        <v/>
      </c>
      <c r="L710" s="26">
        <f>IFERROR(VLOOKUP($M710,'ITEM MASTER'!E:H,4,0),"")</f>
        <v/>
      </c>
      <c r="M710" s="26">
        <f>IFERROR(VLOOKUP($I710,'ITEM MASTER'!B:E,4,0),"")</f>
        <v/>
      </c>
      <c r="N710" s="26">
        <f>IFERROR(VLOOKUP($I710,'ITEM MASTER'!B:F,5,0),0)</f>
        <v/>
      </c>
      <c r="O710" s="26">
        <f>IFERROR(VLOOKUP($M710,'TBGS PER CTN'!B:C,2,0),0)</f>
        <v/>
      </c>
      <c r="P710" s="26" t="n">
        <v>750</v>
      </c>
      <c r="Q710" s="26" t="n">
        <v>0</v>
      </c>
      <c r="R710" s="26" t="n">
        <v>0</v>
      </c>
      <c r="S710" s="26">
        <f>Q710+R710</f>
        <v/>
      </c>
      <c r="T710" s="29" t="n">
        <v>750</v>
      </c>
      <c r="U710" s="29">
        <f>N710*O710*T710</f>
        <v/>
      </c>
      <c r="V710" s="82">
        <f>IF(ISNUMBER($D710),$D710-WEEKDAY($D710,3),'ORDER VS WEEK DISTRIBUTION'!$G$500)</f>
        <v/>
      </c>
      <c r="W710" s="82">
        <f>MAX($V710,'ORDER VS WEEK DISTRIBUTION'!$G$500)</f>
        <v/>
      </c>
      <c r="X710" s="26">
        <f>IFERROR(VLOOKUP($J710,'ORDER VS WEEK DISTRIBUTION'!$T:$U,2,0),"")</f>
        <v/>
      </c>
      <c r="Y710" s="26">
        <f>IFERROR($T710/IF(IFERROR(VLOOKUP($I710,'ITEM CFC PER CONTAINER'!$A:$B,2,0),0)&gt;0,VLOOKUP($I710,'ITEM CFC PER CONTAINER'!$A:$B,2,0),VLOOKUP($X710,'MC MASTER'!$A:$Q,16,0)),"")</f>
        <v/>
      </c>
    </row>
    <row r="711" ht="15" customHeight="1" s="5">
      <c r="A711" s="26" t="inlineStr">
        <is>
          <t>Everest International</t>
        </is>
      </c>
      <c r="B711" s="26" t="inlineStr">
        <is>
          <t>MJIL/SO/26025612</t>
        </is>
      </c>
      <c r="C711" s="26" t="inlineStr">
        <is>
          <t>MJ-001/26-27/2</t>
        </is>
      </c>
      <c r="D711" s="82" t="n">
        <v>46268</v>
      </c>
      <c r="E711" s="83">
        <f>IF(ISNUMBER($D711),EOMONTH($D711,-1)+1,"")</f>
        <v/>
      </c>
      <c r="F711" s="26" t="inlineStr">
        <is>
          <t>No data</t>
        </is>
      </c>
      <c r="G711" s="26" t="n">
        <v>2100</v>
      </c>
      <c r="H711" s="26">
        <f>B711&amp;I711</f>
        <v/>
      </c>
      <c r="I711" s="26" t="inlineStr">
        <is>
          <t>GV ROYAL LEMON 24/25 DC ENV TBGS</t>
        </is>
      </c>
      <c r="J711" s="30" t="inlineStr">
        <is>
          <t>CONSTANTA ENV</t>
        </is>
      </c>
      <c r="K711" s="26">
        <f>J711&amp;"-"&amp;TEXT(W711,"dd-mmm-yy")</f>
        <v/>
      </c>
      <c r="L711" s="26">
        <f>IFERROR(VLOOKUP($M711,'ITEM MASTER'!E:H,4,0),"")</f>
        <v/>
      </c>
      <c r="M711" s="26">
        <f>IFERROR(VLOOKUP($I711,'ITEM MASTER'!B:E,4,0),"")</f>
        <v/>
      </c>
      <c r="N711" s="26">
        <f>IFERROR(VLOOKUP($I711,'ITEM MASTER'!B:F,5,0),0)</f>
        <v/>
      </c>
      <c r="O711" s="26">
        <f>IFERROR(VLOOKUP($M711,'TBGS PER CTN'!B:C,2,0),0)</f>
        <v/>
      </c>
      <c r="P711" s="26" t="n">
        <v>300</v>
      </c>
      <c r="Q711" s="26" t="n">
        <v>0</v>
      </c>
      <c r="R711" s="26" t="n">
        <v>0</v>
      </c>
      <c r="S711" s="26">
        <f>Q711+R711</f>
        <v/>
      </c>
      <c r="T711" s="29" t="n">
        <v>300</v>
      </c>
      <c r="U711" s="29">
        <f>N711*O711*T711</f>
        <v/>
      </c>
      <c r="V711" s="82">
        <f>IF(ISNUMBER($D711),$D711-WEEKDAY($D711,3),'ORDER VS WEEK DISTRIBUTION'!$G$500)</f>
        <v/>
      </c>
      <c r="W711" s="82">
        <f>MAX($V711,'ORDER VS WEEK DISTRIBUTION'!$G$500)</f>
        <v/>
      </c>
      <c r="X711" s="26">
        <f>IFERROR(VLOOKUP($J711,'ORDER VS WEEK DISTRIBUTION'!$T:$U,2,0),"")</f>
        <v/>
      </c>
      <c r="Y711" s="26">
        <f>IFERROR($T711/IF(IFERROR(VLOOKUP($I711,'ITEM CFC PER CONTAINER'!$A:$B,2,0),0)&gt;0,VLOOKUP($I711,'ITEM CFC PER CONTAINER'!$A:$B,2,0),VLOOKUP($X711,'MC MASTER'!$A:$Q,16,0)),"")</f>
        <v/>
      </c>
    </row>
    <row r="712" ht="15" customHeight="1" s="5">
      <c r="A712" s="26" t="inlineStr">
        <is>
          <t>Everest International</t>
        </is>
      </c>
      <c r="B712" s="26" t="inlineStr">
        <is>
          <t>MJIL/SO/26025612</t>
        </is>
      </c>
      <c r="C712" s="26" t="inlineStr">
        <is>
          <t>MJ-001/26-27/2</t>
        </is>
      </c>
      <c r="D712" s="82" t="n">
        <v>46268</v>
      </c>
      <c r="E712" s="83">
        <f>IF(ISNUMBER($D712),EOMONTH($D712,-1)+1,"")</f>
        <v/>
      </c>
      <c r="F712" s="26" t="inlineStr">
        <is>
          <t>No data</t>
        </is>
      </c>
      <c r="G712" s="26" t="n">
        <v>19824</v>
      </c>
      <c r="H712" s="26">
        <f>B712&amp;I712</f>
        <v/>
      </c>
      <c r="I712" s="26" t="inlineStr">
        <is>
          <t>GV SPICY GINGER 24/25 DC ENV TBGS (AR)</t>
        </is>
      </c>
      <c r="J712" s="30" t="inlineStr">
        <is>
          <t>CONSTANTA ENV</t>
        </is>
      </c>
      <c r="K712" s="26">
        <f>J712&amp;"-"&amp;TEXT(W712,"dd-mmm-yy")</f>
        <v/>
      </c>
      <c r="L712" s="26">
        <f>IFERROR(VLOOKUP($M712,'ITEM MASTER'!E:H,4,0),"")</f>
        <v/>
      </c>
      <c r="M712" s="26">
        <f>IFERROR(VLOOKUP($I712,'ITEM MASTER'!B:E,4,0),"")</f>
        <v/>
      </c>
      <c r="N712" s="26">
        <f>IFERROR(VLOOKUP($I712,'ITEM MASTER'!B:F,5,0),0)</f>
        <v/>
      </c>
      <c r="O712" s="26">
        <f>IFERROR(VLOOKUP($M712,'TBGS PER CTN'!B:C,2,0),0)</f>
        <v/>
      </c>
      <c r="P712" s="26" t="n">
        <v>1000</v>
      </c>
      <c r="Q712" s="26" t="n">
        <v>0</v>
      </c>
      <c r="R712" s="26" t="n">
        <v>0</v>
      </c>
      <c r="S712" s="26">
        <f>Q712+R712</f>
        <v/>
      </c>
      <c r="T712" s="29" t="n">
        <v>1000</v>
      </c>
      <c r="U712" s="29">
        <f>N712*O712*T712</f>
        <v/>
      </c>
      <c r="V712" s="82">
        <f>IF(ISNUMBER($D712),$D712-WEEKDAY($D712,3),'ORDER VS WEEK DISTRIBUTION'!$G$500)</f>
        <v/>
      </c>
      <c r="W712" s="82">
        <f>MAX($V712,'ORDER VS WEEK DISTRIBUTION'!$G$500)</f>
        <v/>
      </c>
      <c r="X712" s="26">
        <f>IFERROR(VLOOKUP($J712,'ORDER VS WEEK DISTRIBUTION'!$T:$U,2,0),"")</f>
        <v/>
      </c>
      <c r="Y712" s="26">
        <f>IFERROR($T712/IF(IFERROR(VLOOKUP($I712,'ITEM CFC PER CONTAINER'!$A:$B,2,0),0)&gt;0,VLOOKUP($I712,'ITEM CFC PER CONTAINER'!$A:$B,2,0),VLOOKUP($X712,'MC MASTER'!$A:$Q,16,0)),"")</f>
        <v/>
      </c>
    </row>
    <row r="713" ht="15" customHeight="1" s="5">
      <c r="A713" s="26" t="inlineStr">
        <is>
          <t>Everest International</t>
        </is>
      </c>
      <c r="B713" s="26" t="inlineStr">
        <is>
          <t>MJIL/SO/26025612</t>
        </is>
      </c>
      <c r="C713" s="26" t="inlineStr">
        <is>
          <t>MJ-001/26-27/2</t>
        </is>
      </c>
      <c r="D713" s="82" t="n">
        <v>46268</v>
      </c>
      <c r="E713" s="83">
        <f>IF(ISNUMBER($D713),EOMONTH($D713,-1)+1,"")</f>
        <v/>
      </c>
      <c r="F713" s="26" t="inlineStr">
        <is>
          <t>No data</t>
        </is>
      </c>
      <c r="G713" s="26" t="n">
        <v>2016</v>
      </c>
      <c r="H713" s="26">
        <f>B713&amp;I713</f>
        <v/>
      </c>
      <c r="I713" s="26" t="inlineStr">
        <is>
          <t>GV MINT 24/25 DC ENV TBGS</t>
        </is>
      </c>
      <c r="J713" s="30" t="inlineStr">
        <is>
          <t>CONSTANTA ENV</t>
        </is>
      </c>
      <c r="K713" s="26">
        <f>J713&amp;"-"&amp;TEXT(W713,"dd-mmm-yy")</f>
        <v/>
      </c>
      <c r="L713" s="26">
        <f>IFERROR(VLOOKUP($M713,'ITEM MASTER'!E:H,4,0),"")</f>
        <v/>
      </c>
      <c r="M713" s="26">
        <f>IFERROR(VLOOKUP($I713,'ITEM MASTER'!B:E,4,0),"")</f>
        <v/>
      </c>
      <c r="N713" s="26">
        <f>IFERROR(VLOOKUP($I713,'ITEM MASTER'!B:F,5,0),0)</f>
        <v/>
      </c>
      <c r="O713" s="26">
        <f>IFERROR(VLOOKUP($M713,'TBGS PER CTN'!B:C,2,0),0)</f>
        <v/>
      </c>
      <c r="P713" s="26" t="n">
        <v>500</v>
      </c>
      <c r="Q713" s="26" t="n">
        <v>0</v>
      </c>
      <c r="R713" s="26" t="n">
        <v>0</v>
      </c>
      <c r="S713" s="26">
        <f>Q713+R713</f>
        <v/>
      </c>
      <c r="T713" s="29" t="n">
        <v>500</v>
      </c>
      <c r="U713" s="29">
        <f>N713*O713*T713</f>
        <v/>
      </c>
      <c r="V713" s="82">
        <f>IF(ISNUMBER($D713),$D713-WEEKDAY($D713,3),'ORDER VS WEEK DISTRIBUTION'!$G$500)</f>
        <v/>
      </c>
      <c r="W713" s="82">
        <f>MAX($V713,'ORDER VS WEEK DISTRIBUTION'!$G$500)</f>
        <v/>
      </c>
      <c r="X713" s="26">
        <f>IFERROR(VLOOKUP($J713,'ORDER VS WEEK DISTRIBUTION'!$T:$U,2,0),"")</f>
        <v/>
      </c>
      <c r="Y713" s="26">
        <f>IFERROR($T713/IF(IFERROR(VLOOKUP($I713,'ITEM CFC PER CONTAINER'!$A:$B,2,0),0)&gt;0,VLOOKUP($I713,'ITEM CFC PER CONTAINER'!$A:$B,2,0),VLOOKUP($X713,'MC MASTER'!$A:$Q,16,0)),"")</f>
        <v/>
      </c>
    </row>
    <row r="714" ht="15" customHeight="1" s="5">
      <c r="A714" s="26" t="inlineStr">
        <is>
          <t>Everest International</t>
        </is>
      </c>
      <c r="B714" s="26" t="inlineStr">
        <is>
          <t>MJIL/SO/26025612</t>
        </is>
      </c>
      <c r="C714" s="26" t="inlineStr">
        <is>
          <t>MJ-001/26-27/2</t>
        </is>
      </c>
      <c r="D714" s="82" t="n">
        <v>46268</v>
      </c>
      <c r="E714" s="83">
        <f>IF(ISNUMBER($D714),EOMONTH($D714,-1)+1,"")</f>
        <v/>
      </c>
      <c r="F714" s="26" t="inlineStr">
        <is>
          <t>No data</t>
        </is>
      </c>
      <c r="G714" s="26" t="n">
        <v>1955</v>
      </c>
      <c r="H714" s="26">
        <f>B714&amp;I714</f>
        <v/>
      </c>
      <c r="I714" s="26" t="inlineStr">
        <is>
          <t>GV GREEN TEA 24/25 DC ENV TBGS</t>
        </is>
      </c>
      <c r="J714" s="30" t="inlineStr">
        <is>
          <t>CONSTANTA ENV</t>
        </is>
      </c>
      <c r="K714" s="26">
        <f>J714&amp;"-"&amp;TEXT(W714,"dd-mmm-yy")</f>
        <v/>
      </c>
      <c r="L714" s="26">
        <f>IFERROR(VLOOKUP($M714,'ITEM MASTER'!E:H,4,0),"")</f>
        <v/>
      </c>
      <c r="M714" s="26">
        <f>IFERROR(VLOOKUP($I714,'ITEM MASTER'!B:E,4,0),"")</f>
        <v/>
      </c>
      <c r="N714" s="26">
        <f>IFERROR(VLOOKUP($I714,'ITEM MASTER'!B:F,5,0),0)</f>
        <v/>
      </c>
      <c r="O714" s="26">
        <f>IFERROR(VLOOKUP($M714,'TBGS PER CTN'!B:C,2,0),0)</f>
        <v/>
      </c>
      <c r="P714" s="26" t="n">
        <v>250</v>
      </c>
      <c r="Q714" s="26" t="n">
        <v>0</v>
      </c>
      <c r="R714" s="26" t="n">
        <v>0</v>
      </c>
      <c r="S714" s="26">
        <f>Q714+R714</f>
        <v/>
      </c>
      <c r="T714" s="29" t="n">
        <v>250</v>
      </c>
      <c r="U714" s="29">
        <f>N714*O714*T714</f>
        <v/>
      </c>
      <c r="V714" s="82">
        <f>IF(ISNUMBER($D714),$D714-WEEKDAY($D714,3),'ORDER VS WEEK DISTRIBUTION'!$G$500)</f>
        <v/>
      </c>
      <c r="W714" s="82">
        <f>MAX($V714,'ORDER VS WEEK DISTRIBUTION'!$G$500)</f>
        <v/>
      </c>
      <c r="X714" s="26">
        <f>IFERROR(VLOOKUP($J714,'ORDER VS WEEK DISTRIBUTION'!$T:$U,2,0),"")</f>
        <v/>
      </c>
      <c r="Y714" s="26">
        <f>IFERROR($T714/IF(IFERROR(VLOOKUP($I714,'ITEM CFC PER CONTAINER'!$A:$B,2,0),0)&gt;0,VLOOKUP($I714,'ITEM CFC PER CONTAINER'!$A:$B,2,0),VLOOKUP($X714,'MC MASTER'!$A:$Q,16,0)),"")</f>
        <v/>
      </c>
    </row>
    <row r="715" ht="15" customHeight="1" s="5">
      <c r="A715" s="26" t="inlineStr">
        <is>
          <t>Everest International</t>
        </is>
      </c>
      <c r="B715" s="26" t="inlineStr">
        <is>
          <t>MJIL/SO/26025612</t>
        </is>
      </c>
      <c r="C715" s="26" t="inlineStr">
        <is>
          <t>MJ-001/26-27/2</t>
        </is>
      </c>
      <c r="D715" s="82" t="n">
        <v>46268</v>
      </c>
      <c r="E715" s="83">
        <f>IF(ISNUMBER($D715),EOMONTH($D715,-1)+1,"")</f>
        <v/>
      </c>
      <c r="F715" s="26" t="inlineStr">
        <is>
          <t>No data</t>
        </is>
      </c>
      <c r="G715" s="26" t="n">
        <v>21686</v>
      </c>
      <c r="H715" s="26">
        <f>B715&amp;I715</f>
        <v/>
      </c>
      <c r="I715" s="26" t="inlineStr">
        <is>
          <t>GV GREEN TEA MORINGA 24/25 DC ENV TBGS</t>
        </is>
      </c>
      <c r="J715" s="30" t="inlineStr">
        <is>
          <t>CONSTANTA ENV</t>
        </is>
      </c>
      <c r="K715" s="26">
        <f>J715&amp;"-"&amp;TEXT(W715,"dd-mmm-yy")</f>
        <v/>
      </c>
      <c r="L715" s="26">
        <f>IFERROR(VLOOKUP($M715,'ITEM MASTER'!E:H,4,0),"")</f>
        <v/>
      </c>
      <c r="M715" s="26">
        <f>IFERROR(VLOOKUP($I715,'ITEM MASTER'!B:E,4,0),"")</f>
        <v/>
      </c>
      <c r="N715" s="26">
        <f>IFERROR(VLOOKUP($I715,'ITEM MASTER'!B:F,5,0),0)</f>
        <v/>
      </c>
      <c r="O715" s="26">
        <f>IFERROR(VLOOKUP($M715,'TBGS PER CTN'!B:C,2,0),0)</f>
        <v/>
      </c>
      <c r="P715" s="26" t="n">
        <v>500</v>
      </c>
      <c r="Q715" s="26" t="n">
        <v>0</v>
      </c>
      <c r="R715" s="26" t="n">
        <v>0</v>
      </c>
      <c r="S715" s="26">
        <f>Q715+R715</f>
        <v/>
      </c>
      <c r="T715" s="29" t="n">
        <v>500</v>
      </c>
      <c r="U715" s="29">
        <f>N715*O715*T715</f>
        <v/>
      </c>
      <c r="V715" s="82">
        <f>IF(ISNUMBER($D715),$D715-WEEKDAY($D715,3),'ORDER VS WEEK DISTRIBUTION'!$G$500)</f>
        <v/>
      </c>
      <c r="W715" s="82">
        <f>MAX($V715,'ORDER VS WEEK DISTRIBUTION'!$G$500)</f>
        <v/>
      </c>
      <c r="X715" s="26">
        <f>IFERROR(VLOOKUP($J715,'ORDER VS WEEK DISTRIBUTION'!$T:$U,2,0),"")</f>
        <v/>
      </c>
      <c r="Y715" s="26">
        <f>IFERROR($T715/IF(IFERROR(VLOOKUP($I715,'ITEM CFC PER CONTAINER'!$A:$B,2,0),0)&gt;0,VLOOKUP($I715,'ITEM CFC PER CONTAINER'!$A:$B,2,0),VLOOKUP($X715,'MC MASTER'!$A:$Q,16,0)),"")</f>
        <v/>
      </c>
    </row>
    <row r="716" ht="15" customHeight="1" s="5">
      <c r="A716" s="26" t="inlineStr">
        <is>
          <t>Everest International</t>
        </is>
      </c>
      <c r="B716" s="26" t="inlineStr">
        <is>
          <t>MJIL/SO/26025612</t>
        </is>
      </c>
      <c r="C716" s="26" t="inlineStr">
        <is>
          <t>MJ-001/26-27/2</t>
        </is>
      </c>
      <c r="D716" s="82" t="n">
        <v>46268</v>
      </c>
      <c r="E716" s="83">
        <f>IF(ISNUMBER($D716),EOMONTH($D716,-1)+1,"")</f>
        <v/>
      </c>
      <c r="F716" s="26" t="inlineStr">
        <is>
          <t>No data</t>
        </is>
      </c>
      <c r="G716" s="26" t="n">
        <v>19835</v>
      </c>
      <c r="H716" s="26">
        <f>B716&amp;I716</f>
        <v/>
      </c>
      <c r="I716" s="26" t="inlineStr">
        <is>
          <t>GV CHAMOMILE 24/25 DC ENV TBGS</t>
        </is>
      </c>
      <c r="J716" s="30" t="inlineStr">
        <is>
          <t>CONSTANTA ENV</t>
        </is>
      </c>
      <c r="K716" s="26">
        <f>J716&amp;"-"&amp;TEXT(W716,"dd-mmm-yy")</f>
        <v/>
      </c>
      <c r="L716" s="26">
        <f>IFERROR(VLOOKUP($M716,'ITEM MASTER'!E:H,4,0),"")</f>
        <v/>
      </c>
      <c r="M716" s="26">
        <f>IFERROR(VLOOKUP($I716,'ITEM MASTER'!B:E,4,0),"")</f>
        <v/>
      </c>
      <c r="N716" s="26">
        <f>IFERROR(VLOOKUP($I716,'ITEM MASTER'!B:F,5,0),0)</f>
        <v/>
      </c>
      <c r="O716" s="26">
        <f>IFERROR(VLOOKUP($M716,'TBGS PER CTN'!B:C,2,0),0)</f>
        <v/>
      </c>
      <c r="P716" s="26" t="n">
        <v>250</v>
      </c>
      <c r="Q716" s="26" t="n">
        <v>0</v>
      </c>
      <c r="R716" s="26" t="n">
        <v>0</v>
      </c>
      <c r="S716" s="26">
        <f>Q716+R716</f>
        <v/>
      </c>
      <c r="T716" s="29" t="n">
        <v>250</v>
      </c>
      <c r="U716" s="29">
        <f>N716*O716*T716</f>
        <v/>
      </c>
      <c r="V716" s="82">
        <f>IF(ISNUMBER($D716),$D716-WEEKDAY($D716,3),'ORDER VS WEEK DISTRIBUTION'!$G$500)</f>
        <v/>
      </c>
      <c r="W716" s="82">
        <f>MAX($V716,'ORDER VS WEEK DISTRIBUTION'!$G$500)</f>
        <v/>
      </c>
      <c r="X716" s="26">
        <f>IFERROR(VLOOKUP($J716,'ORDER VS WEEK DISTRIBUTION'!$T:$U,2,0),"")</f>
        <v/>
      </c>
      <c r="Y716" s="26">
        <f>IFERROR($T716/IF(IFERROR(VLOOKUP($I716,'ITEM CFC PER CONTAINER'!$A:$B,2,0),0)&gt;0,VLOOKUP($I716,'ITEM CFC PER CONTAINER'!$A:$B,2,0),VLOOKUP($X716,'MC MASTER'!$A:$Q,16,0)),"")</f>
        <v/>
      </c>
    </row>
    <row r="717" ht="15" customHeight="1" s="5">
      <c r="A717" s="26" t="inlineStr">
        <is>
          <t>Everest International</t>
        </is>
      </c>
      <c r="B717" s="26" t="inlineStr">
        <is>
          <t>MJIL/SO/26025612</t>
        </is>
      </c>
      <c r="C717" s="26" t="inlineStr">
        <is>
          <t>MJ-001/26-27/2</t>
        </is>
      </c>
      <c r="D717" s="82" t="n">
        <v>46268</v>
      </c>
      <c r="E717" s="83">
        <f>IF(ISNUMBER($D717),EOMONTH($D717,-1)+1,"")</f>
        <v/>
      </c>
      <c r="F717" s="26" t="inlineStr">
        <is>
          <t>No data</t>
        </is>
      </c>
      <c r="G717" s="26" t="n">
        <v>19828</v>
      </c>
      <c r="H717" s="26">
        <f>B717&amp;I717</f>
        <v/>
      </c>
      <c r="I717" s="26" t="inlineStr">
        <is>
          <t>GV ORANGE 24/25 DC ENV TBGS (AR)</t>
        </is>
      </c>
      <c r="J717" s="30" t="inlineStr">
        <is>
          <t>CONSTANTA ENV</t>
        </is>
      </c>
      <c r="K717" s="26">
        <f>J717&amp;"-"&amp;TEXT(W717,"dd-mmm-yy")</f>
        <v/>
      </c>
      <c r="L717" s="26">
        <f>IFERROR(VLOOKUP($M717,'ITEM MASTER'!E:H,4,0),"")</f>
        <v/>
      </c>
      <c r="M717" s="26">
        <f>IFERROR(VLOOKUP($I717,'ITEM MASTER'!B:E,4,0),"")</f>
        <v/>
      </c>
      <c r="N717" s="26">
        <f>IFERROR(VLOOKUP($I717,'ITEM MASTER'!B:F,5,0),0)</f>
        <v/>
      </c>
      <c r="O717" s="26">
        <f>IFERROR(VLOOKUP($M717,'TBGS PER CTN'!B:C,2,0),0)</f>
        <v/>
      </c>
      <c r="P717" s="26" t="n">
        <v>300</v>
      </c>
      <c r="Q717" s="26" t="n">
        <v>0</v>
      </c>
      <c r="R717" s="26" t="n">
        <v>0</v>
      </c>
      <c r="S717" s="26">
        <f>Q717+R717</f>
        <v/>
      </c>
      <c r="T717" s="29" t="n">
        <v>300</v>
      </c>
      <c r="U717" s="29">
        <f>N717*O717*T717</f>
        <v/>
      </c>
      <c r="V717" s="82">
        <f>IF(ISNUMBER($D717),$D717-WEEKDAY($D717,3),'ORDER VS WEEK DISTRIBUTION'!$G$500)</f>
        <v/>
      </c>
      <c r="W717" s="82">
        <f>MAX($V717,'ORDER VS WEEK DISTRIBUTION'!$G$500)</f>
        <v/>
      </c>
      <c r="X717" s="26">
        <f>IFERROR(VLOOKUP($J717,'ORDER VS WEEK DISTRIBUTION'!$T:$U,2,0),"")</f>
        <v/>
      </c>
      <c r="Y717" s="26">
        <f>IFERROR($T717/IF(IFERROR(VLOOKUP($I717,'ITEM CFC PER CONTAINER'!$A:$B,2,0),0)&gt;0,VLOOKUP($I717,'ITEM CFC PER CONTAINER'!$A:$B,2,0),VLOOKUP($X717,'MC MASTER'!$A:$Q,16,0)),"")</f>
        <v/>
      </c>
    </row>
    <row r="718" ht="15" customHeight="1" s="5">
      <c r="A718" s="26" t="inlineStr">
        <is>
          <t>Everest International</t>
        </is>
      </c>
      <c r="B718" s="26" t="inlineStr">
        <is>
          <t>MJIL/SO/26025612</t>
        </is>
      </c>
      <c r="C718" s="26" t="inlineStr">
        <is>
          <t>MJ-001/26-27/2</t>
        </is>
      </c>
      <c r="D718" s="82" t="n">
        <v>46268</v>
      </c>
      <c r="E718" s="83">
        <f>IF(ISNUMBER($D718),EOMONTH($D718,-1)+1,"")</f>
        <v/>
      </c>
      <c r="F718" s="26" t="inlineStr">
        <is>
          <t>No data</t>
        </is>
      </c>
      <c r="G718" s="26" t="n">
        <v>19830</v>
      </c>
      <c r="H718" s="26">
        <f>B718&amp;I718</f>
        <v/>
      </c>
      <c r="I718" s="26" t="inlineStr">
        <is>
          <t>GV COCKTAIL 24/25 DC ENV TBGS (AR)</t>
        </is>
      </c>
      <c r="J718" s="30" t="inlineStr">
        <is>
          <t>CONSTANTA ENV</t>
        </is>
      </c>
      <c r="K718" s="26">
        <f>J718&amp;"-"&amp;TEXT(W718,"dd-mmm-yy")</f>
        <v/>
      </c>
      <c r="L718" s="26">
        <f>IFERROR(VLOOKUP($M718,'ITEM MASTER'!E:H,4,0),"")</f>
        <v/>
      </c>
      <c r="M718" s="26">
        <f>IFERROR(VLOOKUP($I718,'ITEM MASTER'!B:E,4,0),"")</f>
        <v/>
      </c>
      <c r="N718" s="26">
        <f>IFERROR(VLOOKUP($I718,'ITEM MASTER'!B:F,5,0),0)</f>
        <v/>
      </c>
      <c r="O718" s="26">
        <f>IFERROR(VLOOKUP($M718,'TBGS PER CTN'!B:C,2,0),0)</f>
        <v/>
      </c>
      <c r="P718" s="26" t="n">
        <v>300</v>
      </c>
      <c r="Q718" s="26" t="n">
        <v>0</v>
      </c>
      <c r="R718" s="26" t="n">
        <v>0</v>
      </c>
      <c r="S718" s="26">
        <f>Q718+R718</f>
        <v/>
      </c>
      <c r="T718" s="29" t="n">
        <v>300</v>
      </c>
      <c r="U718" s="29">
        <f>N718*O718*T718</f>
        <v/>
      </c>
      <c r="V718" s="82">
        <f>IF(ISNUMBER($D718),$D718-WEEKDAY($D718,3),'ORDER VS WEEK DISTRIBUTION'!$G$500)</f>
        <v/>
      </c>
      <c r="W718" s="82">
        <f>MAX($V718,'ORDER VS WEEK DISTRIBUTION'!$G$500)</f>
        <v/>
      </c>
      <c r="X718" s="26">
        <f>IFERROR(VLOOKUP($J718,'ORDER VS WEEK DISTRIBUTION'!$T:$U,2,0),"")</f>
        <v/>
      </c>
      <c r="Y718" s="26">
        <f>IFERROR($T718/IF(IFERROR(VLOOKUP($I718,'ITEM CFC PER CONTAINER'!$A:$B,2,0),0)&gt;0,VLOOKUP($I718,'ITEM CFC PER CONTAINER'!$A:$B,2,0),VLOOKUP($X718,'MC MASTER'!$A:$Q,16,0)),"")</f>
        <v/>
      </c>
    </row>
    <row r="719" ht="15" customHeight="1" s="5">
      <c r="A719" s="26" t="inlineStr">
        <is>
          <t>Everest International</t>
        </is>
      </c>
      <c r="B719" s="26" t="inlineStr">
        <is>
          <t>MJIL/SO/26025612</t>
        </is>
      </c>
      <c r="C719" s="26" t="inlineStr">
        <is>
          <t>MJ-001/26-27/2</t>
        </is>
      </c>
      <c r="D719" s="82" t="n">
        <v>46268</v>
      </c>
      <c r="E719" s="83">
        <f>IF(ISNUMBER($D719),EOMONTH($D719,-1)+1,"")</f>
        <v/>
      </c>
      <c r="F719" s="26" t="inlineStr">
        <is>
          <t>No data</t>
        </is>
      </c>
      <c r="G719" s="26" t="n">
        <v>22503</v>
      </c>
      <c r="H719" s="26">
        <f>B719&amp;I719</f>
        <v/>
      </c>
      <c r="I719" s="26" t="inlineStr">
        <is>
          <t>GV CINNAMON 24/25 DC ENV TBGS</t>
        </is>
      </c>
      <c r="J719" s="30" t="inlineStr">
        <is>
          <t>CONSTANTA ENV</t>
        </is>
      </c>
      <c r="K719" s="26">
        <f>J719&amp;"-"&amp;TEXT(W719,"dd-mmm-yy")</f>
        <v/>
      </c>
      <c r="L719" s="26">
        <f>IFERROR(VLOOKUP($M719,'ITEM MASTER'!E:H,4,0),"")</f>
        <v/>
      </c>
      <c r="M719" s="26">
        <f>IFERROR(VLOOKUP($I719,'ITEM MASTER'!B:E,4,0),"")</f>
        <v/>
      </c>
      <c r="N719" s="26">
        <f>IFERROR(VLOOKUP($I719,'ITEM MASTER'!B:F,5,0),0)</f>
        <v/>
      </c>
      <c r="O719" s="26">
        <f>IFERROR(VLOOKUP($M719,'TBGS PER CTN'!B:C,2,0),0)</f>
        <v/>
      </c>
      <c r="P719" s="26" t="n">
        <v>300</v>
      </c>
      <c r="Q719" s="26" t="n">
        <v>0</v>
      </c>
      <c r="R719" s="26" t="n">
        <v>0</v>
      </c>
      <c r="S719" s="26">
        <f>Q719+R719</f>
        <v/>
      </c>
      <c r="T719" s="29" t="n">
        <v>300</v>
      </c>
      <c r="U719" s="29">
        <f>N719*O719*T719</f>
        <v/>
      </c>
      <c r="V719" s="82">
        <f>IF(ISNUMBER($D719),$D719-WEEKDAY($D719,3),'ORDER VS WEEK DISTRIBUTION'!$G$500)</f>
        <v/>
      </c>
      <c r="W719" s="82">
        <f>MAX($V719,'ORDER VS WEEK DISTRIBUTION'!$G$500)</f>
        <v/>
      </c>
      <c r="X719" s="26">
        <f>IFERROR(VLOOKUP($J719,'ORDER VS WEEK DISTRIBUTION'!$T:$U,2,0),"")</f>
        <v/>
      </c>
      <c r="Y719" s="26">
        <f>IFERROR($T719/IF(IFERROR(VLOOKUP($I719,'ITEM CFC PER CONTAINER'!$A:$B,2,0),0)&gt;0,VLOOKUP($I719,'ITEM CFC PER CONTAINER'!$A:$B,2,0),VLOOKUP($X719,'MC MASTER'!$A:$Q,16,0)),"")</f>
        <v/>
      </c>
    </row>
    <row r="720" ht="15" customHeight="1" s="5">
      <c r="A720" s="26" t="inlineStr">
        <is>
          <t>Everest International</t>
        </is>
      </c>
      <c r="B720" s="26" t="inlineStr">
        <is>
          <t>MJIL/SO/26025612</t>
        </is>
      </c>
      <c r="C720" s="26" t="inlineStr">
        <is>
          <t>MJ-001/26-27/2</t>
        </is>
      </c>
      <c r="D720" s="82" t="n">
        <v>46268</v>
      </c>
      <c r="E720" s="83">
        <f>IF(ISNUMBER($D720),EOMONTH($D720,-1)+1,"")</f>
        <v/>
      </c>
      <c r="F720" s="26" t="inlineStr">
        <is>
          <t>No data</t>
        </is>
      </c>
      <c r="G720" s="26" t="n">
        <v>21048</v>
      </c>
      <c r="H720" s="26">
        <f>B720&amp;I720</f>
        <v/>
      </c>
      <c r="I720" s="26" t="inlineStr">
        <is>
          <t>GV TAMARIND 24/25 DC ENV TBGS</t>
        </is>
      </c>
      <c r="J720" s="30" t="inlineStr">
        <is>
          <t>CONSTANTA ENV</t>
        </is>
      </c>
      <c r="K720" s="26">
        <f>J720&amp;"-"&amp;TEXT(W720,"dd-mmm-yy")</f>
        <v/>
      </c>
      <c r="L720" s="26">
        <f>IFERROR(VLOOKUP($M720,'ITEM MASTER'!E:H,4,0),"")</f>
        <v/>
      </c>
      <c r="M720" s="26">
        <f>IFERROR(VLOOKUP($I720,'ITEM MASTER'!B:E,4,0),"")</f>
        <v/>
      </c>
      <c r="N720" s="26">
        <f>IFERROR(VLOOKUP($I720,'ITEM MASTER'!B:F,5,0),0)</f>
        <v/>
      </c>
      <c r="O720" s="26">
        <f>IFERROR(VLOOKUP($M720,'TBGS PER CTN'!B:C,2,0),0)</f>
        <v/>
      </c>
      <c r="P720" s="26" t="n">
        <v>250</v>
      </c>
      <c r="Q720" s="26" t="n">
        <v>0</v>
      </c>
      <c r="R720" s="26" t="n">
        <v>0</v>
      </c>
      <c r="S720" s="26">
        <f>Q720+R720</f>
        <v/>
      </c>
      <c r="T720" s="29" t="n">
        <v>250</v>
      </c>
      <c r="U720" s="29">
        <f>N720*O720*T720</f>
        <v/>
      </c>
      <c r="V720" s="82">
        <f>IF(ISNUMBER($D720),$D720-WEEKDAY($D720,3),'ORDER VS WEEK DISTRIBUTION'!$G$500)</f>
        <v/>
      </c>
      <c r="W720" s="82">
        <f>MAX($V720,'ORDER VS WEEK DISTRIBUTION'!$G$500)</f>
        <v/>
      </c>
      <c r="X720" s="26">
        <f>IFERROR(VLOOKUP($J720,'ORDER VS WEEK DISTRIBUTION'!$T:$U,2,0),"")</f>
        <v/>
      </c>
      <c r="Y720" s="26">
        <f>IFERROR($T720/IF(IFERROR(VLOOKUP($I720,'ITEM CFC PER CONTAINER'!$A:$B,2,0),0)&gt;0,VLOOKUP($I720,'ITEM CFC PER CONTAINER'!$A:$B,2,0),VLOOKUP($X720,'MC MASTER'!$A:$Q,16,0)),"")</f>
        <v/>
      </c>
    </row>
    <row r="721" ht="15" customHeight="1" s="5">
      <c r="A721" s="26" t="inlineStr">
        <is>
          <t>Everest International</t>
        </is>
      </c>
      <c r="B721" s="26" t="inlineStr">
        <is>
          <t>MJIL/SO/26025612</t>
        </is>
      </c>
      <c r="C721" s="26" t="inlineStr">
        <is>
          <t>MJ-001/26-27/2</t>
        </is>
      </c>
      <c r="D721" s="82" t="n">
        <v>46268</v>
      </c>
      <c r="E721" s="83">
        <f>IF(ISNUMBER($D721),EOMONTH($D721,-1)+1,"")</f>
        <v/>
      </c>
      <c r="F721" s="26" t="inlineStr">
        <is>
          <t>No data</t>
        </is>
      </c>
      <c r="G721" s="26" t="n">
        <v>21047</v>
      </c>
      <c r="H721" s="26">
        <f>B721&amp;I721</f>
        <v/>
      </c>
      <c r="I721" s="26" t="inlineStr">
        <is>
          <t>GV PINEAPPLE 24/25 DC ENV TBGS</t>
        </is>
      </c>
      <c r="J721" s="30" t="inlineStr">
        <is>
          <t>CONSTANTA ENV</t>
        </is>
      </c>
      <c r="K721" s="26">
        <f>J721&amp;"-"&amp;TEXT(W721,"dd-mmm-yy")</f>
        <v/>
      </c>
      <c r="L721" s="26">
        <f>IFERROR(VLOOKUP($M721,'ITEM MASTER'!E:H,4,0),"")</f>
        <v/>
      </c>
      <c r="M721" s="26">
        <f>IFERROR(VLOOKUP($I721,'ITEM MASTER'!B:E,4,0),"")</f>
        <v/>
      </c>
      <c r="N721" s="26">
        <f>IFERROR(VLOOKUP($I721,'ITEM MASTER'!B:F,5,0),0)</f>
        <v/>
      </c>
      <c r="O721" s="26">
        <f>IFERROR(VLOOKUP($M721,'TBGS PER CTN'!B:C,2,0),0)</f>
        <v/>
      </c>
      <c r="P721" s="26" t="n">
        <v>300</v>
      </c>
      <c r="Q721" s="26" t="n">
        <v>0</v>
      </c>
      <c r="R721" s="26" t="n">
        <v>0</v>
      </c>
      <c r="S721" s="26">
        <f>Q721+R721</f>
        <v/>
      </c>
      <c r="T721" s="29" t="n">
        <v>300</v>
      </c>
      <c r="U721" s="29">
        <f>N721*O721*T721</f>
        <v/>
      </c>
      <c r="V721" s="82">
        <f>IF(ISNUMBER($D721),$D721-WEEKDAY($D721,3),'ORDER VS WEEK DISTRIBUTION'!$G$500)</f>
        <v/>
      </c>
      <c r="W721" s="82">
        <f>MAX($V721,'ORDER VS WEEK DISTRIBUTION'!$G$500)</f>
        <v/>
      </c>
      <c r="X721" s="26">
        <f>IFERROR(VLOOKUP($J721,'ORDER VS WEEK DISTRIBUTION'!$T:$U,2,0),"")</f>
        <v/>
      </c>
      <c r="Y721" s="26">
        <f>IFERROR($T721/IF(IFERROR(VLOOKUP($I721,'ITEM CFC PER CONTAINER'!$A:$B,2,0),0)&gt;0,VLOOKUP($I721,'ITEM CFC PER CONTAINER'!$A:$B,2,0),VLOOKUP($X721,'MC MASTER'!$A:$Q,16,0)),"")</f>
        <v/>
      </c>
    </row>
    <row r="722" ht="15" customHeight="1" s="5">
      <c r="A722" s="26" t="inlineStr">
        <is>
          <t>Everest International</t>
        </is>
      </c>
      <c r="B722" s="26" t="inlineStr">
        <is>
          <t>MJIL/SO/26025612</t>
        </is>
      </c>
      <c r="C722" s="26" t="inlineStr">
        <is>
          <t>MJ-001/26-27/2</t>
        </is>
      </c>
      <c r="D722" s="82" t="n">
        <v>46268</v>
      </c>
      <c r="E722" s="83">
        <f>IF(ISNUMBER($D722),EOMONTH($D722,-1)+1,"")</f>
        <v/>
      </c>
      <c r="F722" s="26" t="inlineStr">
        <is>
          <t>No data</t>
        </is>
      </c>
      <c r="G722" s="26" t="n">
        <v>1925</v>
      </c>
      <c r="H722" s="26">
        <f>B722&amp;I722</f>
        <v/>
      </c>
      <c r="I722" s="26" t="inlineStr">
        <is>
          <t>GV GARDEN STRAWBERRY 24/25 DC ENV TBGS</t>
        </is>
      </c>
      <c r="J722" s="30" t="inlineStr">
        <is>
          <t>CONSTANTA ENV</t>
        </is>
      </c>
      <c r="K722" s="26">
        <f>J722&amp;"-"&amp;TEXT(W722,"dd-mmm-yy")</f>
        <v/>
      </c>
      <c r="L722" s="26">
        <f>IFERROR(VLOOKUP($M722,'ITEM MASTER'!E:H,4,0),"")</f>
        <v/>
      </c>
      <c r="M722" s="26">
        <f>IFERROR(VLOOKUP($I722,'ITEM MASTER'!B:E,4,0),"")</f>
        <v/>
      </c>
      <c r="N722" s="26">
        <f>IFERROR(VLOOKUP($I722,'ITEM MASTER'!B:F,5,0),0)</f>
        <v/>
      </c>
      <c r="O722" s="26">
        <f>IFERROR(VLOOKUP($M722,'TBGS PER CTN'!B:C,2,0),0)</f>
        <v/>
      </c>
      <c r="P722" s="26" t="n">
        <v>300</v>
      </c>
      <c r="Q722" s="26" t="n">
        <v>0</v>
      </c>
      <c r="R722" s="26" t="n">
        <v>0</v>
      </c>
      <c r="S722" s="26">
        <f>Q722+R722</f>
        <v/>
      </c>
      <c r="T722" s="29" t="n">
        <v>300</v>
      </c>
      <c r="U722" s="29">
        <f>N722*O722*T722</f>
        <v/>
      </c>
      <c r="V722" s="82">
        <f>IF(ISNUMBER($D722),$D722-WEEKDAY($D722,3),'ORDER VS WEEK DISTRIBUTION'!$G$500)</f>
        <v/>
      </c>
      <c r="W722" s="82">
        <f>MAX($V722,'ORDER VS WEEK DISTRIBUTION'!$G$500)</f>
        <v/>
      </c>
      <c r="X722" s="26">
        <f>IFERROR(VLOOKUP($J722,'ORDER VS WEEK DISTRIBUTION'!$T:$U,2,0),"")</f>
        <v/>
      </c>
      <c r="Y722" s="26">
        <f>IFERROR($T722/IF(IFERROR(VLOOKUP($I722,'ITEM CFC PER CONTAINER'!$A:$B,2,0),0)&gt;0,VLOOKUP($I722,'ITEM CFC PER CONTAINER'!$A:$B,2,0),VLOOKUP($X722,'MC MASTER'!$A:$Q,16,0)),"")</f>
        <v/>
      </c>
    </row>
    <row r="723" ht="15" customHeight="1" s="5">
      <c r="A723" s="26" t="inlineStr">
        <is>
          <t>Everest International</t>
        </is>
      </c>
      <c r="B723" s="26" t="inlineStr">
        <is>
          <t>MJIL/SO/26025612</t>
        </is>
      </c>
      <c r="C723" s="26" t="inlineStr">
        <is>
          <t>MJ-001/26-27/2</t>
        </is>
      </c>
      <c r="D723" s="82" t="n">
        <v>46268</v>
      </c>
      <c r="E723" s="83">
        <f>IF(ISNUMBER($D723),EOMONTH($D723,-1)+1,"")</f>
        <v/>
      </c>
      <c r="F723" s="26" t="inlineStr">
        <is>
          <t>No data</t>
        </is>
      </c>
      <c r="G723" s="26" t="n">
        <v>19832</v>
      </c>
      <c r="H723" s="26">
        <f>B723&amp;I723</f>
        <v/>
      </c>
      <c r="I723" s="26" t="inlineStr">
        <is>
          <t>GV GREEN LEMON 24/25 DC ENV TBGS (AR)</t>
        </is>
      </c>
      <c r="J723" s="30" t="inlineStr">
        <is>
          <t>CONSTANTA ENV</t>
        </is>
      </c>
      <c r="K723" s="26">
        <f>J723&amp;"-"&amp;TEXT(W723,"dd-mmm-yy")</f>
        <v/>
      </c>
      <c r="L723" s="26">
        <f>IFERROR(VLOOKUP($M723,'ITEM MASTER'!E:H,4,0),"")</f>
        <v/>
      </c>
      <c r="M723" s="26">
        <f>IFERROR(VLOOKUP($I723,'ITEM MASTER'!B:E,4,0),"")</f>
        <v/>
      </c>
      <c r="N723" s="26">
        <f>IFERROR(VLOOKUP($I723,'ITEM MASTER'!B:F,5,0),0)</f>
        <v/>
      </c>
      <c r="O723" s="26">
        <f>IFERROR(VLOOKUP($M723,'TBGS PER CTN'!B:C,2,0),0)</f>
        <v/>
      </c>
      <c r="P723" s="26" t="n">
        <v>250</v>
      </c>
      <c r="Q723" s="26" t="n">
        <v>0</v>
      </c>
      <c r="R723" s="26" t="n">
        <v>0</v>
      </c>
      <c r="S723" s="26">
        <f>Q723+R723</f>
        <v/>
      </c>
      <c r="T723" s="29" t="n">
        <v>250</v>
      </c>
      <c r="U723" s="29">
        <f>N723*O723*T723</f>
        <v/>
      </c>
      <c r="V723" s="82">
        <f>IF(ISNUMBER($D723),$D723-WEEKDAY($D723,3),'ORDER VS WEEK DISTRIBUTION'!$G$500)</f>
        <v/>
      </c>
      <c r="W723" s="82">
        <f>MAX($V723,'ORDER VS WEEK DISTRIBUTION'!$G$500)</f>
        <v/>
      </c>
      <c r="X723" s="26">
        <f>IFERROR(VLOOKUP($J723,'ORDER VS WEEK DISTRIBUTION'!$T:$U,2,0),"")</f>
        <v/>
      </c>
      <c r="Y723" s="26">
        <f>IFERROR($T723/IF(IFERROR(VLOOKUP($I723,'ITEM CFC PER CONTAINER'!$A:$B,2,0),0)&gt;0,VLOOKUP($I723,'ITEM CFC PER CONTAINER'!$A:$B,2,0),VLOOKUP($X723,'MC MASTER'!$A:$Q,16,0)),"")</f>
        <v/>
      </c>
    </row>
    <row r="724" ht="15" customHeight="1" s="5">
      <c r="A724" s="26" t="inlineStr">
        <is>
          <t>Everest International</t>
        </is>
      </c>
      <c r="B724" s="26" t="inlineStr">
        <is>
          <t>MJIL/SO/26025612</t>
        </is>
      </c>
      <c r="C724" s="26" t="inlineStr">
        <is>
          <t>MJ-001/26-27/2</t>
        </is>
      </c>
      <c r="D724" s="82" t="n">
        <v>46268</v>
      </c>
      <c r="E724" s="83">
        <f>IF(ISNUMBER($D724),EOMONTH($D724,-1)+1,"")</f>
        <v/>
      </c>
      <c r="F724" s="26" t="inlineStr">
        <is>
          <t>No data</t>
        </is>
      </c>
      <c r="G724" s="26" t="n">
        <v>38351</v>
      </c>
      <c r="H724" s="26">
        <f>B724&amp;I724</f>
        <v/>
      </c>
      <c r="I724" s="26" t="inlineStr">
        <is>
          <t>GV HIBISCUS 24/25 DC ENV TBGS</t>
        </is>
      </c>
      <c r="J724" s="30" t="inlineStr">
        <is>
          <t>CONSTANTA ENV</t>
        </is>
      </c>
      <c r="K724" s="26">
        <f>J724&amp;"-"&amp;TEXT(W724,"dd-mmm-yy")</f>
        <v/>
      </c>
      <c r="L724" s="26">
        <f>IFERROR(VLOOKUP($M724,'ITEM MASTER'!E:H,4,0),"")</f>
        <v/>
      </c>
      <c r="M724" s="26">
        <f>IFERROR(VLOOKUP($I724,'ITEM MASTER'!B:E,4,0),"")</f>
        <v/>
      </c>
      <c r="N724" s="26">
        <f>IFERROR(VLOOKUP($I724,'ITEM MASTER'!B:F,5,0),0)</f>
        <v/>
      </c>
      <c r="O724" s="26">
        <f>IFERROR(VLOOKUP($M724,'TBGS PER CTN'!B:C,2,0),0)</f>
        <v/>
      </c>
      <c r="P724" s="26" t="n">
        <v>250</v>
      </c>
      <c r="Q724" s="26" t="n">
        <v>0</v>
      </c>
      <c r="R724" s="26" t="n">
        <v>0</v>
      </c>
      <c r="S724" s="26">
        <f>Q724+R724</f>
        <v/>
      </c>
      <c r="T724" s="29" t="n">
        <v>250</v>
      </c>
      <c r="U724" s="29">
        <f>N724*O724*T724</f>
        <v/>
      </c>
      <c r="V724" s="82">
        <f>IF(ISNUMBER($D724),$D724-WEEKDAY($D724,3),'ORDER VS WEEK DISTRIBUTION'!$G$500)</f>
        <v/>
      </c>
      <c r="W724" s="82">
        <f>MAX($V724,'ORDER VS WEEK DISTRIBUTION'!$G$500)</f>
        <v/>
      </c>
      <c r="X724" s="26">
        <f>IFERROR(VLOOKUP($J724,'ORDER VS WEEK DISTRIBUTION'!$T:$U,2,0),"")</f>
        <v/>
      </c>
      <c r="Y724" s="26">
        <f>IFERROR($T724/IF(IFERROR(VLOOKUP($I724,'ITEM CFC PER CONTAINER'!$A:$B,2,0),0)&gt;0,VLOOKUP($I724,'ITEM CFC PER CONTAINER'!$A:$B,2,0),VLOOKUP($X724,'MC MASTER'!$A:$Q,16,0)),"")</f>
        <v/>
      </c>
    </row>
  </sheetData>
  <autoFilter ref="A1:Y724"/>
  <dataValidations count="1">
    <dataValidation sqref="J7:J11 J13 J15:J19 J22:J24 J31:J40 J44 J46:J60 J72:J77 J97:J103 J111:J116 J132 J138:J148 J155:J162 J164:J168 J170 J172 J174:J191 J206:J207 J209:J214 J223 J226 J238:J242 J244 J246:J258 J260:J284 J290:J296 J303:J304 J306:J307 J310:J314 J316 J318 J371 J379 J382:J394 J396:J409 J411 J420:J437 J441:J463 J471 J485:J486 J489:J491 J519:J528 J603:J609 J621:J627 J634 J641:J651 J660:J664 J676:J680 J684:J689 J693:J698 J708:J724" showDropDown="0" showInputMessage="0" showErrorMessage="0" allowBlank="1" type="list">
      <formula1>"CONSTANTA ENV,CONSTANTA ENV BT,CONSTANTA ENV BT 25,CONSTANTA ENV F,CONSTANTA ENV G,CONSTANTA ENV H,CONSTANTA ENV HF,CONSTANTA ENV M"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"/>
  <sheetViews>
    <sheetView tabSelected="0" zoomScaleNormal="100" workbookViewId="0">
      <selection activeCell="A1" sqref="A1:P1"/>
    </sheetView>
  </sheetViews>
  <sheetFormatPr baseColWidth="8" defaultColWidth="8.5546875" defaultRowHeight="14.4"/>
  <cols>
    <col width="26.109375" customWidth="1" style="5" min="1" max="1"/>
    <col width="5.6640625" customWidth="1" style="5" min="2" max="2"/>
    <col width="6.109375" customWidth="1" style="5" min="3" max="3"/>
    <col width="5.44140625" customWidth="1" style="5" min="4" max="4"/>
    <col width="6" customWidth="1" style="5" min="10" max="10"/>
    <col width="6.109375" customWidth="1" style="5" min="11" max="11"/>
    <col width="8.6640625" customWidth="1" style="5" min="12" max="12"/>
    <col width="7" customWidth="1" style="5" min="13" max="13"/>
    <col width="5.33203125" customWidth="1" style="5" min="14" max="14"/>
    <col width="11.6640625" customWidth="1" style="5" min="15" max="15"/>
    <col width="12.44140625" customWidth="1" style="5" min="16" max="16"/>
    <col width="10.88671875" customWidth="1" style="5" min="17" max="17"/>
    <col width="6.44140625" customWidth="1" style="5" min="18" max="18"/>
    <col width="11.88671875" customWidth="1" style="5" min="19" max="19"/>
    <col width="4.6640625" customWidth="1" style="5" min="20" max="20"/>
    <col width="15.33203125" customWidth="1" style="5" min="21" max="21"/>
    <col width="7.5546875" customWidth="1" style="5" min="22" max="22"/>
    <col width="9.88671875" customWidth="1" style="5" min="23" max="23"/>
    <col width="44.109375" customWidth="1" style="5" min="24" max="24"/>
    <col width="40.88671875" customWidth="1" style="5" min="25" max="25"/>
    <col width="4.6640625" customWidth="1" style="5" min="26" max="26"/>
    <col width="4.44140625" customWidth="1" style="5" min="38" max="38"/>
    <col width="14.6640625" customWidth="1" style="5" min="96" max="96"/>
  </cols>
  <sheetData>
    <row r="1" ht="15" customHeight="1" s="5">
      <c r="A1" s="31" t="inlineStr">
        <is>
          <t>Production target- Operator, Packer, M4-2026-27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5" t="n"/>
      <c r="Q1" s="32" t="n"/>
      <c r="U1" s="33" t="n">
        <v>6</v>
      </c>
    </row>
    <row r="2" ht="15" customHeight="1" s="5">
      <c r="A2" s="3" t="inlineStr">
        <is>
          <t>Machine Line</t>
        </is>
      </c>
      <c r="B2" s="34" t="inlineStr">
        <is>
          <t xml:space="preserve">Targeted speed </t>
        </is>
      </c>
      <c r="C2" s="34" t="inlineStr">
        <is>
          <t>Shift Hrs. In min</t>
        </is>
      </c>
      <c r="D2" s="3" t="inlineStr">
        <is>
          <t>PM Loading time</t>
        </is>
      </c>
      <c r="E2" s="84" t="n"/>
      <c r="F2" s="84" t="n"/>
      <c r="G2" s="84" t="n"/>
      <c r="H2" s="84" t="n"/>
      <c r="I2" s="85" t="n"/>
      <c r="J2" s="34" t="inlineStr">
        <is>
          <t xml:space="preserve">Total min for PM loading </t>
        </is>
      </c>
      <c r="K2" s="34" t="inlineStr">
        <is>
          <t>Active Running Min/Shift</t>
        </is>
      </c>
      <c r="L2" s="34" t="inlineStr">
        <is>
          <t>Production Target TB /shift - 100%</t>
        </is>
      </c>
      <c r="M2" s="34" t="inlineStr">
        <is>
          <t xml:space="preserve">Installed Machine </t>
        </is>
      </c>
      <c r="N2" s="34" t="inlineStr">
        <is>
          <t>Production Wastage %</t>
        </is>
      </c>
      <c r="O2" s="1" t="inlineStr">
        <is>
          <t xml:space="preserve">100% Efficiency - M4 Planing </t>
        </is>
      </c>
      <c r="P2" s="34" t="inlineStr">
        <is>
          <t>M4-Production Entry (+110% )</t>
        </is>
      </c>
      <c r="Q2" s="34" t="inlineStr">
        <is>
          <t>Achieved (Jan to Mar-2026)</t>
        </is>
      </c>
      <c r="R2" s="34" t="inlineStr">
        <is>
          <t>%</t>
        </is>
      </c>
      <c r="S2" s="34" t="inlineStr">
        <is>
          <t>Tbgs Prodn Target-Canny</t>
        </is>
      </c>
      <c r="T2" s="34" t="inlineStr">
        <is>
          <t>Shift</t>
        </is>
      </c>
      <c r="U2" s="34" t="inlineStr">
        <is>
          <t>Weekly Prodn Capacity</t>
        </is>
      </c>
      <c r="V2" s="34" t="inlineStr">
        <is>
          <t>Containers-Weekly</t>
        </is>
      </c>
      <c r="W2" s="34" t="inlineStr">
        <is>
          <t>Basis</t>
        </is>
      </c>
      <c r="X2" s="34" t="inlineStr">
        <is>
          <t>Reamrks-1st Priority</t>
        </is>
      </c>
      <c r="Y2" s="34" t="inlineStr">
        <is>
          <t>Reamrks-2nd Priority</t>
        </is>
      </c>
    </row>
    <row r="3" ht="99.75" customHeight="1" s="5">
      <c r="A3" s="86" t="n"/>
      <c r="B3" s="86" t="n"/>
      <c r="C3" s="86" t="n"/>
      <c r="D3" s="34" t="inlineStr">
        <is>
          <t xml:space="preserve">Filter paper </t>
        </is>
      </c>
      <c r="E3" s="34" t="inlineStr">
        <is>
          <t>Tag</t>
        </is>
      </c>
      <c r="F3" s="34" t="inlineStr">
        <is>
          <t>ENV</t>
        </is>
      </c>
      <c r="G3" s="34" t="inlineStr">
        <is>
          <t>Wire</t>
        </is>
      </c>
      <c r="H3" s="34" t="inlineStr">
        <is>
          <t xml:space="preserve">Thread </t>
        </is>
      </c>
      <c r="I3" s="34" t="inlineStr">
        <is>
          <t>Divider</t>
        </is>
      </c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6" t="n"/>
      <c r="X3" s="86" t="n"/>
      <c r="Y3" s="86" t="n"/>
    </row>
    <row r="4" ht="16.5" customHeight="1" s="5">
      <c r="A4" s="87" t="inlineStr">
        <is>
          <t>Brew Magic</t>
        </is>
      </c>
      <c r="B4" s="87" t="n">
        <v>8</v>
      </c>
      <c r="C4" s="87" t="n">
        <v>570</v>
      </c>
      <c r="D4" s="87" t="n">
        <v>30</v>
      </c>
      <c r="E4" s="87" t="n">
        <v>0</v>
      </c>
      <c r="F4" s="87" t="n">
        <v>0</v>
      </c>
      <c r="G4" s="87" t="n">
        <v>0</v>
      </c>
      <c r="H4" s="87" t="n">
        <v>0</v>
      </c>
      <c r="I4" s="87" t="n">
        <v>0</v>
      </c>
      <c r="J4" s="88" t="n">
        <v>30</v>
      </c>
      <c r="K4" s="87" t="n">
        <v>540</v>
      </c>
      <c r="L4" s="37" t="n">
        <v>4320</v>
      </c>
      <c r="M4" s="31" t="n">
        <v>1</v>
      </c>
      <c r="N4" s="89" t="n">
        <v>1</v>
      </c>
      <c r="O4" s="90" t="n">
        <v>4320</v>
      </c>
      <c r="P4" s="87" t="n">
        <v>4752</v>
      </c>
      <c r="Q4" s="87" t="n">
        <v>3357</v>
      </c>
      <c r="R4" s="40" t="n">
        <v>0.9</v>
      </c>
      <c r="S4" s="90" t="n">
        <v>3888</v>
      </c>
      <c r="T4" s="31" t="n">
        <v>1</v>
      </c>
      <c r="U4" s="90" t="n">
        <v>23328</v>
      </c>
      <c r="V4" s="91" t="n">
        <v>0.2025</v>
      </c>
      <c r="W4" s="37" t="inlineStr">
        <is>
          <t>32-3</t>
        </is>
      </c>
      <c r="X4" s="42" t="inlineStr">
        <is>
          <t>Brew Magic-Trsco/Brew360</t>
        </is>
      </c>
      <c r="Y4" s="43" t="inlineStr">
        <is>
          <t>-</t>
        </is>
      </c>
    </row>
    <row r="5" ht="16.5" customHeight="1" s="5">
      <c r="A5" s="87" t="inlineStr">
        <is>
          <t>C250</t>
        </is>
      </c>
      <c r="B5" s="87" t="n">
        <v>250</v>
      </c>
      <c r="C5" s="87" t="n">
        <v>570</v>
      </c>
      <c r="D5" s="87" t="n">
        <v>14</v>
      </c>
      <c r="E5" s="87" t="n">
        <v>12</v>
      </c>
      <c r="F5" s="87" t="n">
        <v>16</v>
      </c>
      <c r="G5" s="87" t="n">
        <v>0</v>
      </c>
      <c r="H5" s="87" t="n">
        <v>4</v>
      </c>
      <c r="I5" s="87" t="n">
        <v>0</v>
      </c>
      <c r="J5" s="88" t="n">
        <v>46</v>
      </c>
      <c r="K5" s="87" t="n">
        <v>524</v>
      </c>
      <c r="L5" s="37" t="n">
        <v>131000</v>
      </c>
      <c r="M5" s="31" t="n">
        <v>3</v>
      </c>
      <c r="N5" s="89" t="n">
        <v>1</v>
      </c>
      <c r="O5" s="90" t="n">
        <v>131000</v>
      </c>
      <c r="P5" s="87" t="n">
        <v>144100</v>
      </c>
      <c r="Q5" s="87" t="n">
        <v>111492</v>
      </c>
      <c r="R5" s="40" t="n">
        <v>0.9</v>
      </c>
      <c r="S5" s="90" t="n">
        <v>117900</v>
      </c>
      <c r="T5" s="31" t="n">
        <v>2</v>
      </c>
      <c r="U5" s="90" t="n">
        <v>4244400</v>
      </c>
      <c r="V5" s="91" t="n">
        <v>2.45625</v>
      </c>
      <c r="W5" s="37" t="inlineStr">
        <is>
          <t xml:space="preserve"> 12/40</t>
        </is>
      </c>
      <c r="X5" s="42" t="inlineStr">
        <is>
          <t>Jumbo/ICA/Aldi</t>
        </is>
      </c>
      <c r="Y5" s="37" t="inlineStr">
        <is>
          <t>Africa Black</t>
        </is>
      </c>
    </row>
    <row r="6" ht="15" customHeight="1" s="5">
      <c r="A6" s="87" t="inlineStr">
        <is>
          <t>C250 A</t>
        </is>
      </c>
      <c r="B6" s="87" t="n">
        <v>250</v>
      </c>
      <c r="C6" s="87" t="n">
        <v>570</v>
      </c>
      <c r="D6" s="87" t="n">
        <v>14</v>
      </c>
      <c r="E6" s="87" t="n">
        <v>12</v>
      </c>
      <c r="F6" s="87" t="n">
        <v>16</v>
      </c>
      <c r="G6" s="87" t="n">
        <v>0</v>
      </c>
      <c r="H6" s="87" t="n">
        <v>4</v>
      </c>
      <c r="I6" s="87" t="n">
        <v>0</v>
      </c>
      <c r="J6" s="88" t="n">
        <v>46</v>
      </c>
      <c r="K6" s="87" t="n">
        <v>524</v>
      </c>
      <c r="L6" s="37" t="n">
        <v>131000</v>
      </c>
      <c r="M6" s="31" t="n">
        <v>3</v>
      </c>
      <c r="N6" s="89" t="n">
        <v>1</v>
      </c>
      <c r="O6" s="90" t="n">
        <v>131000</v>
      </c>
      <c r="P6" s="87" t="n">
        <v>144100</v>
      </c>
      <c r="Q6" s="87" t="n">
        <v>111492</v>
      </c>
      <c r="R6" s="40" t="n">
        <v>0.9</v>
      </c>
      <c r="S6" s="90" t="n">
        <v>117900</v>
      </c>
      <c r="T6" s="31" t="n">
        <v>2</v>
      </c>
      <c r="U6" s="90" t="n">
        <v>4244400</v>
      </c>
      <c r="V6" s="91" t="n">
        <v>2.45625</v>
      </c>
      <c r="W6" s="92" t="inlineStr">
        <is>
          <t xml:space="preserve"> 12/40</t>
        </is>
      </c>
      <c r="X6" s="42" t="inlineStr">
        <is>
          <t>Barissimo Herb.Green,Black 20 count</t>
        </is>
      </c>
      <c r="Y6" s="37" t="inlineStr">
        <is>
          <t>Africa Black</t>
        </is>
      </c>
    </row>
    <row r="7" ht="15" customHeight="1" s="5">
      <c r="A7" s="87" t="inlineStr">
        <is>
          <t>C250 AF</t>
        </is>
      </c>
      <c r="B7" s="87" t="n">
        <v>250</v>
      </c>
      <c r="C7" s="87" t="n">
        <v>570</v>
      </c>
      <c r="D7" s="87" t="n">
        <v>14</v>
      </c>
      <c r="E7" s="87" t="n">
        <v>12</v>
      </c>
      <c r="F7" s="87" t="n">
        <v>16</v>
      </c>
      <c r="G7" s="87" t="n">
        <v>0</v>
      </c>
      <c r="H7" s="87" t="n">
        <v>4</v>
      </c>
      <c r="I7" s="87" t="n">
        <v>0</v>
      </c>
      <c r="J7" s="88" t="n">
        <v>46</v>
      </c>
      <c r="K7" s="87" t="n">
        <v>524</v>
      </c>
      <c r="L7" s="37" t="n">
        <v>131000</v>
      </c>
      <c r="M7" s="31" t="n">
        <v>2</v>
      </c>
      <c r="N7" s="89" t="n">
        <v>1</v>
      </c>
      <c r="O7" s="90" t="n">
        <v>131000</v>
      </c>
      <c r="P7" s="87" t="n">
        <v>144100</v>
      </c>
      <c r="Q7" s="87" t="n">
        <v>111492</v>
      </c>
      <c r="R7" s="40" t="n">
        <v>0.95</v>
      </c>
      <c r="S7" s="90" t="n">
        <v>124450</v>
      </c>
      <c r="T7" s="31" t="n">
        <v>2</v>
      </c>
      <c r="U7" s="90" t="n">
        <v>2986800</v>
      </c>
      <c r="V7" s="91" t="n">
        <v>0.745209580838323</v>
      </c>
      <c r="W7" s="37" t="inlineStr">
        <is>
          <t xml:space="preserve"> 12/100</t>
        </is>
      </c>
      <c r="X7" s="42" t="inlineStr">
        <is>
          <t>Africa Black 25 +100 Count</t>
        </is>
      </c>
      <c r="Y7" s="37" t="inlineStr">
        <is>
          <t>-</t>
        </is>
      </c>
    </row>
    <row r="8" ht="15" customHeight="1" s="5">
      <c r="A8" s="87" t="inlineStr">
        <is>
          <t>C250- F3-ENV</t>
        </is>
      </c>
      <c r="B8" s="87" t="n">
        <v>250</v>
      </c>
      <c r="C8" s="87" t="n">
        <v>570</v>
      </c>
      <c r="D8" s="87" t="n">
        <v>14</v>
      </c>
      <c r="E8" s="87" t="n">
        <v>12</v>
      </c>
      <c r="F8" s="87" t="n">
        <v>16</v>
      </c>
      <c r="G8" s="87" t="n">
        <v>2</v>
      </c>
      <c r="H8" s="87" t="n">
        <v>4</v>
      </c>
      <c r="I8" s="87" t="n">
        <v>2</v>
      </c>
      <c r="J8" s="88" t="n">
        <v>50</v>
      </c>
      <c r="K8" s="87" t="n">
        <v>520</v>
      </c>
      <c r="L8" s="37" t="n">
        <v>130000</v>
      </c>
      <c r="M8" s="31" t="n">
        <v>1</v>
      </c>
      <c r="N8" s="89" t="n">
        <v>1</v>
      </c>
      <c r="O8" s="90" t="n">
        <v>130000</v>
      </c>
      <c r="P8" s="87" t="n">
        <v>143000</v>
      </c>
      <c r="Q8" s="87" t="n">
        <v>111494</v>
      </c>
      <c r="R8" s="40" t="n">
        <v>0.95</v>
      </c>
      <c r="S8" s="90" t="n">
        <v>123500</v>
      </c>
      <c r="T8" s="31" t="n">
        <v>0</v>
      </c>
      <c r="U8" s="90" t="n">
        <v>0</v>
      </c>
      <c r="V8" s="91" t="n"/>
      <c r="W8" s="37" t="n"/>
      <c r="X8" s="42" t="inlineStr">
        <is>
          <t>No Plan</t>
        </is>
      </c>
      <c r="Y8" s="37" t="inlineStr">
        <is>
          <t>-</t>
        </is>
      </c>
    </row>
    <row r="9" ht="15" customHeight="1" s="5">
      <c r="A9" s="87" t="inlineStr">
        <is>
          <t>C250- F3-HS</t>
        </is>
      </c>
      <c r="B9" s="87" t="n">
        <v>250</v>
      </c>
      <c r="C9" s="87" t="n">
        <v>570</v>
      </c>
      <c r="D9" s="87" t="n">
        <v>14</v>
      </c>
      <c r="E9" s="87" t="n">
        <v>12</v>
      </c>
      <c r="F9" s="87" t="n">
        <v>16</v>
      </c>
      <c r="G9" s="87" t="n">
        <v>1</v>
      </c>
      <c r="H9" s="87" t="n">
        <v>4</v>
      </c>
      <c r="I9" s="87" t="n">
        <v>1</v>
      </c>
      <c r="J9" s="88" t="n">
        <v>48</v>
      </c>
      <c r="K9" s="87" t="n">
        <v>522</v>
      </c>
      <c r="L9" s="37" t="n">
        <v>130500</v>
      </c>
      <c r="M9" s="31" t="n">
        <v>1</v>
      </c>
      <c r="N9" s="89" t="n">
        <v>1.5</v>
      </c>
      <c r="O9" s="90" t="n">
        <v>130500</v>
      </c>
      <c r="P9" s="87" t="n">
        <v>143550</v>
      </c>
      <c r="Q9" s="87" t="n">
        <v>111493</v>
      </c>
      <c r="R9" s="40" t="n">
        <v>0.95</v>
      </c>
      <c r="S9" s="90" t="n">
        <v>123975</v>
      </c>
      <c r="T9" s="31" t="n">
        <v>0</v>
      </c>
      <c r="U9" s="90" t="n">
        <v>0</v>
      </c>
      <c r="V9" s="91" t="n"/>
      <c r="W9" s="37" t="n"/>
      <c r="X9" s="42" t="inlineStr">
        <is>
          <t>No Plan</t>
        </is>
      </c>
      <c r="Y9" s="37" t="inlineStr">
        <is>
          <t>-</t>
        </is>
      </c>
    </row>
    <row r="10" ht="15" customHeight="1" s="5">
      <c r="A10" s="87" t="inlineStr">
        <is>
          <t>Coffee Stick Pack</t>
        </is>
      </c>
      <c r="B10" s="87" t="n">
        <v>40</v>
      </c>
      <c r="C10" s="87" t="n">
        <v>570</v>
      </c>
      <c r="D10" s="87" t="n">
        <v>30</v>
      </c>
      <c r="E10" s="87" t="n"/>
      <c r="F10" s="87" t="n"/>
      <c r="G10" s="87" t="n"/>
      <c r="H10" s="87" t="n"/>
      <c r="I10" s="87" t="n"/>
      <c r="J10" s="88" t="n">
        <v>30</v>
      </c>
      <c r="K10" s="87" t="n">
        <v>540</v>
      </c>
      <c r="L10" s="37" t="n">
        <v>21600</v>
      </c>
      <c r="M10" s="31" t="n">
        <v>1</v>
      </c>
      <c r="N10" s="89" t="n">
        <v>1</v>
      </c>
      <c r="O10" s="90" t="n">
        <v>21600</v>
      </c>
      <c r="P10" s="87" t="n">
        <v>23760</v>
      </c>
      <c r="Q10" s="87" t="n"/>
      <c r="R10" s="40" t="n">
        <v>0.9</v>
      </c>
      <c r="S10" s="90" t="n">
        <v>19440</v>
      </c>
      <c r="T10" s="31" t="n">
        <v>1</v>
      </c>
      <c r="U10" s="90" t="n">
        <v>116640</v>
      </c>
      <c r="V10" s="91" t="n">
        <v>0.0288</v>
      </c>
      <c r="W10" s="37" t="inlineStr">
        <is>
          <t>9/150</t>
        </is>
      </c>
      <c r="X10" s="42" t="inlineStr">
        <is>
          <t>Africa Sticks-Tez/Akouna/Alia 1.5/2 Gms</t>
        </is>
      </c>
      <c r="Y10" s="37" t="inlineStr">
        <is>
          <t>-</t>
        </is>
      </c>
    </row>
    <row r="11" ht="15" customHeight="1" s="5">
      <c r="A11" s="87" t="inlineStr">
        <is>
          <t>CONSTANTA ENV</t>
        </is>
      </c>
      <c r="B11" s="87" t="n">
        <v>125</v>
      </c>
      <c r="C11" s="87" t="n">
        <v>570</v>
      </c>
      <c r="D11" s="87" t="n">
        <v>6</v>
      </c>
      <c r="E11" s="87" t="n">
        <v>0</v>
      </c>
      <c r="F11" s="87" t="n">
        <v>8</v>
      </c>
      <c r="G11" s="87" t="n">
        <v>2</v>
      </c>
      <c r="H11" s="87" t="n">
        <v>1</v>
      </c>
      <c r="I11" s="87" t="n">
        <v>0</v>
      </c>
      <c r="J11" s="88" t="n">
        <v>17</v>
      </c>
      <c r="K11" s="87" t="n">
        <v>553</v>
      </c>
      <c r="L11" s="37" t="n">
        <v>69125</v>
      </c>
      <c r="M11" s="31" t="n">
        <v>9</v>
      </c>
      <c r="N11" s="89" t="n">
        <v>1</v>
      </c>
      <c r="O11" s="90" t="n">
        <v>69125</v>
      </c>
      <c r="P11" s="87" t="n">
        <v>76037.5</v>
      </c>
      <c r="Q11" s="87" t="n">
        <v>62842</v>
      </c>
      <c r="R11" s="40" t="n">
        <v>0.85</v>
      </c>
      <c r="S11" s="90" t="n">
        <v>58756.25</v>
      </c>
      <c r="T11" s="31" t="n">
        <v>2</v>
      </c>
      <c r="U11" s="90" t="n">
        <v>6345675</v>
      </c>
      <c r="V11" s="91" t="n">
        <v>1.68880239520958</v>
      </c>
      <c r="W11" s="92" t="inlineStr">
        <is>
          <t>45/25</t>
        </is>
      </c>
      <c r="X11" s="42" t="inlineStr">
        <is>
          <t>Khaima Cranberry</t>
        </is>
      </c>
      <c r="Y11" s="37" t="inlineStr">
        <is>
          <t>Africa Flavr</t>
        </is>
      </c>
    </row>
    <row r="12" ht="15" customHeight="1" s="5">
      <c r="A12" s="87" t="inlineStr">
        <is>
          <t>CONSTANTA ENV</t>
        </is>
      </c>
      <c r="B12" s="87" t="n">
        <v>125</v>
      </c>
      <c r="C12" s="87" t="n">
        <v>570</v>
      </c>
      <c r="D12" s="87" t="n">
        <v>6</v>
      </c>
      <c r="E12" s="87" t="n">
        <v>0</v>
      </c>
      <c r="F12" s="87" t="n">
        <v>8</v>
      </c>
      <c r="G12" s="87" t="n">
        <v>2</v>
      </c>
      <c r="H12" s="87" t="n">
        <v>1</v>
      </c>
      <c r="I12" s="87" t="n">
        <v>0</v>
      </c>
      <c r="J12" s="88" t="n">
        <v>17</v>
      </c>
      <c r="K12" s="87" t="n">
        <v>553</v>
      </c>
      <c r="L12" s="37" t="n">
        <v>69125</v>
      </c>
      <c r="M12" s="31" t="n">
        <v>23</v>
      </c>
      <c r="N12" s="89" t="n">
        <v>1</v>
      </c>
      <c r="O12" s="90" t="n">
        <v>69125</v>
      </c>
      <c r="P12" s="87" t="n">
        <v>76037.5</v>
      </c>
      <c r="Q12" s="87" t="n">
        <v>62842</v>
      </c>
      <c r="R12" s="40" t="n">
        <v>0.9</v>
      </c>
      <c r="S12" s="90" t="n">
        <v>62212.5</v>
      </c>
      <c r="T12" s="31" t="n">
        <v>2</v>
      </c>
      <c r="U12" s="90" t="n">
        <v>17170650</v>
      </c>
      <c r="V12" s="91" t="n">
        <v>4.48905882352941</v>
      </c>
      <c r="W12" s="37" t="inlineStr">
        <is>
          <t>24/25</t>
        </is>
      </c>
      <c r="X12" s="42" t="inlineStr">
        <is>
          <t>Africa Flavor/First Price</t>
        </is>
      </c>
      <c r="Y12" s="37" t="inlineStr">
        <is>
          <t>-</t>
        </is>
      </c>
    </row>
    <row r="13" ht="15" customHeight="1" s="5">
      <c r="A13" s="87" t="inlineStr">
        <is>
          <t>CONSTANTA FAMILY SIZE</t>
        </is>
      </c>
      <c r="B13" s="87" t="n">
        <v>95</v>
      </c>
      <c r="C13" s="87" t="n">
        <v>570</v>
      </c>
      <c r="D13" s="87" t="n">
        <v>10</v>
      </c>
      <c r="E13" s="87" t="n">
        <v>12</v>
      </c>
      <c r="F13" s="87" t="inlineStr">
        <is>
          <t>-</t>
        </is>
      </c>
      <c r="G13" s="87" t="n">
        <v>6</v>
      </c>
      <c r="H13" s="87" t="n">
        <v>2</v>
      </c>
      <c r="I13" s="87" t="n">
        <v>0</v>
      </c>
      <c r="J13" s="88" t="n">
        <v>30</v>
      </c>
      <c r="K13" s="87" t="n">
        <v>540</v>
      </c>
      <c r="L13" s="37" t="n">
        <v>51300</v>
      </c>
      <c r="M13" s="31" t="n">
        <v>2</v>
      </c>
      <c r="N13" s="89" t="n">
        <v>1</v>
      </c>
      <c r="O13" s="90" t="n">
        <v>51300</v>
      </c>
      <c r="P13" s="87" t="n">
        <v>56430</v>
      </c>
      <c r="Q13" s="87" t="n">
        <v>0</v>
      </c>
      <c r="R13" s="40" t="n">
        <v>0.95</v>
      </c>
      <c r="S13" s="90" t="n">
        <v>48735</v>
      </c>
      <c r="T13" s="31" t="n">
        <v>2</v>
      </c>
      <c r="U13" s="90" t="n">
        <v>1169640</v>
      </c>
      <c r="V13" s="91" t="n">
        <v>1.42001748251748</v>
      </c>
      <c r="W13" s="37" t="inlineStr">
        <is>
          <t xml:space="preserve"> 6/24</t>
        </is>
      </c>
      <c r="X13" s="42" t="inlineStr">
        <is>
          <t>Chestnut</t>
        </is>
      </c>
      <c r="Y13" s="37" t="inlineStr">
        <is>
          <t>-</t>
        </is>
      </c>
    </row>
    <row r="14" ht="15" customHeight="1" s="5">
      <c r="A14" s="87" t="inlineStr">
        <is>
          <t>CONSTANTA TAG</t>
        </is>
      </c>
      <c r="B14" s="87" t="n">
        <v>120</v>
      </c>
      <c r="C14" s="87" t="n">
        <v>570</v>
      </c>
      <c r="D14" s="87" t="n">
        <v>8</v>
      </c>
      <c r="E14" s="87" t="n">
        <v>12</v>
      </c>
      <c r="F14" s="87" t="n">
        <v>0</v>
      </c>
      <c r="G14" s="87" t="n">
        <v>5</v>
      </c>
      <c r="H14" s="87" t="n">
        <v>2</v>
      </c>
      <c r="I14" s="87" t="n">
        <v>0</v>
      </c>
      <c r="J14" s="88" t="n">
        <v>27</v>
      </c>
      <c r="K14" s="87" t="n">
        <v>543</v>
      </c>
      <c r="L14" s="37" t="n">
        <v>65160</v>
      </c>
      <c r="M14" s="31" t="n">
        <v>3</v>
      </c>
      <c r="N14" s="89" t="n">
        <v>1</v>
      </c>
      <c r="O14" s="90" t="n">
        <v>65160</v>
      </c>
      <c r="P14" s="87" t="n">
        <v>71676</v>
      </c>
      <c r="Q14" s="87" t="n">
        <v>57030</v>
      </c>
      <c r="R14" s="40" t="n">
        <v>0.95</v>
      </c>
      <c r="S14" s="90" t="n">
        <v>61902</v>
      </c>
      <c r="T14" s="31" t="n">
        <v>1</v>
      </c>
      <c r="U14" s="90" t="n">
        <v>1114236</v>
      </c>
      <c r="V14" s="91" t="n">
        <v>0.345435267857143</v>
      </c>
      <c r="W14" s="37" t="inlineStr">
        <is>
          <t>12/100</t>
        </is>
      </c>
      <c r="X14" s="42" t="inlineStr">
        <is>
          <t>Diplomat/ Russia TBGS</t>
        </is>
      </c>
      <c r="Y14" s="37" t="inlineStr">
        <is>
          <t>Barissiomo 100/Diplomat</t>
        </is>
      </c>
    </row>
    <row r="15" ht="15" customHeight="1" s="5">
      <c r="A15" s="87" t="inlineStr">
        <is>
          <t>CONSTANTA TAG (D)</t>
        </is>
      </c>
      <c r="B15" s="87" t="n">
        <v>120</v>
      </c>
      <c r="C15" s="87" t="n">
        <v>570</v>
      </c>
      <c r="D15" s="87" t="n">
        <v>8</v>
      </c>
      <c r="E15" s="87" t="n">
        <v>12</v>
      </c>
      <c r="F15" s="87" t="n">
        <v>0</v>
      </c>
      <c r="G15" s="87" t="n">
        <v>5</v>
      </c>
      <c r="H15" s="87" t="n">
        <v>2</v>
      </c>
      <c r="I15" s="87" t="n">
        <v>0</v>
      </c>
      <c r="J15" s="88" t="n">
        <v>27</v>
      </c>
      <c r="K15" s="87" t="n">
        <v>543</v>
      </c>
      <c r="L15" s="37" t="n">
        <v>65160</v>
      </c>
      <c r="M15" s="31" t="n">
        <v>3</v>
      </c>
      <c r="N15" s="89" t="n">
        <v>1</v>
      </c>
      <c r="O15" s="90" t="n">
        <v>65160</v>
      </c>
      <c r="P15" s="87" t="n">
        <v>71676</v>
      </c>
      <c r="Q15" s="87" t="n">
        <v>57030</v>
      </c>
      <c r="R15" s="40" t="n">
        <v>0.95</v>
      </c>
      <c r="S15" s="90" t="n">
        <v>61902</v>
      </c>
      <c r="T15" s="31" t="n">
        <v>1</v>
      </c>
      <c r="U15" s="90" t="n">
        <v>1114236</v>
      </c>
      <c r="V15" s="91" t="n">
        <v>0.345435267857143</v>
      </c>
      <c r="W15" s="37" t="inlineStr">
        <is>
          <t>12/100</t>
        </is>
      </c>
      <c r="X15" s="42" t="inlineStr">
        <is>
          <t>Diplomat/ Russia TBGS</t>
        </is>
      </c>
      <c r="Y15" s="37" t="inlineStr">
        <is>
          <t>Barissiomo 100/Diplomat</t>
        </is>
      </c>
    </row>
    <row r="16" ht="15" customHeight="1" s="5">
      <c r="A16" s="87" t="inlineStr">
        <is>
          <t>Instant Tea (Single Track)</t>
        </is>
      </c>
      <c r="B16" s="87" t="n">
        <v>14</v>
      </c>
      <c r="C16" s="87" t="n">
        <v>570</v>
      </c>
      <c r="D16" s="87" t="n">
        <v>20</v>
      </c>
      <c r="E16" s="87" t="n"/>
      <c r="F16" s="87" t="n"/>
      <c r="G16" s="87" t="n"/>
      <c r="H16" s="87" t="n"/>
      <c r="I16" s="87" t="n">
        <v>0</v>
      </c>
      <c r="J16" s="88" t="n">
        <v>20</v>
      </c>
      <c r="K16" s="87" t="n">
        <v>550</v>
      </c>
      <c r="L16" s="37" t="n">
        <v>7700</v>
      </c>
      <c r="M16" s="31" t="n">
        <v>1</v>
      </c>
      <c r="N16" s="89" t="n">
        <v>1</v>
      </c>
      <c r="O16" s="90" t="n">
        <v>7700</v>
      </c>
      <c r="P16" s="87" t="n">
        <v>8470</v>
      </c>
      <c r="Q16" s="87" t="n">
        <v>5214</v>
      </c>
      <c r="R16" s="40" t="n">
        <v>0.9</v>
      </c>
      <c r="S16" s="90" t="n">
        <v>6930</v>
      </c>
      <c r="T16" s="31" t="n">
        <v>1</v>
      </c>
      <c r="U16" s="90" t="n">
        <v>41580</v>
      </c>
      <c r="V16" s="91" t="n">
        <v>0.0458333333333333</v>
      </c>
      <c r="W16" s="37" t="inlineStr">
        <is>
          <t xml:space="preserve"> 6/10</t>
        </is>
      </c>
      <c r="X16" s="42" t="inlineStr">
        <is>
          <t>Tea India Chai Moments</t>
        </is>
      </c>
      <c r="Y16" s="37" t="inlineStr">
        <is>
          <t>-</t>
        </is>
      </c>
    </row>
    <row r="17" ht="15" customHeight="1" s="5">
      <c r="A17" s="87" t="inlineStr">
        <is>
          <t>MAISA ENV</t>
        </is>
      </c>
      <c r="B17" s="87" t="n">
        <v>100</v>
      </c>
      <c r="C17" s="87" t="n">
        <v>570</v>
      </c>
      <c r="D17" s="87" t="n">
        <v>6</v>
      </c>
      <c r="E17" s="87" t="n">
        <v>8</v>
      </c>
      <c r="F17" s="87" t="n">
        <v>10</v>
      </c>
      <c r="G17" s="87" t="n">
        <v>0</v>
      </c>
      <c r="H17" s="87" t="n">
        <v>2</v>
      </c>
      <c r="I17" s="87" t="n">
        <v>0</v>
      </c>
      <c r="J17" s="88" t="n">
        <v>26</v>
      </c>
      <c r="K17" s="87" t="n">
        <v>544</v>
      </c>
      <c r="L17" s="37" t="n">
        <v>54400</v>
      </c>
      <c r="M17" s="31" t="n">
        <v>2</v>
      </c>
      <c r="N17" s="89" t="n">
        <v>1</v>
      </c>
      <c r="O17" s="90" t="n">
        <v>54400</v>
      </c>
      <c r="P17" s="87" t="n">
        <v>59840</v>
      </c>
      <c r="Q17" s="87" t="n">
        <v>46118</v>
      </c>
      <c r="R17" s="40" t="n">
        <v>0.95</v>
      </c>
      <c r="S17" s="90" t="n">
        <v>51680</v>
      </c>
      <c r="T17" s="31" t="n">
        <v>1</v>
      </c>
      <c r="U17" s="90" t="n">
        <v>620160</v>
      </c>
      <c r="V17" s="91" t="n">
        <v>0.31207729468599</v>
      </c>
      <c r="W17" s="37" t="inlineStr">
        <is>
          <t>12/100</t>
        </is>
      </c>
      <c r="X17" s="42" t="inlineStr">
        <is>
          <t>USA-Sprouts/Keefe</t>
        </is>
      </c>
      <c r="Y17" s="37" t="inlineStr">
        <is>
          <t>-</t>
        </is>
      </c>
    </row>
    <row r="18" ht="15" customHeight="1" s="5">
      <c r="A18" s="87" t="inlineStr">
        <is>
          <t>MAISA TAGLESS</t>
        </is>
      </c>
      <c r="B18" s="87" t="n">
        <v>120</v>
      </c>
      <c r="C18" s="87" t="n">
        <v>570</v>
      </c>
      <c r="D18" s="87" t="n">
        <v>15</v>
      </c>
      <c r="E18" s="87" t="n">
        <v>0</v>
      </c>
      <c r="F18" s="87" t="n">
        <v>0</v>
      </c>
      <c r="G18" s="87" t="n">
        <v>0</v>
      </c>
      <c r="H18" s="87" t="n">
        <v>0</v>
      </c>
      <c r="I18" s="87" t="n">
        <v>0</v>
      </c>
      <c r="J18" s="88" t="n">
        <v>15</v>
      </c>
      <c r="K18" s="87" t="n">
        <v>555</v>
      </c>
      <c r="L18" s="37" t="n">
        <v>66600</v>
      </c>
      <c r="M18" s="31" t="n">
        <v>7</v>
      </c>
      <c r="N18" s="89" t="n">
        <v>0.75</v>
      </c>
      <c r="O18" s="90" t="n">
        <v>66600</v>
      </c>
      <c r="P18" s="87" t="n">
        <v>73260</v>
      </c>
      <c r="Q18" s="87" t="n">
        <v>60092</v>
      </c>
      <c r="R18" s="40" t="n">
        <v>0.95</v>
      </c>
      <c r="S18" s="90" t="n">
        <v>63270</v>
      </c>
      <c r="T18" s="31" t="n">
        <v>1</v>
      </c>
      <c r="U18" s="90" t="n">
        <v>2657340</v>
      </c>
      <c r="V18" s="37" t="n">
        <v>0.3954375</v>
      </c>
      <c r="W18" s="37" t="inlineStr">
        <is>
          <t>24/100</t>
        </is>
      </c>
      <c r="X18" s="42" t="inlineStr">
        <is>
          <t>Africa Tagless-Padi/Gold Bond</t>
        </is>
      </c>
      <c r="Y18" s="37" t="inlineStr">
        <is>
          <t>-</t>
        </is>
      </c>
    </row>
    <row r="19" ht="15" customHeight="1" s="5">
      <c r="A19" s="87" t="inlineStr">
        <is>
          <t>MD20 4GM TAG</t>
        </is>
      </c>
      <c r="B19" s="87" t="n">
        <v>125</v>
      </c>
      <c r="C19" s="87" t="n">
        <v>570</v>
      </c>
      <c r="D19" s="87" t="n">
        <v>9</v>
      </c>
      <c r="E19" s="87" t="n">
        <v>9</v>
      </c>
      <c r="F19" s="87" t="n">
        <v>0</v>
      </c>
      <c r="G19" s="87" t="n">
        <v>0</v>
      </c>
      <c r="H19" s="87" t="n">
        <v>4</v>
      </c>
      <c r="I19" s="87" t="n">
        <v>0</v>
      </c>
      <c r="J19" s="88" t="n">
        <v>22</v>
      </c>
      <c r="K19" s="87" t="n">
        <v>548</v>
      </c>
      <c r="L19" s="37" t="n">
        <v>68500</v>
      </c>
      <c r="M19" s="31" t="n">
        <v>1</v>
      </c>
      <c r="N19" s="89" t="n">
        <v>1</v>
      </c>
      <c r="O19" s="90" t="n">
        <v>68500</v>
      </c>
      <c r="P19" s="87" t="n">
        <v>75350</v>
      </c>
      <c r="Q19" s="87" t="n">
        <v>0</v>
      </c>
      <c r="R19" s="40" t="n">
        <v>0.95</v>
      </c>
      <c r="S19" s="90" t="n">
        <v>65075</v>
      </c>
      <c r="T19" s="31" t="n">
        <v>1</v>
      </c>
      <c r="U19" s="90" t="n">
        <v>390450</v>
      </c>
      <c r="V19" s="91" t="n">
        <v>0.201745411706349</v>
      </c>
      <c r="W19" s="92" t="inlineStr">
        <is>
          <t xml:space="preserve"> 12/40</t>
        </is>
      </c>
      <c r="X19" s="42" t="inlineStr">
        <is>
          <t>Jumbo 4 Gms</t>
        </is>
      </c>
      <c r="Y19" s="37" t="inlineStr">
        <is>
          <t>-</t>
        </is>
      </c>
    </row>
    <row r="20" ht="15" customHeight="1" s="5">
      <c r="A20" s="87" t="inlineStr">
        <is>
          <t xml:space="preserve">MD20 ENV </t>
        </is>
      </c>
      <c r="B20" s="87" t="n">
        <v>185</v>
      </c>
      <c r="C20" s="87" t="n">
        <v>570</v>
      </c>
      <c r="D20" s="87" t="n">
        <v>10</v>
      </c>
      <c r="E20" s="87" t="n">
        <v>6</v>
      </c>
      <c r="F20" s="87" t="n">
        <v>20</v>
      </c>
      <c r="G20" s="87" t="n">
        <v>1</v>
      </c>
      <c r="H20" s="87" t="n">
        <v>4</v>
      </c>
      <c r="I20" s="87" t="n">
        <v>1</v>
      </c>
      <c r="J20" s="88" t="n">
        <v>42</v>
      </c>
      <c r="K20" s="87" t="n">
        <v>528</v>
      </c>
      <c r="L20" s="37" t="n">
        <v>97680</v>
      </c>
      <c r="M20" s="31" t="n">
        <v>4</v>
      </c>
      <c r="N20" s="89" t="n">
        <v>1</v>
      </c>
      <c r="O20" s="90" t="n">
        <v>97680</v>
      </c>
      <c r="P20" s="87" t="n">
        <v>107448</v>
      </c>
      <c r="Q20" s="87" t="n">
        <v>72666</v>
      </c>
      <c r="R20" s="40" t="n">
        <v>0.95</v>
      </c>
      <c r="S20" s="90" t="n">
        <v>92796</v>
      </c>
      <c r="T20" s="31" t="n">
        <v>2</v>
      </c>
      <c r="U20" s="90" t="n">
        <v>4454208</v>
      </c>
      <c r="V20" s="91" t="n">
        <v>1.11132934131737</v>
      </c>
      <c r="W20" s="37" t="inlineStr">
        <is>
          <t xml:space="preserve"> 12/100</t>
        </is>
      </c>
      <c r="X20" s="42" t="inlineStr">
        <is>
          <t>Africa 100 Count-Chaya/Premier/Boni</t>
        </is>
      </c>
      <c r="Y20" s="37" t="inlineStr">
        <is>
          <t>-</t>
        </is>
      </c>
    </row>
    <row r="21" ht="15" customHeight="1" s="5">
      <c r="A21" s="87" t="inlineStr">
        <is>
          <t>MD20 HS</t>
        </is>
      </c>
      <c r="B21" s="87" t="n">
        <v>170</v>
      </c>
      <c r="C21" s="87" t="n">
        <v>570</v>
      </c>
      <c r="D21" s="87" t="n">
        <v>10</v>
      </c>
      <c r="E21" s="87" t="n">
        <v>6</v>
      </c>
      <c r="F21" s="87" t="n">
        <v>24</v>
      </c>
      <c r="G21" s="87" t="n">
        <v>0</v>
      </c>
      <c r="H21" s="87" t="n">
        <v>4</v>
      </c>
      <c r="I21" s="87" t="n">
        <v>0</v>
      </c>
      <c r="J21" s="88" t="n">
        <v>44</v>
      </c>
      <c r="K21" s="87" t="n">
        <v>526</v>
      </c>
      <c r="L21" s="37" t="n">
        <v>89420</v>
      </c>
      <c r="M21" s="31" t="n">
        <v>2</v>
      </c>
      <c r="N21" s="89" t="n">
        <v>1.5</v>
      </c>
      <c r="O21" s="90" t="n">
        <v>89420</v>
      </c>
      <c r="P21" s="87" t="n">
        <v>98362</v>
      </c>
      <c r="Q21" s="87" t="n">
        <v>37920</v>
      </c>
      <c r="R21" s="40" t="n">
        <v>0.85</v>
      </c>
      <c r="S21" s="90" t="n">
        <v>76007</v>
      </c>
      <c r="T21" s="31" t="n">
        <v>2</v>
      </c>
      <c r="U21" s="90" t="n">
        <v>1824168</v>
      </c>
      <c r="V21" s="91" t="n">
        <v>0.935470769230769</v>
      </c>
      <c r="W21" s="37" t="inlineStr">
        <is>
          <t xml:space="preserve"> 12/25</t>
        </is>
      </c>
      <c r="X21" s="42" t="inlineStr">
        <is>
          <t>Russia Flavr/Great Value/Domestic</t>
        </is>
      </c>
      <c r="Y21" s="37" t="inlineStr">
        <is>
          <t>-</t>
        </is>
      </c>
    </row>
    <row r="22" ht="15" customHeight="1" s="5">
      <c r="A22" s="87" t="inlineStr">
        <is>
          <t>PAKONA 250GMS/500GMS/1000GMS</t>
        </is>
      </c>
      <c r="B22" s="87" t="n">
        <v>20</v>
      </c>
      <c r="C22" s="87" t="n">
        <v>570</v>
      </c>
      <c r="D22" s="87" t="n">
        <v>20</v>
      </c>
      <c r="E22" s="87" t="n">
        <v>0</v>
      </c>
      <c r="F22" s="87" t="n">
        <v>0</v>
      </c>
      <c r="G22" s="87" t="n">
        <v>0</v>
      </c>
      <c r="H22" s="87" t="n">
        <v>0</v>
      </c>
      <c r="I22" s="87" t="n">
        <v>0</v>
      </c>
      <c r="J22" s="88" t="n">
        <v>20</v>
      </c>
      <c r="K22" s="87" t="n">
        <v>550</v>
      </c>
      <c r="L22" s="37" t="n">
        <v>11000</v>
      </c>
      <c r="M22" s="31" t="n">
        <v>1</v>
      </c>
      <c r="N22" s="89" t="n">
        <v>1</v>
      </c>
      <c r="O22" s="90" t="n">
        <v>11000</v>
      </c>
      <c r="P22" s="87" t="n">
        <v>12100</v>
      </c>
      <c r="Q22" s="87" t="n">
        <v>7456</v>
      </c>
      <c r="R22" s="40" t="n">
        <v>0.9</v>
      </c>
      <c r="S22" s="90" t="n">
        <v>9900</v>
      </c>
      <c r="T22" s="31" t="n">
        <v>1</v>
      </c>
      <c r="U22" s="90" t="n">
        <v>59400</v>
      </c>
      <c r="V22" s="91" t="n"/>
      <c r="W22" s="37" t="n"/>
      <c r="X22" s="42" t="inlineStr">
        <is>
          <t>Domestic</t>
        </is>
      </c>
      <c r="Y22" s="37" t="inlineStr">
        <is>
          <t>-</t>
        </is>
      </c>
    </row>
    <row r="23" ht="15" customHeight="1" s="5">
      <c r="A23" s="87" t="inlineStr">
        <is>
          <t>Pearl Pack-FFS POUCH</t>
        </is>
      </c>
      <c r="B23" s="87" t="n">
        <v>24</v>
      </c>
      <c r="C23" s="87" t="n">
        <v>570</v>
      </c>
      <c r="D23" s="87" t="n">
        <v>20</v>
      </c>
      <c r="E23" s="87" t="n">
        <v>0</v>
      </c>
      <c r="F23" s="87" t="n">
        <v>0</v>
      </c>
      <c r="G23" s="87" t="n">
        <v>0</v>
      </c>
      <c r="H23" s="87" t="n">
        <v>0</v>
      </c>
      <c r="I23" s="87" t="n">
        <v>0</v>
      </c>
      <c r="J23" s="88" t="n">
        <v>20</v>
      </c>
      <c r="K23" s="87" t="n">
        <v>550</v>
      </c>
      <c r="L23" s="37" t="n">
        <v>13200</v>
      </c>
      <c r="M23" s="31" t="n">
        <v>1</v>
      </c>
      <c r="N23" s="89" t="n">
        <v>1</v>
      </c>
      <c r="O23" s="90" t="n">
        <v>13200</v>
      </c>
      <c r="P23" s="87" t="n">
        <v>14520</v>
      </c>
      <c r="Q23" s="87" t="n">
        <v>3850</v>
      </c>
      <c r="R23" s="40" t="n">
        <v>0.9</v>
      </c>
      <c r="S23" s="90" t="n">
        <v>11880</v>
      </c>
      <c r="T23" s="31" t="n">
        <v>1</v>
      </c>
      <c r="U23" s="90" t="n">
        <v>71280</v>
      </c>
      <c r="V23" s="91" t="n"/>
      <c r="W23" s="37" t="n"/>
      <c r="X23" s="42" t="inlineStr">
        <is>
          <t>Domestic</t>
        </is>
      </c>
      <c r="Y23" s="42" t="inlineStr">
        <is>
          <t>-</t>
        </is>
      </c>
    </row>
    <row r="24" ht="15" customHeight="1" s="5">
      <c r="A24" s="87" t="inlineStr">
        <is>
          <t xml:space="preserve">Pearl Pack-FFS POUCH Tea India </t>
        </is>
      </c>
      <c r="B24" s="87" t="n">
        <v>10</v>
      </c>
      <c r="C24" s="87" t="n">
        <v>570</v>
      </c>
      <c r="D24" s="87" t="n">
        <v>20</v>
      </c>
      <c r="E24" s="87" t="n">
        <v>0</v>
      </c>
      <c r="F24" s="87" t="n">
        <v>0</v>
      </c>
      <c r="G24" s="87" t="n">
        <v>0</v>
      </c>
      <c r="H24" s="87" t="n">
        <v>0</v>
      </c>
      <c r="I24" s="87" t="n">
        <v>0</v>
      </c>
      <c r="J24" s="88" t="n">
        <v>20</v>
      </c>
      <c r="K24" s="87" t="n">
        <v>550</v>
      </c>
      <c r="L24" s="37" t="n">
        <v>5500</v>
      </c>
      <c r="M24" s="31" t="n">
        <v>0.5</v>
      </c>
      <c r="N24" s="89" t="n">
        <v>1</v>
      </c>
      <c r="O24" s="90" t="n">
        <v>5500</v>
      </c>
      <c r="P24" s="87" t="n">
        <v>6050</v>
      </c>
      <c r="Q24" s="87" t="n">
        <v>3850</v>
      </c>
      <c r="R24" s="40" t="n">
        <v>0.9</v>
      </c>
      <c r="S24" s="90" t="n">
        <v>4950</v>
      </c>
      <c r="T24" s="31" t="n">
        <v>1</v>
      </c>
      <c r="U24" s="90" t="n">
        <v>14850</v>
      </c>
      <c r="V24" s="91" t="n">
        <v>0.61875</v>
      </c>
      <c r="W24" s="37" t="inlineStr">
        <is>
          <t xml:space="preserve"> 12/2</t>
        </is>
      </c>
      <c r="X24" s="42" t="inlineStr">
        <is>
          <t>Tea India 1 lb/2lbs/ Garant 150 Gms pouch</t>
        </is>
      </c>
      <c r="Y24" s="37" t="inlineStr">
        <is>
          <t>-</t>
        </is>
      </c>
    </row>
    <row r="25" ht="15" customHeight="1" s="5">
      <c r="A25" s="87" t="inlineStr">
        <is>
          <t>PEARL PACK-PREMIX</t>
        </is>
      </c>
      <c r="B25" s="87" t="n">
        <v>30</v>
      </c>
      <c r="C25" s="87" t="n">
        <v>570</v>
      </c>
      <c r="D25" s="87" t="n">
        <v>20</v>
      </c>
      <c r="E25" s="87" t="n">
        <v>0</v>
      </c>
      <c r="F25" s="87" t="n">
        <v>0</v>
      </c>
      <c r="G25" s="87" t="n">
        <v>0</v>
      </c>
      <c r="H25" s="87" t="n">
        <v>0</v>
      </c>
      <c r="I25" s="87" t="n">
        <v>0</v>
      </c>
      <c r="J25" s="88" t="n">
        <v>20</v>
      </c>
      <c r="K25" s="87" t="n">
        <v>550</v>
      </c>
      <c r="L25" s="37" t="n">
        <v>16500</v>
      </c>
      <c r="M25" s="31" t="n">
        <v>1</v>
      </c>
      <c r="N25" s="89" t="n">
        <v>1</v>
      </c>
      <c r="O25" s="90" t="n">
        <v>16500</v>
      </c>
      <c r="P25" s="87" t="n">
        <v>18150</v>
      </c>
      <c r="Q25" s="87" t="n">
        <v>11787</v>
      </c>
      <c r="R25" s="40" t="n">
        <v>0.9</v>
      </c>
      <c r="S25" s="90" t="n">
        <v>14850</v>
      </c>
      <c r="T25" s="31" t="n">
        <v>1</v>
      </c>
      <c r="U25" s="90" t="n">
        <v>89100</v>
      </c>
      <c r="V25" s="91" t="n">
        <v>0.12375</v>
      </c>
      <c r="W25" s="93" t="inlineStr">
        <is>
          <t xml:space="preserve"> 12/10</t>
        </is>
      </c>
      <c r="X25" s="42" t="inlineStr">
        <is>
          <t>Africa Premix-Coffee/Chocolate</t>
        </is>
      </c>
      <c r="Y25" s="42" t="inlineStr">
        <is>
          <t>Africa Cappuccino/ Coffee/Chocolate</t>
        </is>
      </c>
    </row>
    <row r="26" ht="28.5" customHeight="1" s="5">
      <c r="A26" s="94" t="inlineStr">
        <is>
          <t>PEARL PACK-PREMIX - cappuccino</t>
        </is>
      </c>
      <c r="B26" s="95" t="n">
        <v>30</v>
      </c>
      <c r="C26" s="95" t="n">
        <v>570</v>
      </c>
      <c r="D26" s="95" t="n">
        <v>20</v>
      </c>
      <c r="E26" s="95" t="n">
        <v>0</v>
      </c>
      <c r="F26" s="95" t="n">
        <v>0</v>
      </c>
      <c r="G26" s="95" t="n">
        <v>0</v>
      </c>
      <c r="H26" s="95" t="n">
        <v>0</v>
      </c>
      <c r="I26" s="95" t="n">
        <v>0</v>
      </c>
      <c r="J26" s="96" t="n">
        <v>20</v>
      </c>
      <c r="K26" s="95" t="n">
        <v>550</v>
      </c>
      <c r="L26" s="31" t="n">
        <v>16500</v>
      </c>
      <c r="M26" s="31" t="n">
        <v>1</v>
      </c>
      <c r="N26" s="95" t="n">
        <v>1</v>
      </c>
      <c r="O26" s="90" t="n">
        <v>16500</v>
      </c>
      <c r="P26" s="87" t="n">
        <v>18150</v>
      </c>
      <c r="Q26" s="95" t="n">
        <v>11742</v>
      </c>
      <c r="R26" s="40" t="n">
        <v>0.9</v>
      </c>
      <c r="S26" s="90" t="n">
        <v>14850</v>
      </c>
      <c r="T26" s="31" t="n">
        <v>1</v>
      </c>
      <c r="U26" s="90" t="n">
        <v>89100</v>
      </c>
      <c r="V26" s="91" t="n">
        <v>0.1546875</v>
      </c>
      <c r="W26" s="93" t="inlineStr">
        <is>
          <t xml:space="preserve"> 12/10</t>
        </is>
      </c>
      <c r="X26" s="42" t="inlineStr">
        <is>
          <t>Africa Cappuccino/ Coffee/Chocolate</t>
        </is>
      </c>
      <c r="Y26" s="42" t="inlineStr">
        <is>
          <t>Africa Premix-Coffee/Chocolate</t>
        </is>
      </c>
    </row>
    <row r="27" ht="15" customHeight="1" s="5">
      <c r="A27" s="87" t="inlineStr">
        <is>
          <t>PERFACTA TAG</t>
        </is>
      </c>
      <c r="B27" s="87" t="n">
        <v>300</v>
      </c>
      <c r="C27" s="87" t="n">
        <v>570</v>
      </c>
      <c r="D27" s="87" t="n">
        <v>14</v>
      </c>
      <c r="E27" s="87" t="n">
        <v>18</v>
      </c>
      <c r="F27" s="87" t="n">
        <v>0</v>
      </c>
      <c r="G27" s="87" t="n">
        <v>10</v>
      </c>
      <c r="H27" s="87" t="n">
        <v>0</v>
      </c>
      <c r="I27" s="87" t="n">
        <v>3</v>
      </c>
      <c r="J27" s="88" t="n">
        <v>45</v>
      </c>
      <c r="K27" s="87" t="n">
        <v>525</v>
      </c>
      <c r="L27" s="37" t="n">
        <v>157500</v>
      </c>
      <c r="M27" s="31" t="n">
        <v>2</v>
      </c>
      <c r="N27" s="89" t="n">
        <v>1</v>
      </c>
      <c r="O27" s="90" t="n">
        <v>157500</v>
      </c>
      <c r="P27" s="87" t="n">
        <v>173250</v>
      </c>
      <c r="Q27" s="87" t="n">
        <v>131841</v>
      </c>
      <c r="R27" s="40" t="n">
        <v>0.95</v>
      </c>
      <c r="S27" s="90" t="n">
        <v>149625</v>
      </c>
      <c r="T27" s="31" t="n">
        <v>2</v>
      </c>
      <c r="U27" s="90" t="n">
        <v>3591000</v>
      </c>
      <c r="V27" s="97" t="n">
        <v>1.29545454545455</v>
      </c>
      <c r="W27" s="37" t="inlineStr">
        <is>
          <t xml:space="preserve"> 6/100</t>
        </is>
      </c>
      <c r="X27" s="42" t="inlineStr">
        <is>
          <t>Barissimo Black 100 Count</t>
        </is>
      </c>
      <c r="Y27" s="37" t="inlineStr">
        <is>
          <t>Diplomat</t>
        </is>
      </c>
    </row>
    <row r="28" ht="15" customHeight="1" s="5">
      <c r="A28" s="87" t="inlineStr">
        <is>
          <t>PERFECTA  K 45 TAG (2G)</t>
        </is>
      </c>
      <c r="B28" s="87" t="n">
        <v>250</v>
      </c>
      <c r="C28" s="87" t="n">
        <v>570</v>
      </c>
      <c r="D28" s="87" t="n">
        <v>14</v>
      </c>
      <c r="E28" s="87" t="n">
        <v>18</v>
      </c>
      <c r="F28" s="87" t="n">
        <v>0</v>
      </c>
      <c r="G28" s="87" t="n">
        <v>0</v>
      </c>
      <c r="H28" s="87" t="n">
        <v>10</v>
      </c>
      <c r="I28" s="87" t="n">
        <v>3</v>
      </c>
      <c r="J28" s="88" t="n">
        <v>45</v>
      </c>
      <c r="K28" s="87" t="n">
        <v>525</v>
      </c>
      <c r="L28" s="37" t="n">
        <v>131250</v>
      </c>
      <c r="M28" s="31" t="n">
        <v>1</v>
      </c>
      <c r="N28" s="89" t="n">
        <v>1</v>
      </c>
      <c r="O28" s="90" t="n">
        <v>131250</v>
      </c>
      <c r="P28" s="87" t="n">
        <v>144375</v>
      </c>
      <c r="Q28" s="87" t="n">
        <v>86499</v>
      </c>
      <c r="R28" s="40" t="n">
        <v>0.95</v>
      </c>
      <c r="S28" s="90" t="n">
        <v>124687.5</v>
      </c>
      <c r="T28" s="31" t="n">
        <v>2</v>
      </c>
      <c r="U28" s="90" t="n">
        <v>1496250</v>
      </c>
      <c r="V28" s="97" t="n">
        <v>0.494791666666667</v>
      </c>
      <c r="W28" s="37" t="inlineStr">
        <is>
          <t xml:space="preserve"> 6/100</t>
        </is>
      </c>
      <c r="X28" s="42" t="inlineStr">
        <is>
          <t>Garant/Russia</t>
        </is>
      </c>
      <c r="Y28" s="37" t="inlineStr">
        <is>
          <t>Barissiomo 100/Diplomat</t>
        </is>
      </c>
    </row>
    <row r="29" ht="15" customHeight="1" s="5">
      <c r="A29" s="87" t="inlineStr">
        <is>
          <t>PERFECTA ENV</t>
        </is>
      </c>
      <c r="B29" s="87" t="n">
        <v>280</v>
      </c>
      <c r="C29" s="87" t="n">
        <v>570</v>
      </c>
      <c r="D29" s="87" t="n">
        <v>14</v>
      </c>
      <c r="E29" s="87" t="n">
        <v>0</v>
      </c>
      <c r="F29" s="87" t="n">
        <v>8</v>
      </c>
      <c r="G29" s="87" t="n">
        <v>2</v>
      </c>
      <c r="H29" s="87" t="n">
        <v>4</v>
      </c>
      <c r="I29" s="87" t="n">
        <v>3</v>
      </c>
      <c r="J29" s="88" t="n">
        <v>31</v>
      </c>
      <c r="K29" s="87" t="n">
        <v>539</v>
      </c>
      <c r="L29" s="37" t="n">
        <v>150920</v>
      </c>
      <c r="M29" s="31" t="n">
        <v>3</v>
      </c>
      <c r="N29" s="89" t="n">
        <v>1</v>
      </c>
      <c r="O29" s="90" t="n">
        <v>150920</v>
      </c>
      <c r="P29" s="87" t="n">
        <v>166012</v>
      </c>
      <c r="Q29" s="87" t="n">
        <v>126152</v>
      </c>
      <c r="R29" s="40" t="n">
        <v>0.95</v>
      </c>
      <c r="S29" s="90" t="n">
        <v>143374</v>
      </c>
      <c r="T29" s="31" t="n">
        <v>2</v>
      </c>
      <c r="U29" s="90" t="n">
        <v>5161464</v>
      </c>
      <c r="V29" s="97" t="n">
        <v>1.28779041916168</v>
      </c>
      <c r="W29" s="37" t="inlineStr">
        <is>
          <t xml:space="preserve"> 12/100</t>
        </is>
      </c>
      <c r="X29" s="42" t="inlineStr">
        <is>
          <t>Africa 100 Count-Chaya/Premier</t>
        </is>
      </c>
      <c r="Y29" s="37" t="inlineStr">
        <is>
          <t>-</t>
        </is>
      </c>
    </row>
    <row r="30" ht="28.5" customHeight="1" s="5">
      <c r="A30" s="87" t="inlineStr">
        <is>
          <t xml:space="preserve">Shubam-FFS POUCH </t>
        </is>
      </c>
      <c r="B30" s="87" t="n">
        <v>190</v>
      </c>
      <c r="C30" s="87" t="n">
        <v>570</v>
      </c>
      <c r="D30" s="87" t="n">
        <v>40</v>
      </c>
      <c r="E30" s="87" t="n">
        <v>0</v>
      </c>
      <c r="F30" s="87" t="n">
        <v>0</v>
      </c>
      <c r="G30" s="87" t="n">
        <v>0</v>
      </c>
      <c r="H30" s="87" t="n">
        <v>0</v>
      </c>
      <c r="I30" s="87" t="n">
        <v>0</v>
      </c>
      <c r="J30" s="88" t="n">
        <v>40</v>
      </c>
      <c r="K30" s="87" t="n">
        <v>530</v>
      </c>
      <c r="L30" s="37" t="n">
        <v>100700</v>
      </c>
      <c r="M30" s="31" t="n">
        <v>1</v>
      </c>
      <c r="N30" s="89" t="n">
        <v>1</v>
      </c>
      <c r="O30" s="90" t="n">
        <v>100700</v>
      </c>
      <c r="P30" s="87" t="n">
        <v>110770</v>
      </c>
      <c r="Q30" s="87" t="n">
        <v>98057</v>
      </c>
      <c r="R30" s="40" t="n">
        <v>0.9</v>
      </c>
      <c r="S30" s="90" t="n">
        <v>90630</v>
      </c>
      <c r="T30" s="31" t="n">
        <v>1</v>
      </c>
      <c r="U30" s="90" t="n">
        <v>543780</v>
      </c>
      <c r="V30" s="37" t="n"/>
      <c r="W30" s="37" t="n"/>
      <c r="X30" s="42" t="inlineStr">
        <is>
          <t>Domestic</t>
        </is>
      </c>
      <c r="Y30" s="37" t="inlineStr">
        <is>
          <t>-</t>
        </is>
      </c>
    </row>
    <row r="31" ht="28.5" customHeight="1" s="5">
      <c r="A31" s="87" t="inlineStr">
        <is>
          <t>TABLE PACK 4 in 1</t>
        </is>
      </c>
      <c r="B31" s="87" t="n">
        <v>400</v>
      </c>
      <c r="C31" s="87" t="n">
        <v>570</v>
      </c>
      <c r="D31" s="87" t="n">
        <v>0</v>
      </c>
      <c r="E31" s="87" t="n">
        <v>0</v>
      </c>
      <c r="F31" s="87" t="n">
        <v>0</v>
      </c>
      <c r="G31" s="87" t="n">
        <v>0</v>
      </c>
      <c r="H31" s="87" t="n">
        <v>0</v>
      </c>
      <c r="I31" s="87" t="n">
        <v>0</v>
      </c>
      <c r="J31" s="88" t="n">
        <v>0</v>
      </c>
      <c r="K31" s="87" t="n">
        <v>570</v>
      </c>
      <c r="L31" s="37" t="n">
        <v>228000</v>
      </c>
      <c r="M31" s="31" t="n">
        <v>1</v>
      </c>
      <c r="N31" s="89" t="n">
        <v>0</v>
      </c>
      <c r="O31" s="90" t="n">
        <v>228000</v>
      </c>
      <c r="P31" s="87" t="n">
        <v>250800</v>
      </c>
      <c r="Q31" s="87" t="n">
        <v>37921</v>
      </c>
      <c r="R31" s="40" t="n">
        <v>0.9</v>
      </c>
      <c r="S31" s="90" t="n">
        <v>205200</v>
      </c>
      <c r="T31" s="31" t="n">
        <v>0</v>
      </c>
      <c r="U31" s="90" t="n">
        <v>0</v>
      </c>
      <c r="V31" s="97" t="n">
        <v>0</v>
      </c>
      <c r="W31" s="37" t="inlineStr">
        <is>
          <t xml:space="preserve"> 12/20</t>
        </is>
      </c>
      <c r="X31" s="42" t="inlineStr">
        <is>
          <t>Jumbo/Aldi/Great Value</t>
        </is>
      </c>
      <c r="Y31" s="37" t="inlineStr">
        <is>
          <t>-</t>
        </is>
      </c>
    </row>
    <row r="32" ht="15" customHeight="1" s="5">
      <c r="A32" s="87" t="inlineStr">
        <is>
          <t>UNIVERSAL POT BAG</t>
        </is>
      </c>
      <c r="B32" s="87" t="n">
        <v>272</v>
      </c>
      <c r="C32" s="87" t="n">
        <v>570</v>
      </c>
      <c r="D32" s="87" t="n">
        <v>30</v>
      </c>
      <c r="E32" s="87" t="n">
        <v>0</v>
      </c>
      <c r="F32" s="87" t="n">
        <v>0</v>
      </c>
      <c r="G32" s="87" t="n">
        <v>0</v>
      </c>
      <c r="H32" s="87" t="n">
        <v>0</v>
      </c>
      <c r="I32" s="87" t="n">
        <v>0</v>
      </c>
      <c r="J32" s="88" t="n">
        <v>30</v>
      </c>
      <c r="K32" s="87" t="n">
        <v>540</v>
      </c>
      <c r="L32" s="37" t="n">
        <v>146880</v>
      </c>
      <c r="M32" s="31" t="n">
        <v>1</v>
      </c>
      <c r="N32" s="89" t="n">
        <v>1</v>
      </c>
      <c r="O32" s="90" t="n">
        <v>146880</v>
      </c>
      <c r="P32" s="87" t="n">
        <v>161568</v>
      </c>
      <c r="Q32" s="87" t="n">
        <v>99360</v>
      </c>
      <c r="R32" s="40" t="n">
        <v>0.95</v>
      </c>
      <c r="S32" s="90" t="n">
        <v>139536</v>
      </c>
      <c r="T32" s="31" t="n">
        <v>1</v>
      </c>
      <c r="U32" s="90" t="n">
        <v>837216</v>
      </c>
      <c r="V32" s="37" t="n">
        <v>0.27083850931677</v>
      </c>
      <c r="W32" s="37" t="inlineStr">
        <is>
          <t xml:space="preserve"> 12/80</t>
        </is>
      </c>
      <c r="X32" s="42" t="inlineStr">
        <is>
          <t>Musgrave-600 Tbgs/Amway</t>
        </is>
      </c>
      <c r="Y32" s="37" t="inlineStr">
        <is>
          <t>Supervalu/Centra Gold</t>
        </is>
      </c>
    </row>
    <row r="33" ht="15" customHeight="1" s="5">
      <c r="A33" s="87" t="inlineStr">
        <is>
          <t>UNIVERSAL TWIN BAG</t>
        </is>
      </c>
      <c r="B33" s="87" t="n">
        <v>420</v>
      </c>
      <c r="C33" s="87" t="n">
        <v>571</v>
      </c>
      <c r="D33" s="87" t="n">
        <v>30</v>
      </c>
      <c r="E33" s="87" t="n">
        <v>0</v>
      </c>
      <c r="F33" s="87" t="n">
        <v>0</v>
      </c>
      <c r="G33" s="87" t="n">
        <v>0</v>
      </c>
      <c r="H33" s="87" t="n">
        <v>0</v>
      </c>
      <c r="I33" s="87" t="n">
        <v>0</v>
      </c>
      <c r="J33" s="88" t="n">
        <v>30</v>
      </c>
      <c r="K33" s="87" t="n">
        <v>541</v>
      </c>
      <c r="L33" s="37" t="n">
        <v>227220</v>
      </c>
      <c r="M33" s="31" t="n">
        <v>1</v>
      </c>
      <c r="N33" s="89" t="n">
        <v>1</v>
      </c>
      <c r="O33" s="90" t="n">
        <v>227220</v>
      </c>
      <c r="P33" s="87" t="n">
        <v>249942</v>
      </c>
      <c r="Q33" s="87" t="n">
        <v>195497</v>
      </c>
      <c r="R33" s="40" t="n">
        <v>0.95</v>
      </c>
      <c r="S33" s="90" t="n">
        <v>215859</v>
      </c>
      <c r="T33" s="31" t="n">
        <v>1</v>
      </c>
      <c r="U33" s="90" t="n">
        <v>1295154</v>
      </c>
      <c r="V33" s="97" t="n">
        <v>0.41898097826087</v>
      </c>
      <c r="W33" s="37" t="inlineStr">
        <is>
          <t xml:space="preserve"> 12/80</t>
        </is>
      </c>
      <c r="X33" s="42" t="inlineStr">
        <is>
          <t>Supervalu/Centra Gold</t>
        </is>
      </c>
      <c r="Y33" s="37" t="inlineStr">
        <is>
          <t>-</t>
        </is>
      </c>
    </row>
    <row r="34" ht="15" customHeight="1" s="5">
      <c r="A34" s="87" t="inlineStr">
        <is>
          <t>varieties pack</t>
        </is>
      </c>
      <c r="B34" s="87" t="n">
        <v>250</v>
      </c>
      <c r="C34" s="87" t="n">
        <v>570</v>
      </c>
      <c r="D34" s="87" t="n">
        <v>14</v>
      </c>
      <c r="E34" s="87" t="n">
        <v>12</v>
      </c>
      <c r="F34" s="87" t="n">
        <v>16</v>
      </c>
      <c r="G34" s="87" t="n">
        <v>0</v>
      </c>
      <c r="H34" s="87" t="n">
        <v>4</v>
      </c>
      <c r="I34" s="87" t="n">
        <v>0</v>
      </c>
      <c r="J34" s="88" t="n">
        <v>46</v>
      </c>
      <c r="K34" s="87" t="n">
        <v>524</v>
      </c>
      <c r="L34" s="37" t="n">
        <v>131000</v>
      </c>
      <c r="M34" s="31" t="n">
        <v>1</v>
      </c>
      <c r="N34" s="89" t="n">
        <v>1</v>
      </c>
      <c r="O34" s="90" t="n">
        <v>131000</v>
      </c>
      <c r="P34" s="87" t="n">
        <v>144100</v>
      </c>
      <c r="Q34" s="87" t="n">
        <v>111492</v>
      </c>
      <c r="R34" s="40" t="n">
        <v>0.9</v>
      </c>
      <c r="S34" s="90" t="n">
        <v>117900</v>
      </c>
      <c r="T34" s="31" t="n">
        <v>2</v>
      </c>
      <c r="U34" s="90" t="n">
        <v>1414800</v>
      </c>
      <c r="V34" s="97" t="n">
        <v>0.81875</v>
      </c>
      <c r="W34" s="37" t="inlineStr">
        <is>
          <t xml:space="preserve"> 12/40</t>
        </is>
      </c>
      <c r="X34" s="42" t="inlineStr">
        <is>
          <t>Variety Pack Loose Tbgs-Jumbo/Aldi</t>
        </is>
      </c>
      <c r="Y34" s="37" t="inlineStr">
        <is>
          <t>Africa Black</t>
        </is>
      </c>
    </row>
    <row r="35" ht="15" customHeight="1" s="5">
      <c r="A35" s="87" t="inlineStr">
        <is>
          <t>VIKING-MULTITRACK</t>
        </is>
      </c>
      <c r="B35" s="87" t="n">
        <v>56</v>
      </c>
      <c r="C35" s="87" t="n">
        <v>570</v>
      </c>
      <c r="D35" s="87" t="n">
        <v>20</v>
      </c>
      <c r="E35" s="87" t="n">
        <v>0</v>
      </c>
      <c r="F35" s="87" t="n">
        <v>0</v>
      </c>
      <c r="G35" s="87" t="n">
        <v>0</v>
      </c>
      <c r="H35" s="87" t="n">
        <v>0</v>
      </c>
      <c r="I35" s="87" t="n">
        <v>0</v>
      </c>
      <c r="J35" s="88" t="n">
        <v>20</v>
      </c>
      <c r="K35" s="87" t="n">
        <v>550</v>
      </c>
      <c r="L35" s="37" t="n">
        <v>30800</v>
      </c>
      <c r="M35" s="31" t="n">
        <v>1</v>
      </c>
      <c r="N35" s="89" t="n">
        <v>1</v>
      </c>
      <c r="O35" s="90" t="n">
        <v>30800</v>
      </c>
      <c r="P35" s="87" t="n">
        <v>33880</v>
      </c>
      <c r="Q35" s="87" t="n">
        <v>14275</v>
      </c>
      <c r="R35" s="40" t="n">
        <v>0.9</v>
      </c>
      <c r="S35" s="90" t="n">
        <v>27720</v>
      </c>
      <c r="T35" s="31" t="n">
        <v>1</v>
      </c>
      <c r="U35" s="90" t="n">
        <v>166320</v>
      </c>
      <c r="V35" s="91" t="n">
        <v>0.183333333333333</v>
      </c>
      <c r="W35" s="92" t="inlineStr">
        <is>
          <t xml:space="preserve"> 6/10</t>
        </is>
      </c>
      <c r="X35" s="42" t="inlineStr">
        <is>
          <t>Tea India Chai Moments</t>
        </is>
      </c>
      <c r="Y35" s="37" t="inlineStr">
        <is>
          <t>-</t>
        </is>
      </c>
    </row>
    <row r="36" ht="15" customHeight="1" s="5">
      <c r="V36" s="98" t="n">
        <v>22.8467794202768</v>
      </c>
    </row>
  </sheetData>
  <mergeCells count="21">
    <mergeCell ref="D2:I2"/>
    <mergeCell ref="M2:M3"/>
    <mergeCell ref="B2:B3"/>
    <mergeCell ref="N2:N3"/>
    <mergeCell ref="U2:U3"/>
    <mergeCell ref="P2:P3"/>
    <mergeCell ref="Y2:Y3"/>
    <mergeCell ref="A2:A3"/>
    <mergeCell ref="T2:T3"/>
    <mergeCell ref="C2:C3"/>
    <mergeCell ref="K2:K3"/>
    <mergeCell ref="W2:W3"/>
    <mergeCell ref="A1:P1"/>
    <mergeCell ref="O2:O3"/>
    <mergeCell ref="Q2:Q3"/>
    <mergeCell ref="R2:R3"/>
    <mergeCell ref="J2:J3"/>
    <mergeCell ref="L2:L3"/>
    <mergeCell ref="V2:V3"/>
    <mergeCell ref="X2:X3"/>
    <mergeCell ref="S2:S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Avaico T</dc:creator>
  <dc:language>en-US</dc:language>
  <dcterms:created xsi:type="dcterms:W3CDTF">2025-11-03T04:02:38Z</dcterms:created>
  <dcterms:modified xsi:type="dcterms:W3CDTF">2026-10-14T09:36:41Z</dcterms:modified>
  <cp:lastModifiedBy>LOKESHWARAN</cp:lastModifiedBy>
  <cp:revision>0</cp:revision>
  <cp:lastPrinted>2026-04-29T06:57:02Z</cp:lastPrinted>
</cp:coreProperties>
</file>